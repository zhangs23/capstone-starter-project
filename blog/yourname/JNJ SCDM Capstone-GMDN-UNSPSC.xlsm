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201" codeName="{21656B06-1B9B-AA78-C99D-37B55691406E}"/>
  <workbookPr codeName="ThisWorkbook" defaultThemeVersion="166925"/>
  <mc:AlternateContent xmlns:mc="http://schemas.openxmlformats.org/markup-compatibility/2006">
    <mc:Choice Requires="x15">
      <x15ac:absPath xmlns:x15ac="http://schemas.microsoft.com/office/spreadsheetml/2010/11/ac" url="\\HCSUSPIFPS01.na.jnj.com\HOMEF$\ychen62\"/>
    </mc:Choice>
  </mc:AlternateContent>
  <bookViews>
    <workbookView xWindow="0" yWindow="0" windowWidth="20490" windowHeight="6930" activeTab="1"/>
  </bookViews>
  <sheets>
    <sheet name="DescriptionGMDN" sheetId="4" r:id="rId1"/>
    <sheet name="FULL UNSPSC" sheetId="5" r:id="rId2"/>
  </sheets>
  <functionGroups builtInGroupCount="18"/>
  <definedNames>
    <definedName name="_xlnm._FilterDatabase" localSheetId="1" hidden="1">'FULL UNSPSC'!$C$1:$R$3745</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3" i="5" l="1"/>
  <c r="B4" i="5"/>
  <c r="B5" i="5"/>
  <c r="B6" i="5"/>
  <c r="B7" i="5"/>
  <c r="B8" i="5"/>
  <c r="B9" i="5"/>
  <c r="B10" i="5"/>
  <c r="B11" i="5"/>
  <c r="B12" i="5"/>
  <c r="B13" i="5"/>
  <c r="B14" i="5"/>
  <c r="B15" i="5"/>
  <c r="B16" i="5"/>
  <c r="B17" i="5"/>
  <c r="B18" i="5"/>
  <c r="B19" i="5"/>
  <c r="B20" i="5"/>
  <c r="B21" i="5"/>
  <c r="B22" i="5"/>
  <c r="B23" i="5"/>
  <c r="B24" i="5"/>
  <c r="B25" i="5"/>
  <c r="B26" i="5"/>
  <c r="B27" i="5"/>
  <c r="B28" i="5"/>
  <c r="B29" i="5"/>
  <c r="B30" i="5"/>
  <c r="B31" i="5"/>
  <c r="B32" i="5"/>
  <c r="B33" i="5"/>
  <c r="B34" i="5"/>
  <c r="B35" i="5"/>
  <c r="B36" i="5"/>
  <c r="B37" i="5"/>
  <c r="B38" i="5"/>
  <c r="B39" i="5"/>
  <c r="B40" i="5"/>
  <c r="B41" i="5"/>
  <c r="B42" i="5"/>
  <c r="B43" i="5"/>
  <c r="B44" i="5"/>
  <c r="B45" i="5"/>
  <c r="B46" i="5"/>
  <c r="B47" i="5"/>
  <c r="B48" i="5"/>
  <c r="B49" i="5"/>
  <c r="B50" i="5"/>
  <c r="B51" i="5"/>
  <c r="B52" i="5"/>
  <c r="B53" i="5"/>
  <c r="B54" i="5"/>
  <c r="B55" i="5"/>
  <c r="B56" i="5"/>
  <c r="B57" i="5"/>
  <c r="B58" i="5"/>
  <c r="B59" i="5"/>
  <c r="B60" i="5"/>
  <c r="B61" i="5"/>
  <c r="B62" i="5"/>
  <c r="B63" i="5"/>
  <c r="B64" i="5"/>
  <c r="B65" i="5"/>
  <c r="B66" i="5"/>
  <c r="B67" i="5"/>
  <c r="B68" i="5"/>
  <c r="B69" i="5"/>
  <c r="B70" i="5"/>
  <c r="B71" i="5"/>
  <c r="B72" i="5"/>
  <c r="B73" i="5"/>
  <c r="B74" i="5"/>
  <c r="B75" i="5"/>
  <c r="B76" i="5"/>
  <c r="B77" i="5"/>
  <c r="B78" i="5"/>
  <c r="B79" i="5"/>
  <c r="B80" i="5"/>
  <c r="B81" i="5"/>
  <c r="B82" i="5"/>
  <c r="B83" i="5"/>
  <c r="B84" i="5"/>
  <c r="B85" i="5"/>
  <c r="B86" i="5"/>
  <c r="B87" i="5"/>
  <c r="B88" i="5"/>
  <c r="B89" i="5"/>
  <c r="B90" i="5"/>
  <c r="B91" i="5"/>
  <c r="B92" i="5"/>
  <c r="B93" i="5"/>
  <c r="B94" i="5"/>
  <c r="B95" i="5"/>
  <c r="B96" i="5"/>
  <c r="B97" i="5"/>
  <c r="B98" i="5"/>
  <c r="B99" i="5"/>
  <c r="B100" i="5"/>
  <c r="B101" i="5"/>
  <c r="B102" i="5"/>
  <c r="B103" i="5"/>
  <c r="B104" i="5"/>
  <c r="B105" i="5"/>
  <c r="B106" i="5"/>
  <c r="B107" i="5"/>
  <c r="B108" i="5"/>
  <c r="B109" i="5"/>
  <c r="B110" i="5"/>
  <c r="B111" i="5"/>
  <c r="B112" i="5"/>
  <c r="B113" i="5"/>
  <c r="B114" i="5"/>
  <c r="B115" i="5"/>
  <c r="B116" i="5"/>
  <c r="B117" i="5"/>
  <c r="B118" i="5"/>
  <c r="B119" i="5"/>
  <c r="B120" i="5"/>
  <c r="B121" i="5"/>
  <c r="B122" i="5"/>
  <c r="B123" i="5"/>
  <c r="B124" i="5"/>
  <c r="B125" i="5"/>
  <c r="B126" i="5"/>
  <c r="B127" i="5"/>
  <c r="B128" i="5"/>
  <c r="B129" i="5"/>
  <c r="B130" i="5"/>
  <c r="B131" i="5"/>
  <c r="B132" i="5"/>
  <c r="B133" i="5"/>
  <c r="B134" i="5"/>
  <c r="B135" i="5"/>
  <c r="B136" i="5"/>
  <c r="B137" i="5"/>
  <c r="B138" i="5"/>
  <c r="B139" i="5"/>
  <c r="B140" i="5"/>
  <c r="B141" i="5"/>
  <c r="B142" i="5"/>
  <c r="B143" i="5"/>
  <c r="B144" i="5"/>
  <c r="B145" i="5"/>
  <c r="B146" i="5"/>
  <c r="B147" i="5"/>
  <c r="B148" i="5"/>
  <c r="B149" i="5"/>
  <c r="B150" i="5"/>
  <c r="B151" i="5"/>
  <c r="B152" i="5"/>
  <c r="B153" i="5"/>
  <c r="B154" i="5"/>
  <c r="B155" i="5"/>
  <c r="B156" i="5"/>
  <c r="B157" i="5"/>
  <c r="B158" i="5"/>
  <c r="B159" i="5"/>
  <c r="B160" i="5"/>
  <c r="B161" i="5"/>
  <c r="B162" i="5"/>
  <c r="B163" i="5"/>
  <c r="B164" i="5"/>
  <c r="B165" i="5"/>
  <c r="B166" i="5"/>
  <c r="B167" i="5"/>
  <c r="B168" i="5"/>
  <c r="B169" i="5"/>
  <c r="B170" i="5"/>
  <c r="B171" i="5"/>
  <c r="B172" i="5"/>
  <c r="B173" i="5"/>
  <c r="B174" i="5"/>
  <c r="B175" i="5"/>
  <c r="B176" i="5"/>
  <c r="B177" i="5"/>
  <c r="B178" i="5"/>
  <c r="B179" i="5"/>
  <c r="B180" i="5"/>
  <c r="B181" i="5"/>
  <c r="B182" i="5"/>
  <c r="B183" i="5"/>
  <c r="B184" i="5"/>
  <c r="B185" i="5"/>
  <c r="B186" i="5"/>
  <c r="B187" i="5"/>
  <c r="B188" i="5"/>
  <c r="B189" i="5"/>
  <c r="B190" i="5"/>
  <c r="B191" i="5"/>
  <c r="B192" i="5"/>
  <c r="B193" i="5"/>
  <c r="B194" i="5"/>
  <c r="B195" i="5"/>
  <c r="B196" i="5"/>
  <c r="B197" i="5"/>
  <c r="B198" i="5"/>
  <c r="B199" i="5"/>
  <c r="B200" i="5"/>
  <c r="B201" i="5"/>
  <c r="B202" i="5"/>
  <c r="B203" i="5"/>
  <c r="B204" i="5"/>
  <c r="B205" i="5"/>
  <c r="B206" i="5"/>
  <c r="B207" i="5"/>
  <c r="B208" i="5"/>
  <c r="B209" i="5"/>
  <c r="B210" i="5"/>
  <c r="B211" i="5"/>
  <c r="B212" i="5"/>
  <c r="B213" i="5"/>
  <c r="B214" i="5"/>
  <c r="B215" i="5"/>
  <c r="B216" i="5"/>
  <c r="B217" i="5"/>
  <c r="B218" i="5"/>
  <c r="B219" i="5"/>
  <c r="B220" i="5"/>
  <c r="B221" i="5"/>
  <c r="B222" i="5"/>
  <c r="B223" i="5"/>
  <c r="B224" i="5"/>
  <c r="B225" i="5"/>
  <c r="B226" i="5"/>
  <c r="B227" i="5"/>
  <c r="B228" i="5"/>
  <c r="B229" i="5"/>
  <c r="B230" i="5"/>
  <c r="B231" i="5"/>
  <c r="B232" i="5"/>
  <c r="B233" i="5"/>
  <c r="B234" i="5"/>
  <c r="B235" i="5"/>
  <c r="B236" i="5"/>
  <c r="B237" i="5"/>
  <c r="B238" i="5"/>
  <c r="B239" i="5"/>
  <c r="B240" i="5"/>
  <c r="B241" i="5"/>
  <c r="B242" i="5"/>
  <c r="B243" i="5"/>
  <c r="B244" i="5"/>
  <c r="B245" i="5"/>
  <c r="B246" i="5"/>
  <c r="B247" i="5"/>
  <c r="B248" i="5"/>
  <c r="B249" i="5"/>
  <c r="B250" i="5"/>
  <c r="B251" i="5"/>
  <c r="B252" i="5"/>
  <c r="B253" i="5"/>
  <c r="B254" i="5"/>
  <c r="B255" i="5"/>
  <c r="B256" i="5"/>
  <c r="B257" i="5"/>
  <c r="B258" i="5"/>
  <c r="B259" i="5"/>
  <c r="B260" i="5"/>
  <c r="B261" i="5"/>
  <c r="B262" i="5"/>
  <c r="B263" i="5"/>
  <c r="B264" i="5"/>
  <c r="B265" i="5"/>
  <c r="B266" i="5"/>
  <c r="B267" i="5"/>
  <c r="B268" i="5"/>
  <c r="B269" i="5"/>
  <c r="B270" i="5"/>
  <c r="B271" i="5"/>
  <c r="B272" i="5"/>
  <c r="B273" i="5"/>
  <c r="B274" i="5"/>
  <c r="B275" i="5"/>
  <c r="B276" i="5"/>
  <c r="B277" i="5"/>
  <c r="B278" i="5"/>
  <c r="B279" i="5"/>
  <c r="B280" i="5"/>
  <c r="B281" i="5"/>
  <c r="B282" i="5"/>
  <c r="B283" i="5"/>
  <c r="B284" i="5"/>
  <c r="B285" i="5"/>
  <c r="B286" i="5"/>
  <c r="B287" i="5"/>
  <c r="B288" i="5"/>
  <c r="B289" i="5"/>
  <c r="B290" i="5"/>
  <c r="B291" i="5"/>
  <c r="B292" i="5"/>
  <c r="B293" i="5"/>
  <c r="B294" i="5"/>
  <c r="B295" i="5"/>
  <c r="B296" i="5"/>
  <c r="B297" i="5"/>
  <c r="B298" i="5"/>
  <c r="B299" i="5"/>
  <c r="B300" i="5"/>
  <c r="B301" i="5"/>
  <c r="B302" i="5"/>
  <c r="B303" i="5"/>
  <c r="B304" i="5"/>
  <c r="B305" i="5"/>
  <c r="B306" i="5"/>
  <c r="B307" i="5"/>
  <c r="B308" i="5"/>
  <c r="B309" i="5"/>
  <c r="B310" i="5"/>
  <c r="B311" i="5"/>
  <c r="B312" i="5"/>
  <c r="B313" i="5"/>
  <c r="B314" i="5"/>
  <c r="B315" i="5"/>
  <c r="B316" i="5"/>
  <c r="B317" i="5"/>
  <c r="B318" i="5"/>
  <c r="B319" i="5"/>
  <c r="B320" i="5"/>
  <c r="B321" i="5"/>
  <c r="B322" i="5"/>
  <c r="B323" i="5"/>
  <c r="B324" i="5"/>
  <c r="B325" i="5"/>
  <c r="B326" i="5"/>
  <c r="B327" i="5"/>
  <c r="B328" i="5"/>
  <c r="B329" i="5"/>
  <c r="B330" i="5"/>
  <c r="B331" i="5"/>
  <c r="B332" i="5"/>
  <c r="B333" i="5"/>
  <c r="B334" i="5"/>
  <c r="B335" i="5"/>
  <c r="B336" i="5"/>
  <c r="B337" i="5"/>
  <c r="B338" i="5"/>
  <c r="B339" i="5"/>
  <c r="B340" i="5"/>
  <c r="B341" i="5"/>
  <c r="B342" i="5"/>
  <c r="B343" i="5"/>
  <c r="B344" i="5"/>
  <c r="B345" i="5"/>
  <c r="B346" i="5"/>
  <c r="B347" i="5"/>
  <c r="B348" i="5"/>
  <c r="B349" i="5"/>
  <c r="B350" i="5"/>
  <c r="B351" i="5"/>
  <c r="B352" i="5"/>
  <c r="B353" i="5"/>
  <c r="B354" i="5"/>
  <c r="B355" i="5"/>
  <c r="B356" i="5"/>
  <c r="B357" i="5"/>
  <c r="B358" i="5"/>
  <c r="B359" i="5"/>
  <c r="B360" i="5"/>
  <c r="B361" i="5"/>
  <c r="B362" i="5"/>
  <c r="B363" i="5"/>
  <c r="B364" i="5"/>
  <c r="B365" i="5"/>
  <c r="B366" i="5"/>
  <c r="B367" i="5"/>
  <c r="B368" i="5"/>
  <c r="B369" i="5"/>
  <c r="B370" i="5"/>
  <c r="B371" i="5"/>
  <c r="B372" i="5"/>
  <c r="B373" i="5"/>
  <c r="B374" i="5"/>
  <c r="B375" i="5"/>
  <c r="B376" i="5"/>
  <c r="B377" i="5"/>
  <c r="B378" i="5"/>
  <c r="B379" i="5"/>
  <c r="B380" i="5"/>
  <c r="B381" i="5"/>
  <c r="B382" i="5"/>
  <c r="B383" i="5"/>
  <c r="B384" i="5"/>
  <c r="B385" i="5"/>
  <c r="B386" i="5"/>
  <c r="B387" i="5"/>
  <c r="B388" i="5"/>
  <c r="B389" i="5"/>
  <c r="B390" i="5"/>
  <c r="B391" i="5"/>
  <c r="B392" i="5"/>
  <c r="B393" i="5"/>
  <c r="B394" i="5"/>
  <c r="B395" i="5"/>
  <c r="B396" i="5"/>
  <c r="B397" i="5"/>
  <c r="B398" i="5"/>
  <c r="B399" i="5"/>
  <c r="B400" i="5"/>
  <c r="B401" i="5"/>
  <c r="B402" i="5"/>
  <c r="B403" i="5"/>
  <c r="B404" i="5"/>
  <c r="B405" i="5"/>
  <c r="B406" i="5"/>
  <c r="B407" i="5"/>
  <c r="B408" i="5"/>
  <c r="B409" i="5"/>
  <c r="B410" i="5"/>
  <c r="B411" i="5"/>
  <c r="B412" i="5"/>
  <c r="B413" i="5"/>
  <c r="B414" i="5"/>
  <c r="B415" i="5"/>
  <c r="B416" i="5"/>
  <c r="B417" i="5"/>
  <c r="B418" i="5"/>
  <c r="B419" i="5"/>
  <c r="B420" i="5"/>
  <c r="B421" i="5"/>
  <c r="B422" i="5"/>
  <c r="B423" i="5"/>
  <c r="B424" i="5"/>
  <c r="B425" i="5"/>
  <c r="B426" i="5"/>
  <c r="B427" i="5"/>
  <c r="B428" i="5"/>
  <c r="B429" i="5"/>
  <c r="B430" i="5"/>
  <c r="B431" i="5"/>
  <c r="B432" i="5"/>
  <c r="B433" i="5"/>
  <c r="B434" i="5"/>
  <c r="B435" i="5"/>
  <c r="B436" i="5"/>
  <c r="B437" i="5"/>
  <c r="B438" i="5"/>
  <c r="B439" i="5"/>
  <c r="B440" i="5"/>
  <c r="B441" i="5"/>
  <c r="B442" i="5"/>
  <c r="B443" i="5"/>
  <c r="B444" i="5"/>
  <c r="B445" i="5"/>
  <c r="B446" i="5"/>
  <c r="B447" i="5"/>
  <c r="B448" i="5"/>
  <c r="B449" i="5"/>
  <c r="B450" i="5"/>
  <c r="B451" i="5"/>
  <c r="B452" i="5"/>
  <c r="B453" i="5"/>
  <c r="B454" i="5"/>
  <c r="B455" i="5"/>
  <c r="B456" i="5"/>
  <c r="B457" i="5"/>
  <c r="B458" i="5"/>
  <c r="B459" i="5"/>
  <c r="B460" i="5"/>
  <c r="B461" i="5"/>
  <c r="B462" i="5"/>
  <c r="B463" i="5"/>
  <c r="B464" i="5"/>
  <c r="B465" i="5"/>
  <c r="B466" i="5"/>
  <c r="B467" i="5"/>
  <c r="B468" i="5"/>
  <c r="B469" i="5"/>
  <c r="B470" i="5"/>
  <c r="B471" i="5"/>
  <c r="B472" i="5"/>
  <c r="B473" i="5"/>
  <c r="B474" i="5"/>
  <c r="B475" i="5"/>
  <c r="B476" i="5"/>
  <c r="B477" i="5"/>
  <c r="B478" i="5"/>
  <c r="B479" i="5"/>
  <c r="B480" i="5"/>
  <c r="B481" i="5"/>
  <c r="B482" i="5"/>
  <c r="B483" i="5"/>
  <c r="B484" i="5"/>
  <c r="B485" i="5"/>
  <c r="B486" i="5"/>
  <c r="B487" i="5"/>
  <c r="B488" i="5"/>
  <c r="B489" i="5"/>
  <c r="B490" i="5"/>
  <c r="B491" i="5"/>
  <c r="B492" i="5"/>
  <c r="B493" i="5"/>
  <c r="B494" i="5"/>
  <c r="B495" i="5"/>
  <c r="B496" i="5"/>
  <c r="B497" i="5"/>
  <c r="B498" i="5"/>
  <c r="B499" i="5"/>
  <c r="B500" i="5"/>
  <c r="B501" i="5"/>
  <c r="B502" i="5"/>
  <c r="B503" i="5"/>
  <c r="B504" i="5"/>
  <c r="B505" i="5"/>
  <c r="B506" i="5"/>
  <c r="B507" i="5"/>
  <c r="B508" i="5"/>
  <c r="B509" i="5"/>
  <c r="B510" i="5"/>
  <c r="B511" i="5"/>
  <c r="B512" i="5"/>
  <c r="B513" i="5"/>
  <c r="B514" i="5"/>
  <c r="B515" i="5"/>
  <c r="B516" i="5"/>
  <c r="B517" i="5"/>
  <c r="B518" i="5"/>
  <c r="B519" i="5"/>
  <c r="B520" i="5"/>
  <c r="B521" i="5"/>
  <c r="B522" i="5"/>
  <c r="B523" i="5"/>
  <c r="B524" i="5"/>
  <c r="B525" i="5"/>
  <c r="B526" i="5"/>
  <c r="B527" i="5"/>
  <c r="B528" i="5"/>
  <c r="B529" i="5"/>
  <c r="B530" i="5"/>
  <c r="B531" i="5"/>
  <c r="B532" i="5"/>
  <c r="B533" i="5"/>
  <c r="B534" i="5"/>
  <c r="B535" i="5"/>
  <c r="B536" i="5"/>
  <c r="B537" i="5"/>
  <c r="B538" i="5"/>
  <c r="B539" i="5"/>
  <c r="B540" i="5"/>
  <c r="B541" i="5"/>
  <c r="B542" i="5"/>
  <c r="B543" i="5"/>
  <c r="B544" i="5"/>
  <c r="B545" i="5"/>
  <c r="B546" i="5"/>
  <c r="B547" i="5"/>
  <c r="B548" i="5"/>
  <c r="B549" i="5"/>
  <c r="B550" i="5"/>
  <c r="B551" i="5"/>
  <c r="B552" i="5"/>
  <c r="B553" i="5"/>
  <c r="B554" i="5"/>
  <c r="B555" i="5"/>
  <c r="B556" i="5"/>
  <c r="B557" i="5"/>
  <c r="B558" i="5"/>
  <c r="B559" i="5"/>
  <c r="B560" i="5"/>
  <c r="B561" i="5"/>
  <c r="B562" i="5"/>
  <c r="B563" i="5"/>
  <c r="B564" i="5"/>
  <c r="B565" i="5"/>
  <c r="B566" i="5"/>
  <c r="B567" i="5"/>
  <c r="B568" i="5"/>
  <c r="B569" i="5"/>
  <c r="B570" i="5"/>
  <c r="B571" i="5"/>
  <c r="B572" i="5"/>
  <c r="B573" i="5"/>
  <c r="B574" i="5"/>
  <c r="B575" i="5"/>
  <c r="B576" i="5"/>
  <c r="B577" i="5"/>
  <c r="B578" i="5"/>
  <c r="B579" i="5"/>
  <c r="B580" i="5"/>
  <c r="B581" i="5"/>
  <c r="B582" i="5"/>
  <c r="B583" i="5"/>
  <c r="B584" i="5"/>
  <c r="B585" i="5"/>
  <c r="B586" i="5"/>
  <c r="B587" i="5"/>
  <c r="B588" i="5"/>
  <c r="B589" i="5"/>
  <c r="B590" i="5"/>
  <c r="B591" i="5"/>
  <c r="B592" i="5"/>
  <c r="B593" i="5"/>
  <c r="B594" i="5"/>
  <c r="B595" i="5"/>
  <c r="B596" i="5"/>
  <c r="B597" i="5"/>
  <c r="B598" i="5"/>
  <c r="B599" i="5"/>
  <c r="B600" i="5"/>
  <c r="B601" i="5"/>
  <c r="B602" i="5"/>
  <c r="B603" i="5"/>
  <c r="B604" i="5"/>
  <c r="B605" i="5"/>
  <c r="B606" i="5"/>
  <c r="B607" i="5"/>
  <c r="B608" i="5"/>
  <c r="B609" i="5"/>
  <c r="B610" i="5"/>
  <c r="B611" i="5"/>
  <c r="B612" i="5"/>
  <c r="B613" i="5"/>
  <c r="B614" i="5"/>
  <c r="B615" i="5"/>
  <c r="B616" i="5"/>
  <c r="B617" i="5"/>
  <c r="B618" i="5"/>
  <c r="B619" i="5"/>
  <c r="B620" i="5"/>
  <c r="B621" i="5"/>
  <c r="B622" i="5"/>
  <c r="B623" i="5"/>
  <c r="B624" i="5"/>
  <c r="B625" i="5"/>
  <c r="B626" i="5"/>
  <c r="B627" i="5"/>
  <c r="B628" i="5"/>
  <c r="B629" i="5"/>
  <c r="B630" i="5"/>
  <c r="B631" i="5"/>
  <c r="B632" i="5"/>
  <c r="B633" i="5"/>
  <c r="B634" i="5"/>
  <c r="B635" i="5"/>
  <c r="B636" i="5"/>
  <c r="B637" i="5"/>
  <c r="B638" i="5"/>
  <c r="B639" i="5"/>
  <c r="B640" i="5"/>
  <c r="B641" i="5"/>
  <c r="B642" i="5"/>
  <c r="B643" i="5"/>
  <c r="B644" i="5"/>
  <c r="B645" i="5"/>
  <c r="B646" i="5"/>
  <c r="B647" i="5"/>
  <c r="B648" i="5"/>
  <c r="B649" i="5"/>
  <c r="B650" i="5"/>
  <c r="B651" i="5"/>
  <c r="B652" i="5"/>
  <c r="B653" i="5"/>
  <c r="B654" i="5"/>
  <c r="B655" i="5"/>
  <c r="B656" i="5"/>
  <c r="B657" i="5"/>
  <c r="B658" i="5"/>
  <c r="B659" i="5"/>
  <c r="B660" i="5"/>
  <c r="B661" i="5"/>
  <c r="B662" i="5"/>
  <c r="B663" i="5"/>
  <c r="B664" i="5"/>
  <c r="B665" i="5"/>
  <c r="B666" i="5"/>
  <c r="B667" i="5"/>
  <c r="B668" i="5"/>
  <c r="B669" i="5"/>
  <c r="B670" i="5"/>
  <c r="B671" i="5"/>
  <c r="B672" i="5"/>
  <c r="B673" i="5"/>
  <c r="B674" i="5"/>
  <c r="B675" i="5"/>
  <c r="B676" i="5"/>
  <c r="B677" i="5"/>
  <c r="B678" i="5"/>
  <c r="B679" i="5"/>
  <c r="B680" i="5"/>
  <c r="B681" i="5"/>
  <c r="B682" i="5"/>
  <c r="B683" i="5"/>
  <c r="B684" i="5"/>
  <c r="B685" i="5"/>
  <c r="B686" i="5"/>
  <c r="B687" i="5"/>
  <c r="B688" i="5"/>
  <c r="B689" i="5"/>
  <c r="B690" i="5"/>
  <c r="B691" i="5"/>
  <c r="B692" i="5"/>
  <c r="B693" i="5"/>
  <c r="B694" i="5"/>
  <c r="B695" i="5"/>
  <c r="B696" i="5"/>
  <c r="B697" i="5"/>
  <c r="B698" i="5"/>
  <c r="B699" i="5"/>
  <c r="B700" i="5"/>
  <c r="B701" i="5"/>
  <c r="B702" i="5"/>
  <c r="B703" i="5"/>
  <c r="B704" i="5"/>
  <c r="B705" i="5"/>
  <c r="B706" i="5"/>
  <c r="B707" i="5"/>
  <c r="B708" i="5"/>
  <c r="B709" i="5"/>
  <c r="B710" i="5"/>
  <c r="B711" i="5"/>
  <c r="B712" i="5"/>
  <c r="B713" i="5"/>
  <c r="B714" i="5"/>
  <c r="B715" i="5"/>
  <c r="B716" i="5"/>
  <c r="B717" i="5"/>
  <c r="B718" i="5"/>
  <c r="B719" i="5"/>
  <c r="B720" i="5"/>
  <c r="B721" i="5"/>
  <c r="B722" i="5"/>
  <c r="B723" i="5"/>
  <c r="B724" i="5"/>
  <c r="B725" i="5"/>
  <c r="B726" i="5"/>
  <c r="B727" i="5"/>
  <c r="B728" i="5"/>
  <c r="B729" i="5"/>
  <c r="B730" i="5"/>
  <c r="B731" i="5"/>
  <c r="B732" i="5"/>
  <c r="B733" i="5"/>
  <c r="B734" i="5"/>
  <c r="B735" i="5"/>
  <c r="B736" i="5"/>
  <c r="B737" i="5"/>
  <c r="B738" i="5"/>
  <c r="B739" i="5"/>
  <c r="B740" i="5"/>
  <c r="B741" i="5"/>
  <c r="B742" i="5"/>
  <c r="B743" i="5"/>
  <c r="B744" i="5"/>
  <c r="B745" i="5"/>
  <c r="B746" i="5"/>
  <c r="B747" i="5"/>
  <c r="B748" i="5"/>
  <c r="B749" i="5"/>
  <c r="B750" i="5"/>
  <c r="B751" i="5"/>
  <c r="B752" i="5"/>
  <c r="B753" i="5"/>
  <c r="B754" i="5"/>
  <c r="B755" i="5"/>
  <c r="B756" i="5"/>
  <c r="B757" i="5"/>
  <c r="B758" i="5"/>
  <c r="B759" i="5"/>
  <c r="B760" i="5"/>
  <c r="B761" i="5"/>
  <c r="B762" i="5"/>
  <c r="B763" i="5"/>
  <c r="B764" i="5"/>
  <c r="B765" i="5"/>
  <c r="B766" i="5"/>
  <c r="B767" i="5"/>
  <c r="B768" i="5"/>
  <c r="B769" i="5"/>
  <c r="B770" i="5"/>
  <c r="B771" i="5"/>
  <c r="B772" i="5"/>
  <c r="B773" i="5"/>
  <c r="B774" i="5"/>
  <c r="B775" i="5"/>
  <c r="B776" i="5"/>
  <c r="B777" i="5"/>
  <c r="B778" i="5"/>
  <c r="B779" i="5"/>
  <c r="B780" i="5"/>
  <c r="B781" i="5"/>
  <c r="B782" i="5"/>
  <c r="B783" i="5"/>
  <c r="B784" i="5"/>
  <c r="B785" i="5"/>
  <c r="B786" i="5"/>
  <c r="B787" i="5"/>
  <c r="B788" i="5"/>
  <c r="B789" i="5"/>
  <c r="B790" i="5"/>
  <c r="B791" i="5"/>
  <c r="B792" i="5"/>
  <c r="B793" i="5"/>
  <c r="B794" i="5"/>
  <c r="B795" i="5"/>
  <c r="B796" i="5"/>
  <c r="B797" i="5"/>
  <c r="B798" i="5"/>
  <c r="B799" i="5"/>
  <c r="B800" i="5"/>
  <c r="B801" i="5"/>
  <c r="B802" i="5"/>
  <c r="B803" i="5"/>
  <c r="B804" i="5"/>
  <c r="B805" i="5"/>
  <c r="B806" i="5"/>
  <c r="B807" i="5"/>
  <c r="B808" i="5"/>
  <c r="B809" i="5"/>
  <c r="B810" i="5"/>
  <c r="B811" i="5"/>
  <c r="B812" i="5"/>
  <c r="B813" i="5"/>
  <c r="B814" i="5"/>
  <c r="B815" i="5"/>
  <c r="B816" i="5"/>
  <c r="B817" i="5"/>
  <c r="B818" i="5"/>
  <c r="B819" i="5"/>
  <c r="B820" i="5"/>
  <c r="B821" i="5"/>
  <c r="B822" i="5"/>
  <c r="B823" i="5"/>
  <c r="B824" i="5"/>
  <c r="B825" i="5"/>
  <c r="B826" i="5"/>
  <c r="B827" i="5"/>
  <c r="B828" i="5"/>
  <c r="B829" i="5"/>
  <c r="B830" i="5"/>
  <c r="B831" i="5"/>
  <c r="B832" i="5"/>
  <c r="B833" i="5"/>
  <c r="B834" i="5"/>
  <c r="B835" i="5"/>
  <c r="B836" i="5"/>
  <c r="B837" i="5"/>
  <c r="B838" i="5"/>
  <c r="B839" i="5"/>
  <c r="B840" i="5"/>
  <c r="B841" i="5"/>
  <c r="B842" i="5"/>
  <c r="B843" i="5"/>
  <c r="B844" i="5"/>
  <c r="B845" i="5"/>
  <c r="B846" i="5"/>
  <c r="B847" i="5"/>
  <c r="B848" i="5"/>
  <c r="B849" i="5"/>
  <c r="B850" i="5"/>
  <c r="B851" i="5"/>
  <c r="B852" i="5"/>
  <c r="B853" i="5"/>
  <c r="B854" i="5"/>
  <c r="B855" i="5"/>
  <c r="B856" i="5"/>
  <c r="B857" i="5"/>
  <c r="B858" i="5"/>
  <c r="B859" i="5"/>
  <c r="B860" i="5"/>
  <c r="B861" i="5"/>
  <c r="B862" i="5"/>
  <c r="B863" i="5"/>
  <c r="B864" i="5"/>
  <c r="B865" i="5"/>
  <c r="B866" i="5"/>
  <c r="B867" i="5"/>
  <c r="B868" i="5"/>
  <c r="B869" i="5"/>
  <c r="B870" i="5"/>
  <c r="B871" i="5"/>
  <c r="B872" i="5"/>
  <c r="B873" i="5"/>
  <c r="B874" i="5"/>
  <c r="B875" i="5"/>
  <c r="B876" i="5"/>
  <c r="B877" i="5"/>
  <c r="B878" i="5"/>
  <c r="B879" i="5"/>
  <c r="B880" i="5"/>
  <c r="B881" i="5"/>
  <c r="B882" i="5"/>
  <c r="B883" i="5"/>
  <c r="B884" i="5"/>
  <c r="B885" i="5"/>
  <c r="B886" i="5"/>
  <c r="B887" i="5"/>
  <c r="B888" i="5"/>
  <c r="B889" i="5"/>
  <c r="B890" i="5"/>
  <c r="B891" i="5"/>
  <c r="B892" i="5"/>
  <c r="B893" i="5"/>
  <c r="B894" i="5"/>
  <c r="B895" i="5"/>
  <c r="B896" i="5"/>
  <c r="B897" i="5"/>
  <c r="B898" i="5"/>
  <c r="B899" i="5"/>
  <c r="B900" i="5"/>
  <c r="B901" i="5"/>
  <c r="B902" i="5"/>
  <c r="B903" i="5"/>
  <c r="B904" i="5"/>
  <c r="B905" i="5"/>
  <c r="B906" i="5"/>
  <c r="B907" i="5"/>
  <c r="B908" i="5"/>
  <c r="B909" i="5"/>
  <c r="B910" i="5"/>
  <c r="B911" i="5"/>
  <c r="B912" i="5"/>
  <c r="B913" i="5"/>
  <c r="B914" i="5"/>
  <c r="B915" i="5"/>
  <c r="B916" i="5"/>
  <c r="B917" i="5"/>
  <c r="B918" i="5"/>
  <c r="B919" i="5"/>
  <c r="B920" i="5"/>
  <c r="B921" i="5"/>
  <c r="B922" i="5"/>
  <c r="B923" i="5"/>
  <c r="B924" i="5"/>
  <c r="B925" i="5"/>
  <c r="B926" i="5"/>
  <c r="B927" i="5"/>
  <c r="B928" i="5"/>
  <c r="B929" i="5"/>
  <c r="B930" i="5"/>
  <c r="B931" i="5"/>
  <c r="B932" i="5"/>
  <c r="B933" i="5"/>
  <c r="B934" i="5"/>
  <c r="B935" i="5"/>
  <c r="B936" i="5"/>
  <c r="B937" i="5"/>
  <c r="B938" i="5"/>
  <c r="B939" i="5"/>
  <c r="B940" i="5"/>
  <c r="B941" i="5"/>
  <c r="B942" i="5"/>
  <c r="B943" i="5"/>
  <c r="B944" i="5"/>
  <c r="B945" i="5"/>
  <c r="B946" i="5"/>
  <c r="B947" i="5"/>
  <c r="B948" i="5"/>
  <c r="B949" i="5"/>
  <c r="B950" i="5"/>
  <c r="B951" i="5"/>
  <c r="B952" i="5"/>
  <c r="B953" i="5"/>
  <c r="B954" i="5"/>
  <c r="B955" i="5"/>
  <c r="B956" i="5"/>
  <c r="B957" i="5"/>
  <c r="B958" i="5"/>
  <c r="B959" i="5"/>
  <c r="B960" i="5"/>
  <c r="B961" i="5"/>
  <c r="B962" i="5"/>
  <c r="B963" i="5"/>
  <c r="B964" i="5"/>
  <c r="B965" i="5"/>
  <c r="B966" i="5"/>
  <c r="B967" i="5"/>
  <c r="B968" i="5"/>
  <c r="B969" i="5"/>
  <c r="B970" i="5"/>
  <c r="B971" i="5"/>
  <c r="B972" i="5"/>
  <c r="B973" i="5"/>
  <c r="B974" i="5"/>
  <c r="B975" i="5"/>
  <c r="B976" i="5"/>
  <c r="B977" i="5"/>
  <c r="B978" i="5"/>
  <c r="B979" i="5"/>
  <c r="B980" i="5"/>
  <c r="B981" i="5"/>
  <c r="B982" i="5"/>
  <c r="B983" i="5"/>
  <c r="B984" i="5"/>
  <c r="B985" i="5"/>
  <c r="B986" i="5"/>
  <c r="B987" i="5"/>
  <c r="B988" i="5"/>
  <c r="B989" i="5"/>
  <c r="B990" i="5"/>
  <c r="B991" i="5"/>
  <c r="B992" i="5"/>
  <c r="B993" i="5"/>
  <c r="B994" i="5"/>
  <c r="B995" i="5"/>
  <c r="B996" i="5"/>
  <c r="B997" i="5"/>
  <c r="B998" i="5"/>
  <c r="B999" i="5"/>
  <c r="B1000" i="5"/>
  <c r="B1001" i="5"/>
  <c r="B1002" i="5"/>
  <c r="B1003" i="5"/>
  <c r="B1004" i="5"/>
  <c r="B1005" i="5"/>
  <c r="B1006" i="5"/>
  <c r="B1007" i="5"/>
  <c r="B1008" i="5"/>
  <c r="B1009" i="5"/>
  <c r="B1010" i="5"/>
  <c r="B1011" i="5"/>
  <c r="B1012" i="5"/>
  <c r="B1013" i="5"/>
  <c r="B1014" i="5"/>
  <c r="B1015" i="5"/>
  <c r="B1016" i="5"/>
  <c r="B1017" i="5"/>
  <c r="B1018" i="5"/>
  <c r="B1019" i="5"/>
  <c r="B1020" i="5"/>
  <c r="B1021" i="5"/>
  <c r="B1022" i="5"/>
  <c r="B1023" i="5"/>
  <c r="B1024" i="5"/>
  <c r="B1025" i="5"/>
  <c r="B1026" i="5"/>
  <c r="B1027" i="5"/>
  <c r="B1028" i="5"/>
  <c r="B1029" i="5"/>
  <c r="B1030" i="5"/>
  <c r="B1031" i="5"/>
  <c r="B1032" i="5"/>
  <c r="B1033" i="5"/>
  <c r="B1034" i="5"/>
  <c r="B1035" i="5"/>
  <c r="B1036" i="5"/>
  <c r="B1037" i="5"/>
  <c r="B1038" i="5"/>
  <c r="B1039" i="5"/>
  <c r="B1040" i="5"/>
  <c r="B1041" i="5"/>
  <c r="B1042" i="5"/>
  <c r="B1043" i="5"/>
  <c r="B1044" i="5"/>
  <c r="B1045" i="5"/>
  <c r="B1046" i="5"/>
  <c r="B1047" i="5"/>
  <c r="B1048" i="5"/>
  <c r="B1049" i="5"/>
  <c r="B1050" i="5"/>
  <c r="B1051" i="5"/>
  <c r="B1052" i="5"/>
  <c r="B1053" i="5"/>
  <c r="B1054" i="5"/>
  <c r="B1055" i="5"/>
  <c r="B1056" i="5"/>
  <c r="B1057" i="5"/>
  <c r="B1058" i="5"/>
  <c r="B1059" i="5"/>
  <c r="B1060" i="5"/>
  <c r="B1061" i="5"/>
  <c r="B1062" i="5"/>
  <c r="B1063" i="5"/>
  <c r="B1064" i="5"/>
  <c r="B1065" i="5"/>
  <c r="B1066" i="5"/>
  <c r="B1067" i="5"/>
  <c r="B1068" i="5"/>
  <c r="B1069" i="5"/>
  <c r="B1070" i="5"/>
  <c r="B1071" i="5"/>
  <c r="B1072" i="5"/>
  <c r="B1073" i="5"/>
  <c r="B1074" i="5"/>
  <c r="B1075" i="5"/>
  <c r="B1076" i="5"/>
  <c r="B1077" i="5"/>
  <c r="B1078" i="5"/>
  <c r="B1079" i="5"/>
  <c r="B1080" i="5"/>
  <c r="B1081" i="5"/>
  <c r="B1082" i="5"/>
  <c r="B1083" i="5"/>
  <c r="B1084" i="5"/>
  <c r="B1085" i="5"/>
  <c r="B1086" i="5"/>
  <c r="B1087" i="5"/>
  <c r="B1088" i="5"/>
  <c r="B1089" i="5"/>
  <c r="B1090" i="5"/>
  <c r="B1091" i="5"/>
  <c r="B1092" i="5"/>
  <c r="B1093" i="5"/>
  <c r="B1094" i="5"/>
  <c r="B1095" i="5"/>
  <c r="B1096" i="5"/>
  <c r="B1097" i="5"/>
  <c r="B1098" i="5"/>
  <c r="B1099" i="5"/>
  <c r="B1100" i="5"/>
  <c r="B1101" i="5"/>
  <c r="B1102" i="5"/>
  <c r="B1103" i="5"/>
  <c r="B1104" i="5"/>
  <c r="B1105" i="5"/>
  <c r="B1106" i="5"/>
  <c r="B1107" i="5"/>
  <c r="B1108" i="5"/>
  <c r="B1109" i="5"/>
  <c r="B1110" i="5"/>
  <c r="B1111" i="5"/>
  <c r="B1112" i="5"/>
  <c r="B1113" i="5"/>
  <c r="B1114" i="5"/>
  <c r="B1115" i="5"/>
  <c r="B1116" i="5"/>
  <c r="B1117" i="5"/>
  <c r="B1118" i="5"/>
  <c r="B1119" i="5"/>
  <c r="B1120" i="5"/>
  <c r="B1121" i="5"/>
  <c r="B1122" i="5"/>
  <c r="B1123" i="5"/>
  <c r="B1124" i="5"/>
  <c r="B1125" i="5"/>
  <c r="B1126" i="5"/>
  <c r="B1127" i="5"/>
  <c r="B1128" i="5"/>
  <c r="B1129" i="5"/>
  <c r="B1130" i="5"/>
  <c r="B1131" i="5"/>
  <c r="B1132" i="5"/>
  <c r="B1133" i="5"/>
  <c r="B1134" i="5"/>
  <c r="B1135" i="5"/>
  <c r="B1136" i="5"/>
  <c r="B1137" i="5"/>
  <c r="B1138" i="5"/>
  <c r="B1139" i="5"/>
  <c r="B1140" i="5"/>
  <c r="B1141" i="5"/>
  <c r="B1142" i="5"/>
  <c r="B1143" i="5"/>
  <c r="B1144" i="5"/>
  <c r="B1145" i="5"/>
  <c r="B1146" i="5"/>
  <c r="B1147" i="5"/>
  <c r="B1148" i="5"/>
  <c r="B1149" i="5"/>
  <c r="B1150" i="5"/>
  <c r="B1151" i="5"/>
  <c r="B1152" i="5"/>
  <c r="B1153" i="5"/>
  <c r="B1154" i="5"/>
  <c r="B1155" i="5"/>
  <c r="B1156" i="5"/>
  <c r="B1157" i="5"/>
  <c r="B1158" i="5"/>
  <c r="B1159" i="5"/>
  <c r="B1160" i="5"/>
  <c r="B1161" i="5"/>
  <c r="B1162" i="5"/>
  <c r="B1163" i="5"/>
  <c r="B1164" i="5"/>
  <c r="B1165" i="5"/>
  <c r="B1166" i="5"/>
  <c r="B1167" i="5"/>
  <c r="B1168" i="5"/>
  <c r="B1169" i="5"/>
  <c r="B1170" i="5"/>
  <c r="B1171" i="5"/>
  <c r="B1172" i="5"/>
  <c r="B1173" i="5"/>
  <c r="B1174" i="5"/>
  <c r="B1175" i="5"/>
  <c r="B1176" i="5"/>
  <c r="B1177" i="5"/>
  <c r="B1178" i="5"/>
  <c r="B1179" i="5"/>
  <c r="B1180" i="5"/>
  <c r="B1181" i="5"/>
  <c r="B1182" i="5"/>
  <c r="B1183" i="5"/>
  <c r="B1184" i="5"/>
  <c r="B1185" i="5"/>
  <c r="B1186" i="5"/>
  <c r="B1187" i="5"/>
  <c r="B1188" i="5"/>
  <c r="B1189" i="5"/>
  <c r="B1190" i="5"/>
  <c r="B1191" i="5"/>
  <c r="B1192" i="5"/>
  <c r="B1193" i="5"/>
  <c r="B1194" i="5"/>
  <c r="B1195" i="5"/>
  <c r="B1196" i="5"/>
  <c r="B1197" i="5"/>
  <c r="B1198" i="5"/>
  <c r="B1199" i="5"/>
  <c r="B1200" i="5"/>
  <c r="B1201" i="5"/>
  <c r="B1202" i="5"/>
  <c r="B1203" i="5"/>
  <c r="B1204" i="5"/>
  <c r="B1205" i="5"/>
  <c r="B1206" i="5"/>
  <c r="B1207" i="5"/>
  <c r="B1208" i="5"/>
  <c r="B1209" i="5"/>
  <c r="B1210" i="5"/>
  <c r="B1211" i="5"/>
  <c r="B1212" i="5"/>
  <c r="B1213" i="5"/>
  <c r="B1214" i="5"/>
  <c r="B1215" i="5"/>
  <c r="B1216" i="5"/>
  <c r="B1217" i="5"/>
  <c r="B1218" i="5"/>
  <c r="B1219" i="5"/>
  <c r="B1220" i="5"/>
  <c r="B1221" i="5"/>
  <c r="B1222" i="5"/>
  <c r="B1223" i="5"/>
  <c r="B1224" i="5"/>
  <c r="B1225" i="5"/>
  <c r="B1226" i="5"/>
  <c r="B1227" i="5"/>
  <c r="B1228" i="5"/>
  <c r="B1229" i="5"/>
  <c r="B1230" i="5"/>
  <c r="B1231" i="5"/>
  <c r="B1232" i="5"/>
  <c r="B1233" i="5"/>
  <c r="B1234" i="5"/>
  <c r="B1235" i="5"/>
  <c r="B1236" i="5"/>
  <c r="B1237" i="5"/>
  <c r="B1238" i="5"/>
  <c r="B1239" i="5"/>
  <c r="B1240" i="5"/>
  <c r="B1241" i="5"/>
  <c r="B1242" i="5"/>
  <c r="B1243" i="5"/>
  <c r="B1244" i="5"/>
  <c r="B1245" i="5"/>
  <c r="B1246" i="5"/>
  <c r="B1247" i="5"/>
  <c r="B1248" i="5"/>
  <c r="B1249" i="5"/>
  <c r="B1250" i="5"/>
  <c r="B1251" i="5"/>
  <c r="B1252" i="5"/>
  <c r="B1253" i="5"/>
  <c r="B1254" i="5"/>
  <c r="B1255" i="5"/>
  <c r="B1256" i="5"/>
  <c r="B1257" i="5"/>
  <c r="B1258" i="5"/>
  <c r="B1259" i="5"/>
  <c r="B1260" i="5"/>
  <c r="B1261" i="5"/>
  <c r="B1262" i="5"/>
  <c r="B1263" i="5"/>
  <c r="B1264" i="5"/>
  <c r="B1265" i="5"/>
  <c r="B1266" i="5"/>
  <c r="B1267" i="5"/>
  <c r="B1268" i="5"/>
  <c r="B1269" i="5"/>
  <c r="B1270" i="5"/>
  <c r="B1271" i="5"/>
  <c r="B1272" i="5"/>
  <c r="B1273" i="5"/>
  <c r="B1274" i="5"/>
  <c r="B1275" i="5"/>
  <c r="B1276" i="5"/>
  <c r="B1277" i="5"/>
  <c r="B1278" i="5"/>
  <c r="B1279" i="5"/>
  <c r="B1280" i="5"/>
  <c r="B1281" i="5"/>
  <c r="B1282" i="5"/>
  <c r="B1283" i="5"/>
  <c r="B1284" i="5"/>
  <c r="B1285" i="5"/>
  <c r="B1286" i="5"/>
  <c r="B1287" i="5"/>
  <c r="B1288" i="5"/>
  <c r="B1289" i="5"/>
  <c r="B1290" i="5"/>
  <c r="B1291" i="5"/>
  <c r="B1292" i="5"/>
  <c r="B1293" i="5"/>
  <c r="B1294" i="5"/>
  <c r="B1295" i="5"/>
  <c r="B1296" i="5"/>
  <c r="B1297" i="5"/>
  <c r="B1298" i="5"/>
  <c r="B1299" i="5"/>
  <c r="B1300" i="5"/>
  <c r="B1301" i="5"/>
  <c r="B1302" i="5"/>
  <c r="B1303" i="5"/>
  <c r="B1304" i="5"/>
  <c r="B1305" i="5"/>
  <c r="B1306" i="5"/>
  <c r="B1307" i="5"/>
  <c r="B1308" i="5"/>
  <c r="B1309" i="5"/>
  <c r="B1310" i="5"/>
  <c r="B1311" i="5"/>
  <c r="B1312" i="5"/>
  <c r="B1313" i="5"/>
  <c r="B1314" i="5"/>
  <c r="B1315" i="5"/>
  <c r="B1316" i="5"/>
  <c r="B1317" i="5"/>
  <c r="B1318" i="5"/>
  <c r="B1319" i="5"/>
  <c r="B1320" i="5"/>
  <c r="B1321" i="5"/>
  <c r="B1322" i="5"/>
  <c r="B1323" i="5"/>
  <c r="B1324" i="5"/>
  <c r="B1325" i="5"/>
  <c r="B1326" i="5"/>
  <c r="B1327" i="5"/>
  <c r="B1328" i="5"/>
  <c r="B1329" i="5"/>
  <c r="B1330" i="5"/>
  <c r="B1331" i="5"/>
  <c r="B1332" i="5"/>
  <c r="B1333" i="5"/>
  <c r="B1334" i="5"/>
  <c r="B1335" i="5"/>
  <c r="B1336" i="5"/>
  <c r="B1337" i="5"/>
  <c r="B1338" i="5"/>
  <c r="B1339" i="5"/>
  <c r="B1340" i="5"/>
  <c r="B1341" i="5"/>
  <c r="B1342" i="5"/>
  <c r="B1343" i="5"/>
  <c r="B1344" i="5"/>
  <c r="B1345" i="5"/>
  <c r="B1346" i="5"/>
  <c r="B1347" i="5"/>
  <c r="B1348" i="5"/>
  <c r="B1349" i="5"/>
  <c r="B1350" i="5"/>
  <c r="B1351" i="5"/>
  <c r="B1352" i="5"/>
  <c r="B1353" i="5"/>
  <c r="B1354" i="5"/>
  <c r="B1355" i="5"/>
  <c r="B1356" i="5"/>
  <c r="B1357" i="5"/>
  <c r="B1358" i="5"/>
  <c r="B1359" i="5"/>
  <c r="B1360" i="5"/>
  <c r="B1361" i="5"/>
  <c r="B1362" i="5"/>
  <c r="B1363" i="5"/>
  <c r="B1364" i="5"/>
  <c r="B1365" i="5"/>
  <c r="B1366" i="5"/>
  <c r="B1367" i="5"/>
  <c r="B1368" i="5"/>
  <c r="B1369" i="5"/>
  <c r="B1370" i="5"/>
  <c r="B1371" i="5"/>
  <c r="B1372" i="5"/>
  <c r="B1373" i="5"/>
  <c r="B1374" i="5"/>
  <c r="B1375" i="5"/>
  <c r="B1376" i="5"/>
  <c r="B1377" i="5"/>
  <c r="B1378" i="5"/>
  <c r="B1379" i="5"/>
  <c r="B1380" i="5"/>
  <c r="B1381" i="5"/>
  <c r="B1382" i="5"/>
  <c r="B1383" i="5"/>
  <c r="B1384" i="5"/>
  <c r="B1385" i="5"/>
  <c r="B1386" i="5"/>
  <c r="B1387" i="5"/>
  <c r="B1388" i="5"/>
  <c r="B1389" i="5"/>
  <c r="B1390" i="5"/>
  <c r="B1391" i="5"/>
  <c r="B1392" i="5"/>
  <c r="B1393" i="5"/>
  <c r="B1394" i="5"/>
  <c r="B1395" i="5"/>
  <c r="B1396" i="5"/>
  <c r="B1397" i="5"/>
  <c r="B1398" i="5"/>
  <c r="B1399" i="5"/>
  <c r="B1400" i="5"/>
  <c r="B1401" i="5"/>
  <c r="B1402" i="5"/>
  <c r="B1403" i="5"/>
  <c r="B1404" i="5"/>
  <c r="B1405" i="5"/>
  <c r="B1406" i="5"/>
  <c r="B1407" i="5"/>
  <c r="B1408" i="5"/>
  <c r="B1409" i="5"/>
  <c r="B1410" i="5"/>
  <c r="B1411" i="5"/>
  <c r="B1412" i="5"/>
  <c r="B1413" i="5"/>
  <c r="B1414" i="5"/>
  <c r="B1415" i="5"/>
  <c r="B1416" i="5"/>
  <c r="B1417" i="5"/>
  <c r="B1418" i="5"/>
  <c r="B1419" i="5"/>
  <c r="B1420" i="5"/>
  <c r="B1421" i="5"/>
  <c r="B1422" i="5"/>
  <c r="B1423" i="5"/>
  <c r="B1424" i="5"/>
  <c r="B1425" i="5"/>
  <c r="B1426" i="5"/>
  <c r="B1427" i="5"/>
  <c r="B1428" i="5"/>
  <c r="B1429" i="5"/>
  <c r="B1430" i="5"/>
  <c r="B1431" i="5"/>
  <c r="B1432" i="5"/>
  <c r="B1433" i="5"/>
  <c r="B1434" i="5"/>
  <c r="B1435" i="5"/>
  <c r="B1436" i="5"/>
  <c r="B1437" i="5"/>
  <c r="B1438" i="5"/>
  <c r="B1439" i="5"/>
  <c r="B1440" i="5"/>
  <c r="B1441" i="5"/>
  <c r="B1442" i="5"/>
  <c r="B1443" i="5"/>
  <c r="B1444" i="5"/>
  <c r="B1445" i="5"/>
  <c r="B1446" i="5"/>
  <c r="B1447" i="5"/>
  <c r="B1448" i="5"/>
  <c r="B1449" i="5"/>
  <c r="B1450" i="5"/>
  <c r="B1451" i="5"/>
  <c r="B1452" i="5"/>
  <c r="B1453" i="5"/>
  <c r="B1454" i="5"/>
  <c r="B1455" i="5"/>
  <c r="B1456" i="5"/>
  <c r="B1457" i="5"/>
  <c r="B1458" i="5"/>
  <c r="B1459" i="5"/>
  <c r="B1460" i="5"/>
  <c r="B1461" i="5"/>
  <c r="B1462" i="5"/>
  <c r="B1463" i="5"/>
  <c r="B1464" i="5"/>
  <c r="B1465" i="5"/>
  <c r="B1466" i="5"/>
  <c r="B1467" i="5"/>
  <c r="B1468" i="5"/>
  <c r="B1469" i="5"/>
  <c r="B1470" i="5"/>
  <c r="B1471" i="5"/>
  <c r="B1472" i="5"/>
  <c r="B1473" i="5"/>
  <c r="B1474" i="5"/>
  <c r="B1475" i="5"/>
  <c r="B1476" i="5"/>
  <c r="B1477" i="5"/>
  <c r="B1478" i="5"/>
  <c r="B1479" i="5"/>
  <c r="B1480" i="5"/>
  <c r="B1481" i="5"/>
  <c r="B1482" i="5"/>
  <c r="B1483" i="5"/>
  <c r="B1484" i="5"/>
  <c r="B1485" i="5"/>
  <c r="B1486" i="5"/>
  <c r="B1487" i="5"/>
  <c r="B1488" i="5"/>
  <c r="B1489" i="5"/>
  <c r="B1490" i="5"/>
  <c r="B1491" i="5"/>
  <c r="B1492" i="5"/>
  <c r="B1493" i="5"/>
  <c r="B1494" i="5"/>
  <c r="B1495" i="5"/>
  <c r="B1496" i="5"/>
  <c r="B1497" i="5"/>
  <c r="B1498" i="5"/>
  <c r="B1499" i="5"/>
  <c r="B1500" i="5"/>
  <c r="B1501" i="5"/>
  <c r="B1502" i="5"/>
  <c r="B1503" i="5"/>
  <c r="B1504" i="5"/>
  <c r="B1505" i="5"/>
  <c r="B1506" i="5"/>
  <c r="B1507" i="5"/>
  <c r="B1508" i="5"/>
  <c r="B1509" i="5"/>
  <c r="B1510" i="5"/>
  <c r="B1511" i="5"/>
  <c r="B1512" i="5"/>
  <c r="B1513" i="5"/>
  <c r="B1514" i="5"/>
  <c r="B1515" i="5"/>
  <c r="B1516" i="5"/>
  <c r="B1517" i="5"/>
  <c r="B1518" i="5"/>
  <c r="B1519" i="5"/>
  <c r="B1520" i="5"/>
  <c r="B1521" i="5"/>
  <c r="B1522" i="5"/>
  <c r="B1523" i="5"/>
  <c r="B1524" i="5"/>
  <c r="B1525" i="5"/>
  <c r="B1526" i="5"/>
  <c r="B1527" i="5"/>
  <c r="B1528" i="5"/>
  <c r="B1529" i="5"/>
  <c r="B1530" i="5"/>
  <c r="B1531" i="5"/>
  <c r="B1532" i="5"/>
  <c r="B1533" i="5"/>
  <c r="B1534" i="5"/>
  <c r="B1535" i="5"/>
  <c r="B1536" i="5"/>
  <c r="B1537" i="5"/>
  <c r="B1538" i="5"/>
  <c r="B1539" i="5"/>
  <c r="B1540" i="5"/>
  <c r="B1541" i="5"/>
  <c r="B1542" i="5"/>
  <c r="B1543" i="5"/>
  <c r="B1544" i="5"/>
  <c r="B1545" i="5"/>
  <c r="B1546" i="5"/>
  <c r="B1547" i="5"/>
  <c r="B1548" i="5"/>
  <c r="B1549" i="5"/>
  <c r="B1550" i="5"/>
  <c r="B1551" i="5"/>
  <c r="B1552" i="5"/>
  <c r="B1553" i="5"/>
  <c r="B1554" i="5"/>
  <c r="B1555" i="5"/>
  <c r="B1556" i="5"/>
  <c r="B1557" i="5"/>
  <c r="B1558" i="5"/>
  <c r="B1559" i="5"/>
  <c r="B1560" i="5"/>
  <c r="B1561" i="5"/>
  <c r="B1562" i="5"/>
  <c r="B1563" i="5"/>
  <c r="B1564" i="5"/>
  <c r="B1565" i="5"/>
  <c r="B1566" i="5"/>
  <c r="B1567" i="5"/>
  <c r="B1568" i="5"/>
  <c r="B1569" i="5"/>
  <c r="B1570" i="5"/>
  <c r="B1571" i="5"/>
  <c r="B1572" i="5"/>
  <c r="B1573" i="5"/>
  <c r="B1574" i="5"/>
  <c r="B1575" i="5"/>
  <c r="B1576" i="5"/>
  <c r="B1577" i="5"/>
  <c r="B1578" i="5"/>
  <c r="B1579" i="5"/>
  <c r="B1580" i="5"/>
  <c r="B1581" i="5"/>
  <c r="B1582" i="5"/>
  <c r="B1583" i="5"/>
  <c r="B1584" i="5"/>
  <c r="B1585" i="5"/>
  <c r="B1586" i="5"/>
  <c r="B1587" i="5"/>
  <c r="B1588" i="5"/>
  <c r="B1589" i="5"/>
  <c r="B1590" i="5"/>
  <c r="B1591" i="5"/>
  <c r="B1592" i="5"/>
  <c r="B1593" i="5"/>
  <c r="B1594" i="5"/>
  <c r="B1595" i="5"/>
  <c r="B1596" i="5"/>
  <c r="B1597" i="5"/>
  <c r="B1598" i="5"/>
  <c r="B1599" i="5"/>
  <c r="B1600" i="5"/>
  <c r="B1601" i="5"/>
  <c r="B1602" i="5"/>
  <c r="B1603" i="5"/>
  <c r="B1604" i="5"/>
  <c r="B1605" i="5"/>
  <c r="B1606" i="5"/>
  <c r="B1607" i="5"/>
  <c r="B1608" i="5"/>
  <c r="B1609" i="5"/>
  <c r="B1610" i="5"/>
  <c r="B1611" i="5"/>
  <c r="B1612" i="5"/>
  <c r="B1613" i="5"/>
  <c r="B1614" i="5"/>
  <c r="B1615" i="5"/>
  <c r="B1616" i="5"/>
  <c r="B1617" i="5"/>
  <c r="B1618" i="5"/>
  <c r="B1619" i="5"/>
  <c r="B1620" i="5"/>
  <c r="B1621" i="5"/>
  <c r="B1622" i="5"/>
  <c r="B1623" i="5"/>
  <c r="B1624" i="5"/>
  <c r="B1625" i="5"/>
  <c r="B1626" i="5"/>
  <c r="B1627" i="5"/>
  <c r="B1628" i="5"/>
  <c r="B1629" i="5"/>
  <c r="B1630" i="5"/>
  <c r="B1631" i="5"/>
  <c r="B1632" i="5"/>
  <c r="B1633" i="5"/>
  <c r="B1634" i="5"/>
  <c r="B1635" i="5"/>
  <c r="B1636" i="5"/>
  <c r="B1637" i="5"/>
  <c r="B1638" i="5"/>
  <c r="B1639" i="5"/>
  <c r="B1640" i="5"/>
  <c r="B1641" i="5"/>
  <c r="B1642" i="5"/>
  <c r="B1643" i="5"/>
  <c r="B1644" i="5"/>
  <c r="B1645" i="5"/>
  <c r="B1646" i="5"/>
  <c r="B1647" i="5"/>
  <c r="B1648" i="5"/>
  <c r="B1649" i="5"/>
  <c r="B1650" i="5"/>
  <c r="B1651" i="5"/>
  <c r="B1652" i="5"/>
  <c r="B1653" i="5"/>
  <c r="B1654" i="5"/>
  <c r="B1655" i="5"/>
  <c r="B1656" i="5"/>
  <c r="B1657" i="5"/>
  <c r="B1658" i="5"/>
  <c r="B1659" i="5"/>
  <c r="B1660" i="5"/>
  <c r="B1661" i="5"/>
  <c r="B1662" i="5"/>
  <c r="B1663" i="5"/>
  <c r="B1664" i="5"/>
  <c r="B1665" i="5"/>
  <c r="B1666" i="5"/>
  <c r="B1667" i="5"/>
  <c r="B1668" i="5"/>
  <c r="B1669" i="5"/>
  <c r="B1670" i="5"/>
  <c r="B1671" i="5"/>
  <c r="B1672" i="5"/>
  <c r="B1673" i="5"/>
  <c r="B1674" i="5"/>
  <c r="B1675" i="5"/>
  <c r="B1676" i="5"/>
  <c r="B1677" i="5"/>
  <c r="B1678" i="5"/>
  <c r="B1679" i="5"/>
  <c r="B1680" i="5"/>
  <c r="B1681" i="5"/>
  <c r="B1682" i="5"/>
  <c r="B1683" i="5"/>
  <c r="B1684" i="5"/>
  <c r="B1685" i="5"/>
  <c r="B1686" i="5"/>
  <c r="B1687" i="5"/>
  <c r="B1688" i="5"/>
  <c r="B1689" i="5"/>
  <c r="B1690" i="5"/>
  <c r="B1691" i="5"/>
  <c r="B1692" i="5"/>
  <c r="B1693" i="5"/>
  <c r="B1694" i="5"/>
  <c r="B1695" i="5"/>
  <c r="B1696" i="5"/>
  <c r="B1697" i="5"/>
  <c r="B1698" i="5"/>
  <c r="B1699" i="5"/>
  <c r="B1700" i="5"/>
  <c r="B1701" i="5"/>
  <c r="B1702" i="5"/>
  <c r="B1703" i="5"/>
  <c r="B1704" i="5"/>
  <c r="B1705" i="5"/>
  <c r="B1706" i="5"/>
  <c r="B1707" i="5"/>
  <c r="B1708" i="5"/>
  <c r="B1709" i="5"/>
  <c r="B1710" i="5"/>
  <c r="B1711" i="5"/>
  <c r="B1712" i="5"/>
  <c r="B1713" i="5"/>
  <c r="B1714" i="5"/>
  <c r="B1715" i="5"/>
  <c r="B1716" i="5"/>
  <c r="B1717" i="5"/>
  <c r="B1718" i="5"/>
  <c r="B1719" i="5"/>
  <c r="B1720" i="5"/>
  <c r="B1721" i="5"/>
  <c r="B1722" i="5"/>
  <c r="B1723" i="5"/>
  <c r="B1724" i="5"/>
  <c r="B1725" i="5"/>
  <c r="B1726" i="5"/>
  <c r="B1727" i="5"/>
  <c r="B1728" i="5"/>
  <c r="B1729" i="5"/>
  <c r="B1730" i="5"/>
  <c r="B1731" i="5"/>
  <c r="B1732" i="5"/>
  <c r="B1733" i="5"/>
  <c r="B1734" i="5"/>
  <c r="B1735" i="5"/>
  <c r="B1736" i="5"/>
  <c r="B1737" i="5"/>
  <c r="B1738" i="5"/>
  <c r="B1739" i="5"/>
  <c r="B1740" i="5"/>
  <c r="B1741" i="5"/>
  <c r="B1742" i="5"/>
  <c r="B1743" i="5"/>
  <c r="B1744" i="5"/>
  <c r="B1745" i="5"/>
  <c r="B1746" i="5"/>
  <c r="B1747" i="5"/>
  <c r="B1748" i="5"/>
  <c r="B1749" i="5"/>
  <c r="B1750" i="5"/>
  <c r="B1751" i="5"/>
  <c r="B1752" i="5"/>
  <c r="B1753" i="5"/>
  <c r="B1754" i="5"/>
  <c r="B1755" i="5"/>
  <c r="B1756" i="5"/>
  <c r="B1757" i="5"/>
  <c r="B1758" i="5"/>
  <c r="B1759" i="5"/>
  <c r="B1760" i="5"/>
  <c r="B1761" i="5"/>
  <c r="B1762" i="5"/>
  <c r="B1763" i="5"/>
  <c r="B1764" i="5"/>
  <c r="B1765" i="5"/>
  <c r="B1766" i="5"/>
  <c r="B1767" i="5"/>
  <c r="B1768" i="5"/>
  <c r="B1769" i="5"/>
  <c r="B1770" i="5"/>
  <c r="B1771" i="5"/>
  <c r="B1772" i="5"/>
  <c r="B1773" i="5"/>
  <c r="B1774" i="5"/>
  <c r="B1775" i="5"/>
  <c r="B1776" i="5"/>
  <c r="B1777" i="5"/>
  <c r="B1778" i="5"/>
  <c r="B1779" i="5"/>
  <c r="B1780" i="5"/>
  <c r="B1781" i="5"/>
  <c r="B1782" i="5"/>
  <c r="B1783" i="5"/>
  <c r="B1784" i="5"/>
  <c r="B1785" i="5"/>
  <c r="B1786" i="5"/>
  <c r="B1787" i="5"/>
  <c r="B1788" i="5"/>
  <c r="B1789" i="5"/>
  <c r="B1790" i="5"/>
  <c r="B1791" i="5"/>
  <c r="B1792" i="5"/>
  <c r="B1793" i="5"/>
  <c r="B1794" i="5"/>
  <c r="B1795" i="5"/>
  <c r="B1796" i="5"/>
  <c r="B1797" i="5"/>
  <c r="B1798" i="5"/>
  <c r="B1799" i="5"/>
  <c r="B1800" i="5"/>
  <c r="B1801" i="5"/>
  <c r="B1802" i="5"/>
  <c r="B1803" i="5"/>
  <c r="B1804" i="5"/>
  <c r="B1805" i="5"/>
  <c r="B1806" i="5"/>
  <c r="B1807" i="5"/>
  <c r="B1808" i="5"/>
  <c r="B1809" i="5"/>
  <c r="B1810" i="5"/>
  <c r="B1811" i="5"/>
  <c r="B1812" i="5"/>
  <c r="B1813" i="5"/>
  <c r="B1814" i="5"/>
  <c r="B1815" i="5"/>
  <c r="B1816" i="5"/>
  <c r="B1817" i="5"/>
  <c r="B1818" i="5"/>
  <c r="B1819" i="5"/>
  <c r="B1820" i="5"/>
  <c r="B1821" i="5"/>
  <c r="B1822" i="5"/>
  <c r="B1823" i="5"/>
  <c r="B1824" i="5"/>
  <c r="B1825" i="5"/>
  <c r="B1826" i="5"/>
  <c r="B1827" i="5"/>
  <c r="B1828" i="5"/>
  <c r="B1829" i="5"/>
  <c r="B1830" i="5"/>
  <c r="B1831" i="5"/>
  <c r="B1832" i="5"/>
  <c r="B1833" i="5"/>
  <c r="B1834" i="5"/>
  <c r="B1835" i="5"/>
  <c r="B1836" i="5"/>
  <c r="B1837" i="5"/>
  <c r="B1838" i="5"/>
  <c r="B1839" i="5"/>
  <c r="B1840" i="5"/>
  <c r="B1841" i="5"/>
  <c r="B1842" i="5"/>
  <c r="B1843" i="5"/>
  <c r="B1844" i="5"/>
  <c r="B1845" i="5"/>
  <c r="B1846" i="5"/>
  <c r="B1847" i="5"/>
  <c r="B1848" i="5"/>
  <c r="B1849" i="5"/>
  <c r="B1850" i="5"/>
  <c r="B1851" i="5"/>
  <c r="B1852" i="5"/>
  <c r="B1853" i="5"/>
  <c r="B1854" i="5"/>
  <c r="B1855" i="5"/>
  <c r="B1856" i="5"/>
  <c r="B1857" i="5"/>
  <c r="B1858" i="5"/>
  <c r="B1859" i="5"/>
  <c r="B1860" i="5"/>
  <c r="B1861" i="5"/>
  <c r="B1862" i="5"/>
  <c r="B1863" i="5"/>
  <c r="B1864" i="5"/>
  <c r="B1865" i="5"/>
  <c r="B1866" i="5"/>
  <c r="B1867" i="5"/>
  <c r="B1868" i="5"/>
  <c r="B1869" i="5"/>
  <c r="B1870" i="5"/>
  <c r="B1871" i="5"/>
  <c r="B1872" i="5"/>
  <c r="B1873" i="5"/>
  <c r="B1874" i="5"/>
  <c r="B1875" i="5"/>
  <c r="B1876" i="5"/>
  <c r="B1877" i="5"/>
  <c r="B1878" i="5"/>
  <c r="B1879" i="5"/>
  <c r="B1880" i="5"/>
  <c r="B1881" i="5"/>
  <c r="B1882" i="5"/>
  <c r="B1883" i="5"/>
  <c r="B1884" i="5"/>
  <c r="B1885" i="5"/>
  <c r="B1886" i="5"/>
  <c r="B1887" i="5"/>
  <c r="B1888" i="5"/>
  <c r="B1889" i="5"/>
  <c r="B1890" i="5"/>
  <c r="B1891" i="5"/>
  <c r="B1892" i="5"/>
  <c r="B1893" i="5"/>
  <c r="B1894" i="5"/>
  <c r="B1895" i="5"/>
  <c r="B1896" i="5"/>
  <c r="B1897" i="5"/>
  <c r="B1898" i="5"/>
  <c r="B1899" i="5"/>
  <c r="B1900" i="5"/>
  <c r="B1901" i="5"/>
  <c r="B1902" i="5"/>
  <c r="B1903" i="5"/>
  <c r="B1904" i="5"/>
  <c r="B1905" i="5"/>
  <c r="B1906" i="5"/>
  <c r="B1907" i="5"/>
  <c r="B1908" i="5"/>
  <c r="B1909" i="5"/>
  <c r="B1910" i="5"/>
  <c r="B1911" i="5"/>
  <c r="B1912" i="5"/>
  <c r="B1913" i="5"/>
  <c r="B1914" i="5"/>
  <c r="B1915" i="5"/>
  <c r="B1916" i="5"/>
  <c r="B1917" i="5"/>
  <c r="B1918" i="5"/>
  <c r="B1919" i="5"/>
  <c r="B1920" i="5"/>
  <c r="B1921" i="5"/>
  <c r="B1922" i="5"/>
  <c r="B1923" i="5"/>
  <c r="B1924" i="5"/>
  <c r="B1925" i="5"/>
  <c r="B1926" i="5"/>
  <c r="B1927" i="5"/>
  <c r="B1928" i="5"/>
  <c r="B1929" i="5"/>
  <c r="B1930" i="5"/>
  <c r="B1931" i="5"/>
  <c r="B1932" i="5"/>
  <c r="B1933" i="5"/>
  <c r="B1934" i="5"/>
  <c r="B1935" i="5"/>
  <c r="B1936" i="5"/>
  <c r="B1937" i="5"/>
  <c r="B1938" i="5"/>
  <c r="B1939" i="5"/>
  <c r="B1940" i="5"/>
  <c r="B1941" i="5"/>
  <c r="B1942" i="5"/>
  <c r="B1943" i="5"/>
  <c r="B1944" i="5"/>
  <c r="B1945" i="5"/>
  <c r="B1946" i="5"/>
  <c r="B1947" i="5"/>
  <c r="B1948" i="5"/>
  <c r="B1949" i="5"/>
  <c r="B1950" i="5"/>
  <c r="B1951" i="5"/>
  <c r="B1952" i="5"/>
  <c r="B1953" i="5"/>
  <c r="B1954" i="5"/>
  <c r="B1955" i="5"/>
  <c r="B1956" i="5"/>
  <c r="B1957" i="5"/>
  <c r="B1958" i="5"/>
  <c r="B1959" i="5"/>
  <c r="B1960" i="5"/>
  <c r="B1961" i="5"/>
  <c r="B1962" i="5"/>
  <c r="B1963" i="5"/>
  <c r="B1964" i="5"/>
  <c r="B1965" i="5"/>
  <c r="B1966" i="5"/>
  <c r="B1967" i="5"/>
  <c r="B1968" i="5"/>
  <c r="B1969" i="5"/>
  <c r="B1970" i="5"/>
  <c r="B1971" i="5"/>
  <c r="B1972" i="5"/>
  <c r="B1973" i="5"/>
  <c r="B1974" i="5"/>
  <c r="B1975" i="5"/>
  <c r="B1976" i="5"/>
  <c r="B1977" i="5"/>
  <c r="B1978" i="5"/>
  <c r="B1979" i="5"/>
  <c r="B1980" i="5"/>
  <c r="B1981" i="5"/>
  <c r="B1982" i="5"/>
  <c r="B1983" i="5"/>
  <c r="B1984" i="5"/>
  <c r="B1985" i="5"/>
  <c r="B1986" i="5"/>
  <c r="B1987" i="5"/>
  <c r="B1988" i="5"/>
  <c r="B1989" i="5"/>
  <c r="B1990" i="5"/>
  <c r="B1991" i="5"/>
  <c r="B1992" i="5"/>
  <c r="B1993" i="5"/>
  <c r="B1994" i="5"/>
  <c r="B1995" i="5"/>
  <c r="B1996" i="5"/>
  <c r="B1997" i="5"/>
  <c r="B1998" i="5"/>
  <c r="B1999" i="5"/>
  <c r="B2000" i="5"/>
  <c r="B2001" i="5"/>
  <c r="B2002" i="5"/>
  <c r="B2003" i="5"/>
  <c r="B2004" i="5"/>
  <c r="B2005" i="5"/>
  <c r="B2006" i="5"/>
  <c r="B2007" i="5"/>
  <c r="B2008" i="5"/>
  <c r="B2009" i="5"/>
  <c r="B2010" i="5"/>
  <c r="B2011" i="5"/>
  <c r="B2012" i="5"/>
  <c r="B2013" i="5"/>
  <c r="B2014" i="5"/>
  <c r="B2015" i="5"/>
  <c r="B2016" i="5"/>
  <c r="B2017" i="5"/>
  <c r="B2018" i="5"/>
  <c r="B2019" i="5"/>
  <c r="B2020" i="5"/>
  <c r="B2021" i="5"/>
  <c r="B2022" i="5"/>
  <c r="B2023" i="5"/>
  <c r="B2024" i="5"/>
  <c r="B2025" i="5"/>
  <c r="B2026" i="5"/>
  <c r="B2027" i="5"/>
  <c r="B2028" i="5"/>
  <c r="B2029" i="5"/>
  <c r="B2030" i="5"/>
  <c r="B2031" i="5"/>
  <c r="B2032" i="5"/>
  <c r="B2033" i="5"/>
  <c r="B2034" i="5"/>
  <c r="B2035" i="5"/>
  <c r="B2036" i="5"/>
  <c r="B2037" i="5"/>
  <c r="B2038" i="5"/>
  <c r="B2039" i="5"/>
  <c r="B2040" i="5"/>
  <c r="B2041" i="5"/>
  <c r="B2042" i="5"/>
  <c r="B2043" i="5"/>
  <c r="B2044" i="5"/>
  <c r="B2045" i="5"/>
  <c r="B2046" i="5"/>
  <c r="B2047" i="5"/>
  <c r="B2048" i="5"/>
  <c r="B2049" i="5"/>
  <c r="B2050" i="5"/>
  <c r="B2051" i="5"/>
  <c r="B2052" i="5"/>
  <c r="B2053" i="5"/>
  <c r="B2054" i="5"/>
  <c r="B2055" i="5"/>
  <c r="B2056" i="5"/>
  <c r="B2057" i="5"/>
  <c r="B2058" i="5"/>
  <c r="B2059" i="5"/>
  <c r="B2060" i="5"/>
  <c r="B2061" i="5"/>
  <c r="B2062" i="5"/>
  <c r="B2063" i="5"/>
  <c r="B2064" i="5"/>
  <c r="B2065" i="5"/>
  <c r="B2066" i="5"/>
  <c r="B2067" i="5"/>
  <c r="B2068" i="5"/>
  <c r="B2069" i="5"/>
  <c r="B2070" i="5"/>
  <c r="B2071" i="5"/>
  <c r="B2072" i="5"/>
  <c r="B2073" i="5"/>
  <c r="B2074" i="5"/>
  <c r="B2075" i="5"/>
  <c r="B2076" i="5"/>
  <c r="B2077" i="5"/>
  <c r="B2078" i="5"/>
  <c r="B2079" i="5"/>
  <c r="B2080" i="5"/>
  <c r="B2081" i="5"/>
  <c r="B2082" i="5"/>
  <c r="B2083" i="5"/>
  <c r="B2084" i="5"/>
  <c r="B2085" i="5"/>
  <c r="B2086" i="5"/>
  <c r="B2087" i="5"/>
  <c r="B2088" i="5"/>
  <c r="B2089" i="5"/>
  <c r="B2090" i="5"/>
  <c r="B2091" i="5"/>
  <c r="B2092" i="5"/>
  <c r="B2093" i="5"/>
  <c r="B2094" i="5"/>
  <c r="B2095" i="5"/>
  <c r="B2096" i="5"/>
  <c r="B2097" i="5"/>
  <c r="B2098" i="5"/>
  <c r="B2099" i="5"/>
  <c r="B2100" i="5"/>
  <c r="B2101" i="5"/>
  <c r="B2102" i="5"/>
  <c r="B2103" i="5"/>
  <c r="B2104" i="5"/>
  <c r="B2105" i="5"/>
  <c r="B2106" i="5"/>
  <c r="B2107" i="5"/>
  <c r="B2108" i="5"/>
  <c r="B2109" i="5"/>
  <c r="B2110" i="5"/>
  <c r="B2111" i="5"/>
  <c r="B2112" i="5"/>
  <c r="B2113" i="5"/>
  <c r="B2114" i="5"/>
  <c r="B2115" i="5"/>
  <c r="B2116" i="5"/>
  <c r="B2117" i="5"/>
  <c r="B2118" i="5"/>
  <c r="B2119" i="5"/>
  <c r="B2120" i="5"/>
  <c r="B2121" i="5"/>
  <c r="B2122" i="5"/>
  <c r="B2123" i="5"/>
  <c r="B2124" i="5"/>
  <c r="B2125" i="5"/>
  <c r="B2126" i="5"/>
  <c r="B2127" i="5"/>
  <c r="B2128" i="5"/>
  <c r="B2129" i="5"/>
  <c r="B2130" i="5"/>
  <c r="B2131" i="5"/>
  <c r="B2132" i="5"/>
  <c r="B2133" i="5"/>
  <c r="B2134" i="5"/>
  <c r="B2135" i="5"/>
  <c r="B2136" i="5"/>
  <c r="B2137" i="5"/>
  <c r="B2138" i="5"/>
  <c r="B2139" i="5"/>
  <c r="B2140" i="5"/>
  <c r="B2141" i="5"/>
  <c r="B2142" i="5"/>
  <c r="B2143" i="5"/>
  <c r="B2144" i="5"/>
  <c r="B2145" i="5"/>
  <c r="B2146" i="5"/>
  <c r="B2147" i="5"/>
  <c r="B2148" i="5"/>
  <c r="B2149" i="5"/>
  <c r="B2150" i="5"/>
  <c r="B2151" i="5"/>
  <c r="B2152" i="5"/>
  <c r="B2153" i="5"/>
  <c r="B2154" i="5"/>
  <c r="B2155" i="5"/>
  <c r="B2156" i="5"/>
  <c r="B2157" i="5"/>
  <c r="B2158" i="5"/>
  <c r="B2159" i="5"/>
  <c r="B2160" i="5"/>
  <c r="B2161" i="5"/>
  <c r="B2162" i="5"/>
  <c r="B2163" i="5"/>
  <c r="B2164" i="5"/>
  <c r="B2165" i="5"/>
  <c r="B2166" i="5"/>
  <c r="B2167" i="5"/>
  <c r="B2168" i="5"/>
  <c r="B2169" i="5"/>
  <c r="B2170" i="5"/>
  <c r="B2171" i="5"/>
  <c r="B2172" i="5"/>
  <c r="B2173" i="5"/>
  <c r="B2174" i="5"/>
  <c r="B2175" i="5"/>
  <c r="B2176" i="5"/>
  <c r="B2177" i="5"/>
  <c r="B2178" i="5"/>
  <c r="B2179" i="5"/>
  <c r="B2180" i="5"/>
  <c r="B2181" i="5"/>
  <c r="B2182" i="5"/>
  <c r="B2183" i="5"/>
  <c r="B2184" i="5"/>
  <c r="B2185" i="5"/>
  <c r="B2186" i="5"/>
  <c r="B2187" i="5"/>
  <c r="B2188" i="5"/>
  <c r="B2189" i="5"/>
  <c r="B2190" i="5"/>
  <c r="B2191" i="5"/>
  <c r="B2192" i="5"/>
  <c r="B2193" i="5"/>
  <c r="B2194" i="5"/>
  <c r="B2195" i="5"/>
  <c r="B2196" i="5"/>
  <c r="B2197" i="5"/>
  <c r="B2198" i="5"/>
  <c r="B2199" i="5"/>
  <c r="B2200" i="5"/>
  <c r="B2201" i="5"/>
  <c r="B2202" i="5"/>
  <c r="B2203" i="5"/>
  <c r="B2204" i="5"/>
  <c r="B2205" i="5"/>
  <c r="B2206" i="5"/>
  <c r="B2207" i="5"/>
  <c r="B2208" i="5"/>
  <c r="B2209" i="5"/>
  <c r="B2210" i="5"/>
  <c r="B2211" i="5"/>
  <c r="B2212" i="5"/>
  <c r="B2213" i="5"/>
  <c r="B2214" i="5"/>
  <c r="B2215" i="5"/>
  <c r="B2216" i="5"/>
  <c r="B2217" i="5"/>
  <c r="B2218" i="5"/>
  <c r="B2219" i="5"/>
  <c r="B2220" i="5"/>
  <c r="B2221" i="5"/>
  <c r="B2222" i="5"/>
  <c r="B2223" i="5"/>
  <c r="B2224" i="5"/>
  <c r="B2225" i="5"/>
  <c r="B2226" i="5"/>
  <c r="B2227" i="5"/>
  <c r="B2228" i="5"/>
  <c r="B2229" i="5"/>
  <c r="B2230" i="5"/>
  <c r="B2231" i="5"/>
  <c r="B2232" i="5"/>
  <c r="B2233" i="5"/>
  <c r="B2234" i="5"/>
  <c r="B2235" i="5"/>
  <c r="B2236" i="5"/>
  <c r="B2237" i="5"/>
  <c r="B2238" i="5"/>
  <c r="B2239" i="5"/>
  <c r="B2240" i="5"/>
  <c r="B2241" i="5"/>
  <c r="B2242" i="5"/>
  <c r="B2243" i="5"/>
  <c r="B2244" i="5"/>
  <c r="B2245" i="5"/>
  <c r="B2246" i="5"/>
  <c r="B2247" i="5"/>
  <c r="B2248" i="5"/>
  <c r="B2249" i="5"/>
  <c r="B2250" i="5"/>
  <c r="B2251" i="5"/>
  <c r="B2252" i="5"/>
  <c r="B2253" i="5"/>
  <c r="B2254" i="5"/>
  <c r="B2255" i="5"/>
  <c r="B2256" i="5"/>
  <c r="B2257" i="5"/>
  <c r="B2258" i="5"/>
  <c r="B2259" i="5"/>
  <c r="B2260" i="5"/>
  <c r="B2261" i="5"/>
  <c r="B2262" i="5"/>
  <c r="B2263" i="5"/>
  <c r="B2264" i="5"/>
  <c r="B2265" i="5"/>
  <c r="B2266" i="5"/>
  <c r="B2267" i="5"/>
  <c r="B2268" i="5"/>
  <c r="B2269" i="5"/>
  <c r="B2270" i="5"/>
  <c r="B2271" i="5"/>
  <c r="B2272" i="5"/>
  <c r="B2273" i="5"/>
  <c r="B2274" i="5"/>
  <c r="B2275" i="5"/>
  <c r="B2276" i="5"/>
  <c r="B2277" i="5"/>
  <c r="B2278" i="5"/>
  <c r="B2279" i="5"/>
  <c r="B2280" i="5"/>
  <c r="B2281" i="5"/>
  <c r="B2282" i="5"/>
  <c r="B2283" i="5"/>
  <c r="B2284" i="5"/>
  <c r="B2285" i="5"/>
  <c r="B2286" i="5"/>
  <c r="B2287" i="5"/>
  <c r="B2288" i="5"/>
  <c r="B2289" i="5"/>
  <c r="B2290" i="5"/>
  <c r="B2291" i="5"/>
  <c r="B2292" i="5"/>
  <c r="B2293" i="5"/>
  <c r="B2294" i="5"/>
  <c r="B2295" i="5"/>
  <c r="B2296" i="5"/>
  <c r="B2297" i="5"/>
  <c r="B2298" i="5"/>
  <c r="B2299" i="5"/>
  <c r="B2300" i="5"/>
  <c r="B2301" i="5"/>
  <c r="B2302" i="5"/>
  <c r="B2303" i="5"/>
  <c r="B2304" i="5"/>
  <c r="B2305" i="5"/>
  <c r="B2306" i="5"/>
  <c r="B2307" i="5"/>
  <c r="B2308" i="5"/>
  <c r="B2309" i="5"/>
  <c r="B2310" i="5"/>
  <c r="B2311" i="5"/>
  <c r="B2312" i="5"/>
  <c r="B2313" i="5"/>
  <c r="B2314" i="5"/>
  <c r="B2315" i="5"/>
  <c r="B2316" i="5"/>
  <c r="B2317" i="5"/>
  <c r="B2318" i="5"/>
  <c r="B2319" i="5"/>
  <c r="B2320" i="5"/>
  <c r="B2321" i="5"/>
  <c r="B2322" i="5"/>
  <c r="B2323" i="5"/>
  <c r="B2324" i="5"/>
  <c r="B2325" i="5"/>
  <c r="B2326" i="5"/>
  <c r="B2327" i="5"/>
  <c r="B2328" i="5"/>
  <c r="B2329" i="5"/>
  <c r="B2330" i="5"/>
  <c r="B2331" i="5"/>
  <c r="B2332" i="5"/>
  <c r="B2333" i="5"/>
  <c r="B2334" i="5"/>
  <c r="B2335" i="5"/>
  <c r="B2336" i="5"/>
  <c r="B2337" i="5"/>
  <c r="B2338" i="5"/>
  <c r="B2339" i="5"/>
  <c r="B2340" i="5"/>
  <c r="B2341" i="5"/>
  <c r="B2342" i="5"/>
  <c r="B2343" i="5"/>
  <c r="B2344" i="5"/>
  <c r="B2345" i="5"/>
  <c r="B2346" i="5"/>
  <c r="B2347" i="5"/>
  <c r="B2348" i="5"/>
  <c r="B2349" i="5"/>
  <c r="B2350" i="5"/>
  <c r="B2351" i="5"/>
  <c r="B2352" i="5"/>
  <c r="B2353" i="5"/>
  <c r="B2354" i="5"/>
  <c r="B2355" i="5"/>
  <c r="B2356" i="5"/>
  <c r="B2357" i="5"/>
  <c r="B2358" i="5"/>
  <c r="B2359" i="5"/>
  <c r="B2360" i="5"/>
  <c r="B2361" i="5"/>
  <c r="B2362" i="5"/>
  <c r="B2363" i="5"/>
  <c r="B2364" i="5"/>
  <c r="B2365" i="5"/>
  <c r="B2366" i="5"/>
  <c r="B2367" i="5"/>
  <c r="B2368" i="5"/>
  <c r="B2369" i="5"/>
  <c r="B2370" i="5"/>
  <c r="B2371" i="5"/>
  <c r="B2372" i="5"/>
  <c r="B2373" i="5"/>
  <c r="B2374" i="5"/>
  <c r="B2375" i="5"/>
  <c r="B2376" i="5"/>
  <c r="B2377" i="5"/>
  <c r="B2378" i="5"/>
  <c r="B2379" i="5"/>
  <c r="B2380" i="5"/>
  <c r="B2381" i="5"/>
  <c r="B2382" i="5"/>
  <c r="B2383" i="5"/>
  <c r="B2384" i="5"/>
  <c r="B2385" i="5"/>
  <c r="B2386" i="5"/>
  <c r="B2387" i="5"/>
  <c r="B2388" i="5"/>
  <c r="B2389" i="5"/>
  <c r="B2390" i="5"/>
  <c r="B2391" i="5"/>
  <c r="B2392" i="5"/>
  <c r="B2393" i="5"/>
  <c r="B2394" i="5"/>
  <c r="B2395" i="5"/>
  <c r="B2396" i="5"/>
  <c r="B2397" i="5"/>
  <c r="B2398" i="5"/>
  <c r="B2399" i="5"/>
  <c r="B2400" i="5"/>
  <c r="B2401" i="5"/>
  <c r="B2402" i="5"/>
  <c r="B2403" i="5"/>
  <c r="B2404" i="5"/>
  <c r="B2405" i="5"/>
  <c r="B2406" i="5"/>
  <c r="B2407" i="5"/>
  <c r="B2408" i="5"/>
  <c r="B2409" i="5"/>
  <c r="B2410" i="5"/>
  <c r="B2411" i="5"/>
  <c r="B2412" i="5"/>
  <c r="B2413" i="5"/>
  <c r="B2414" i="5"/>
  <c r="B2415" i="5"/>
  <c r="B2416" i="5"/>
  <c r="B2417" i="5"/>
  <c r="B2418" i="5"/>
  <c r="B2419" i="5"/>
  <c r="B2420" i="5"/>
  <c r="B2421" i="5"/>
  <c r="B2422" i="5"/>
  <c r="B2423" i="5"/>
  <c r="B2424" i="5"/>
  <c r="B2425" i="5"/>
  <c r="B2426" i="5"/>
  <c r="B2427" i="5"/>
  <c r="B2428" i="5"/>
  <c r="B2429" i="5"/>
  <c r="B2430" i="5"/>
  <c r="B2431" i="5"/>
  <c r="B2432" i="5"/>
  <c r="B2433" i="5"/>
  <c r="B2434" i="5"/>
  <c r="B2435" i="5"/>
  <c r="B2436" i="5"/>
  <c r="B2437" i="5"/>
  <c r="B2438" i="5"/>
  <c r="B2439" i="5"/>
  <c r="B2440" i="5"/>
  <c r="B2441" i="5"/>
  <c r="B2442" i="5"/>
  <c r="B2443" i="5"/>
  <c r="B2444" i="5"/>
  <c r="B2445" i="5"/>
  <c r="B2446" i="5"/>
  <c r="B2447" i="5"/>
  <c r="B2448" i="5"/>
  <c r="B2449" i="5"/>
  <c r="B2450" i="5"/>
  <c r="B2451" i="5"/>
  <c r="B2452" i="5"/>
  <c r="B2453" i="5"/>
  <c r="B2454" i="5"/>
  <c r="B2455" i="5"/>
  <c r="B2456" i="5"/>
  <c r="B2457" i="5"/>
  <c r="B2458" i="5"/>
  <c r="B2459" i="5"/>
  <c r="B2460" i="5"/>
  <c r="B2461" i="5"/>
  <c r="B2462" i="5"/>
  <c r="B2463" i="5"/>
  <c r="B2464" i="5"/>
  <c r="B2465" i="5"/>
  <c r="B2466" i="5"/>
  <c r="B2467" i="5"/>
  <c r="B2468" i="5"/>
  <c r="B2469" i="5"/>
  <c r="B2470" i="5"/>
  <c r="B2471" i="5"/>
  <c r="B2472" i="5"/>
  <c r="B2473" i="5"/>
  <c r="B2474" i="5"/>
  <c r="B2475" i="5"/>
  <c r="B2476" i="5"/>
  <c r="B2477" i="5"/>
  <c r="B2478" i="5"/>
  <c r="B2479" i="5"/>
  <c r="B2480" i="5"/>
  <c r="B2481" i="5"/>
  <c r="B2482" i="5"/>
  <c r="B2483" i="5"/>
  <c r="B2484" i="5"/>
  <c r="B2485" i="5"/>
  <c r="B2486" i="5"/>
  <c r="B2487" i="5"/>
  <c r="B2488" i="5"/>
  <c r="B2489" i="5"/>
  <c r="B2490" i="5"/>
  <c r="B2491" i="5"/>
  <c r="B2492" i="5"/>
  <c r="B2493" i="5"/>
  <c r="B2494" i="5"/>
  <c r="B2495" i="5"/>
  <c r="B2496" i="5"/>
  <c r="B2497" i="5"/>
  <c r="B2498" i="5"/>
  <c r="B2499" i="5"/>
  <c r="B2500" i="5"/>
  <c r="B2501" i="5"/>
  <c r="B2502" i="5"/>
  <c r="B2503" i="5"/>
  <c r="B2504" i="5"/>
  <c r="B2505" i="5"/>
  <c r="B2506" i="5"/>
  <c r="B2507" i="5"/>
  <c r="B2508" i="5"/>
  <c r="B2509" i="5"/>
  <c r="B2510" i="5"/>
  <c r="B2511" i="5"/>
  <c r="B2512" i="5"/>
  <c r="B2513" i="5"/>
  <c r="B2514" i="5"/>
  <c r="B2515" i="5"/>
  <c r="B2516" i="5"/>
  <c r="B2517" i="5"/>
  <c r="B2518" i="5"/>
  <c r="B2519" i="5"/>
  <c r="B2520" i="5"/>
  <c r="B2521" i="5"/>
  <c r="B2522" i="5"/>
  <c r="B2523" i="5"/>
  <c r="B2524" i="5"/>
  <c r="B2525" i="5"/>
  <c r="B2526" i="5"/>
  <c r="B2527" i="5"/>
  <c r="B2528" i="5"/>
  <c r="B2529" i="5"/>
  <c r="B2530" i="5"/>
  <c r="B2531" i="5"/>
  <c r="B2532" i="5"/>
  <c r="B2533" i="5"/>
  <c r="B2534" i="5"/>
  <c r="B2535" i="5"/>
  <c r="B2536" i="5"/>
  <c r="B2537" i="5"/>
  <c r="B2538" i="5"/>
  <c r="B2539" i="5"/>
  <c r="B2540" i="5"/>
  <c r="B2541" i="5"/>
  <c r="B2542" i="5"/>
  <c r="B2543" i="5"/>
  <c r="B2544" i="5"/>
  <c r="B2545" i="5"/>
  <c r="B2546" i="5"/>
  <c r="B2547" i="5"/>
  <c r="B2548" i="5"/>
  <c r="B2549" i="5"/>
  <c r="B2550" i="5"/>
  <c r="B2551" i="5"/>
  <c r="B2552" i="5"/>
  <c r="B2553" i="5"/>
  <c r="B2554" i="5"/>
  <c r="B2555" i="5"/>
  <c r="B2556" i="5"/>
  <c r="B2557" i="5"/>
  <c r="B2558" i="5"/>
  <c r="B2559" i="5"/>
  <c r="B2560" i="5"/>
  <c r="B2561" i="5"/>
  <c r="B2562" i="5"/>
  <c r="B2563" i="5"/>
  <c r="B2564" i="5"/>
  <c r="B2565" i="5"/>
  <c r="B2566" i="5"/>
  <c r="B2567" i="5"/>
  <c r="B2568" i="5"/>
  <c r="B2569" i="5"/>
  <c r="B2570" i="5"/>
  <c r="B2571" i="5"/>
  <c r="B2572" i="5"/>
  <c r="B2573" i="5"/>
  <c r="B2574" i="5"/>
  <c r="B2575" i="5"/>
  <c r="B2576" i="5"/>
  <c r="B2577" i="5"/>
  <c r="B2578" i="5"/>
  <c r="B2579" i="5"/>
  <c r="B2580" i="5"/>
  <c r="B2581" i="5"/>
  <c r="B2582" i="5"/>
  <c r="B2583" i="5"/>
  <c r="B2584" i="5"/>
  <c r="B2585" i="5"/>
  <c r="B2586" i="5"/>
  <c r="B2587" i="5"/>
  <c r="B2588" i="5"/>
  <c r="B2589" i="5"/>
  <c r="B2590" i="5"/>
  <c r="B2591" i="5"/>
  <c r="B2592" i="5"/>
  <c r="B2593" i="5"/>
  <c r="B2594" i="5"/>
  <c r="B2595" i="5"/>
  <c r="B2596" i="5"/>
  <c r="B2597" i="5"/>
  <c r="B2598" i="5"/>
  <c r="B2599" i="5"/>
  <c r="B2600" i="5"/>
  <c r="B2601" i="5"/>
  <c r="B2602" i="5"/>
  <c r="B2603" i="5"/>
  <c r="B2604" i="5"/>
  <c r="B2605" i="5"/>
  <c r="B2606" i="5"/>
  <c r="B2607" i="5"/>
  <c r="B2608" i="5"/>
  <c r="B2609" i="5"/>
  <c r="B2610" i="5"/>
  <c r="B2611" i="5"/>
  <c r="B2612" i="5"/>
  <c r="B2613" i="5"/>
  <c r="B2614" i="5"/>
  <c r="B2615" i="5"/>
  <c r="B2616" i="5"/>
  <c r="B2617" i="5"/>
  <c r="B2618" i="5"/>
  <c r="B2619" i="5"/>
  <c r="B2620" i="5"/>
  <c r="B2621" i="5"/>
  <c r="B2622" i="5"/>
  <c r="B2623" i="5"/>
  <c r="B2624" i="5"/>
  <c r="B2625" i="5"/>
  <c r="B2626" i="5"/>
  <c r="B2627" i="5"/>
  <c r="B2628" i="5"/>
  <c r="B2629" i="5"/>
  <c r="B2630" i="5"/>
  <c r="B2631" i="5"/>
  <c r="B2632" i="5"/>
  <c r="B2633" i="5"/>
  <c r="B2634" i="5"/>
  <c r="B2635" i="5"/>
  <c r="B2636" i="5"/>
  <c r="B2637" i="5"/>
  <c r="B2638" i="5"/>
  <c r="B2639" i="5"/>
  <c r="B2640" i="5"/>
  <c r="B2641" i="5"/>
  <c r="B2642" i="5"/>
  <c r="B2643" i="5"/>
  <c r="B2644" i="5"/>
  <c r="B2645" i="5"/>
  <c r="B2646" i="5"/>
  <c r="B2647" i="5"/>
  <c r="B2648" i="5"/>
  <c r="B2649" i="5"/>
  <c r="B2650" i="5"/>
  <c r="B2651" i="5"/>
  <c r="B2652" i="5"/>
  <c r="B2653" i="5"/>
  <c r="B2654" i="5"/>
  <c r="B2655" i="5"/>
  <c r="B2656" i="5"/>
  <c r="B2657" i="5"/>
  <c r="B2658" i="5"/>
  <c r="B2659" i="5"/>
  <c r="B2660" i="5"/>
  <c r="B2661" i="5"/>
  <c r="B2662" i="5"/>
  <c r="B2663" i="5"/>
  <c r="B2664" i="5"/>
  <c r="B2665" i="5"/>
  <c r="B2666" i="5"/>
  <c r="B2667" i="5"/>
  <c r="B2668" i="5"/>
  <c r="B2669" i="5"/>
  <c r="B2670" i="5"/>
  <c r="B2671" i="5"/>
  <c r="B2672" i="5"/>
  <c r="B2673" i="5"/>
  <c r="B2674" i="5"/>
  <c r="B2675" i="5"/>
  <c r="B2676" i="5"/>
  <c r="B2677" i="5"/>
  <c r="B2678" i="5"/>
  <c r="B2679" i="5"/>
  <c r="B2680" i="5"/>
  <c r="B2681" i="5"/>
  <c r="B2682" i="5"/>
  <c r="B2683" i="5"/>
  <c r="B2684" i="5"/>
  <c r="B2685" i="5"/>
  <c r="B2686" i="5"/>
  <c r="B2687" i="5"/>
  <c r="B2688" i="5"/>
  <c r="B2689" i="5"/>
  <c r="B2690" i="5"/>
  <c r="B2691" i="5"/>
  <c r="B2692" i="5"/>
  <c r="B2693" i="5"/>
  <c r="B2694" i="5"/>
  <c r="B2695" i="5"/>
  <c r="B2696" i="5"/>
  <c r="B2697" i="5"/>
  <c r="B2698" i="5"/>
  <c r="B2699" i="5"/>
  <c r="B2700" i="5"/>
  <c r="B2701" i="5"/>
  <c r="B2702" i="5"/>
  <c r="B2703" i="5"/>
  <c r="B2704" i="5"/>
  <c r="B2705" i="5"/>
  <c r="B2706" i="5"/>
  <c r="B2707" i="5"/>
  <c r="B2708" i="5"/>
  <c r="B2709" i="5"/>
  <c r="B2710" i="5"/>
  <c r="B2711" i="5"/>
  <c r="B2712" i="5"/>
  <c r="B2713" i="5"/>
  <c r="B2714" i="5"/>
  <c r="B2715" i="5"/>
  <c r="B2716" i="5"/>
  <c r="B2717" i="5"/>
  <c r="B2718" i="5"/>
  <c r="B2719" i="5"/>
  <c r="B2720" i="5"/>
  <c r="B2721" i="5"/>
  <c r="B2722" i="5"/>
  <c r="B2723" i="5"/>
  <c r="B2724" i="5"/>
  <c r="B2725" i="5"/>
  <c r="B2726" i="5"/>
  <c r="B2727" i="5"/>
  <c r="B2728" i="5"/>
  <c r="B2729" i="5"/>
  <c r="B2730" i="5"/>
  <c r="B2731" i="5"/>
  <c r="B2732" i="5"/>
  <c r="B2733" i="5"/>
  <c r="B2734" i="5"/>
  <c r="B2735" i="5"/>
  <c r="B2736" i="5"/>
  <c r="B2737" i="5"/>
  <c r="B2738" i="5"/>
  <c r="B2739" i="5"/>
  <c r="B2740" i="5"/>
  <c r="B2741" i="5"/>
  <c r="B2742" i="5"/>
  <c r="B2743" i="5"/>
  <c r="B2744" i="5"/>
  <c r="B2745" i="5"/>
  <c r="B2746" i="5"/>
  <c r="B2747" i="5"/>
  <c r="B2748" i="5"/>
  <c r="B2749" i="5"/>
  <c r="B2750" i="5"/>
  <c r="B2751" i="5"/>
  <c r="B2752" i="5"/>
  <c r="B2753" i="5"/>
  <c r="B2754" i="5"/>
  <c r="B2755" i="5"/>
  <c r="B2756" i="5"/>
  <c r="B2757" i="5"/>
  <c r="B2758" i="5"/>
  <c r="B2759" i="5"/>
  <c r="B2760" i="5"/>
  <c r="B2761" i="5"/>
  <c r="B2762" i="5"/>
  <c r="B2763" i="5"/>
  <c r="B2764" i="5"/>
  <c r="B2765" i="5"/>
  <c r="B2766" i="5"/>
  <c r="B2767" i="5"/>
  <c r="B2768" i="5"/>
  <c r="B2769" i="5"/>
  <c r="B2770" i="5"/>
  <c r="B2771" i="5"/>
  <c r="B2772" i="5"/>
  <c r="B2773" i="5"/>
  <c r="B2774" i="5"/>
  <c r="B2775" i="5"/>
  <c r="B2776" i="5"/>
  <c r="B2777" i="5"/>
  <c r="B2778" i="5"/>
  <c r="B2779" i="5"/>
  <c r="B2780" i="5"/>
  <c r="B2781" i="5"/>
  <c r="B2782" i="5"/>
  <c r="B2783" i="5"/>
  <c r="B2784" i="5"/>
  <c r="B2785" i="5"/>
  <c r="B2786" i="5"/>
  <c r="B2787" i="5"/>
  <c r="B2788" i="5"/>
  <c r="B2789" i="5"/>
  <c r="B2790" i="5"/>
  <c r="B2791" i="5"/>
  <c r="B2792" i="5"/>
  <c r="B2793" i="5"/>
  <c r="B2794" i="5"/>
  <c r="B2795" i="5"/>
  <c r="B2796" i="5"/>
  <c r="B2797" i="5"/>
  <c r="B2798" i="5"/>
  <c r="B2799" i="5"/>
  <c r="B2800" i="5"/>
  <c r="B2801" i="5"/>
  <c r="B2802" i="5"/>
  <c r="B2803" i="5"/>
  <c r="B2804" i="5"/>
  <c r="B2805" i="5"/>
  <c r="B2806" i="5"/>
  <c r="B2807" i="5"/>
  <c r="B2808" i="5"/>
  <c r="B2809" i="5"/>
  <c r="B2810" i="5"/>
  <c r="B2811" i="5"/>
  <c r="B2812" i="5"/>
  <c r="B2813" i="5"/>
  <c r="B2814" i="5"/>
  <c r="B2815" i="5"/>
  <c r="B2816" i="5"/>
  <c r="B2817" i="5"/>
  <c r="B2818" i="5"/>
  <c r="B2819" i="5"/>
  <c r="B2820" i="5"/>
  <c r="B2821" i="5"/>
  <c r="B2822" i="5"/>
  <c r="B2823" i="5"/>
  <c r="B2824" i="5"/>
  <c r="B2825" i="5"/>
  <c r="B2826" i="5"/>
  <c r="B2827" i="5"/>
  <c r="B2828" i="5"/>
  <c r="B2829" i="5"/>
  <c r="B2830" i="5"/>
  <c r="B2831" i="5"/>
  <c r="B2832" i="5"/>
  <c r="B2833" i="5"/>
  <c r="B2834" i="5"/>
  <c r="B2835" i="5"/>
  <c r="B2836" i="5"/>
  <c r="B2837" i="5"/>
  <c r="B2838" i="5"/>
  <c r="B2839" i="5"/>
  <c r="B2840" i="5"/>
  <c r="B2841" i="5"/>
  <c r="B2842" i="5"/>
  <c r="B2843" i="5"/>
  <c r="B2844" i="5"/>
  <c r="B2845" i="5"/>
  <c r="B2846" i="5"/>
  <c r="B2847" i="5"/>
  <c r="B2848" i="5"/>
  <c r="B2849" i="5"/>
  <c r="B2850" i="5"/>
  <c r="B2851" i="5"/>
  <c r="B2852" i="5"/>
  <c r="B2853" i="5"/>
  <c r="B2854" i="5"/>
  <c r="B2855" i="5"/>
  <c r="B2856" i="5"/>
  <c r="B2857" i="5"/>
  <c r="B2858" i="5"/>
  <c r="B2859" i="5"/>
  <c r="B2860" i="5"/>
  <c r="B2861" i="5"/>
  <c r="B2862" i="5"/>
  <c r="B2863" i="5"/>
  <c r="B2864" i="5"/>
  <c r="B2865" i="5"/>
  <c r="B2866" i="5"/>
  <c r="B2867" i="5"/>
  <c r="B2868" i="5"/>
  <c r="B2869" i="5"/>
  <c r="B2870" i="5"/>
  <c r="B2871" i="5"/>
  <c r="B2872" i="5"/>
  <c r="B2873" i="5"/>
  <c r="B2874" i="5"/>
  <c r="B2875" i="5"/>
  <c r="B2876" i="5"/>
  <c r="B2877" i="5"/>
  <c r="B2878" i="5"/>
  <c r="B2879" i="5"/>
  <c r="B2880" i="5"/>
  <c r="B2881" i="5"/>
  <c r="B2882" i="5"/>
  <c r="B2883" i="5"/>
  <c r="B2884" i="5"/>
  <c r="B2885" i="5"/>
  <c r="B2886" i="5"/>
  <c r="B2887" i="5"/>
  <c r="B2888" i="5"/>
  <c r="B2889" i="5"/>
  <c r="B2890" i="5"/>
  <c r="B2891" i="5"/>
  <c r="B2892" i="5"/>
  <c r="B2893" i="5"/>
  <c r="B2894" i="5"/>
  <c r="B2895" i="5"/>
  <c r="B2896" i="5"/>
  <c r="B2897" i="5"/>
  <c r="B2898" i="5"/>
  <c r="B2899" i="5"/>
  <c r="B2900" i="5"/>
  <c r="B2901" i="5"/>
  <c r="B2902" i="5"/>
  <c r="B2903" i="5"/>
  <c r="B2904" i="5"/>
  <c r="B2905" i="5"/>
  <c r="B2906" i="5"/>
  <c r="B2907" i="5"/>
  <c r="B2908" i="5"/>
  <c r="B2909" i="5"/>
  <c r="B2910" i="5"/>
  <c r="B2911" i="5"/>
  <c r="B2912" i="5"/>
  <c r="B2913" i="5"/>
  <c r="B2914" i="5"/>
  <c r="B2915" i="5"/>
  <c r="B2916" i="5"/>
  <c r="B2917" i="5"/>
  <c r="B2918" i="5"/>
  <c r="B2919" i="5"/>
  <c r="B2920" i="5"/>
  <c r="B2921" i="5"/>
  <c r="B2922" i="5"/>
  <c r="B2923" i="5"/>
  <c r="B2924" i="5"/>
  <c r="B2925" i="5"/>
  <c r="B2926" i="5"/>
  <c r="B2927" i="5"/>
  <c r="B2928" i="5"/>
  <c r="B2929" i="5"/>
  <c r="B2930" i="5"/>
  <c r="B2931" i="5"/>
  <c r="B2932" i="5"/>
  <c r="B2933" i="5"/>
  <c r="B2934" i="5"/>
  <c r="B2935" i="5"/>
  <c r="B2936" i="5"/>
  <c r="B2937" i="5"/>
  <c r="B2938" i="5"/>
  <c r="B2939" i="5"/>
  <c r="B2940" i="5"/>
  <c r="B2941" i="5"/>
  <c r="B2942" i="5"/>
  <c r="B2943" i="5"/>
  <c r="B2944" i="5"/>
  <c r="B2945" i="5"/>
  <c r="B2946" i="5"/>
  <c r="B2947" i="5"/>
  <c r="B2948" i="5"/>
  <c r="B2949" i="5"/>
  <c r="B2950" i="5"/>
  <c r="B2951" i="5"/>
  <c r="B2952" i="5"/>
  <c r="B2953" i="5"/>
  <c r="B2954" i="5"/>
  <c r="B2955" i="5"/>
  <c r="B2956" i="5"/>
  <c r="B2957" i="5"/>
  <c r="B2958" i="5"/>
  <c r="B2959" i="5"/>
  <c r="B2960" i="5"/>
  <c r="B2961" i="5"/>
  <c r="B2962" i="5"/>
  <c r="B2963" i="5"/>
  <c r="B2964" i="5"/>
  <c r="B2965" i="5"/>
  <c r="B2966" i="5"/>
  <c r="B2967" i="5"/>
  <c r="B2968" i="5"/>
  <c r="B2969" i="5"/>
  <c r="B2970" i="5"/>
  <c r="B2971" i="5"/>
  <c r="B2972" i="5"/>
  <c r="B2973" i="5"/>
  <c r="B2974" i="5"/>
  <c r="B2975" i="5"/>
  <c r="B2976" i="5"/>
  <c r="B2977" i="5"/>
  <c r="B2978" i="5"/>
  <c r="B2979" i="5"/>
  <c r="B2980" i="5"/>
  <c r="B2981" i="5"/>
  <c r="B2982" i="5"/>
  <c r="B2983" i="5"/>
  <c r="B2984" i="5"/>
  <c r="B2985" i="5"/>
  <c r="B2986" i="5"/>
  <c r="B2987" i="5"/>
  <c r="B2988" i="5"/>
  <c r="B2989" i="5"/>
  <c r="B2990" i="5"/>
  <c r="B2991" i="5"/>
  <c r="B2992" i="5"/>
  <c r="B2993" i="5"/>
  <c r="B2994" i="5"/>
  <c r="B2995" i="5"/>
  <c r="B2996" i="5"/>
  <c r="B2997" i="5"/>
  <c r="B2998" i="5"/>
  <c r="B2999" i="5"/>
  <c r="B3000" i="5"/>
  <c r="B3001" i="5"/>
  <c r="B3002" i="5"/>
  <c r="B3003" i="5"/>
  <c r="B3004" i="5"/>
  <c r="B3005" i="5"/>
  <c r="B3006" i="5"/>
  <c r="B3007" i="5"/>
  <c r="B3008" i="5"/>
  <c r="B3009" i="5"/>
  <c r="B3010" i="5"/>
  <c r="B3011" i="5"/>
  <c r="B3012" i="5"/>
  <c r="B3013" i="5"/>
  <c r="B3014" i="5"/>
  <c r="B3015" i="5"/>
  <c r="B3016" i="5"/>
  <c r="B3017" i="5"/>
  <c r="B3018" i="5"/>
  <c r="B3019" i="5"/>
  <c r="B3020" i="5"/>
  <c r="B3021" i="5"/>
  <c r="B3022" i="5"/>
  <c r="B3023" i="5"/>
  <c r="B3024" i="5"/>
  <c r="B3025" i="5"/>
  <c r="B3026" i="5"/>
  <c r="B3027" i="5"/>
  <c r="B3028" i="5"/>
  <c r="B3029" i="5"/>
  <c r="B3030" i="5"/>
  <c r="B3031" i="5"/>
  <c r="B3032" i="5"/>
  <c r="B3033" i="5"/>
  <c r="B3034" i="5"/>
  <c r="B3035" i="5"/>
  <c r="B3036" i="5"/>
  <c r="B3037" i="5"/>
  <c r="B3038" i="5"/>
  <c r="B3039" i="5"/>
  <c r="B3040" i="5"/>
  <c r="B3041" i="5"/>
  <c r="B3042" i="5"/>
  <c r="B3043" i="5"/>
  <c r="B3044" i="5"/>
  <c r="B3045" i="5"/>
  <c r="B3046" i="5"/>
  <c r="B3047" i="5"/>
  <c r="B3048" i="5"/>
  <c r="B3049" i="5"/>
  <c r="B3050" i="5"/>
  <c r="B3051" i="5"/>
  <c r="B3052" i="5"/>
  <c r="B3053" i="5"/>
  <c r="B3054" i="5"/>
  <c r="B3055" i="5"/>
  <c r="B3056" i="5"/>
  <c r="B3057" i="5"/>
  <c r="B3058" i="5"/>
  <c r="B3059" i="5"/>
  <c r="B3060" i="5"/>
  <c r="B3061" i="5"/>
  <c r="B3062" i="5"/>
  <c r="B3063" i="5"/>
  <c r="B3064" i="5"/>
  <c r="B3065" i="5"/>
  <c r="B3066" i="5"/>
  <c r="B3067" i="5"/>
  <c r="B3068" i="5"/>
  <c r="B3069" i="5"/>
  <c r="B3070" i="5"/>
  <c r="B3071" i="5"/>
  <c r="B3072" i="5"/>
  <c r="B3073" i="5"/>
  <c r="B3074" i="5"/>
  <c r="B3075" i="5"/>
  <c r="B3076" i="5"/>
  <c r="B3077" i="5"/>
  <c r="B3078" i="5"/>
  <c r="B3079" i="5"/>
  <c r="B3080" i="5"/>
  <c r="B3081" i="5"/>
  <c r="B3082" i="5"/>
  <c r="B3083" i="5"/>
  <c r="B3084" i="5"/>
  <c r="B3085" i="5"/>
  <c r="B3086" i="5"/>
  <c r="B3087" i="5"/>
  <c r="B3088" i="5"/>
  <c r="B3089" i="5"/>
  <c r="B3090" i="5"/>
  <c r="B3091" i="5"/>
  <c r="B3092" i="5"/>
  <c r="B3093" i="5"/>
  <c r="B3094" i="5"/>
  <c r="B3095" i="5"/>
  <c r="B3096" i="5"/>
  <c r="B3097" i="5"/>
  <c r="B3098" i="5"/>
  <c r="B3099" i="5"/>
  <c r="B3100" i="5"/>
  <c r="B3101" i="5"/>
  <c r="B3102" i="5"/>
  <c r="B3103" i="5"/>
  <c r="B3104" i="5"/>
  <c r="B3105" i="5"/>
  <c r="B3106" i="5"/>
  <c r="B3107" i="5"/>
  <c r="B3108" i="5"/>
  <c r="B3109" i="5"/>
  <c r="B3110" i="5"/>
  <c r="B3111" i="5"/>
  <c r="B3112" i="5"/>
  <c r="B3113" i="5"/>
  <c r="B3114" i="5"/>
  <c r="B3115" i="5"/>
  <c r="B3116" i="5"/>
  <c r="B3117" i="5"/>
  <c r="B3118" i="5"/>
  <c r="B3119" i="5"/>
  <c r="B3120" i="5"/>
  <c r="B3121" i="5"/>
  <c r="B3122" i="5"/>
  <c r="B3123" i="5"/>
  <c r="B3124" i="5"/>
  <c r="B3125" i="5"/>
  <c r="B3126" i="5"/>
  <c r="B3127" i="5"/>
  <c r="B3128" i="5"/>
  <c r="B3129" i="5"/>
  <c r="B3130" i="5"/>
  <c r="B3131" i="5"/>
  <c r="B3132" i="5"/>
  <c r="B3133" i="5"/>
  <c r="B3134" i="5"/>
  <c r="B3135" i="5"/>
  <c r="B3136" i="5"/>
  <c r="B3137" i="5"/>
  <c r="B3138" i="5"/>
  <c r="B3139" i="5"/>
  <c r="B3140" i="5"/>
  <c r="B3141" i="5"/>
  <c r="B3142" i="5"/>
  <c r="B3143" i="5"/>
  <c r="B3144" i="5"/>
  <c r="B3145" i="5"/>
  <c r="B3146" i="5"/>
  <c r="B3147" i="5"/>
  <c r="B3148" i="5"/>
  <c r="B3149" i="5"/>
  <c r="B3150" i="5"/>
  <c r="B3151" i="5"/>
  <c r="B3152" i="5"/>
  <c r="B3153" i="5"/>
  <c r="B3154" i="5"/>
  <c r="B3155" i="5"/>
  <c r="B3156" i="5"/>
  <c r="B3157" i="5"/>
  <c r="B3158" i="5"/>
  <c r="B3159" i="5"/>
  <c r="B3160" i="5"/>
  <c r="B3161" i="5"/>
  <c r="B3162" i="5"/>
  <c r="B3163" i="5"/>
  <c r="B3164" i="5"/>
  <c r="B3165" i="5"/>
  <c r="B3166" i="5"/>
  <c r="B3167" i="5"/>
  <c r="B3168" i="5"/>
  <c r="B3169" i="5"/>
  <c r="B3170" i="5"/>
  <c r="B3171" i="5"/>
  <c r="B3172" i="5"/>
  <c r="B3173" i="5"/>
  <c r="B3174" i="5"/>
  <c r="B3175" i="5"/>
  <c r="B3176" i="5"/>
  <c r="B3177" i="5"/>
  <c r="B3178" i="5"/>
  <c r="B3179" i="5"/>
  <c r="B3180" i="5"/>
  <c r="B3181" i="5"/>
  <c r="B3182" i="5"/>
  <c r="B3183" i="5"/>
  <c r="B3184" i="5"/>
  <c r="B3185" i="5"/>
  <c r="B3186" i="5"/>
  <c r="B3187" i="5"/>
  <c r="B3188" i="5"/>
  <c r="B3189" i="5"/>
  <c r="B3190" i="5"/>
  <c r="B3191" i="5"/>
  <c r="B3192" i="5"/>
  <c r="B3193" i="5"/>
  <c r="B3194" i="5"/>
  <c r="B3195" i="5"/>
  <c r="B3196" i="5"/>
  <c r="B3197" i="5"/>
  <c r="B3198" i="5"/>
  <c r="B3199" i="5"/>
  <c r="B3200" i="5"/>
  <c r="B3201" i="5"/>
  <c r="B3202" i="5"/>
  <c r="B3203" i="5"/>
  <c r="B3204" i="5"/>
  <c r="B3205" i="5"/>
  <c r="B3206" i="5"/>
  <c r="B3207" i="5"/>
  <c r="B3208" i="5"/>
  <c r="B3209" i="5"/>
  <c r="B3210" i="5"/>
  <c r="B3211" i="5"/>
  <c r="B3212" i="5"/>
  <c r="B3213" i="5"/>
  <c r="B3214" i="5"/>
  <c r="B3215" i="5"/>
  <c r="B3216" i="5"/>
  <c r="B3217" i="5"/>
  <c r="B3218" i="5"/>
  <c r="B3219" i="5"/>
  <c r="B3220" i="5"/>
  <c r="B3221" i="5"/>
  <c r="B3222" i="5"/>
  <c r="B3223" i="5"/>
  <c r="B3224" i="5"/>
  <c r="B3225" i="5"/>
  <c r="B3226" i="5"/>
  <c r="B3227" i="5"/>
  <c r="B3228" i="5"/>
  <c r="B3229" i="5"/>
  <c r="B3230" i="5"/>
  <c r="B3231" i="5"/>
  <c r="B3232" i="5"/>
  <c r="B3233" i="5"/>
  <c r="B3234" i="5"/>
  <c r="B3235" i="5"/>
  <c r="B3236" i="5"/>
  <c r="B3237" i="5"/>
  <c r="B3238" i="5"/>
  <c r="B3239" i="5"/>
  <c r="B3240" i="5"/>
  <c r="B3241" i="5"/>
  <c r="B3242" i="5"/>
  <c r="B3243" i="5"/>
  <c r="B3244" i="5"/>
  <c r="B3245" i="5"/>
  <c r="B3246" i="5"/>
  <c r="B3247" i="5"/>
  <c r="B3248" i="5"/>
  <c r="B3249" i="5"/>
  <c r="B3250" i="5"/>
  <c r="B3251" i="5"/>
  <c r="B3252" i="5"/>
  <c r="B3253" i="5"/>
  <c r="B3254" i="5"/>
  <c r="B3255" i="5"/>
  <c r="B3256" i="5"/>
  <c r="B3257" i="5"/>
  <c r="B3258" i="5"/>
  <c r="B3259" i="5"/>
  <c r="B3260" i="5"/>
  <c r="B3261" i="5"/>
  <c r="B3262" i="5"/>
  <c r="B3263" i="5"/>
  <c r="B3264" i="5"/>
  <c r="B3265" i="5"/>
  <c r="B3266" i="5"/>
  <c r="B3267" i="5"/>
  <c r="B3268" i="5"/>
  <c r="B3269" i="5"/>
  <c r="B3270" i="5"/>
  <c r="B3271" i="5"/>
  <c r="B3272" i="5"/>
  <c r="B3273" i="5"/>
  <c r="B3274" i="5"/>
  <c r="B3275" i="5"/>
  <c r="B3276" i="5"/>
  <c r="B3277" i="5"/>
  <c r="B3278" i="5"/>
  <c r="B3279" i="5"/>
  <c r="B3280" i="5"/>
  <c r="B3281" i="5"/>
  <c r="B3282" i="5"/>
  <c r="B3283" i="5"/>
  <c r="B3284" i="5"/>
  <c r="B3285" i="5"/>
  <c r="B3286" i="5"/>
  <c r="B3287" i="5"/>
  <c r="B3288" i="5"/>
  <c r="B3289" i="5"/>
  <c r="B3290" i="5"/>
  <c r="B3291" i="5"/>
  <c r="B3292" i="5"/>
  <c r="B3293" i="5"/>
  <c r="B3294" i="5"/>
  <c r="B3295" i="5"/>
  <c r="B3296" i="5"/>
  <c r="B3297" i="5"/>
  <c r="B3298" i="5"/>
  <c r="B3299" i="5"/>
  <c r="B3300" i="5"/>
  <c r="B3301" i="5"/>
  <c r="B3302" i="5"/>
  <c r="B3303" i="5"/>
  <c r="B3304" i="5"/>
  <c r="B3305" i="5"/>
  <c r="B3306" i="5"/>
  <c r="B3307" i="5"/>
  <c r="B3308" i="5"/>
  <c r="B3309" i="5"/>
  <c r="B3310" i="5"/>
  <c r="B3311" i="5"/>
  <c r="B3312" i="5"/>
  <c r="B3313" i="5"/>
  <c r="B3314" i="5"/>
  <c r="B3315" i="5"/>
  <c r="B3316" i="5"/>
  <c r="B3317" i="5"/>
  <c r="B3318" i="5"/>
  <c r="B3319" i="5"/>
  <c r="B3320" i="5"/>
  <c r="B3321" i="5"/>
  <c r="B3322" i="5"/>
  <c r="B3323" i="5"/>
  <c r="B3324" i="5"/>
  <c r="B3325" i="5"/>
  <c r="B3326" i="5"/>
  <c r="B3327" i="5"/>
  <c r="B3328" i="5"/>
  <c r="B3329" i="5"/>
  <c r="B3330" i="5"/>
  <c r="B3331" i="5"/>
  <c r="B3332" i="5"/>
  <c r="B3333" i="5"/>
  <c r="B3334" i="5"/>
  <c r="B3335" i="5"/>
  <c r="B3336" i="5"/>
  <c r="B3337" i="5"/>
  <c r="B3338" i="5"/>
  <c r="B3339" i="5"/>
  <c r="B3340" i="5"/>
  <c r="B3341" i="5"/>
  <c r="B3342" i="5"/>
  <c r="B3343" i="5"/>
  <c r="B3344" i="5"/>
  <c r="B3345" i="5"/>
  <c r="B3346" i="5"/>
  <c r="B3347" i="5"/>
  <c r="B3348" i="5"/>
  <c r="B3349" i="5"/>
  <c r="B3350" i="5"/>
  <c r="B3351" i="5"/>
  <c r="B3352" i="5"/>
  <c r="B3353" i="5"/>
  <c r="B3354" i="5"/>
  <c r="B3355" i="5"/>
  <c r="B3356" i="5"/>
  <c r="B3357" i="5"/>
  <c r="B3358" i="5"/>
  <c r="B3359" i="5"/>
  <c r="B3360" i="5"/>
  <c r="B3361" i="5"/>
  <c r="B3362" i="5"/>
  <c r="B3363" i="5"/>
  <c r="B3364" i="5"/>
  <c r="B3365" i="5"/>
  <c r="B3366" i="5"/>
  <c r="B3367" i="5"/>
  <c r="B3368" i="5"/>
  <c r="B3369" i="5"/>
  <c r="B3370" i="5"/>
  <c r="B3371" i="5"/>
  <c r="B3372" i="5"/>
  <c r="B3373" i="5"/>
  <c r="B3374" i="5"/>
  <c r="B3375" i="5"/>
  <c r="B3376" i="5"/>
  <c r="B3377" i="5"/>
  <c r="B3378" i="5"/>
  <c r="B3379" i="5"/>
  <c r="B3380" i="5"/>
  <c r="B3381" i="5"/>
  <c r="B3382" i="5"/>
  <c r="B3383" i="5"/>
  <c r="B3384" i="5"/>
  <c r="B3385" i="5"/>
  <c r="B3386" i="5"/>
  <c r="B3387" i="5"/>
  <c r="B3388" i="5"/>
  <c r="B3389" i="5"/>
  <c r="B3390" i="5"/>
  <c r="B3391" i="5"/>
  <c r="B3392" i="5"/>
  <c r="B3393" i="5"/>
  <c r="B3394" i="5"/>
  <c r="B3395" i="5"/>
  <c r="B3396" i="5"/>
  <c r="B3397" i="5"/>
  <c r="B3398" i="5"/>
  <c r="B3399" i="5"/>
  <c r="B3400" i="5"/>
  <c r="B3401" i="5"/>
  <c r="B3402" i="5"/>
  <c r="B3403" i="5"/>
  <c r="B3404" i="5"/>
  <c r="B3405" i="5"/>
  <c r="B3406" i="5"/>
  <c r="B3407" i="5"/>
  <c r="B3408" i="5"/>
  <c r="B3409" i="5"/>
  <c r="B3410" i="5"/>
  <c r="B3411" i="5"/>
  <c r="B3412" i="5"/>
  <c r="B3413" i="5"/>
  <c r="B3414" i="5"/>
  <c r="B3415" i="5"/>
  <c r="B3416" i="5"/>
  <c r="B3417" i="5"/>
  <c r="B3418" i="5"/>
  <c r="B3419" i="5"/>
  <c r="B3420" i="5"/>
  <c r="B3421" i="5"/>
  <c r="B3422" i="5"/>
  <c r="B3423" i="5"/>
  <c r="B3424" i="5"/>
  <c r="B3425" i="5"/>
  <c r="B3426" i="5"/>
  <c r="B3427" i="5"/>
  <c r="B3428" i="5"/>
  <c r="B3429" i="5"/>
  <c r="B3430" i="5"/>
  <c r="B3431" i="5"/>
  <c r="B3432" i="5"/>
  <c r="B3433" i="5"/>
  <c r="B3434" i="5"/>
  <c r="B3435" i="5"/>
  <c r="B3436" i="5"/>
  <c r="B3437" i="5"/>
  <c r="B3438" i="5"/>
  <c r="B3439" i="5"/>
  <c r="B3440" i="5"/>
  <c r="B3441" i="5"/>
  <c r="B3442" i="5"/>
  <c r="B3443" i="5"/>
  <c r="B3444" i="5"/>
  <c r="B3445" i="5"/>
  <c r="B3446" i="5"/>
  <c r="B3447" i="5"/>
  <c r="B3448" i="5"/>
  <c r="B3449" i="5"/>
  <c r="B3450" i="5"/>
  <c r="B3451" i="5"/>
  <c r="B3452" i="5"/>
  <c r="B3453" i="5"/>
  <c r="B3454" i="5"/>
  <c r="B3455" i="5"/>
  <c r="B3456" i="5"/>
  <c r="B3457" i="5"/>
  <c r="B3458" i="5"/>
  <c r="B3459" i="5"/>
  <c r="B3460" i="5"/>
  <c r="B3461" i="5"/>
  <c r="B3462" i="5"/>
  <c r="B3463" i="5"/>
  <c r="B3464" i="5"/>
  <c r="B3465" i="5"/>
  <c r="B3466" i="5"/>
  <c r="B3467" i="5"/>
  <c r="B3468" i="5"/>
  <c r="B3469" i="5"/>
  <c r="B3470" i="5"/>
  <c r="B3471" i="5"/>
  <c r="B3472" i="5"/>
  <c r="B3473" i="5"/>
  <c r="B3474" i="5"/>
  <c r="B3475" i="5"/>
  <c r="B3476" i="5"/>
  <c r="B3477" i="5"/>
  <c r="B3478" i="5"/>
  <c r="B3479" i="5"/>
  <c r="B3480" i="5"/>
  <c r="B3481" i="5"/>
  <c r="B3482" i="5"/>
  <c r="B3483" i="5"/>
  <c r="B3484" i="5"/>
  <c r="B3485" i="5"/>
  <c r="B3486" i="5"/>
  <c r="B3487" i="5"/>
  <c r="B3488" i="5"/>
  <c r="B3489" i="5"/>
  <c r="B3490" i="5"/>
  <c r="B3491" i="5"/>
  <c r="B3492" i="5"/>
  <c r="B3493" i="5"/>
  <c r="B3494" i="5"/>
  <c r="B3495" i="5"/>
  <c r="B3496" i="5"/>
  <c r="B3497" i="5"/>
  <c r="B3498" i="5"/>
  <c r="B3499" i="5"/>
  <c r="B3500" i="5"/>
  <c r="B3501" i="5"/>
  <c r="B3502" i="5"/>
  <c r="B3503" i="5"/>
  <c r="B3504" i="5"/>
  <c r="B3505" i="5"/>
  <c r="B3506" i="5"/>
  <c r="B3507" i="5"/>
  <c r="B3508" i="5"/>
  <c r="B3509" i="5"/>
  <c r="B3510" i="5"/>
  <c r="B3511" i="5"/>
  <c r="B3512" i="5"/>
  <c r="B3513" i="5"/>
  <c r="B3514" i="5"/>
  <c r="B3515" i="5"/>
  <c r="B3516" i="5"/>
  <c r="B3517" i="5"/>
  <c r="B3518" i="5"/>
  <c r="B3519" i="5"/>
  <c r="B3520" i="5"/>
  <c r="B3521" i="5"/>
  <c r="B3522" i="5"/>
  <c r="B3523" i="5"/>
  <c r="B3524" i="5"/>
  <c r="B3525" i="5"/>
  <c r="B3526" i="5"/>
  <c r="B3527" i="5"/>
  <c r="B3528" i="5"/>
  <c r="B3529" i="5"/>
  <c r="B3530" i="5"/>
  <c r="B3531" i="5"/>
  <c r="B3532" i="5"/>
  <c r="B3533" i="5"/>
  <c r="B3534" i="5"/>
  <c r="B3535" i="5"/>
  <c r="B3536" i="5"/>
  <c r="B3537" i="5"/>
  <c r="B3538" i="5"/>
  <c r="B3539" i="5"/>
  <c r="B3540" i="5"/>
  <c r="B3541" i="5"/>
  <c r="B3542" i="5"/>
  <c r="B3543" i="5"/>
  <c r="B3544" i="5"/>
  <c r="B3545" i="5"/>
  <c r="B3546" i="5"/>
  <c r="B3547" i="5"/>
  <c r="B3548" i="5"/>
  <c r="B3549" i="5"/>
  <c r="B3550" i="5"/>
  <c r="B3551" i="5"/>
  <c r="B3552" i="5"/>
  <c r="B3553" i="5"/>
  <c r="B3554" i="5"/>
  <c r="B3555" i="5"/>
  <c r="B3556" i="5"/>
  <c r="B3557" i="5"/>
  <c r="B3558" i="5"/>
  <c r="B3559" i="5"/>
  <c r="B3560" i="5"/>
  <c r="B3561" i="5"/>
  <c r="B3562" i="5"/>
  <c r="B3563" i="5"/>
  <c r="B3564" i="5"/>
  <c r="B3565" i="5"/>
  <c r="B3566" i="5"/>
  <c r="B3567" i="5"/>
  <c r="B3568" i="5"/>
  <c r="B3569" i="5"/>
  <c r="B3570" i="5"/>
  <c r="B3571" i="5"/>
  <c r="B3572" i="5"/>
  <c r="B3573" i="5"/>
  <c r="B3574" i="5"/>
  <c r="B3575" i="5"/>
  <c r="B3576" i="5"/>
  <c r="B3577" i="5"/>
  <c r="B3578" i="5"/>
  <c r="B3579" i="5"/>
  <c r="B3580" i="5"/>
  <c r="B3581" i="5"/>
  <c r="B3582" i="5"/>
  <c r="B3583" i="5"/>
  <c r="B3584" i="5"/>
  <c r="B3585" i="5"/>
  <c r="B3586" i="5"/>
  <c r="B3587" i="5"/>
  <c r="B3588" i="5"/>
  <c r="B3589" i="5"/>
  <c r="B3590" i="5"/>
  <c r="B3591" i="5"/>
  <c r="B3592" i="5"/>
  <c r="B3593" i="5"/>
  <c r="B3594" i="5"/>
  <c r="B3595" i="5"/>
  <c r="B3596" i="5"/>
  <c r="B3597" i="5"/>
  <c r="B3598" i="5"/>
  <c r="B3599" i="5"/>
  <c r="B3600" i="5"/>
  <c r="B3601" i="5"/>
  <c r="B3602" i="5"/>
  <c r="B3603" i="5"/>
  <c r="B3604" i="5"/>
  <c r="B3605" i="5"/>
  <c r="B3606" i="5"/>
  <c r="B3607" i="5"/>
  <c r="B3608" i="5"/>
  <c r="B3609" i="5"/>
  <c r="B3610" i="5"/>
  <c r="B3611" i="5"/>
  <c r="B3612" i="5"/>
  <c r="B3613" i="5"/>
  <c r="B3614" i="5"/>
  <c r="B3615" i="5"/>
  <c r="B3616" i="5"/>
  <c r="B3617" i="5"/>
  <c r="B3618" i="5"/>
  <c r="B3619" i="5"/>
  <c r="B3620" i="5"/>
  <c r="B3621" i="5"/>
  <c r="B3622" i="5"/>
  <c r="B3623" i="5"/>
  <c r="B3624" i="5"/>
  <c r="B3625" i="5"/>
  <c r="B3626" i="5"/>
  <c r="B3627" i="5"/>
  <c r="B3628" i="5"/>
  <c r="B3629" i="5"/>
  <c r="B3630" i="5"/>
  <c r="B3631" i="5"/>
  <c r="B3632" i="5"/>
  <c r="B3633" i="5"/>
  <c r="B3634" i="5"/>
  <c r="B3635" i="5"/>
  <c r="B3636" i="5"/>
  <c r="B3637" i="5"/>
  <c r="B3638" i="5"/>
  <c r="B3639" i="5"/>
  <c r="B3640" i="5"/>
  <c r="B3641" i="5"/>
  <c r="B3642" i="5"/>
  <c r="B3643" i="5"/>
  <c r="B3644" i="5"/>
  <c r="B3645" i="5"/>
  <c r="B3646" i="5"/>
  <c r="B3647" i="5"/>
  <c r="B3648" i="5"/>
  <c r="B3649" i="5"/>
  <c r="B3650" i="5"/>
  <c r="B3651" i="5"/>
  <c r="B3652" i="5"/>
  <c r="B3653" i="5"/>
  <c r="B3654" i="5"/>
  <c r="B3655" i="5"/>
  <c r="B3656" i="5"/>
  <c r="B3657" i="5"/>
  <c r="B3658" i="5"/>
  <c r="B3659" i="5"/>
  <c r="B3660" i="5"/>
  <c r="B3661" i="5"/>
  <c r="B3662" i="5"/>
  <c r="B3663" i="5"/>
  <c r="B3664" i="5"/>
  <c r="B3665" i="5"/>
  <c r="B3666" i="5"/>
  <c r="B3667" i="5"/>
  <c r="B3668" i="5"/>
  <c r="B3669" i="5"/>
  <c r="B3670" i="5"/>
  <c r="B3671" i="5"/>
  <c r="B3672" i="5"/>
  <c r="B3673" i="5"/>
  <c r="B3674" i="5"/>
  <c r="B3675" i="5"/>
  <c r="B3676" i="5"/>
  <c r="B3677" i="5"/>
  <c r="B3678" i="5"/>
  <c r="B3679" i="5"/>
  <c r="B3680" i="5"/>
  <c r="B3681" i="5"/>
  <c r="B3682" i="5"/>
  <c r="B3683" i="5"/>
  <c r="B3684" i="5"/>
  <c r="B3685" i="5"/>
  <c r="B3686" i="5"/>
  <c r="B3687" i="5"/>
  <c r="B3688" i="5"/>
  <c r="B3689" i="5"/>
  <c r="B3690" i="5"/>
  <c r="B3691" i="5"/>
  <c r="B3692" i="5"/>
  <c r="B3693" i="5"/>
  <c r="B3694" i="5"/>
  <c r="B3695" i="5"/>
  <c r="B3696" i="5"/>
  <c r="B3697" i="5"/>
  <c r="B3698" i="5"/>
  <c r="B3699" i="5"/>
  <c r="B3700" i="5"/>
  <c r="B3701" i="5"/>
  <c r="B3702" i="5"/>
  <c r="B3703" i="5"/>
  <c r="B3704" i="5"/>
  <c r="B3705" i="5"/>
  <c r="B3706" i="5"/>
  <c r="B3707" i="5"/>
  <c r="B3708" i="5"/>
  <c r="B3709" i="5"/>
  <c r="B3710" i="5"/>
  <c r="B3711" i="5"/>
  <c r="B3712" i="5"/>
  <c r="B3713" i="5"/>
  <c r="B3714" i="5"/>
  <c r="B3715" i="5"/>
  <c r="B3716" i="5"/>
  <c r="B3717" i="5"/>
  <c r="B3718" i="5"/>
  <c r="B3719" i="5"/>
  <c r="B3720" i="5"/>
  <c r="B3721" i="5"/>
  <c r="B3722" i="5"/>
  <c r="B3723" i="5"/>
  <c r="B3724" i="5"/>
  <c r="B3725" i="5"/>
  <c r="B3726" i="5"/>
  <c r="B3727" i="5"/>
  <c r="B3728" i="5"/>
  <c r="B3729" i="5"/>
  <c r="B3730" i="5"/>
  <c r="B3731" i="5"/>
  <c r="B3732" i="5"/>
  <c r="B3733" i="5"/>
  <c r="B3734" i="5"/>
  <c r="B3735" i="5"/>
  <c r="B3736" i="5"/>
  <c r="B3737" i="5"/>
  <c r="B3738" i="5"/>
  <c r="B3739" i="5"/>
  <c r="B3740" i="5"/>
  <c r="B3741" i="5"/>
  <c r="B3742" i="5"/>
  <c r="B3743" i="5"/>
  <c r="B3744" i="5"/>
  <c r="B3745" i="5"/>
  <c r="B2" i="5"/>
  <c r="A1772" i="5" l="1"/>
  <c r="A3710" i="5"/>
  <c r="A3642" i="5"/>
  <c r="A3474" i="5"/>
  <c r="A3584" i="5"/>
  <c r="A2561" i="5"/>
  <c r="A3698" i="5"/>
  <c r="A3654" i="5"/>
  <c r="A3323" i="5"/>
  <c r="A3011" i="5"/>
  <c r="A3730" i="5"/>
  <c r="A3556" i="5"/>
  <c r="A3283" i="5"/>
  <c r="A2957" i="5"/>
  <c r="A3733" i="5"/>
  <c r="A2225" i="5"/>
  <c r="A3669" i="5"/>
  <c r="A3171" i="5"/>
  <c r="A3622" i="5"/>
  <c r="A2657" i="5"/>
  <c r="A3685" i="5"/>
  <c r="A2737" i="5"/>
  <c r="A3435" i="5"/>
  <c r="A3131" i="5"/>
  <c r="A2064" i="5"/>
  <c r="A3535" i="5"/>
  <c r="A3403" i="5"/>
  <c r="A3243" i="5"/>
  <c r="A3091" i="5"/>
  <c r="A3742" i="5"/>
  <c r="A3738" i="5"/>
  <c r="A3722" i="5"/>
  <c r="A3718" i="5"/>
  <c r="A3706" i="5"/>
  <c r="A3694" i="5"/>
  <c r="A3690" i="5"/>
  <c r="A3686" i="5"/>
  <c r="A3678" i="5"/>
  <c r="A3674" i="5"/>
  <c r="A3666" i="5"/>
  <c r="A3662" i="5"/>
  <c r="A3658" i="5"/>
  <c r="A3646" i="5"/>
  <c r="A3606" i="5"/>
  <c r="A3594" i="5"/>
  <c r="A3590" i="5"/>
  <c r="A3578" i="5"/>
  <c r="A3526" i="5"/>
  <c r="A3514" i="5"/>
  <c r="A3490" i="5"/>
  <c r="A3458" i="5"/>
  <c r="A3410" i="5"/>
  <c r="A3346" i="5"/>
  <c r="A3330" i="5"/>
  <c r="A3298" i="5"/>
  <c r="A3266" i="5"/>
  <c r="A3234" i="5"/>
  <c r="A3218" i="5"/>
  <c r="A3202" i="5"/>
  <c r="A3154" i="5"/>
  <c r="A3106" i="5"/>
  <c r="A3090" i="5"/>
  <c r="A3074" i="5"/>
  <c r="A3042" i="5"/>
  <c r="A3026" i="5"/>
  <c r="A2994" i="5"/>
  <c r="A1126" i="5"/>
  <c r="A3701" i="5"/>
  <c r="A3645" i="5"/>
  <c r="A2969" i="5"/>
  <c r="A2897" i="5"/>
  <c r="A2785" i="5"/>
  <c r="A2481" i="5"/>
  <c r="A2401" i="5"/>
  <c r="A2289" i="5"/>
  <c r="A2273" i="5"/>
  <c r="A2161" i="5"/>
  <c r="A2001" i="5"/>
  <c r="A1953" i="5"/>
  <c r="A1297" i="5"/>
  <c r="A2864" i="5"/>
  <c r="A2448" i="5"/>
  <c r="A1936" i="5"/>
  <c r="A3717" i="5"/>
  <c r="A3677" i="5"/>
  <c r="A2801" i="5"/>
  <c r="A2721" i="5"/>
  <c r="A2673" i="5"/>
  <c r="A3604" i="5"/>
  <c r="A3510" i="5"/>
  <c r="A3362" i="5"/>
  <c r="A3211" i="5"/>
  <c r="A3059" i="5"/>
  <c r="A2352" i="5"/>
  <c r="A1747" i="5"/>
  <c r="A3615" i="5"/>
  <c r="A3547" i="5"/>
  <c r="A3491" i="5"/>
  <c r="A3636" i="5"/>
  <c r="A3600" i="5"/>
  <c r="A3467" i="5"/>
  <c r="A3387" i="5"/>
  <c r="A3315" i="5"/>
  <c r="A3235" i="5"/>
  <c r="A3155" i="5"/>
  <c r="A3043" i="5"/>
  <c r="A2832" i="5"/>
  <c r="A2736" i="5"/>
  <c r="A2513" i="5"/>
  <c r="A2337" i="5"/>
  <c r="A3745" i="5"/>
  <c r="A3737" i="5"/>
  <c r="A3725" i="5"/>
  <c r="A3689" i="5"/>
  <c r="A3673" i="5"/>
  <c r="A3661" i="5"/>
  <c r="A3641" i="5"/>
  <c r="A3632" i="5"/>
  <c r="A3568" i="5"/>
  <c r="A3520" i="5"/>
  <c r="A3411" i="5"/>
  <c r="A3379" i="5"/>
  <c r="A3299" i="5"/>
  <c r="A3187" i="5"/>
  <c r="A3115" i="5"/>
  <c r="A2608" i="5"/>
  <c r="A2512" i="5"/>
  <c r="A1840" i="5"/>
  <c r="A3709" i="5"/>
  <c r="A3653" i="5"/>
  <c r="A3616" i="5"/>
  <c r="A3552" i="5"/>
  <c r="A3499" i="5"/>
  <c r="A3427" i="5"/>
  <c r="A3347" i="5"/>
  <c r="A3275" i="5"/>
  <c r="A3123" i="5"/>
  <c r="A2995" i="5"/>
  <c r="A2945" i="5"/>
  <c r="A2640" i="5"/>
  <c r="A2433" i="5"/>
  <c r="A2177" i="5"/>
  <c r="A2049" i="5"/>
  <c r="A1889" i="5"/>
  <c r="A1581" i="5"/>
  <c r="A3741" i="5"/>
  <c r="A3729" i="5"/>
  <c r="A3721" i="5"/>
  <c r="A3713" i="5"/>
  <c r="A3705" i="5"/>
  <c r="A3697" i="5"/>
  <c r="A3693" i="5"/>
  <c r="A3681" i="5"/>
  <c r="A3665" i="5"/>
  <c r="A3657" i="5"/>
  <c r="A3649" i="5"/>
  <c r="A3627" i="5"/>
  <c r="A3567" i="5"/>
  <c r="A3536" i="5"/>
  <c r="A3443" i="5"/>
  <c r="A3371" i="5"/>
  <c r="A3259" i="5"/>
  <c r="A3179" i="5"/>
  <c r="A3147" i="5"/>
  <c r="A3067" i="5"/>
  <c r="A2896" i="5"/>
  <c r="A2576" i="5"/>
  <c r="A2384" i="5"/>
  <c r="A2128" i="5"/>
  <c r="A3726" i="5"/>
  <c r="A462" i="5"/>
  <c r="A766" i="5"/>
  <c r="A1586" i="5"/>
  <c r="A2979" i="5"/>
  <c r="A3019" i="5"/>
  <c r="A3051" i="5"/>
  <c r="A3083" i="5"/>
  <c r="A3107" i="5"/>
  <c r="A3138" i="5"/>
  <c r="A3170" i="5"/>
  <c r="A3195" i="5"/>
  <c r="A3219" i="5"/>
  <c r="A3251" i="5"/>
  <c r="A3282" i="5"/>
  <c r="A3307" i="5"/>
  <c r="A3339" i="5"/>
  <c r="A3363" i="5"/>
  <c r="A3394" i="5"/>
  <c r="A3426" i="5"/>
  <c r="A3451" i="5"/>
  <c r="A3475" i="5"/>
  <c r="A3542" i="5"/>
  <c r="A3563" i="5"/>
  <c r="A3579" i="5"/>
  <c r="A3595" i="5"/>
  <c r="A3611" i="5"/>
  <c r="A3626" i="5"/>
  <c r="A3638" i="5"/>
  <c r="A3650" i="5"/>
  <c r="A3670" i="5"/>
  <c r="A2" i="5"/>
  <c r="A3734" i="5"/>
  <c r="A3714" i="5"/>
  <c r="A3702" i="5"/>
  <c r="A3682" i="5"/>
  <c r="A2929" i="5"/>
  <c r="A2913" i="5"/>
  <c r="A2865" i="5"/>
  <c r="A2849" i="5"/>
  <c r="A2817" i="5"/>
  <c r="A2769" i="5"/>
  <c r="A2689" i="5"/>
  <c r="A2641" i="5"/>
  <c r="A2609" i="5"/>
  <c r="A2593" i="5"/>
  <c r="A2545" i="5"/>
  <c r="A2529" i="5"/>
  <c r="A2465" i="5"/>
  <c r="A2417" i="5"/>
  <c r="A2385" i="5"/>
  <c r="A2353" i="5"/>
  <c r="A2305" i="5"/>
  <c r="A2129" i="5"/>
  <c r="A2097" i="5"/>
  <c r="A2081" i="5"/>
  <c r="A2017" i="5"/>
  <c r="A1905" i="5"/>
  <c r="A1873" i="5"/>
  <c r="A1841" i="5"/>
  <c r="A1793" i="5"/>
  <c r="A781" i="5"/>
  <c r="A3524" i="5"/>
  <c r="A3504" i="5"/>
  <c r="A2320" i="5"/>
  <c r="A2224" i="5"/>
  <c r="A2000" i="5"/>
  <c r="A3631" i="5"/>
  <c r="A3599" i="5"/>
  <c r="A1825" i="5"/>
  <c r="A3531" i="5"/>
  <c r="A3515" i="5"/>
  <c r="A3503" i="5"/>
  <c r="A3483" i="5"/>
  <c r="A3459" i="5"/>
  <c r="A3419" i="5"/>
  <c r="A3395" i="5"/>
  <c r="A3355" i="5"/>
  <c r="A3331" i="5"/>
  <c r="A3291" i="5"/>
  <c r="A3227" i="5"/>
  <c r="A3314" i="5"/>
  <c r="A3250" i="5"/>
  <c r="A3186" i="5"/>
  <c r="A3122" i="5"/>
  <c r="A3058" i="5"/>
  <c r="A2978" i="5"/>
  <c r="A1718" i="5"/>
  <c r="A1410" i="5"/>
  <c r="A3610" i="5"/>
  <c r="A3574" i="5"/>
  <c r="A3558" i="5"/>
  <c r="A3546" i="5"/>
  <c r="A3442" i="5"/>
  <c r="A3378" i="5"/>
  <c r="A956" i="5"/>
  <c r="A1501" i="5"/>
  <c r="A1808" i="5"/>
  <c r="A1872" i="5"/>
  <c r="A1921" i="5"/>
  <c r="A1969" i="5"/>
  <c r="A2033" i="5"/>
  <c r="A2096" i="5"/>
  <c r="A2145" i="5"/>
  <c r="A2209" i="5"/>
  <c r="A2257" i="5"/>
  <c r="A3267" i="5"/>
  <c r="A3203" i="5"/>
  <c r="A3163" i="5"/>
  <c r="A3139" i="5"/>
  <c r="A3099" i="5"/>
  <c r="A3075" i="5"/>
  <c r="A3035" i="5"/>
  <c r="A3003" i="5"/>
  <c r="A1716" i="5"/>
  <c r="A3620" i="5"/>
  <c r="A3588" i="5"/>
  <c r="A2768" i="5"/>
  <c r="A2704" i="5"/>
  <c r="A2480" i="5"/>
  <c r="A2256" i="5"/>
  <c r="A2192" i="5"/>
  <c r="A1968" i="5"/>
  <c r="A3027" i="5"/>
  <c r="A3010" i="5"/>
  <c r="A2987" i="5"/>
  <c r="A2958" i="5"/>
  <c r="A2928" i="5"/>
  <c r="A2881" i="5"/>
  <c r="A2833" i="5"/>
  <c r="A2800" i="5"/>
  <c r="A2753" i="5"/>
  <c r="A2705" i="5"/>
  <c r="A2672" i="5"/>
  <c r="A2625" i="5"/>
  <c r="A2577" i="5"/>
  <c r="A2544" i="5"/>
  <c r="A2497" i="5"/>
  <c r="A2449" i="5"/>
  <c r="A2416" i="5"/>
  <c r="A2369" i="5"/>
  <c r="A2321" i="5"/>
  <c r="A2288" i="5"/>
  <c r="A2241" i="5"/>
  <c r="A2193" i="5"/>
  <c r="A2160" i="5"/>
  <c r="A2113" i="5"/>
  <c r="A2065" i="5"/>
  <c r="A2032" i="5"/>
  <c r="A1985" i="5"/>
  <c r="A1937" i="5"/>
  <c r="A1904" i="5"/>
  <c r="A1857" i="5"/>
  <c r="A1809" i="5"/>
  <c r="A1771" i="5"/>
  <c r="A1670" i="5"/>
  <c r="A1416" i="5"/>
  <c r="A1116" i="5"/>
  <c r="A435" i="5"/>
  <c r="A945" i="5"/>
  <c r="A1286" i="5"/>
  <c r="A1496" i="5"/>
  <c r="A1666" i="5"/>
  <c r="A1744" i="5"/>
  <c r="A1792" i="5"/>
  <c r="A1824" i="5"/>
  <c r="A1856" i="5"/>
  <c r="A1888" i="5"/>
  <c r="A1920" i="5"/>
  <c r="A1952" i="5"/>
  <c r="A1984" i="5"/>
  <c r="A2016" i="5"/>
  <c r="A2048" i="5"/>
  <c r="A2080" i="5"/>
  <c r="A2112" i="5"/>
  <c r="A2144" i="5"/>
  <c r="A2176" i="5"/>
  <c r="A2208" i="5"/>
  <c r="A2240" i="5"/>
  <c r="A2272" i="5"/>
  <c r="A2304" i="5"/>
  <c r="A2336" i="5"/>
  <c r="A2368" i="5"/>
  <c r="A2400" i="5"/>
  <c r="A2432" i="5"/>
  <c r="A2464" i="5"/>
  <c r="A2496" i="5"/>
  <c r="A2528" i="5"/>
  <c r="A2560" i="5"/>
  <c r="A2592" i="5"/>
  <c r="A2624" i="5"/>
  <c r="A2656" i="5"/>
  <c r="A2688" i="5"/>
  <c r="A2720" i="5"/>
  <c r="A2752" i="5"/>
  <c r="A2784" i="5"/>
  <c r="A2816" i="5"/>
  <c r="A2848" i="5"/>
  <c r="A2880" i="5"/>
  <c r="A2912" i="5"/>
  <c r="A2944" i="5"/>
  <c r="A2968" i="5"/>
  <c r="A2986" i="5"/>
  <c r="A3002" i="5"/>
  <c r="A3018" i="5"/>
  <c r="A3034" i="5"/>
  <c r="A3050" i="5"/>
  <c r="A3066" i="5"/>
  <c r="A3082" i="5"/>
  <c r="A3098" i="5"/>
  <c r="A3114" i="5"/>
  <c r="A3130" i="5"/>
  <c r="A3146" i="5"/>
  <c r="A3162" i="5"/>
  <c r="A3178" i="5"/>
  <c r="A3194" i="5"/>
  <c r="A3210" i="5"/>
  <c r="A3226" i="5"/>
  <c r="A3242" i="5"/>
  <c r="A3258" i="5"/>
  <c r="A3274" i="5"/>
  <c r="A3290" i="5"/>
  <c r="A3306" i="5"/>
  <c r="A3322" i="5"/>
  <c r="A3338" i="5"/>
  <c r="A3354" i="5"/>
  <c r="A3370" i="5"/>
  <c r="A3386" i="5"/>
  <c r="A3402" i="5"/>
  <c r="A3418" i="5"/>
  <c r="A3434" i="5"/>
  <c r="A3450" i="5"/>
  <c r="A3466" i="5"/>
  <c r="A3482" i="5"/>
  <c r="A3498" i="5"/>
  <c r="A3508" i="5"/>
  <c r="A3519" i="5"/>
  <c r="A3530" i="5"/>
  <c r="A3540" i="5"/>
  <c r="A3551" i="5"/>
  <c r="A3562" i="5"/>
  <c r="A3572" i="5"/>
  <c r="A3583" i="5"/>
  <c r="A3" i="5"/>
  <c r="A7" i="5"/>
  <c r="A11" i="5"/>
  <c r="A15" i="5"/>
  <c r="A19" i="5"/>
  <c r="A23" i="5"/>
  <c r="A27" i="5"/>
  <c r="A31" i="5"/>
  <c r="A35" i="5"/>
  <c r="A39" i="5"/>
  <c r="A43" i="5"/>
  <c r="A47" i="5"/>
  <c r="A51" i="5"/>
  <c r="A55" i="5"/>
  <c r="A59" i="5"/>
  <c r="A63" i="5"/>
  <c r="A67" i="5"/>
  <c r="A71" i="5"/>
  <c r="A75" i="5"/>
  <c r="A79" i="5"/>
  <c r="A83" i="5"/>
  <c r="A87" i="5"/>
  <c r="A91" i="5"/>
  <c r="A95" i="5"/>
  <c r="A99" i="5"/>
  <c r="A103" i="5"/>
  <c r="A107" i="5"/>
  <c r="A111" i="5"/>
  <c r="A115" i="5"/>
  <c r="A119" i="5"/>
  <c r="A123" i="5"/>
  <c r="A127" i="5"/>
  <c r="A131" i="5"/>
  <c r="A135" i="5"/>
  <c r="A139" i="5"/>
  <c r="A143" i="5"/>
  <c r="A147" i="5"/>
  <c r="A151" i="5"/>
  <c r="A155" i="5"/>
  <c r="A159" i="5"/>
  <c r="A163" i="5"/>
  <c r="A167" i="5"/>
  <c r="A171" i="5"/>
  <c r="A175" i="5"/>
  <c r="A179" i="5"/>
  <c r="A183" i="5"/>
  <c r="A187" i="5"/>
  <c r="A191" i="5"/>
  <c r="A195" i="5"/>
  <c r="A199" i="5"/>
  <c r="A203" i="5"/>
  <c r="A207" i="5"/>
  <c r="A211" i="5"/>
  <c r="A215" i="5"/>
  <c r="A219" i="5"/>
  <c r="A223" i="5"/>
  <c r="A227" i="5"/>
  <c r="A231" i="5"/>
  <c r="A235" i="5"/>
  <c r="A239" i="5"/>
  <c r="A243" i="5"/>
  <c r="A247" i="5"/>
  <c r="A251" i="5"/>
  <c r="A255" i="5"/>
  <c r="A259" i="5"/>
  <c r="A263" i="5"/>
  <c r="A267" i="5"/>
  <c r="A271" i="5"/>
  <c r="A275" i="5"/>
  <c r="A279" i="5"/>
  <c r="A283" i="5"/>
  <c r="A287" i="5"/>
  <c r="A291" i="5"/>
  <c r="A295" i="5"/>
  <c r="A299" i="5"/>
  <c r="A303" i="5"/>
  <c r="A307" i="5"/>
  <c r="A311" i="5"/>
  <c r="A315" i="5"/>
  <c r="A319" i="5"/>
  <c r="A323" i="5"/>
  <c r="A327" i="5"/>
  <c r="A331" i="5"/>
  <c r="A335" i="5"/>
  <c r="A339" i="5"/>
  <c r="A4" i="5"/>
  <c r="A9" i="5"/>
  <c r="A14" i="5"/>
  <c r="A20" i="5"/>
  <c r="A25" i="5"/>
  <c r="A30" i="5"/>
  <c r="A36" i="5"/>
  <c r="A41" i="5"/>
  <c r="A46" i="5"/>
  <c r="A52" i="5"/>
  <c r="A57" i="5"/>
  <c r="A62" i="5"/>
  <c r="A68" i="5"/>
  <c r="A73" i="5"/>
  <c r="A78" i="5"/>
  <c r="A84" i="5"/>
  <c r="A89" i="5"/>
  <c r="A94" i="5"/>
  <c r="A100" i="5"/>
  <c r="A105" i="5"/>
  <c r="A110" i="5"/>
  <c r="A116" i="5"/>
  <c r="A121" i="5"/>
  <c r="A126" i="5"/>
  <c r="A132" i="5"/>
  <c r="A137" i="5"/>
  <c r="A142" i="5"/>
  <c r="A148" i="5"/>
  <c r="A153" i="5"/>
  <c r="A158" i="5"/>
  <c r="A164" i="5"/>
  <c r="A169" i="5"/>
  <c r="A174" i="5"/>
  <c r="A180" i="5"/>
  <c r="A185" i="5"/>
  <c r="A190" i="5"/>
  <c r="A196" i="5"/>
  <c r="A201" i="5"/>
  <c r="A206" i="5"/>
  <c r="A212" i="5"/>
  <c r="A217" i="5"/>
  <c r="A222" i="5"/>
  <c r="A228" i="5"/>
  <c r="A233" i="5"/>
  <c r="A238" i="5"/>
  <c r="A244" i="5"/>
  <c r="A249" i="5"/>
  <c r="A254" i="5"/>
  <c r="A260" i="5"/>
  <c r="A265" i="5"/>
  <c r="A270" i="5"/>
  <c r="A276" i="5"/>
  <c r="A281" i="5"/>
  <c r="A286" i="5"/>
  <c r="A292" i="5"/>
  <c r="A297" i="5"/>
  <c r="A302" i="5"/>
  <c r="A308" i="5"/>
  <c r="A313" i="5"/>
  <c r="A318" i="5"/>
  <c r="A324" i="5"/>
  <c r="A329" i="5"/>
  <c r="A334" i="5"/>
  <c r="A340" i="5"/>
  <c r="A344" i="5"/>
  <c r="A348" i="5"/>
  <c r="A352" i="5"/>
  <c r="A356" i="5"/>
  <c r="A360" i="5"/>
  <c r="A364" i="5"/>
  <c r="A368" i="5"/>
  <c r="A372" i="5"/>
  <c r="A376" i="5"/>
  <c r="A380" i="5"/>
  <c r="A384" i="5"/>
  <c r="A388" i="5"/>
  <c r="A392" i="5"/>
  <c r="A396" i="5"/>
  <c r="A400" i="5"/>
  <c r="A404" i="5"/>
  <c r="A408" i="5"/>
  <c r="A412" i="5"/>
  <c r="A416" i="5"/>
  <c r="A420" i="5"/>
  <c r="A424" i="5"/>
  <c r="A428" i="5"/>
  <c r="A432" i="5"/>
  <c r="A436" i="5"/>
  <c r="A440" i="5"/>
  <c r="A444" i="5"/>
  <c r="A448" i="5"/>
  <c r="A452" i="5"/>
  <c r="A456" i="5"/>
  <c r="A460" i="5"/>
  <c r="A464" i="5"/>
  <c r="A468" i="5"/>
  <c r="A472" i="5"/>
  <c r="A476" i="5"/>
  <c r="A480" i="5"/>
  <c r="A484" i="5"/>
  <c r="A488" i="5"/>
  <c r="A492" i="5"/>
  <c r="A496" i="5"/>
  <c r="A500" i="5"/>
  <c r="A504" i="5"/>
  <c r="A508" i="5"/>
  <c r="A512" i="5"/>
  <c r="A516" i="5"/>
  <c r="A520" i="5"/>
  <c r="A524" i="5"/>
  <c r="A528" i="5"/>
  <c r="A532" i="5"/>
  <c r="A536" i="5"/>
  <c r="A540" i="5"/>
  <c r="A544" i="5"/>
  <c r="A548" i="5"/>
  <c r="A552" i="5"/>
  <c r="A556" i="5"/>
  <c r="A560" i="5"/>
  <c r="A564" i="5"/>
  <c r="A568" i="5"/>
  <c r="A572" i="5"/>
  <c r="A576" i="5"/>
  <c r="A580" i="5"/>
  <c r="A584" i="5"/>
  <c r="A588" i="5"/>
  <c r="A592" i="5"/>
  <c r="A596" i="5"/>
  <c r="A600" i="5"/>
  <c r="A604" i="5"/>
  <c r="A608" i="5"/>
  <c r="A612" i="5"/>
  <c r="A616" i="5"/>
  <c r="A620" i="5"/>
  <c r="A624" i="5"/>
  <c r="A628" i="5"/>
  <c r="A632" i="5"/>
  <c r="A636" i="5"/>
  <c r="A640" i="5"/>
  <c r="A644" i="5"/>
  <c r="A648" i="5"/>
  <c r="A652" i="5"/>
  <c r="A656" i="5"/>
  <c r="A660" i="5"/>
  <c r="A664" i="5"/>
  <c r="A668" i="5"/>
  <c r="A672" i="5"/>
  <c r="A676" i="5"/>
  <c r="A680" i="5"/>
  <c r="A684" i="5"/>
  <c r="A688" i="5"/>
  <c r="A692" i="5"/>
  <c r="A696" i="5"/>
  <c r="A700" i="5"/>
  <c r="A704" i="5"/>
  <c r="A708" i="5"/>
  <c r="A712" i="5"/>
  <c r="A716" i="5"/>
  <c r="A720" i="5"/>
  <c r="A724" i="5"/>
  <c r="A728" i="5"/>
  <c r="A732" i="5"/>
  <c r="A736" i="5"/>
  <c r="A740" i="5"/>
  <c r="A744" i="5"/>
  <c r="A748" i="5"/>
  <c r="A752" i="5"/>
  <c r="A756" i="5"/>
  <c r="A760" i="5"/>
  <c r="A764" i="5"/>
  <c r="A6" i="5"/>
  <c r="A13" i="5"/>
  <c r="A21" i="5"/>
  <c r="A28" i="5"/>
  <c r="A34" i="5"/>
  <c r="A42" i="5"/>
  <c r="A49" i="5"/>
  <c r="A56" i="5"/>
  <c r="A64" i="5"/>
  <c r="A70" i="5"/>
  <c r="A77" i="5"/>
  <c r="A85" i="5"/>
  <c r="A92" i="5"/>
  <c r="A98" i="5"/>
  <c r="A106" i="5"/>
  <c r="A113" i="5"/>
  <c r="A120" i="5"/>
  <c r="A128" i="5"/>
  <c r="A134" i="5"/>
  <c r="A141" i="5"/>
  <c r="A149" i="5"/>
  <c r="A156" i="5"/>
  <c r="A162" i="5"/>
  <c r="A170" i="5"/>
  <c r="A177" i="5"/>
  <c r="A184" i="5"/>
  <c r="A192" i="5"/>
  <c r="A198" i="5"/>
  <c r="A205" i="5"/>
  <c r="A213" i="5"/>
  <c r="A220" i="5"/>
  <c r="A226" i="5"/>
  <c r="A234" i="5"/>
  <c r="A241" i="5"/>
  <c r="A248" i="5"/>
  <c r="A256" i="5"/>
  <c r="A262" i="5"/>
  <c r="A269" i="5"/>
  <c r="A277" i="5"/>
  <c r="A284" i="5"/>
  <c r="A290" i="5"/>
  <c r="A298" i="5"/>
  <c r="A305" i="5"/>
  <c r="A312" i="5"/>
  <c r="A320" i="5"/>
  <c r="A326" i="5"/>
  <c r="A333" i="5"/>
  <c r="A341" i="5"/>
  <c r="A346" i="5"/>
  <c r="A351" i="5"/>
  <c r="A357" i="5"/>
  <c r="A362" i="5"/>
  <c r="A367" i="5"/>
  <c r="A373" i="5"/>
  <c r="A378" i="5"/>
  <c r="A383" i="5"/>
  <c r="A389" i="5"/>
  <c r="A394" i="5"/>
  <c r="A399" i="5"/>
  <c r="A405" i="5"/>
  <c r="A410" i="5"/>
  <c r="A415" i="5"/>
  <c r="A421" i="5"/>
  <c r="A426" i="5"/>
  <c r="A431" i="5"/>
  <c r="A437" i="5"/>
  <c r="A442" i="5"/>
  <c r="A447" i="5"/>
  <c r="A453" i="5"/>
  <c r="A458" i="5"/>
  <c r="A463" i="5"/>
  <c r="A469" i="5"/>
  <c r="A474" i="5"/>
  <c r="A479" i="5"/>
  <c r="A485" i="5"/>
  <c r="A490" i="5"/>
  <c r="A495" i="5"/>
  <c r="A501" i="5"/>
  <c r="A506" i="5"/>
  <c r="A511" i="5"/>
  <c r="A517" i="5"/>
  <c r="A522" i="5"/>
  <c r="A527" i="5"/>
  <c r="A533" i="5"/>
  <c r="A538" i="5"/>
  <c r="A5" i="5"/>
  <c r="A16" i="5"/>
  <c r="A24" i="5"/>
  <c r="A33" i="5"/>
  <c r="A44" i="5"/>
  <c r="A53" i="5"/>
  <c r="A61" i="5"/>
  <c r="A72" i="5"/>
  <c r="A81" i="5"/>
  <c r="A90" i="5"/>
  <c r="A101" i="5"/>
  <c r="A109" i="5"/>
  <c r="A118" i="5"/>
  <c r="A129" i="5"/>
  <c r="A138" i="5"/>
  <c r="A146" i="5"/>
  <c r="A157" i="5"/>
  <c r="A166" i="5"/>
  <c r="A176" i="5"/>
  <c r="A186" i="5"/>
  <c r="A194" i="5"/>
  <c r="A204" i="5"/>
  <c r="A214" i="5"/>
  <c r="A224" i="5"/>
  <c r="A232" i="5"/>
  <c r="A242" i="5"/>
  <c r="A252" i="5"/>
  <c r="A261" i="5"/>
  <c r="A272" i="5"/>
  <c r="A280" i="5"/>
  <c r="A289" i="5"/>
  <c r="A300" i="5"/>
  <c r="A309" i="5"/>
  <c r="A317" i="5"/>
  <c r="A328" i="5"/>
  <c r="A337" i="5"/>
  <c r="A345" i="5"/>
  <c r="A353" i="5"/>
  <c r="A359" i="5"/>
  <c r="A366" i="5"/>
  <c r="A374" i="5"/>
  <c r="A381" i="5"/>
  <c r="A387" i="5"/>
  <c r="A395" i="5"/>
  <c r="A402" i="5"/>
  <c r="A409" i="5"/>
  <c r="A417" i="5"/>
  <c r="A423" i="5"/>
  <c r="A430" i="5"/>
  <c r="A438" i="5"/>
  <c r="A445" i="5"/>
  <c r="A451" i="5"/>
  <c r="A459" i="5"/>
  <c r="A466" i="5"/>
  <c r="A473" i="5"/>
  <c r="A481" i="5"/>
  <c r="A487" i="5"/>
  <c r="A494" i="5"/>
  <c r="A502" i="5"/>
  <c r="A509" i="5"/>
  <c r="A515" i="5"/>
  <c r="A523" i="5"/>
  <c r="A530" i="5"/>
  <c r="A537" i="5"/>
  <c r="A543" i="5"/>
  <c r="A549" i="5"/>
  <c r="A554" i="5"/>
  <c r="A559" i="5"/>
  <c r="A565" i="5"/>
  <c r="A570" i="5"/>
  <c r="A575" i="5"/>
  <c r="A581" i="5"/>
  <c r="A586" i="5"/>
  <c r="A591" i="5"/>
  <c r="A597" i="5"/>
  <c r="A602" i="5"/>
  <c r="A607" i="5"/>
  <c r="A613" i="5"/>
  <c r="A618" i="5"/>
  <c r="A623" i="5"/>
  <c r="A629" i="5"/>
  <c r="A634" i="5"/>
  <c r="A639" i="5"/>
  <c r="A645" i="5"/>
  <c r="A650" i="5"/>
  <c r="A655" i="5"/>
  <c r="A661" i="5"/>
  <c r="A666" i="5"/>
  <c r="A671" i="5"/>
  <c r="A677" i="5"/>
  <c r="A682" i="5"/>
  <c r="A687" i="5"/>
  <c r="A693" i="5"/>
  <c r="A698" i="5"/>
  <c r="A703" i="5"/>
  <c r="A709" i="5"/>
  <c r="A714" i="5"/>
  <c r="A719" i="5"/>
  <c r="A725" i="5"/>
  <c r="A730" i="5"/>
  <c r="A735" i="5"/>
  <c r="A741" i="5"/>
  <c r="A746" i="5"/>
  <c r="A751" i="5"/>
  <c r="A757" i="5"/>
  <c r="A762" i="5"/>
  <c r="A767" i="5"/>
  <c r="A771" i="5"/>
  <c r="A775" i="5"/>
  <c r="A779" i="5"/>
  <c r="A783" i="5"/>
  <c r="A787" i="5"/>
  <c r="A791" i="5"/>
  <c r="A795" i="5"/>
  <c r="A799" i="5"/>
  <c r="A803" i="5"/>
  <c r="A807" i="5"/>
  <c r="A811" i="5"/>
  <c r="A815" i="5"/>
  <c r="A819" i="5"/>
  <c r="A823" i="5"/>
  <c r="A827" i="5"/>
  <c r="A831" i="5"/>
  <c r="A835" i="5"/>
  <c r="A839" i="5"/>
  <c r="A843" i="5"/>
  <c r="A847" i="5"/>
  <c r="A851" i="5"/>
  <c r="A855" i="5"/>
  <c r="A859" i="5"/>
  <c r="A863" i="5"/>
  <c r="A867" i="5"/>
  <c r="A871" i="5"/>
  <c r="A875" i="5"/>
  <c r="A879" i="5"/>
  <c r="A883" i="5"/>
  <c r="A887" i="5"/>
  <c r="A891" i="5"/>
  <c r="A895" i="5"/>
  <c r="A899" i="5"/>
  <c r="A903" i="5"/>
  <c r="A907" i="5"/>
  <c r="A911" i="5"/>
  <c r="A915" i="5"/>
  <c r="A919" i="5"/>
  <c r="A923" i="5"/>
  <c r="A927" i="5"/>
  <c r="A931" i="5"/>
  <c r="A935" i="5"/>
  <c r="A939" i="5"/>
  <c r="A943" i="5"/>
  <c r="A947" i="5"/>
  <c r="A951" i="5"/>
  <c r="A955" i="5"/>
  <c r="A959" i="5"/>
  <c r="A963" i="5"/>
  <c r="A967" i="5"/>
  <c r="A971" i="5"/>
  <c r="A975" i="5"/>
  <c r="A979" i="5"/>
  <c r="A983" i="5"/>
  <c r="A987" i="5"/>
  <c r="A991" i="5"/>
  <c r="A995" i="5"/>
  <c r="A999" i="5"/>
  <c r="A1003" i="5"/>
  <c r="A1007" i="5"/>
  <c r="A1011" i="5"/>
  <c r="A1015" i="5"/>
  <c r="A1019" i="5"/>
  <c r="A1023" i="5"/>
  <c r="A1027" i="5"/>
  <c r="A1031" i="5"/>
  <c r="A1035" i="5"/>
  <c r="A1039" i="5"/>
  <c r="A1043" i="5"/>
  <c r="A1047" i="5"/>
  <c r="A1051" i="5"/>
  <c r="A1055" i="5"/>
  <c r="A1059" i="5"/>
  <c r="A1063" i="5"/>
  <c r="A1067" i="5"/>
  <c r="A1071" i="5"/>
  <c r="A1075" i="5"/>
  <c r="A1079" i="5"/>
  <c r="A1083" i="5"/>
  <c r="A1087" i="5"/>
  <c r="A1091" i="5"/>
  <c r="A1095" i="5"/>
  <c r="A1099" i="5"/>
  <c r="A1103" i="5"/>
  <c r="A1107" i="5"/>
  <c r="A1111" i="5"/>
  <c r="A1115" i="5"/>
  <c r="A1119" i="5"/>
  <c r="A1123" i="5"/>
  <c r="A1127" i="5"/>
  <c r="A1131" i="5"/>
  <c r="A1135" i="5"/>
  <c r="A1139" i="5"/>
  <c r="A1143" i="5"/>
  <c r="A1147" i="5"/>
  <c r="A1151" i="5"/>
  <c r="A1155" i="5"/>
  <c r="A1159" i="5"/>
  <c r="A1163" i="5"/>
  <c r="A1167" i="5"/>
  <c r="A1171" i="5"/>
  <c r="A1175" i="5"/>
  <c r="A1179" i="5"/>
  <c r="A1183" i="5"/>
  <c r="A1187" i="5"/>
  <c r="A1191" i="5"/>
  <c r="A1195" i="5"/>
  <c r="A1199" i="5"/>
  <c r="A1203" i="5"/>
  <c r="A1207" i="5"/>
  <c r="A1211" i="5"/>
  <c r="A1215" i="5"/>
  <c r="A1219" i="5"/>
  <c r="A1223" i="5"/>
  <c r="A1227" i="5"/>
  <c r="A1231" i="5"/>
  <c r="A1235" i="5"/>
  <c r="A1239" i="5"/>
  <c r="A1243" i="5"/>
  <c r="A1247" i="5"/>
  <c r="A1251" i="5"/>
  <c r="A1255" i="5"/>
  <c r="A1259" i="5"/>
  <c r="A1263" i="5"/>
  <c r="A1267" i="5"/>
  <c r="A1271" i="5"/>
  <c r="A1275" i="5"/>
  <c r="A1279" i="5"/>
  <c r="A1283" i="5"/>
  <c r="A1287" i="5"/>
  <c r="A1291" i="5"/>
  <c r="A1295" i="5"/>
  <c r="A1299" i="5"/>
  <c r="A1303" i="5"/>
  <c r="A1307" i="5"/>
  <c r="A1311" i="5"/>
  <c r="A1315" i="5"/>
  <c r="A1319" i="5"/>
  <c r="A1323" i="5"/>
  <c r="A1327" i="5"/>
  <c r="A1331" i="5"/>
  <c r="A1335" i="5"/>
  <c r="A1339" i="5"/>
  <c r="A1343" i="5"/>
  <c r="A1347" i="5"/>
  <c r="A1351" i="5"/>
  <c r="A1355" i="5"/>
  <c r="A1359" i="5"/>
  <c r="A1363" i="5"/>
  <c r="A1367" i="5"/>
  <c r="A1371" i="5"/>
  <c r="A1375" i="5"/>
  <c r="A1379" i="5"/>
  <c r="A1383" i="5"/>
  <c r="A1387" i="5"/>
  <c r="A1391" i="5"/>
  <c r="A1395" i="5"/>
  <c r="A1399" i="5"/>
  <c r="A1403" i="5"/>
  <c r="A1407" i="5"/>
  <c r="A1411" i="5"/>
  <c r="A1415" i="5"/>
  <c r="A1419" i="5"/>
  <c r="A1423" i="5"/>
  <c r="A1427" i="5"/>
  <c r="A1431" i="5"/>
  <c r="A1435" i="5"/>
  <c r="A1439" i="5"/>
  <c r="A1443" i="5"/>
  <c r="A1447" i="5"/>
  <c r="A1451" i="5"/>
  <c r="A1455" i="5"/>
  <c r="A1459" i="5"/>
  <c r="A1463" i="5"/>
  <c r="A1467" i="5"/>
  <c r="A1471" i="5"/>
  <c r="A1475" i="5"/>
  <c r="A1479" i="5"/>
  <c r="A1483" i="5"/>
  <c r="A1487" i="5"/>
  <c r="A1491" i="5"/>
  <c r="A1495" i="5"/>
  <c r="A1499" i="5"/>
  <c r="A1503" i="5"/>
  <c r="A1507" i="5"/>
  <c r="A1511" i="5"/>
  <c r="A1515" i="5"/>
  <c r="A1519" i="5"/>
  <c r="A1523" i="5"/>
  <c r="A1527" i="5"/>
  <c r="A1531" i="5"/>
  <c r="A1535" i="5"/>
  <c r="A1539" i="5"/>
  <c r="A1543" i="5"/>
  <c r="A1547" i="5"/>
  <c r="A1551" i="5"/>
  <c r="A1555" i="5"/>
  <c r="A1559" i="5"/>
  <c r="A1563" i="5"/>
  <c r="A1567" i="5"/>
  <c r="A1571" i="5"/>
  <c r="A1575" i="5"/>
  <c r="A1579" i="5"/>
  <c r="A1583" i="5"/>
  <c r="A1587" i="5"/>
  <c r="A1591" i="5"/>
  <c r="A1595" i="5"/>
  <c r="A1599" i="5"/>
  <c r="A1603" i="5"/>
  <c r="A1607" i="5"/>
  <c r="A1611" i="5"/>
  <c r="A1615" i="5"/>
  <c r="A1619" i="5"/>
  <c r="A1623" i="5"/>
  <c r="A1627" i="5"/>
  <c r="A1631" i="5"/>
  <c r="A1635" i="5"/>
  <c r="A1639" i="5"/>
  <c r="A1643" i="5"/>
  <c r="A1647" i="5"/>
  <c r="A1651" i="5"/>
  <c r="A1655" i="5"/>
  <c r="A1659" i="5"/>
  <c r="A1663" i="5"/>
  <c r="A1667" i="5"/>
  <c r="A1671" i="5"/>
  <c r="A1675" i="5"/>
  <c r="A1679" i="5"/>
  <c r="A1683" i="5"/>
  <c r="A1687" i="5"/>
  <c r="A1691" i="5"/>
  <c r="A1695" i="5"/>
  <c r="A1699" i="5"/>
  <c r="A1703" i="5"/>
  <c r="A17" i="5"/>
  <c r="A29" i="5"/>
  <c r="A40" i="5"/>
  <c r="A54" i="5"/>
  <c r="A66" i="5"/>
  <c r="A80" i="5"/>
  <c r="A93" i="5"/>
  <c r="A104" i="5"/>
  <c r="A117" i="5"/>
  <c r="A130" i="5"/>
  <c r="A144" i="5"/>
  <c r="A154" i="5"/>
  <c r="A168" i="5"/>
  <c r="A181" i="5"/>
  <c r="A193" i="5"/>
  <c r="A208" i="5"/>
  <c r="A218" i="5"/>
  <c r="A230" i="5"/>
  <c r="A245" i="5"/>
  <c r="A257" i="5"/>
  <c r="A268" i="5"/>
  <c r="A282" i="5"/>
  <c r="A294" i="5"/>
  <c r="A306" i="5"/>
  <c r="A321" i="5"/>
  <c r="A332" i="5"/>
  <c r="A343" i="5"/>
  <c r="A354" i="5"/>
  <c r="A363" i="5"/>
  <c r="A371" i="5"/>
  <c r="A382" i="5"/>
  <c r="A391" i="5"/>
  <c r="A401" i="5"/>
  <c r="A411" i="5"/>
  <c r="A419" i="5"/>
  <c r="A429" i="5"/>
  <c r="A439" i="5"/>
  <c r="A449" i="5"/>
  <c r="A457" i="5"/>
  <c r="A467" i="5"/>
  <c r="A477" i="5"/>
  <c r="A486" i="5"/>
  <c r="A497" i="5"/>
  <c r="A505" i="5"/>
  <c r="A514" i="5"/>
  <c r="A525" i="5"/>
  <c r="A534" i="5"/>
  <c r="A542" i="5"/>
  <c r="A550" i="5"/>
  <c r="A557" i="5"/>
  <c r="A563" i="5"/>
  <c r="A571" i="5"/>
  <c r="A578" i="5"/>
  <c r="A585" i="5"/>
  <c r="A593" i="5"/>
  <c r="A599" i="5"/>
  <c r="A606" i="5"/>
  <c r="A614" i="5"/>
  <c r="A621" i="5"/>
  <c r="A627" i="5"/>
  <c r="A635" i="5"/>
  <c r="A642" i="5"/>
  <c r="A649" i="5"/>
  <c r="A657" i="5"/>
  <c r="A663" i="5"/>
  <c r="A670" i="5"/>
  <c r="A678" i="5"/>
  <c r="A685" i="5"/>
  <c r="A691" i="5"/>
  <c r="A699" i="5"/>
  <c r="A706" i="5"/>
  <c r="A713" i="5"/>
  <c r="A721" i="5"/>
  <c r="A727" i="5"/>
  <c r="A734" i="5"/>
  <c r="A742" i="5"/>
  <c r="A749" i="5"/>
  <c r="A755" i="5"/>
  <c r="A763" i="5"/>
  <c r="A769" i="5"/>
  <c r="A774" i="5"/>
  <c r="A780" i="5"/>
  <c r="A785" i="5"/>
  <c r="A790" i="5"/>
  <c r="A796" i="5"/>
  <c r="A8" i="5"/>
  <c r="A22" i="5"/>
  <c r="A38" i="5"/>
  <c r="A58" i="5"/>
  <c r="A74" i="5"/>
  <c r="A88" i="5"/>
  <c r="A108" i="5"/>
  <c r="A124" i="5"/>
  <c r="A140" i="5"/>
  <c r="A160" i="5"/>
  <c r="A173" i="5"/>
  <c r="A189" i="5"/>
  <c r="A209" i="5"/>
  <c r="A225" i="5"/>
  <c r="A240" i="5"/>
  <c r="A258" i="5"/>
  <c r="A274" i="5"/>
  <c r="A293" i="5"/>
  <c r="A310" i="5"/>
  <c r="A325" i="5"/>
  <c r="A342" i="5"/>
  <c r="A355" i="5"/>
  <c r="A369" i="5"/>
  <c r="A379" i="5"/>
  <c r="A393" i="5"/>
  <c r="A406" i="5"/>
  <c r="A418" i="5"/>
  <c r="A433" i="5"/>
  <c r="A443" i="5"/>
  <c r="A455" i="5"/>
  <c r="A470" i="5"/>
  <c r="A482" i="5"/>
  <c r="A493" i="5"/>
  <c r="A507" i="5"/>
  <c r="A519" i="5"/>
  <c r="A531" i="5"/>
  <c r="A545" i="5"/>
  <c r="A553" i="5"/>
  <c r="A562" i="5"/>
  <c r="A573" i="5"/>
  <c r="A582" i="5"/>
  <c r="A590" i="5"/>
  <c r="A601" i="5"/>
  <c r="A610" i="5"/>
  <c r="A619" i="5"/>
  <c r="A630" i="5"/>
  <c r="A638" i="5"/>
  <c r="A647" i="5"/>
  <c r="A658" i="5"/>
  <c r="A667" i="5"/>
  <c r="A675" i="5"/>
  <c r="A686" i="5"/>
  <c r="A695" i="5"/>
  <c r="A705" i="5"/>
  <c r="A715" i="5"/>
  <c r="A723" i="5"/>
  <c r="A733" i="5"/>
  <c r="A743" i="5"/>
  <c r="A753" i="5"/>
  <c r="A761" i="5"/>
  <c r="A770" i="5"/>
  <c r="A777" i="5"/>
  <c r="A784" i="5"/>
  <c r="A792" i="5"/>
  <c r="A798" i="5"/>
  <c r="A804" i="5"/>
  <c r="A809" i="5"/>
  <c r="A814" i="5"/>
  <c r="A820" i="5"/>
  <c r="A825" i="5"/>
  <c r="A830" i="5"/>
  <c r="A836" i="5"/>
  <c r="A841" i="5"/>
  <c r="A846" i="5"/>
  <c r="A852" i="5"/>
  <c r="A857" i="5"/>
  <c r="A862" i="5"/>
  <c r="A868" i="5"/>
  <c r="A873" i="5"/>
  <c r="A878" i="5"/>
  <c r="A884" i="5"/>
  <c r="A889" i="5"/>
  <c r="A894" i="5"/>
  <c r="A900" i="5"/>
  <c r="A905" i="5"/>
  <c r="A910" i="5"/>
  <c r="A916" i="5"/>
  <c r="A921" i="5"/>
  <c r="A926" i="5"/>
  <c r="A932" i="5"/>
  <c r="A937" i="5"/>
  <c r="A942" i="5"/>
  <c r="A948" i="5"/>
  <c r="A953" i="5"/>
  <c r="A958" i="5"/>
  <c r="A964" i="5"/>
  <c r="A969" i="5"/>
  <c r="A974" i="5"/>
  <c r="A980" i="5"/>
  <c r="A985" i="5"/>
  <c r="A990" i="5"/>
  <c r="A996" i="5"/>
  <c r="A1001" i="5"/>
  <c r="A1006" i="5"/>
  <c r="A1012" i="5"/>
  <c r="A1017" i="5"/>
  <c r="A1022" i="5"/>
  <c r="A1028" i="5"/>
  <c r="A1033" i="5"/>
  <c r="A1038" i="5"/>
  <c r="A1044" i="5"/>
  <c r="A1049" i="5"/>
  <c r="A1054" i="5"/>
  <c r="A1060" i="5"/>
  <c r="A1065" i="5"/>
  <c r="A1070" i="5"/>
  <c r="A1076" i="5"/>
  <c r="A1081" i="5"/>
  <c r="A1086" i="5"/>
  <c r="A1092" i="5"/>
  <c r="A1097" i="5"/>
  <c r="A1102" i="5"/>
  <c r="A1108" i="5"/>
  <c r="A1113" i="5"/>
  <c r="A1118" i="5"/>
  <c r="A1124" i="5"/>
  <c r="A1129" i="5"/>
  <c r="A1134" i="5"/>
  <c r="A1140" i="5"/>
  <c r="A1145" i="5"/>
  <c r="A1150" i="5"/>
  <c r="A1156" i="5"/>
  <c r="A1161" i="5"/>
  <c r="A1166" i="5"/>
  <c r="A1172" i="5"/>
  <c r="A1177" i="5"/>
  <c r="A1182" i="5"/>
  <c r="A1188" i="5"/>
  <c r="A1193" i="5"/>
  <c r="A1198" i="5"/>
  <c r="A1204" i="5"/>
  <c r="A1209" i="5"/>
  <c r="A1214" i="5"/>
  <c r="A1220" i="5"/>
  <c r="A1225" i="5"/>
  <c r="A1230" i="5"/>
  <c r="A1236" i="5"/>
  <c r="A1241" i="5"/>
  <c r="A1246" i="5"/>
  <c r="A1252" i="5"/>
  <c r="A1257" i="5"/>
  <c r="A1262" i="5"/>
  <c r="A1268" i="5"/>
  <c r="A1273" i="5"/>
  <c r="A1278" i="5"/>
  <c r="A1284" i="5"/>
  <c r="A1289" i="5"/>
  <c r="A1294" i="5"/>
  <c r="A1300" i="5"/>
  <c r="A1305" i="5"/>
  <c r="A1310" i="5"/>
  <c r="A1316" i="5"/>
  <c r="A1321" i="5"/>
  <c r="A1326" i="5"/>
  <c r="A1332" i="5"/>
  <c r="A1337" i="5"/>
  <c r="A1342" i="5"/>
  <c r="A1348" i="5"/>
  <c r="A1353" i="5"/>
  <c r="A1358" i="5"/>
  <c r="A1364" i="5"/>
  <c r="A10" i="5"/>
  <c r="A26" i="5"/>
  <c r="A45" i="5"/>
  <c r="A60" i="5"/>
  <c r="A76" i="5"/>
  <c r="A96" i="5"/>
  <c r="A112" i="5"/>
  <c r="A125" i="5"/>
  <c r="A145" i="5"/>
  <c r="A161" i="5"/>
  <c r="A178" i="5"/>
  <c r="A197" i="5"/>
  <c r="A210" i="5"/>
  <c r="A229" i="5"/>
  <c r="A246" i="5"/>
  <c r="A264" i="5"/>
  <c r="A278" i="5"/>
  <c r="A296" i="5"/>
  <c r="A314" i="5"/>
  <c r="A330" i="5"/>
  <c r="A347" i="5"/>
  <c r="A358" i="5"/>
  <c r="A370" i="5"/>
  <c r="A385" i="5"/>
  <c r="A397" i="5"/>
  <c r="A407" i="5"/>
  <c r="A422" i="5"/>
  <c r="A434" i="5"/>
  <c r="A446" i="5"/>
  <c r="A461" i="5"/>
  <c r="A471" i="5"/>
  <c r="A483" i="5"/>
  <c r="A498" i="5"/>
  <c r="A510" i="5"/>
  <c r="A521" i="5"/>
  <c r="A535" i="5"/>
  <c r="A546" i="5"/>
  <c r="A555" i="5"/>
  <c r="A566" i="5"/>
  <c r="A574" i="5"/>
  <c r="A583" i="5"/>
  <c r="A594" i="5"/>
  <c r="A603" i="5"/>
  <c r="A611" i="5"/>
  <c r="A622" i="5"/>
  <c r="A631" i="5"/>
  <c r="A641" i="5"/>
  <c r="A651" i="5"/>
  <c r="A659" i="5"/>
  <c r="A669" i="5"/>
  <c r="A679" i="5"/>
  <c r="A689" i="5"/>
  <c r="A697" i="5"/>
  <c r="A707" i="5"/>
  <c r="A717" i="5"/>
  <c r="A726" i="5"/>
  <c r="A737" i="5"/>
  <c r="A745" i="5"/>
  <c r="A754" i="5"/>
  <c r="A765" i="5"/>
  <c r="A772" i="5"/>
  <c r="A778" i="5"/>
  <c r="A786" i="5"/>
  <c r="A793" i="5"/>
  <c r="A800" i="5"/>
  <c r="A805" i="5"/>
  <c r="A810" i="5"/>
  <c r="A816" i="5"/>
  <c r="A821" i="5"/>
  <c r="A826" i="5"/>
  <c r="A832" i="5"/>
  <c r="A837" i="5"/>
  <c r="A842" i="5"/>
  <c r="A848" i="5"/>
  <c r="A853" i="5"/>
  <c r="A858" i="5"/>
  <c r="A864" i="5"/>
  <c r="A869" i="5"/>
  <c r="A874" i="5"/>
  <c r="A880" i="5"/>
  <c r="A885" i="5"/>
  <c r="A890" i="5"/>
  <c r="A896" i="5"/>
  <c r="A901" i="5"/>
  <c r="A906" i="5"/>
  <c r="A912" i="5"/>
  <c r="A917" i="5"/>
  <c r="A922" i="5"/>
  <c r="A928" i="5"/>
  <c r="A933" i="5"/>
  <c r="A938" i="5"/>
  <c r="A944" i="5"/>
  <c r="A949" i="5"/>
  <c r="A954" i="5"/>
  <c r="A960" i="5"/>
  <c r="A965" i="5"/>
  <c r="A970" i="5"/>
  <c r="A976" i="5"/>
  <c r="A981" i="5"/>
  <c r="A986" i="5"/>
  <c r="A992" i="5"/>
  <c r="A997" i="5"/>
  <c r="A1002" i="5"/>
  <c r="A1008" i="5"/>
  <c r="A1013" i="5"/>
  <c r="A1018" i="5"/>
  <c r="A1024" i="5"/>
  <c r="A1029" i="5"/>
  <c r="A1034" i="5"/>
  <c r="A1040" i="5"/>
  <c r="A1045" i="5"/>
  <c r="A1050" i="5"/>
  <c r="A1056" i="5"/>
  <c r="A1061" i="5"/>
  <c r="A1066" i="5"/>
  <c r="A1072" i="5"/>
  <c r="A1077" i="5"/>
  <c r="A1082" i="5"/>
  <c r="A1088" i="5"/>
  <c r="A1093" i="5"/>
  <c r="A1098" i="5"/>
  <c r="A1104" i="5"/>
  <c r="A1109" i="5"/>
  <c r="A1114" i="5"/>
  <c r="A1120" i="5"/>
  <c r="A1125" i="5"/>
  <c r="A1130" i="5"/>
  <c r="A1136" i="5"/>
  <c r="A1141" i="5"/>
  <c r="A1146" i="5"/>
  <c r="A1152" i="5"/>
  <c r="A1157" i="5"/>
  <c r="A1162" i="5"/>
  <c r="A1168" i="5"/>
  <c r="A1173" i="5"/>
  <c r="A1178" i="5"/>
  <c r="A1184" i="5"/>
  <c r="A1189" i="5"/>
  <c r="A1194" i="5"/>
  <c r="A1200" i="5"/>
  <c r="A1205" i="5"/>
  <c r="A1210" i="5"/>
  <c r="A1216" i="5"/>
  <c r="A1221" i="5"/>
  <c r="A1226" i="5"/>
  <c r="A1232" i="5"/>
  <c r="A1237" i="5"/>
  <c r="A1242" i="5"/>
  <c r="A1248" i="5"/>
  <c r="A1253" i="5"/>
  <c r="A1258" i="5"/>
  <c r="A1264" i="5"/>
  <c r="A1269" i="5"/>
  <c r="A1274" i="5"/>
  <c r="A1280" i="5"/>
  <c r="A1285" i="5"/>
  <c r="A1290" i="5"/>
  <c r="A1296" i="5"/>
  <c r="A1301" i="5"/>
  <c r="A1306" i="5"/>
  <c r="A1312" i="5"/>
  <c r="A1317" i="5"/>
  <c r="A1322" i="5"/>
  <c r="A1328" i="5"/>
  <c r="A1333" i="5"/>
  <c r="A1338" i="5"/>
  <c r="A1344" i="5"/>
  <c r="A1349" i="5"/>
  <c r="A1354" i="5"/>
  <c r="A1360" i="5"/>
  <c r="A12" i="5"/>
  <c r="A48" i="5"/>
  <c r="A82" i="5"/>
  <c r="A114" i="5"/>
  <c r="A150" i="5"/>
  <c r="A182" i="5"/>
  <c r="A216" i="5"/>
  <c r="A250" i="5"/>
  <c r="A285" i="5"/>
  <c r="A316" i="5"/>
  <c r="A349" i="5"/>
  <c r="A375" i="5"/>
  <c r="A398" i="5"/>
  <c r="A425" i="5"/>
  <c r="A450" i="5"/>
  <c r="A475" i="5"/>
  <c r="A499" i="5"/>
  <c r="A526" i="5"/>
  <c r="A547" i="5"/>
  <c r="A567" i="5"/>
  <c r="A587" i="5"/>
  <c r="A605" i="5"/>
  <c r="A625" i="5"/>
  <c r="A643" i="5"/>
  <c r="A662" i="5"/>
  <c r="A681" i="5"/>
  <c r="A701" i="5"/>
  <c r="A718" i="5"/>
  <c r="A738" i="5"/>
  <c r="A758" i="5"/>
  <c r="A773" i="5"/>
  <c r="A788" i="5"/>
  <c r="A801" i="5"/>
  <c r="A812" i="5"/>
  <c r="A822" i="5"/>
  <c r="A833" i="5"/>
  <c r="A844" i="5"/>
  <c r="A854" i="5"/>
  <c r="A865" i="5"/>
  <c r="A876" i="5"/>
  <c r="A886" i="5"/>
  <c r="A897" i="5"/>
  <c r="A908" i="5"/>
  <c r="A918" i="5"/>
  <c r="A929" i="5"/>
  <c r="A940" i="5"/>
  <c r="A950" i="5"/>
  <c r="A961" i="5"/>
  <c r="A972" i="5"/>
  <c r="A982" i="5"/>
  <c r="A993" i="5"/>
  <c r="A1004" i="5"/>
  <c r="A1014" i="5"/>
  <c r="A1025" i="5"/>
  <c r="A1036" i="5"/>
  <c r="A1046" i="5"/>
  <c r="A1057" i="5"/>
  <c r="A1068" i="5"/>
  <c r="A1078" i="5"/>
  <c r="A1089" i="5"/>
  <c r="A1100" i="5"/>
  <c r="A1110" i="5"/>
  <c r="A1121" i="5"/>
  <c r="A1132" i="5"/>
  <c r="A1142" i="5"/>
  <c r="A1153" i="5"/>
  <c r="A1164" i="5"/>
  <c r="A1174" i="5"/>
  <c r="A1185" i="5"/>
  <c r="A1196" i="5"/>
  <c r="A1206" i="5"/>
  <c r="A1217" i="5"/>
  <c r="A1228" i="5"/>
  <c r="A1238" i="5"/>
  <c r="A1249" i="5"/>
  <c r="A1260" i="5"/>
  <c r="A1270" i="5"/>
  <c r="A1281" i="5"/>
  <c r="A1292" i="5"/>
  <c r="A1302" i="5"/>
  <c r="A1313" i="5"/>
  <c r="A1324" i="5"/>
  <c r="A1334" i="5"/>
  <c r="A1345" i="5"/>
  <c r="A1356" i="5"/>
  <c r="A1365" i="5"/>
  <c r="A1370" i="5"/>
  <c r="A1376" i="5"/>
  <c r="A1381" i="5"/>
  <c r="A1386" i="5"/>
  <c r="A1392" i="5"/>
  <c r="A1397" i="5"/>
  <c r="A1402" i="5"/>
  <c r="A1408" i="5"/>
  <c r="A1413" i="5"/>
  <c r="A1418" i="5"/>
  <c r="A1424" i="5"/>
  <c r="A1429" i="5"/>
  <c r="A1434" i="5"/>
  <c r="A1440" i="5"/>
  <c r="A1445" i="5"/>
  <c r="A1450" i="5"/>
  <c r="A1456" i="5"/>
  <c r="A1461" i="5"/>
  <c r="A1466" i="5"/>
  <c r="A1472" i="5"/>
  <c r="A1477" i="5"/>
  <c r="A1482" i="5"/>
  <c r="A1488" i="5"/>
  <c r="A1493" i="5"/>
  <c r="A1498" i="5"/>
  <c r="A1504" i="5"/>
  <c r="A1509" i="5"/>
  <c r="A1514" i="5"/>
  <c r="A1520" i="5"/>
  <c r="A1525" i="5"/>
  <c r="A1530" i="5"/>
  <c r="A1536" i="5"/>
  <c r="A1541" i="5"/>
  <c r="A1546" i="5"/>
  <c r="A1552" i="5"/>
  <c r="A1557" i="5"/>
  <c r="A1562" i="5"/>
  <c r="A1568" i="5"/>
  <c r="A1573" i="5"/>
  <c r="A1578" i="5"/>
  <c r="A1584" i="5"/>
  <c r="A1589" i="5"/>
  <c r="A1594" i="5"/>
  <c r="A1600" i="5"/>
  <c r="A1605" i="5"/>
  <c r="A1610" i="5"/>
  <c r="A1616" i="5"/>
  <c r="A1621" i="5"/>
  <c r="A1626" i="5"/>
  <c r="A1632" i="5"/>
  <c r="A1637" i="5"/>
  <c r="A1642" i="5"/>
  <c r="A1648" i="5"/>
  <c r="A1653" i="5"/>
  <c r="A1658" i="5"/>
  <c r="A1664" i="5"/>
  <c r="A1669" i="5"/>
  <c r="A1674" i="5"/>
  <c r="A1680" i="5"/>
  <c r="A1685" i="5"/>
  <c r="A1690" i="5"/>
  <c r="A1696" i="5"/>
  <c r="A1701" i="5"/>
  <c r="A1706" i="5"/>
  <c r="A1710" i="5"/>
  <c r="A37" i="5"/>
  <c r="A69" i="5"/>
  <c r="A102" i="5"/>
  <c r="A136" i="5"/>
  <c r="A172" i="5"/>
  <c r="A202" i="5"/>
  <c r="A237" i="5"/>
  <c r="A273" i="5"/>
  <c r="A304" i="5"/>
  <c r="A338" i="5"/>
  <c r="A365" i="5"/>
  <c r="A390" i="5"/>
  <c r="A414" i="5"/>
  <c r="A441" i="5"/>
  <c r="A465" i="5"/>
  <c r="A491" i="5"/>
  <c r="A518" i="5"/>
  <c r="A541" i="5"/>
  <c r="A561" i="5"/>
  <c r="A579" i="5"/>
  <c r="A598" i="5"/>
  <c r="A617" i="5"/>
  <c r="A637" i="5"/>
  <c r="A654" i="5"/>
  <c r="A674" i="5"/>
  <c r="A694" i="5"/>
  <c r="A711" i="5"/>
  <c r="A731" i="5"/>
  <c r="A750" i="5"/>
  <c r="A768" i="5"/>
  <c r="A782" i="5"/>
  <c r="A797" i="5"/>
  <c r="A808" i="5"/>
  <c r="A818" i="5"/>
  <c r="A829" i="5"/>
  <c r="A840" i="5"/>
  <c r="A850" i="5"/>
  <c r="A861" i="5"/>
  <c r="A872" i="5"/>
  <c r="A882" i="5"/>
  <c r="A893" i="5"/>
  <c r="A904" i="5"/>
  <c r="A914" i="5"/>
  <c r="A925" i="5"/>
  <c r="A936" i="5"/>
  <c r="A946" i="5"/>
  <c r="A957" i="5"/>
  <c r="A968" i="5"/>
  <c r="A978" i="5"/>
  <c r="A989" i="5"/>
  <c r="A1000" i="5"/>
  <c r="A1010" i="5"/>
  <c r="A1021" i="5"/>
  <c r="A1032" i="5"/>
  <c r="A1042" i="5"/>
  <c r="A1053" i="5"/>
  <c r="A1064" i="5"/>
  <c r="A1074" i="5"/>
  <c r="A1085" i="5"/>
  <c r="A1096" i="5"/>
  <c r="A1106" i="5"/>
  <c r="A1117" i="5"/>
  <c r="A1128" i="5"/>
  <c r="A1138" i="5"/>
  <c r="A1149" i="5"/>
  <c r="A1160" i="5"/>
  <c r="A1170" i="5"/>
  <c r="A1181" i="5"/>
  <c r="A1192" i="5"/>
  <c r="A1202" i="5"/>
  <c r="A1213" i="5"/>
  <c r="A1224" i="5"/>
  <c r="A1234" i="5"/>
  <c r="A1245" i="5"/>
  <c r="A1256" i="5"/>
  <c r="A1266" i="5"/>
  <c r="A1277" i="5"/>
  <c r="A1288" i="5"/>
  <c r="A1298" i="5"/>
  <c r="A1309" i="5"/>
  <c r="A1320" i="5"/>
  <c r="A1330" i="5"/>
  <c r="A1341" i="5"/>
  <c r="A1352" i="5"/>
  <c r="A1362" i="5"/>
  <c r="A1369" i="5"/>
  <c r="A1374" i="5"/>
  <c r="A1380" i="5"/>
  <c r="A1385" i="5"/>
  <c r="A1390" i="5"/>
  <c r="A1396" i="5"/>
  <c r="A1401" i="5"/>
  <c r="A1406" i="5"/>
  <c r="A1412" i="5"/>
  <c r="A1417" i="5"/>
  <c r="A1422" i="5"/>
  <c r="A1428" i="5"/>
  <c r="A1433" i="5"/>
  <c r="A1438" i="5"/>
  <c r="A1444" i="5"/>
  <c r="A1449" i="5"/>
  <c r="A1454" i="5"/>
  <c r="A1460" i="5"/>
  <c r="A1465" i="5"/>
  <c r="A1470" i="5"/>
  <c r="A1476" i="5"/>
  <c r="A1481" i="5"/>
  <c r="A1486" i="5"/>
  <c r="A1492" i="5"/>
  <c r="A1497" i="5"/>
  <c r="A1502" i="5"/>
  <c r="A1508" i="5"/>
  <c r="A1513" i="5"/>
  <c r="A1518" i="5"/>
  <c r="A1524" i="5"/>
  <c r="A1529" i="5"/>
  <c r="A1534" i="5"/>
  <c r="A1540" i="5"/>
  <c r="A1545" i="5"/>
  <c r="A1550" i="5"/>
  <c r="A1556" i="5"/>
  <c r="A1561" i="5"/>
  <c r="A1566" i="5"/>
  <c r="A1572" i="5"/>
  <c r="A1577" i="5"/>
  <c r="A1582" i="5"/>
  <c r="A1588" i="5"/>
  <c r="A1593" i="5"/>
  <c r="A1598" i="5"/>
  <c r="A1604" i="5"/>
  <c r="A1609" i="5"/>
  <c r="A1614" i="5"/>
  <c r="A1620" i="5"/>
  <c r="A1625" i="5"/>
  <c r="A1630" i="5"/>
  <c r="A1636" i="5"/>
  <c r="A1641" i="5"/>
  <c r="A1646" i="5"/>
  <c r="A1652" i="5"/>
  <c r="A1657" i="5"/>
  <c r="A1662" i="5"/>
  <c r="A1668" i="5"/>
  <c r="A1673" i="5"/>
  <c r="A1678" i="5"/>
  <c r="A1684" i="5"/>
  <c r="A1689" i="5"/>
  <c r="A1694" i="5"/>
  <c r="A1700" i="5"/>
  <c r="A1705" i="5"/>
  <c r="A1709" i="5"/>
  <c r="A1713" i="5"/>
  <c r="A1717" i="5"/>
  <c r="A1721" i="5"/>
  <c r="A1725" i="5"/>
  <c r="A1729" i="5"/>
  <c r="A1733" i="5"/>
  <c r="A1737" i="5"/>
  <c r="A1741" i="5"/>
  <c r="A1745" i="5"/>
  <c r="A1749" i="5"/>
  <c r="A1753" i="5"/>
  <c r="A1757" i="5"/>
  <c r="A1761" i="5"/>
  <c r="A1765" i="5"/>
  <c r="A1769" i="5"/>
  <c r="A1773" i="5"/>
  <c r="A1777" i="5"/>
  <c r="A1781" i="5"/>
  <c r="A1785" i="5"/>
  <c r="A1789" i="5"/>
  <c r="A18" i="5"/>
  <c r="A86" i="5"/>
  <c r="A152" i="5"/>
  <c r="A221" i="5"/>
  <c r="A288" i="5"/>
  <c r="A350" i="5"/>
  <c r="A403" i="5"/>
  <c r="A454" i="5"/>
  <c r="A503" i="5"/>
  <c r="A551" i="5"/>
  <c r="A589" i="5"/>
  <c r="A626" i="5"/>
  <c r="A665" i="5"/>
  <c r="A702" i="5"/>
  <c r="A739" i="5"/>
  <c r="A776" i="5"/>
  <c r="A802" i="5"/>
  <c r="A824" i="5"/>
  <c r="A845" i="5"/>
  <c r="A866" i="5"/>
  <c r="A888" i="5"/>
  <c r="A909" i="5"/>
  <c r="A930" i="5"/>
  <c r="A952" i="5"/>
  <c r="A973" i="5"/>
  <c r="A994" i="5"/>
  <c r="A1016" i="5"/>
  <c r="A1037" i="5"/>
  <c r="A1058" i="5"/>
  <c r="A1080" i="5"/>
  <c r="A1101" i="5"/>
  <c r="A1122" i="5"/>
  <c r="A1144" i="5"/>
  <c r="A1165" i="5"/>
  <c r="A1186" i="5"/>
  <c r="A1208" i="5"/>
  <c r="A1229" i="5"/>
  <c r="A1250" i="5"/>
  <c r="A1272" i="5"/>
  <c r="A1293" i="5"/>
  <c r="A1314" i="5"/>
  <c r="A1336" i="5"/>
  <c r="A1357" i="5"/>
  <c r="A1372" i="5"/>
  <c r="A1382" i="5"/>
  <c r="A1393" i="5"/>
  <c r="A1404" i="5"/>
  <c r="A1414" i="5"/>
  <c r="A1425" i="5"/>
  <c r="A1436" i="5"/>
  <c r="A1446" i="5"/>
  <c r="A1457" i="5"/>
  <c r="A1468" i="5"/>
  <c r="A1478" i="5"/>
  <c r="A1489" i="5"/>
  <c r="A1500" i="5"/>
  <c r="A1510" i="5"/>
  <c r="A1521" i="5"/>
  <c r="A1532" i="5"/>
  <c r="A1542" i="5"/>
  <c r="A1553" i="5"/>
  <c r="A1564" i="5"/>
  <c r="A1574" i="5"/>
  <c r="A1585" i="5"/>
  <c r="A1596" i="5"/>
  <c r="A1606" i="5"/>
  <c r="A1617" i="5"/>
  <c r="A1628" i="5"/>
  <c r="A1638" i="5"/>
  <c r="A1649" i="5"/>
  <c r="A1660" i="5"/>
  <c r="A50" i="5"/>
  <c r="A122" i="5"/>
  <c r="A188" i="5"/>
  <c r="A253" i="5"/>
  <c r="A322" i="5"/>
  <c r="A377" i="5"/>
  <c r="A427" i="5"/>
  <c r="A478" i="5"/>
  <c r="A529" i="5"/>
  <c r="A569" i="5"/>
  <c r="A609" i="5"/>
  <c r="A646" i="5"/>
  <c r="A683" i="5"/>
  <c r="A722" i="5"/>
  <c r="A759" i="5"/>
  <c r="A789" i="5"/>
  <c r="A813" i="5"/>
  <c r="A834" i="5"/>
  <c r="A856" i="5"/>
  <c r="A877" i="5"/>
  <c r="A898" i="5"/>
  <c r="A920" i="5"/>
  <c r="A941" i="5"/>
  <c r="A962" i="5"/>
  <c r="A984" i="5"/>
  <c r="A1005" i="5"/>
  <c r="A1026" i="5"/>
  <c r="A1048" i="5"/>
  <c r="A1069" i="5"/>
  <c r="A1090" i="5"/>
  <c r="A1112" i="5"/>
  <c r="A1133" i="5"/>
  <c r="A1154" i="5"/>
  <c r="A1176" i="5"/>
  <c r="A1197" i="5"/>
  <c r="A1218" i="5"/>
  <c r="A1240" i="5"/>
  <c r="A1261" i="5"/>
  <c r="A1282" i="5"/>
  <c r="A1304" i="5"/>
  <c r="A1325" i="5"/>
  <c r="A1346" i="5"/>
  <c r="A1366" i="5"/>
  <c r="A1377" i="5"/>
  <c r="A1388" i="5"/>
  <c r="A1398" i="5"/>
  <c r="A1409" i="5"/>
  <c r="A1420" i="5"/>
  <c r="A1430" i="5"/>
  <c r="A1441" i="5"/>
  <c r="A1452" i="5"/>
  <c r="A1462" i="5"/>
  <c r="A1473" i="5"/>
  <c r="A1484" i="5"/>
  <c r="A1494" i="5"/>
  <c r="A1505" i="5"/>
  <c r="A1516" i="5"/>
  <c r="A1526" i="5"/>
  <c r="A1537" i="5"/>
  <c r="A1548" i="5"/>
  <c r="A1558" i="5"/>
  <c r="A1569" i="5"/>
  <c r="A1580" i="5"/>
  <c r="A1590" i="5"/>
  <c r="A1601" i="5"/>
  <c r="A1612" i="5"/>
  <c r="A1622" i="5"/>
  <c r="A1633" i="5"/>
  <c r="A1644" i="5"/>
  <c r="A1654" i="5"/>
  <c r="A1665" i="5"/>
  <c r="A1676" i="5"/>
  <c r="A1686" i="5"/>
  <c r="A1697" i="5"/>
  <c r="A1707" i="5"/>
  <c r="A1714" i="5"/>
  <c r="A1719" i="5"/>
  <c r="A1724" i="5"/>
  <c r="A1730" i="5"/>
  <c r="A1735" i="5"/>
  <c r="A1740" i="5"/>
  <c r="A1746" i="5"/>
  <c r="A1751" i="5"/>
  <c r="A1756" i="5"/>
  <c r="A1762" i="5"/>
  <c r="A32" i="5"/>
  <c r="A165" i="5"/>
  <c r="A301" i="5"/>
  <c r="A413" i="5"/>
  <c r="A513" i="5"/>
  <c r="A595" i="5"/>
  <c r="A673" i="5"/>
  <c r="A747" i="5"/>
  <c r="A806" i="5"/>
  <c r="A849" i="5"/>
  <c r="A892" i="5"/>
  <c r="A934" i="5"/>
  <c r="A977" i="5"/>
  <c r="A1020" i="5"/>
  <c r="A1062" i="5"/>
  <c r="A1105" i="5"/>
  <c r="A1148" i="5"/>
  <c r="A1190" i="5"/>
  <c r="A1233" i="5"/>
  <c r="A1276" i="5"/>
  <c r="A1318" i="5"/>
  <c r="A1361" i="5"/>
  <c r="A1384" i="5"/>
  <c r="A1405" i="5"/>
  <c r="A1426" i="5"/>
  <c r="A1448" i="5"/>
  <c r="A1469" i="5"/>
  <c r="A1490" i="5"/>
  <c r="A1512" i="5"/>
  <c r="A1533" i="5"/>
  <c r="A1554" i="5"/>
  <c r="A1576" i="5"/>
  <c r="A1597" i="5"/>
  <c r="A1618" i="5"/>
  <c r="A1640" i="5"/>
  <c r="A1661" i="5"/>
  <c r="A1677" i="5"/>
  <c r="A1692" i="5"/>
  <c r="A1704" i="5"/>
  <c r="A1715" i="5"/>
  <c r="A1722" i="5"/>
  <c r="A1728" i="5"/>
  <c r="A1736" i="5"/>
  <c r="A1743" i="5"/>
  <c r="A1750" i="5"/>
  <c r="A1758" i="5"/>
  <c r="A1764" i="5"/>
  <c r="A1770" i="5"/>
  <c r="A1775" i="5"/>
  <c r="A1780" i="5"/>
  <c r="A1786" i="5"/>
  <c r="A1791" i="5"/>
  <c r="A1795" i="5"/>
  <c r="A1799" i="5"/>
  <c r="A1803" i="5"/>
  <c r="A1807" i="5"/>
  <c r="A1811" i="5"/>
  <c r="A1815" i="5"/>
  <c r="A1819" i="5"/>
  <c r="A1823" i="5"/>
  <c r="A1827" i="5"/>
  <c r="A1831" i="5"/>
  <c r="A1835" i="5"/>
  <c r="A1839" i="5"/>
  <c r="A1843" i="5"/>
  <c r="A1847" i="5"/>
  <c r="A1851" i="5"/>
  <c r="A1855" i="5"/>
  <c r="A1859" i="5"/>
  <c r="A1863" i="5"/>
  <c r="A1867" i="5"/>
  <c r="A1871" i="5"/>
  <c r="A1875" i="5"/>
  <c r="A1879" i="5"/>
  <c r="A1883" i="5"/>
  <c r="A1887" i="5"/>
  <c r="A1891" i="5"/>
  <c r="A1895" i="5"/>
  <c r="A1899" i="5"/>
  <c r="A1903" i="5"/>
  <c r="A1907" i="5"/>
  <c r="A1911" i="5"/>
  <c r="A1915" i="5"/>
  <c r="A1919" i="5"/>
  <c r="A1923" i="5"/>
  <c r="A1927" i="5"/>
  <c r="A1931" i="5"/>
  <c r="A1935" i="5"/>
  <c r="A1939" i="5"/>
  <c r="A1943" i="5"/>
  <c r="A1947" i="5"/>
  <c r="A1951" i="5"/>
  <c r="A1955" i="5"/>
  <c r="A1959" i="5"/>
  <c r="A1963" i="5"/>
  <c r="A1967" i="5"/>
  <c r="A1971" i="5"/>
  <c r="A1975" i="5"/>
  <c r="A1979" i="5"/>
  <c r="A1983" i="5"/>
  <c r="A1987" i="5"/>
  <c r="A1991" i="5"/>
  <c r="A1995" i="5"/>
  <c r="A1999" i="5"/>
  <c r="A2003" i="5"/>
  <c r="A2007" i="5"/>
  <c r="A2011" i="5"/>
  <c r="A2015" i="5"/>
  <c r="A2019" i="5"/>
  <c r="A2023" i="5"/>
  <c r="A2027" i="5"/>
  <c r="A2031" i="5"/>
  <c r="A2035" i="5"/>
  <c r="A2039" i="5"/>
  <c r="A2043" i="5"/>
  <c r="A2047" i="5"/>
  <c r="A2051" i="5"/>
  <c r="A2055" i="5"/>
  <c r="A2059" i="5"/>
  <c r="A2063" i="5"/>
  <c r="A2067" i="5"/>
  <c r="A2071" i="5"/>
  <c r="A2075" i="5"/>
  <c r="A2079" i="5"/>
  <c r="A2083" i="5"/>
  <c r="A2087" i="5"/>
  <c r="A2091" i="5"/>
  <c r="A2095" i="5"/>
  <c r="A2099" i="5"/>
  <c r="A2103" i="5"/>
  <c r="A2107" i="5"/>
  <c r="A2111" i="5"/>
  <c r="A2115" i="5"/>
  <c r="A2119" i="5"/>
  <c r="A2123" i="5"/>
  <c r="A2127" i="5"/>
  <c r="A2131" i="5"/>
  <c r="A2135" i="5"/>
  <c r="A2139" i="5"/>
  <c r="A2143" i="5"/>
  <c r="A2147" i="5"/>
  <c r="A2151" i="5"/>
  <c r="A2155" i="5"/>
  <c r="A2159" i="5"/>
  <c r="A2163" i="5"/>
  <c r="A2167" i="5"/>
  <c r="A2171" i="5"/>
  <c r="A2175" i="5"/>
  <c r="A2179" i="5"/>
  <c r="A2183" i="5"/>
  <c r="A2187" i="5"/>
  <c r="A2191" i="5"/>
  <c r="A2195" i="5"/>
  <c r="A2199" i="5"/>
  <c r="A2203" i="5"/>
  <c r="A2207" i="5"/>
  <c r="A2211" i="5"/>
  <c r="A2215" i="5"/>
  <c r="A2219" i="5"/>
  <c r="A2223" i="5"/>
  <c r="A2227" i="5"/>
  <c r="A2231" i="5"/>
  <c r="A2235" i="5"/>
  <c r="A2239" i="5"/>
  <c r="A2243" i="5"/>
  <c r="A2247" i="5"/>
  <c r="A2251" i="5"/>
  <c r="A2255" i="5"/>
  <c r="A2259" i="5"/>
  <c r="A2263" i="5"/>
  <c r="A2267" i="5"/>
  <c r="A2271" i="5"/>
  <c r="A2275" i="5"/>
  <c r="A2279" i="5"/>
  <c r="A2283" i="5"/>
  <c r="A2287" i="5"/>
  <c r="A2291" i="5"/>
  <c r="A2295" i="5"/>
  <c r="A2299" i="5"/>
  <c r="A2303" i="5"/>
  <c r="A2307" i="5"/>
  <c r="A2311" i="5"/>
  <c r="A2315" i="5"/>
  <c r="A2319" i="5"/>
  <c r="A2323" i="5"/>
  <c r="A2327" i="5"/>
  <c r="A2331" i="5"/>
  <c r="A2335" i="5"/>
  <c r="A2339" i="5"/>
  <c r="A2343" i="5"/>
  <c r="A2347" i="5"/>
  <c r="A2351" i="5"/>
  <c r="A2355" i="5"/>
  <c r="A2359" i="5"/>
  <c r="A2363" i="5"/>
  <c r="A2367" i="5"/>
  <c r="A2371" i="5"/>
  <c r="A2375" i="5"/>
  <c r="A2379" i="5"/>
  <c r="A2383" i="5"/>
  <c r="A2387" i="5"/>
  <c r="A2391" i="5"/>
  <c r="A2395" i="5"/>
  <c r="A2399" i="5"/>
  <c r="A2403" i="5"/>
  <c r="A2407" i="5"/>
  <c r="A2411" i="5"/>
  <c r="A2415" i="5"/>
  <c r="A2419" i="5"/>
  <c r="A2423" i="5"/>
  <c r="A2427" i="5"/>
  <c r="A2431" i="5"/>
  <c r="A2435" i="5"/>
  <c r="A2439" i="5"/>
  <c r="A2443" i="5"/>
  <c r="A2447" i="5"/>
  <c r="A2451" i="5"/>
  <c r="A2455" i="5"/>
  <c r="A2459" i="5"/>
  <c r="A2463" i="5"/>
  <c r="A2467" i="5"/>
  <c r="A2471" i="5"/>
  <c r="A2475" i="5"/>
  <c r="A2479" i="5"/>
  <c r="A2483" i="5"/>
  <c r="A2487" i="5"/>
  <c r="A2491" i="5"/>
  <c r="A2495" i="5"/>
  <c r="A2499" i="5"/>
  <c r="A2503" i="5"/>
  <c r="A2507" i="5"/>
  <c r="A2511" i="5"/>
  <c r="A2515" i="5"/>
  <c r="A2519" i="5"/>
  <c r="A2523" i="5"/>
  <c r="A2527" i="5"/>
  <c r="A2531" i="5"/>
  <c r="A2535" i="5"/>
  <c r="A2539" i="5"/>
  <c r="A2543" i="5"/>
  <c r="A2547" i="5"/>
  <c r="A2551" i="5"/>
  <c r="A2555" i="5"/>
  <c r="A2559" i="5"/>
  <c r="A2563" i="5"/>
  <c r="A2567" i="5"/>
  <c r="A2571" i="5"/>
  <c r="A2575" i="5"/>
  <c r="A2579" i="5"/>
  <c r="A2583" i="5"/>
  <c r="A2587" i="5"/>
  <c r="A2591" i="5"/>
  <c r="A2595" i="5"/>
  <c r="A2599" i="5"/>
  <c r="A2603" i="5"/>
  <c r="A2607" i="5"/>
  <c r="A2611" i="5"/>
  <c r="A2615" i="5"/>
  <c r="A2619" i="5"/>
  <c r="A2623" i="5"/>
  <c r="A2627" i="5"/>
  <c r="A2631" i="5"/>
  <c r="A2635" i="5"/>
  <c r="A2639" i="5"/>
  <c r="A2643" i="5"/>
  <c r="A2647" i="5"/>
  <c r="A2651" i="5"/>
  <c r="A2655" i="5"/>
  <c r="A2659" i="5"/>
  <c r="A2663" i="5"/>
  <c r="A2667" i="5"/>
  <c r="A2671" i="5"/>
  <c r="A2675" i="5"/>
  <c r="A2679" i="5"/>
  <c r="A2683" i="5"/>
  <c r="A2687" i="5"/>
  <c r="A2691" i="5"/>
  <c r="A2695" i="5"/>
  <c r="A2699" i="5"/>
  <c r="A2703" i="5"/>
  <c r="A2707" i="5"/>
  <c r="A2711" i="5"/>
  <c r="A2715" i="5"/>
  <c r="A2719" i="5"/>
  <c r="A2723" i="5"/>
  <c r="A2727" i="5"/>
  <c r="A2731" i="5"/>
  <c r="A2735" i="5"/>
  <c r="A2739" i="5"/>
  <c r="A2743" i="5"/>
  <c r="A2747" i="5"/>
  <c r="A2751" i="5"/>
  <c r="A2755" i="5"/>
  <c r="A2759" i="5"/>
  <c r="A2763" i="5"/>
  <c r="A2767" i="5"/>
  <c r="A2771" i="5"/>
  <c r="A2775" i="5"/>
  <c r="A2779" i="5"/>
  <c r="A2783" i="5"/>
  <c r="A2787" i="5"/>
  <c r="A2791" i="5"/>
  <c r="A2795" i="5"/>
  <c r="A2799" i="5"/>
  <c r="A2803" i="5"/>
  <c r="A2807" i="5"/>
  <c r="A2811" i="5"/>
  <c r="A2815" i="5"/>
  <c r="A2819" i="5"/>
  <c r="A2823" i="5"/>
  <c r="A2827" i="5"/>
  <c r="A2831" i="5"/>
  <c r="A2835" i="5"/>
  <c r="A2839" i="5"/>
  <c r="A2843" i="5"/>
  <c r="A2847" i="5"/>
  <c r="A2851" i="5"/>
  <c r="A2855" i="5"/>
  <c r="A2859" i="5"/>
  <c r="A2863" i="5"/>
  <c r="A2867" i="5"/>
  <c r="A2871" i="5"/>
  <c r="A2875" i="5"/>
  <c r="A2879" i="5"/>
  <c r="A2883" i="5"/>
  <c r="A2887" i="5"/>
  <c r="A2891" i="5"/>
  <c r="A2895" i="5"/>
  <c r="A2899" i="5"/>
  <c r="A2903" i="5"/>
  <c r="A2907" i="5"/>
  <c r="A2911" i="5"/>
  <c r="A2915" i="5"/>
  <c r="A2919" i="5"/>
  <c r="A2923" i="5"/>
  <c r="A2927" i="5"/>
  <c r="A2931" i="5"/>
  <c r="A2935" i="5"/>
  <c r="A2939" i="5"/>
  <c r="A2943" i="5"/>
  <c r="A2947" i="5"/>
  <c r="A2951" i="5"/>
  <c r="A2955" i="5"/>
  <c r="A2959" i="5"/>
  <c r="A2963" i="5"/>
  <c r="A2967" i="5"/>
  <c r="A2971" i="5"/>
  <c r="A2975" i="5"/>
  <c r="A133" i="5"/>
  <c r="A266" i="5"/>
  <c r="A386" i="5"/>
  <c r="A489" i="5"/>
  <c r="A577" i="5"/>
  <c r="A653" i="5"/>
  <c r="A729" i="5"/>
  <c r="A794" i="5"/>
  <c r="A838" i="5"/>
  <c r="A881" i="5"/>
  <c r="A924" i="5"/>
  <c r="A966" i="5"/>
  <c r="A1009" i="5"/>
  <c r="A1052" i="5"/>
  <c r="A1094" i="5"/>
  <c r="A1137" i="5"/>
  <c r="A1180" i="5"/>
  <c r="A1222" i="5"/>
  <c r="A1265" i="5"/>
  <c r="A1308" i="5"/>
  <c r="A1350" i="5"/>
  <c r="A1378" i="5"/>
  <c r="A1400" i="5"/>
  <c r="A1421" i="5"/>
  <c r="A1442" i="5"/>
  <c r="A1464" i="5"/>
  <c r="A1485" i="5"/>
  <c r="A1506" i="5"/>
  <c r="A1528" i="5"/>
  <c r="A1549" i="5"/>
  <c r="A1570" i="5"/>
  <c r="A1592" i="5"/>
  <c r="A1613" i="5"/>
  <c r="A1634" i="5"/>
  <c r="A1656" i="5"/>
  <c r="A1672" i="5"/>
  <c r="A1688" i="5"/>
  <c r="A1702" i="5"/>
  <c r="A1712" i="5"/>
  <c r="A1720" i="5"/>
  <c r="A1727" i="5"/>
  <c r="A1734" i="5"/>
  <c r="A1742" i="5"/>
  <c r="A1748" i="5"/>
  <c r="A1755" i="5"/>
  <c r="A1763" i="5"/>
  <c r="A1768" i="5"/>
  <c r="A1774" i="5"/>
  <c r="A1779" i="5"/>
  <c r="A1784" i="5"/>
  <c r="A1790" i="5"/>
  <c r="A1794" i="5"/>
  <c r="A1798" i="5"/>
  <c r="A1802" i="5"/>
  <c r="A1806" i="5"/>
  <c r="A1810" i="5"/>
  <c r="A1814" i="5"/>
  <c r="A1818" i="5"/>
  <c r="A1822" i="5"/>
  <c r="A1826" i="5"/>
  <c r="A1830" i="5"/>
  <c r="A1834" i="5"/>
  <c r="A1838" i="5"/>
  <c r="A1842" i="5"/>
  <c r="A1846" i="5"/>
  <c r="A1850" i="5"/>
  <c r="A1854" i="5"/>
  <c r="A1858" i="5"/>
  <c r="A1862" i="5"/>
  <c r="A1866" i="5"/>
  <c r="A1870" i="5"/>
  <c r="A1874" i="5"/>
  <c r="A1878" i="5"/>
  <c r="A1882" i="5"/>
  <c r="A1886" i="5"/>
  <c r="A1890" i="5"/>
  <c r="A1894" i="5"/>
  <c r="A1898" i="5"/>
  <c r="A1902" i="5"/>
  <c r="A1906" i="5"/>
  <c r="A1910" i="5"/>
  <c r="A1914" i="5"/>
  <c r="A1918" i="5"/>
  <c r="A1922" i="5"/>
  <c r="A1926" i="5"/>
  <c r="A1930" i="5"/>
  <c r="A1934" i="5"/>
  <c r="A1938" i="5"/>
  <c r="A1942" i="5"/>
  <c r="A1946" i="5"/>
  <c r="A1950" i="5"/>
  <c r="A1954" i="5"/>
  <c r="A1958" i="5"/>
  <c r="A1962" i="5"/>
  <c r="A1966" i="5"/>
  <c r="A1970" i="5"/>
  <c r="A1974" i="5"/>
  <c r="A1978" i="5"/>
  <c r="A1982" i="5"/>
  <c r="A1986" i="5"/>
  <c r="A1990" i="5"/>
  <c r="A1994" i="5"/>
  <c r="A1998" i="5"/>
  <c r="A2002" i="5"/>
  <c r="A2006" i="5"/>
  <c r="A2010" i="5"/>
  <c r="A2014" i="5"/>
  <c r="A2018" i="5"/>
  <c r="A2022" i="5"/>
  <c r="A2026" i="5"/>
  <c r="A2030" i="5"/>
  <c r="A2034" i="5"/>
  <c r="A2038" i="5"/>
  <c r="A2042" i="5"/>
  <c r="A2046" i="5"/>
  <c r="A2050" i="5"/>
  <c r="A2054" i="5"/>
  <c r="A2058" i="5"/>
  <c r="A2062" i="5"/>
  <c r="A2066" i="5"/>
  <c r="A2070" i="5"/>
  <c r="A2074" i="5"/>
  <c r="A2078" i="5"/>
  <c r="A2082" i="5"/>
  <c r="A2086" i="5"/>
  <c r="A2090" i="5"/>
  <c r="A2094" i="5"/>
  <c r="A2098" i="5"/>
  <c r="A2102" i="5"/>
  <c r="A2106" i="5"/>
  <c r="A2110" i="5"/>
  <c r="A2114" i="5"/>
  <c r="A2118" i="5"/>
  <c r="A2122" i="5"/>
  <c r="A2126" i="5"/>
  <c r="A2130" i="5"/>
  <c r="A2134" i="5"/>
  <c r="A2138" i="5"/>
  <c r="A2142" i="5"/>
  <c r="A2146" i="5"/>
  <c r="A2150" i="5"/>
  <c r="A2154" i="5"/>
  <c r="A2158" i="5"/>
  <c r="A2162" i="5"/>
  <c r="A2166" i="5"/>
  <c r="A2170" i="5"/>
  <c r="A2174" i="5"/>
  <c r="A2178" i="5"/>
  <c r="A2182" i="5"/>
  <c r="A2186" i="5"/>
  <c r="A2190" i="5"/>
  <c r="A2194" i="5"/>
  <c r="A2198" i="5"/>
  <c r="A2202" i="5"/>
  <c r="A2206" i="5"/>
  <c r="A2210" i="5"/>
  <c r="A2214" i="5"/>
  <c r="A2218" i="5"/>
  <c r="A2222" i="5"/>
  <c r="A2226" i="5"/>
  <c r="A2230" i="5"/>
  <c r="A2234" i="5"/>
  <c r="A2238" i="5"/>
  <c r="A2242" i="5"/>
  <c r="A2246" i="5"/>
  <c r="A2250" i="5"/>
  <c r="A2254" i="5"/>
  <c r="A2258" i="5"/>
  <c r="A2262" i="5"/>
  <c r="A2266" i="5"/>
  <c r="A2270" i="5"/>
  <c r="A2274" i="5"/>
  <c r="A2278" i="5"/>
  <c r="A2282" i="5"/>
  <c r="A2286" i="5"/>
  <c r="A2290" i="5"/>
  <c r="A2294" i="5"/>
  <c r="A2298" i="5"/>
  <c r="A2302" i="5"/>
  <c r="A2306" i="5"/>
  <c r="A2310" i="5"/>
  <c r="A2314" i="5"/>
  <c r="A2318" i="5"/>
  <c r="A2322" i="5"/>
  <c r="A2326" i="5"/>
  <c r="A2330" i="5"/>
  <c r="A2334" i="5"/>
  <c r="A2338" i="5"/>
  <c r="A2342" i="5"/>
  <c r="A2346" i="5"/>
  <c r="A2350" i="5"/>
  <c r="A2354" i="5"/>
  <c r="A2358" i="5"/>
  <c r="A2362" i="5"/>
  <c r="A2366" i="5"/>
  <c r="A2370" i="5"/>
  <c r="A2374" i="5"/>
  <c r="A2378" i="5"/>
  <c r="A2382" i="5"/>
  <c r="A2386" i="5"/>
  <c r="A2390" i="5"/>
  <c r="A2394" i="5"/>
  <c r="A2398" i="5"/>
  <c r="A2402" i="5"/>
  <c r="A2406" i="5"/>
  <c r="A2410" i="5"/>
  <c r="A2414" i="5"/>
  <c r="A2418" i="5"/>
  <c r="A2422" i="5"/>
  <c r="A2426" i="5"/>
  <c r="A2430" i="5"/>
  <c r="A2434" i="5"/>
  <c r="A2438" i="5"/>
  <c r="A2442" i="5"/>
  <c r="A2446" i="5"/>
  <c r="A2450" i="5"/>
  <c r="A2454" i="5"/>
  <c r="A2458" i="5"/>
  <c r="A2462" i="5"/>
  <c r="A2466" i="5"/>
  <c r="A2470" i="5"/>
  <c r="A2474" i="5"/>
  <c r="A2478" i="5"/>
  <c r="A2482" i="5"/>
  <c r="A2486" i="5"/>
  <c r="A2490" i="5"/>
  <c r="A2494" i="5"/>
  <c r="A2498" i="5"/>
  <c r="A2502" i="5"/>
  <c r="A2506" i="5"/>
  <c r="A2510" i="5"/>
  <c r="A2514" i="5"/>
  <c r="A2518" i="5"/>
  <c r="A2522" i="5"/>
  <c r="A2526" i="5"/>
  <c r="A2530" i="5"/>
  <c r="A2534" i="5"/>
  <c r="A2538" i="5"/>
  <c r="A2542" i="5"/>
  <c r="A2546" i="5"/>
  <c r="A2550" i="5"/>
  <c r="A2554" i="5"/>
  <c r="A2558" i="5"/>
  <c r="A2562" i="5"/>
  <c r="A2566" i="5"/>
  <c r="A2570" i="5"/>
  <c r="A2574" i="5"/>
  <c r="A2578" i="5"/>
  <c r="A2582" i="5"/>
  <c r="A2586" i="5"/>
  <c r="A2590" i="5"/>
  <c r="A2594" i="5"/>
  <c r="A2598" i="5"/>
  <c r="A2602" i="5"/>
  <c r="A2606" i="5"/>
  <c r="A2610" i="5"/>
  <c r="A2614" i="5"/>
  <c r="A2618" i="5"/>
  <c r="A2622" i="5"/>
  <c r="A2626" i="5"/>
  <c r="A2630" i="5"/>
  <c r="A2634" i="5"/>
  <c r="A2638" i="5"/>
  <c r="A2642" i="5"/>
  <c r="A2646" i="5"/>
  <c r="A2650" i="5"/>
  <c r="A2654" i="5"/>
  <c r="A2658" i="5"/>
  <c r="A2662" i="5"/>
  <c r="A2666" i="5"/>
  <c r="A2670" i="5"/>
  <c r="A2674" i="5"/>
  <c r="A2678" i="5"/>
  <c r="A2682" i="5"/>
  <c r="A2686" i="5"/>
  <c r="A2690" i="5"/>
  <c r="A2694" i="5"/>
  <c r="A2698" i="5"/>
  <c r="A2702" i="5"/>
  <c r="A2706" i="5"/>
  <c r="A2710" i="5"/>
  <c r="A2714" i="5"/>
  <c r="A2718" i="5"/>
  <c r="A2722" i="5"/>
  <c r="A2726" i="5"/>
  <c r="A2730" i="5"/>
  <c r="A2734" i="5"/>
  <c r="A2738" i="5"/>
  <c r="A2742" i="5"/>
  <c r="A2746" i="5"/>
  <c r="A2750" i="5"/>
  <c r="A2754" i="5"/>
  <c r="A2758" i="5"/>
  <c r="A2762" i="5"/>
  <c r="A2766" i="5"/>
  <c r="A2770" i="5"/>
  <c r="A2774" i="5"/>
  <c r="A2778" i="5"/>
  <c r="A2782" i="5"/>
  <c r="A2786" i="5"/>
  <c r="A2790" i="5"/>
  <c r="A2794" i="5"/>
  <c r="A2798" i="5"/>
  <c r="A2802" i="5"/>
  <c r="A2806" i="5"/>
  <c r="A2810" i="5"/>
  <c r="A2814" i="5"/>
  <c r="A2818" i="5"/>
  <c r="A2822" i="5"/>
  <c r="A2826" i="5"/>
  <c r="A2830" i="5"/>
  <c r="A2834" i="5"/>
  <c r="A2838" i="5"/>
  <c r="A2842" i="5"/>
  <c r="A2846" i="5"/>
  <c r="A2850" i="5"/>
  <c r="A2854" i="5"/>
  <c r="A2858" i="5"/>
  <c r="A2862" i="5"/>
  <c r="A2866" i="5"/>
  <c r="A2870" i="5"/>
  <c r="A2874" i="5"/>
  <c r="A2878" i="5"/>
  <c r="A2882" i="5"/>
  <c r="A2886" i="5"/>
  <c r="A2890" i="5"/>
  <c r="A2894" i="5"/>
  <c r="A2898" i="5"/>
  <c r="A2902" i="5"/>
  <c r="A2906" i="5"/>
  <c r="A2910" i="5"/>
  <c r="A2914" i="5"/>
  <c r="A2918" i="5"/>
  <c r="A2922" i="5"/>
  <c r="A2926" i="5"/>
  <c r="A2930" i="5"/>
  <c r="A2934" i="5"/>
  <c r="A2938" i="5"/>
  <c r="A2942" i="5"/>
  <c r="A2946" i="5"/>
  <c r="A2950" i="5"/>
  <c r="A65" i="5"/>
  <c r="A336" i="5"/>
  <c r="A539" i="5"/>
  <c r="A690" i="5"/>
  <c r="A817" i="5"/>
  <c r="A902" i="5"/>
  <c r="A988" i="5"/>
  <c r="A1073" i="5"/>
  <c r="A1158" i="5"/>
  <c r="A1244" i="5"/>
  <c r="A1329" i="5"/>
  <c r="A1389" i="5"/>
  <c r="A1432" i="5"/>
  <c r="A1474" i="5"/>
  <c r="A1517" i="5"/>
  <c r="A1560" i="5"/>
  <c r="A1602" i="5"/>
  <c r="A1645" i="5"/>
  <c r="A1681" i="5"/>
  <c r="A1708" i="5"/>
  <c r="A1723" i="5"/>
  <c r="A1738" i="5"/>
  <c r="A1752" i="5"/>
  <c r="A1766" i="5"/>
  <c r="A1776" i="5"/>
  <c r="A1787" i="5"/>
  <c r="A1796" i="5"/>
  <c r="A1804" i="5"/>
  <c r="A1812" i="5"/>
  <c r="A1820" i="5"/>
  <c r="A1828" i="5"/>
  <c r="A1836" i="5"/>
  <c r="A1844" i="5"/>
  <c r="A1852" i="5"/>
  <c r="A1860" i="5"/>
  <c r="A1868" i="5"/>
  <c r="A1876" i="5"/>
  <c r="A1884" i="5"/>
  <c r="A1892" i="5"/>
  <c r="A1900" i="5"/>
  <c r="A1908" i="5"/>
  <c r="A1916" i="5"/>
  <c r="A1924" i="5"/>
  <c r="A1932" i="5"/>
  <c r="A1940" i="5"/>
  <c r="A1948" i="5"/>
  <c r="A1956" i="5"/>
  <c r="A1964" i="5"/>
  <c r="A1972" i="5"/>
  <c r="A1980" i="5"/>
  <c r="A1988" i="5"/>
  <c r="A1996" i="5"/>
  <c r="A2004" i="5"/>
  <c r="A2012" i="5"/>
  <c r="A2020" i="5"/>
  <c r="A2028" i="5"/>
  <c r="A2036" i="5"/>
  <c r="A2044" i="5"/>
  <c r="A2052" i="5"/>
  <c r="A2060" i="5"/>
  <c r="A2068" i="5"/>
  <c r="A2076" i="5"/>
  <c r="A2084" i="5"/>
  <c r="A2092" i="5"/>
  <c r="A2100" i="5"/>
  <c r="A2108" i="5"/>
  <c r="A2116" i="5"/>
  <c r="A2124" i="5"/>
  <c r="A2132" i="5"/>
  <c r="A2140" i="5"/>
  <c r="A2148" i="5"/>
  <c r="A2156" i="5"/>
  <c r="A2164" i="5"/>
  <c r="A2172" i="5"/>
  <c r="A2180" i="5"/>
  <c r="A2188" i="5"/>
  <c r="A2196" i="5"/>
  <c r="A2204" i="5"/>
  <c r="A2212" i="5"/>
  <c r="A2220" i="5"/>
  <c r="A2228" i="5"/>
  <c r="A2236" i="5"/>
  <c r="A2244" i="5"/>
  <c r="A2252" i="5"/>
  <c r="A2260" i="5"/>
  <c r="A2268" i="5"/>
  <c r="A2276" i="5"/>
  <c r="A2284" i="5"/>
  <c r="A2292" i="5"/>
  <c r="A2300" i="5"/>
  <c r="A2308" i="5"/>
  <c r="A2316" i="5"/>
  <c r="A2324" i="5"/>
  <c r="A2332" i="5"/>
  <c r="A2340" i="5"/>
  <c r="A2348" i="5"/>
  <c r="A2356" i="5"/>
  <c r="A2364" i="5"/>
  <c r="A2372" i="5"/>
  <c r="A2380" i="5"/>
  <c r="A2388" i="5"/>
  <c r="A2396" i="5"/>
  <c r="A2404" i="5"/>
  <c r="A2412" i="5"/>
  <c r="A2420" i="5"/>
  <c r="A2428" i="5"/>
  <c r="A2436" i="5"/>
  <c r="A2444" i="5"/>
  <c r="A2452" i="5"/>
  <c r="A2460" i="5"/>
  <c r="A2468" i="5"/>
  <c r="A2476" i="5"/>
  <c r="A2484" i="5"/>
  <c r="A2492" i="5"/>
  <c r="A2500" i="5"/>
  <c r="A2508" i="5"/>
  <c r="A2516" i="5"/>
  <c r="A2524" i="5"/>
  <c r="A2532" i="5"/>
  <c r="A2540" i="5"/>
  <c r="A2548" i="5"/>
  <c r="A2556" i="5"/>
  <c r="A2564" i="5"/>
  <c r="A2572" i="5"/>
  <c r="A2580" i="5"/>
  <c r="A2588" i="5"/>
  <c r="A2596" i="5"/>
  <c r="A2604" i="5"/>
  <c r="A2612" i="5"/>
  <c r="A2620" i="5"/>
  <c r="A2628" i="5"/>
  <c r="A2636" i="5"/>
  <c r="A2644" i="5"/>
  <c r="A2652" i="5"/>
  <c r="A2660" i="5"/>
  <c r="A2668" i="5"/>
  <c r="A2676" i="5"/>
  <c r="A2684" i="5"/>
  <c r="A2692" i="5"/>
  <c r="A2700" i="5"/>
  <c r="A2708" i="5"/>
  <c r="A2716" i="5"/>
  <c r="A2724" i="5"/>
  <c r="A2732" i="5"/>
  <c r="A2740" i="5"/>
  <c r="A2748" i="5"/>
  <c r="A2756" i="5"/>
  <c r="A2764" i="5"/>
  <c r="A2772" i="5"/>
  <c r="A2780" i="5"/>
  <c r="A2788" i="5"/>
  <c r="A2796" i="5"/>
  <c r="A2804" i="5"/>
  <c r="A2812" i="5"/>
  <c r="A2820" i="5"/>
  <c r="A2828" i="5"/>
  <c r="A2836" i="5"/>
  <c r="A2844" i="5"/>
  <c r="A2852" i="5"/>
  <c r="A2860" i="5"/>
  <c r="A2868" i="5"/>
  <c r="A2876" i="5"/>
  <c r="A2884" i="5"/>
  <c r="A2892" i="5"/>
  <c r="A2900" i="5"/>
  <c r="A2908" i="5"/>
  <c r="A2916" i="5"/>
  <c r="A2924" i="5"/>
  <c r="A2932" i="5"/>
  <c r="A2940" i="5"/>
  <c r="A2948" i="5"/>
  <c r="A2954" i="5"/>
  <c r="A2960" i="5"/>
  <c r="A2965" i="5"/>
  <c r="A2970" i="5"/>
  <c r="A2976" i="5"/>
  <c r="A2980" i="5"/>
  <c r="A2984" i="5"/>
  <c r="A2988" i="5"/>
  <c r="A2992" i="5"/>
  <c r="A2996" i="5"/>
  <c r="A3000" i="5"/>
  <c r="A3004" i="5"/>
  <c r="A3008" i="5"/>
  <c r="A3012" i="5"/>
  <c r="A3016" i="5"/>
  <c r="A3020" i="5"/>
  <c r="A3024" i="5"/>
  <c r="A3028" i="5"/>
  <c r="A3032" i="5"/>
  <c r="A3036" i="5"/>
  <c r="A3040" i="5"/>
  <c r="A3044" i="5"/>
  <c r="A3048" i="5"/>
  <c r="A3052" i="5"/>
  <c r="A3056" i="5"/>
  <c r="A3060" i="5"/>
  <c r="A3064" i="5"/>
  <c r="A3068" i="5"/>
  <c r="A3072" i="5"/>
  <c r="A3076" i="5"/>
  <c r="A3080" i="5"/>
  <c r="A3084" i="5"/>
  <c r="A3088" i="5"/>
  <c r="A3092" i="5"/>
  <c r="A3096" i="5"/>
  <c r="A3100" i="5"/>
  <c r="A3104" i="5"/>
  <c r="A3108" i="5"/>
  <c r="A3112" i="5"/>
  <c r="A3116" i="5"/>
  <c r="A3120" i="5"/>
  <c r="A3124" i="5"/>
  <c r="A3128" i="5"/>
  <c r="A3132" i="5"/>
  <c r="A3136" i="5"/>
  <c r="A3140" i="5"/>
  <c r="A3144" i="5"/>
  <c r="A3148" i="5"/>
  <c r="A3152" i="5"/>
  <c r="A3156" i="5"/>
  <c r="A3160" i="5"/>
  <c r="A3164" i="5"/>
  <c r="A3168" i="5"/>
  <c r="A3172" i="5"/>
  <c r="A3176" i="5"/>
  <c r="A3180" i="5"/>
  <c r="A3184" i="5"/>
  <c r="A3188" i="5"/>
  <c r="A3192" i="5"/>
  <c r="A3196" i="5"/>
  <c r="A3200" i="5"/>
  <c r="A3204" i="5"/>
  <c r="A3208" i="5"/>
  <c r="A3212" i="5"/>
  <c r="A3216" i="5"/>
  <c r="A3220" i="5"/>
  <c r="A3224" i="5"/>
  <c r="A3228" i="5"/>
  <c r="A3232" i="5"/>
  <c r="A3236" i="5"/>
  <c r="A3240" i="5"/>
  <c r="A3244" i="5"/>
  <c r="A3248" i="5"/>
  <c r="A3252" i="5"/>
  <c r="A3256" i="5"/>
  <c r="A3260" i="5"/>
  <c r="A3264" i="5"/>
  <c r="A3268" i="5"/>
  <c r="A3272" i="5"/>
  <c r="A3276" i="5"/>
  <c r="A3280" i="5"/>
  <c r="A3284" i="5"/>
  <c r="A3288" i="5"/>
  <c r="A3292" i="5"/>
  <c r="A3296" i="5"/>
  <c r="A3300" i="5"/>
  <c r="A3304" i="5"/>
  <c r="A3308" i="5"/>
  <c r="A3312" i="5"/>
  <c r="A3316" i="5"/>
  <c r="A3320" i="5"/>
  <c r="A3324" i="5"/>
  <c r="A3328" i="5"/>
  <c r="A3332" i="5"/>
  <c r="A3336" i="5"/>
  <c r="A3340" i="5"/>
  <c r="A3344" i="5"/>
  <c r="A3348" i="5"/>
  <c r="A3352" i="5"/>
  <c r="A3356" i="5"/>
  <c r="A3360" i="5"/>
  <c r="A3364" i="5"/>
  <c r="A3368" i="5"/>
  <c r="A3372" i="5"/>
  <c r="A3376" i="5"/>
  <c r="A3380" i="5"/>
  <c r="A3384" i="5"/>
  <c r="A3388" i="5"/>
  <c r="A3392" i="5"/>
  <c r="A3396" i="5"/>
  <c r="A3400" i="5"/>
  <c r="A3404" i="5"/>
  <c r="A3408" i="5"/>
  <c r="A3412" i="5"/>
  <c r="A3416" i="5"/>
  <c r="A3420" i="5"/>
  <c r="A3424" i="5"/>
  <c r="A3428" i="5"/>
  <c r="A3432" i="5"/>
  <c r="A3436" i="5"/>
  <c r="A3440" i="5"/>
  <c r="A3444" i="5"/>
  <c r="A3448" i="5"/>
  <c r="A3452" i="5"/>
  <c r="A3456" i="5"/>
  <c r="A3460" i="5"/>
  <c r="A3464" i="5"/>
  <c r="A3468" i="5"/>
  <c r="A3472" i="5"/>
  <c r="A3476" i="5"/>
  <c r="A3480" i="5"/>
  <c r="A3484" i="5"/>
  <c r="A3488" i="5"/>
  <c r="A3492" i="5"/>
  <c r="A3496" i="5"/>
  <c r="A97" i="5"/>
  <c r="A361" i="5"/>
  <c r="A558" i="5"/>
  <c r="A710" i="5"/>
  <c r="A828" i="5"/>
  <c r="A913" i="5"/>
  <c r="A998" i="5"/>
  <c r="A1084" i="5"/>
  <c r="A1169" i="5"/>
  <c r="A1254" i="5"/>
  <c r="A1340" i="5"/>
  <c r="A1394" i="5"/>
  <c r="A1437" i="5"/>
  <c r="A1480" i="5"/>
  <c r="A1522" i="5"/>
  <c r="A1565" i="5"/>
  <c r="A1608" i="5"/>
  <c r="A1650" i="5"/>
  <c r="A1682" i="5"/>
  <c r="A1711" i="5"/>
  <c r="A1726" i="5"/>
  <c r="A1739" i="5"/>
  <c r="A1754" i="5"/>
  <c r="A1767" i="5"/>
  <c r="A1778" i="5"/>
  <c r="A1788" i="5"/>
  <c r="A1797" i="5"/>
  <c r="A1805" i="5"/>
  <c r="A1813" i="5"/>
  <c r="A1821" i="5"/>
  <c r="A1829" i="5"/>
  <c r="A1837" i="5"/>
  <c r="A1845" i="5"/>
  <c r="A1853" i="5"/>
  <c r="A1861" i="5"/>
  <c r="A1869" i="5"/>
  <c r="A1877" i="5"/>
  <c r="A1885" i="5"/>
  <c r="A1893" i="5"/>
  <c r="A1901" i="5"/>
  <c r="A1909" i="5"/>
  <c r="A1917" i="5"/>
  <c r="A1925" i="5"/>
  <c r="A1933" i="5"/>
  <c r="A1941" i="5"/>
  <c r="A1949" i="5"/>
  <c r="A1957" i="5"/>
  <c r="A1965" i="5"/>
  <c r="A1973" i="5"/>
  <c r="A1981" i="5"/>
  <c r="A1989" i="5"/>
  <c r="A1997" i="5"/>
  <c r="A2005" i="5"/>
  <c r="A2013" i="5"/>
  <c r="A2021" i="5"/>
  <c r="A2029" i="5"/>
  <c r="A2037" i="5"/>
  <c r="A2045" i="5"/>
  <c r="A2053" i="5"/>
  <c r="A2061" i="5"/>
  <c r="A2069" i="5"/>
  <c r="A2077" i="5"/>
  <c r="A2085" i="5"/>
  <c r="A2093" i="5"/>
  <c r="A2101" i="5"/>
  <c r="A2109" i="5"/>
  <c r="A2117" i="5"/>
  <c r="A2125" i="5"/>
  <c r="A2133" i="5"/>
  <c r="A2141" i="5"/>
  <c r="A2149" i="5"/>
  <c r="A2157" i="5"/>
  <c r="A2165" i="5"/>
  <c r="A2173" i="5"/>
  <c r="A2181" i="5"/>
  <c r="A2189" i="5"/>
  <c r="A2197" i="5"/>
  <c r="A2205" i="5"/>
  <c r="A2213" i="5"/>
  <c r="A2221" i="5"/>
  <c r="A2229" i="5"/>
  <c r="A2237" i="5"/>
  <c r="A2245" i="5"/>
  <c r="A2253" i="5"/>
  <c r="A2261" i="5"/>
  <c r="A2269" i="5"/>
  <c r="A2277" i="5"/>
  <c r="A2285" i="5"/>
  <c r="A2293" i="5"/>
  <c r="A2301" i="5"/>
  <c r="A2309" i="5"/>
  <c r="A2317" i="5"/>
  <c r="A2325" i="5"/>
  <c r="A2333" i="5"/>
  <c r="A2341" i="5"/>
  <c r="A2349" i="5"/>
  <c r="A2357" i="5"/>
  <c r="A2365" i="5"/>
  <c r="A2373" i="5"/>
  <c r="A2381" i="5"/>
  <c r="A2389" i="5"/>
  <c r="A2397" i="5"/>
  <c r="A2405" i="5"/>
  <c r="A2413" i="5"/>
  <c r="A2421" i="5"/>
  <c r="A2429" i="5"/>
  <c r="A2437" i="5"/>
  <c r="A2445" i="5"/>
  <c r="A2453" i="5"/>
  <c r="A2461" i="5"/>
  <c r="A2469" i="5"/>
  <c r="A2477" i="5"/>
  <c r="A2485" i="5"/>
  <c r="A2493" i="5"/>
  <c r="A2501" i="5"/>
  <c r="A2509" i="5"/>
  <c r="A2517" i="5"/>
  <c r="A2525" i="5"/>
  <c r="A2533" i="5"/>
  <c r="A2541" i="5"/>
  <c r="A2549" i="5"/>
  <c r="A2557" i="5"/>
  <c r="A2565" i="5"/>
  <c r="A2573" i="5"/>
  <c r="A2581" i="5"/>
  <c r="A2589" i="5"/>
  <c r="A2597" i="5"/>
  <c r="A2605" i="5"/>
  <c r="A2613" i="5"/>
  <c r="A2621" i="5"/>
  <c r="A2629" i="5"/>
  <c r="A2637" i="5"/>
  <c r="A2645" i="5"/>
  <c r="A2653" i="5"/>
  <c r="A2661" i="5"/>
  <c r="A2669" i="5"/>
  <c r="A2677" i="5"/>
  <c r="A2685" i="5"/>
  <c r="A2693" i="5"/>
  <c r="A2701" i="5"/>
  <c r="A2709" i="5"/>
  <c r="A2717" i="5"/>
  <c r="A2725" i="5"/>
  <c r="A2733" i="5"/>
  <c r="A2741" i="5"/>
  <c r="A2749" i="5"/>
  <c r="A2757" i="5"/>
  <c r="A2765" i="5"/>
  <c r="A2773" i="5"/>
  <c r="A2781" i="5"/>
  <c r="A2789" i="5"/>
  <c r="A2797" i="5"/>
  <c r="A2805" i="5"/>
  <c r="A2813" i="5"/>
  <c r="A2821" i="5"/>
  <c r="A2829" i="5"/>
  <c r="A2837" i="5"/>
  <c r="A2845" i="5"/>
  <c r="A2853" i="5"/>
  <c r="A2861" i="5"/>
  <c r="A2869" i="5"/>
  <c r="A2877" i="5"/>
  <c r="A2885" i="5"/>
  <c r="A2893" i="5"/>
  <c r="A2901" i="5"/>
  <c r="A2909" i="5"/>
  <c r="A2917" i="5"/>
  <c r="A2925" i="5"/>
  <c r="A2933" i="5"/>
  <c r="A2941" i="5"/>
  <c r="A2949" i="5"/>
  <c r="A2956" i="5"/>
  <c r="A2961" i="5"/>
  <c r="A2966" i="5"/>
  <c r="A2972" i="5"/>
  <c r="A2977" i="5"/>
  <c r="A2981" i="5"/>
  <c r="A2985" i="5"/>
  <c r="A2989" i="5"/>
  <c r="A2993" i="5"/>
  <c r="A2997" i="5"/>
  <c r="A3001" i="5"/>
  <c r="A3005" i="5"/>
  <c r="A3009" i="5"/>
  <c r="A3013" i="5"/>
  <c r="A3017" i="5"/>
  <c r="A3021" i="5"/>
  <c r="A3025" i="5"/>
  <c r="A3029" i="5"/>
  <c r="A3033" i="5"/>
  <c r="A3037" i="5"/>
  <c r="A3041" i="5"/>
  <c r="A3045" i="5"/>
  <c r="A3049" i="5"/>
  <c r="A3053" i="5"/>
  <c r="A3057" i="5"/>
  <c r="A3061" i="5"/>
  <c r="A3065" i="5"/>
  <c r="A3069" i="5"/>
  <c r="A3073" i="5"/>
  <c r="A3077" i="5"/>
  <c r="A3081" i="5"/>
  <c r="A3085" i="5"/>
  <c r="A3089" i="5"/>
  <c r="A3093" i="5"/>
  <c r="A3097" i="5"/>
  <c r="A3101" i="5"/>
  <c r="A3105" i="5"/>
  <c r="A3109" i="5"/>
  <c r="A3113" i="5"/>
  <c r="A3117" i="5"/>
  <c r="A3121" i="5"/>
  <c r="A3125" i="5"/>
  <c r="A3129" i="5"/>
  <c r="A3133" i="5"/>
  <c r="A3137" i="5"/>
  <c r="A3141" i="5"/>
  <c r="A3145" i="5"/>
  <c r="A3149" i="5"/>
  <c r="A3153" i="5"/>
  <c r="A3157" i="5"/>
  <c r="A3161" i="5"/>
  <c r="A3165" i="5"/>
  <c r="A3169" i="5"/>
  <c r="A3173" i="5"/>
  <c r="A3177" i="5"/>
  <c r="A3181" i="5"/>
  <c r="A3185" i="5"/>
  <c r="A3189" i="5"/>
  <c r="A3193" i="5"/>
  <c r="A3197" i="5"/>
  <c r="A3201" i="5"/>
  <c r="A3205" i="5"/>
  <c r="A3209" i="5"/>
  <c r="A3213" i="5"/>
  <c r="A3217" i="5"/>
  <c r="A3221" i="5"/>
  <c r="A3225" i="5"/>
  <c r="A3229" i="5"/>
  <c r="A3233" i="5"/>
  <c r="A3237" i="5"/>
  <c r="A3241" i="5"/>
  <c r="A3245" i="5"/>
  <c r="A3249" i="5"/>
  <c r="A3253" i="5"/>
  <c r="A3257" i="5"/>
  <c r="A3261" i="5"/>
  <c r="A3265" i="5"/>
  <c r="A3269" i="5"/>
  <c r="A3273" i="5"/>
  <c r="A3277" i="5"/>
  <c r="A3281" i="5"/>
  <c r="A3285" i="5"/>
  <c r="A3289" i="5"/>
  <c r="A3293" i="5"/>
  <c r="A3297" i="5"/>
  <c r="A3301" i="5"/>
  <c r="A3305" i="5"/>
  <c r="A3309" i="5"/>
  <c r="A3313" i="5"/>
  <c r="A3317" i="5"/>
  <c r="A3321" i="5"/>
  <c r="A3325" i="5"/>
  <c r="A3329" i="5"/>
  <c r="A3333" i="5"/>
  <c r="A3337" i="5"/>
  <c r="A3341" i="5"/>
  <c r="A3345" i="5"/>
  <c r="A3349" i="5"/>
  <c r="A3353" i="5"/>
  <c r="A3357" i="5"/>
  <c r="A3361" i="5"/>
  <c r="A3365" i="5"/>
  <c r="A3369" i="5"/>
  <c r="A3373" i="5"/>
  <c r="A3377" i="5"/>
  <c r="A3381" i="5"/>
  <c r="A3385" i="5"/>
  <c r="A3389" i="5"/>
  <c r="A3393" i="5"/>
  <c r="A3397" i="5"/>
  <c r="A3401" i="5"/>
  <c r="A3405" i="5"/>
  <c r="A3409" i="5"/>
  <c r="A3413" i="5"/>
  <c r="A3417" i="5"/>
  <c r="A3421" i="5"/>
  <c r="A3425" i="5"/>
  <c r="A3429" i="5"/>
  <c r="A3433" i="5"/>
  <c r="A3437" i="5"/>
  <c r="A3441" i="5"/>
  <c r="A3445" i="5"/>
  <c r="A3449" i="5"/>
  <c r="A3453" i="5"/>
  <c r="A3457" i="5"/>
  <c r="A3461" i="5"/>
  <c r="A3465" i="5"/>
  <c r="A3469" i="5"/>
  <c r="A3473" i="5"/>
  <c r="A3477" i="5"/>
  <c r="A3481" i="5"/>
  <c r="A3485" i="5"/>
  <c r="A3489" i="5"/>
  <c r="A3493" i="5"/>
  <c r="A3497" i="5"/>
  <c r="A3501" i="5"/>
  <c r="A3505" i="5"/>
  <c r="A3509" i="5"/>
  <c r="A3513" i="5"/>
  <c r="A3517" i="5"/>
  <c r="A3521" i="5"/>
  <c r="A3525" i="5"/>
  <c r="A3529" i="5"/>
  <c r="A3533" i="5"/>
  <c r="A3537" i="5"/>
  <c r="A3541" i="5"/>
  <c r="A3545" i="5"/>
  <c r="A3549" i="5"/>
  <c r="A3553" i="5"/>
  <c r="A3557" i="5"/>
  <c r="A3561" i="5"/>
  <c r="A3565" i="5"/>
  <c r="A3569" i="5"/>
  <c r="A3573" i="5"/>
  <c r="A3577" i="5"/>
  <c r="A3581" i="5"/>
  <c r="A3585" i="5"/>
  <c r="A3589" i="5"/>
  <c r="A3593" i="5"/>
  <c r="A3597" i="5"/>
  <c r="A3601" i="5"/>
  <c r="A3605" i="5"/>
  <c r="A3609" i="5"/>
  <c r="A3613" i="5"/>
  <c r="A3617" i="5"/>
  <c r="A3621" i="5"/>
  <c r="A3625" i="5"/>
  <c r="A3629" i="5"/>
  <c r="A3633" i="5"/>
  <c r="A3637" i="5"/>
  <c r="A3744" i="5"/>
  <c r="A3740" i="5"/>
  <c r="A3736" i="5"/>
  <c r="A3732" i="5"/>
  <c r="A3728" i="5"/>
  <c r="A3724" i="5"/>
  <c r="A3720" i="5"/>
  <c r="A3716" i="5"/>
  <c r="A3712" i="5"/>
  <c r="A3708" i="5"/>
  <c r="A3704" i="5"/>
  <c r="A3700" i="5"/>
  <c r="A3696" i="5"/>
  <c r="A3692" i="5"/>
  <c r="A3688" i="5"/>
  <c r="A3684" i="5"/>
  <c r="A3680" i="5"/>
  <c r="A3676" i="5"/>
  <c r="A3672" i="5"/>
  <c r="A3668" i="5"/>
  <c r="A3664" i="5"/>
  <c r="A3660" i="5"/>
  <c r="A3656" i="5"/>
  <c r="A3652" i="5"/>
  <c r="A3648" i="5"/>
  <c r="A3644" i="5"/>
  <c r="A3640" i="5"/>
  <c r="A3635" i="5"/>
  <c r="A3630" i="5"/>
  <c r="A3624" i="5"/>
  <c r="A3619" i="5"/>
  <c r="A3614" i="5"/>
  <c r="A3608" i="5"/>
  <c r="A3603" i="5"/>
  <c r="A3598" i="5"/>
  <c r="A3592" i="5"/>
  <c r="A3587" i="5"/>
  <c r="A3582" i="5"/>
  <c r="A3576" i="5"/>
  <c r="A3571" i="5"/>
  <c r="A3566" i="5"/>
  <c r="A3560" i="5"/>
  <c r="A3555" i="5"/>
  <c r="A3550" i="5"/>
  <c r="A3544" i="5"/>
  <c r="A3539" i="5"/>
  <c r="A3534" i="5"/>
  <c r="A3528" i="5"/>
  <c r="A3523" i="5"/>
  <c r="A3518" i="5"/>
  <c r="A3512" i="5"/>
  <c r="A3507" i="5"/>
  <c r="A3502" i="5"/>
  <c r="A3495" i="5"/>
  <c r="A3487" i="5"/>
  <c r="A3479" i="5"/>
  <c r="A3471" i="5"/>
  <c r="A3463" i="5"/>
  <c r="A3455" i="5"/>
  <c r="A3447" i="5"/>
  <c r="A3439" i="5"/>
  <c r="A3431" i="5"/>
  <c r="A3423" i="5"/>
  <c r="A3415" i="5"/>
  <c r="A3407" i="5"/>
  <c r="A3399" i="5"/>
  <c r="A3391" i="5"/>
  <c r="A3383" i="5"/>
  <c r="A3375" i="5"/>
  <c r="A3367" i="5"/>
  <c r="A3359" i="5"/>
  <c r="A3351" i="5"/>
  <c r="A3343" i="5"/>
  <c r="A3335" i="5"/>
  <c r="A3327" i="5"/>
  <c r="A3319" i="5"/>
  <c r="A3311" i="5"/>
  <c r="A3303" i="5"/>
  <c r="A3295" i="5"/>
  <c r="A3287" i="5"/>
  <c r="A3279" i="5"/>
  <c r="A3271" i="5"/>
  <c r="A3263" i="5"/>
  <c r="A3255" i="5"/>
  <c r="A3247" i="5"/>
  <c r="A3239" i="5"/>
  <c r="A3231" i="5"/>
  <c r="A3223" i="5"/>
  <c r="A3215" i="5"/>
  <c r="A3207" i="5"/>
  <c r="A3199" i="5"/>
  <c r="A3191" i="5"/>
  <c r="A3183" i="5"/>
  <c r="A3175" i="5"/>
  <c r="A3167" i="5"/>
  <c r="A3159" i="5"/>
  <c r="A3151" i="5"/>
  <c r="A3143" i="5"/>
  <c r="A3135" i="5"/>
  <c r="A3127" i="5"/>
  <c r="A3119" i="5"/>
  <c r="A3111" i="5"/>
  <c r="A3103" i="5"/>
  <c r="A3095" i="5"/>
  <c r="A3087" i="5"/>
  <c r="A3079" i="5"/>
  <c r="A3071" i="5"/>
  <c r="A3063" i="5"/>
  <c r="A3055" i="5"/>
  <c r="A3047" i="5"/>
  <c r="A3039" i="5"/>
  <c r="A3031" i="5"/>
  <c r="A3023" i="5"/>
  <c r="A3015" i="5"/>
  <c r="A3007" i="5"/>
  <c r="A2999" i="5"/>
  <c r="A2991" i="5"/>
  <c r="A2983" i="5"/>
  <c r="A2974" i="5"/>
  <c r="A2964" i="5"/>
  <c r="A2953" i="5"/>
  <c r="A2937" i="5"/>
  <c r="A2921" i="5"/>
  <c r="A2905" i="5"/>
  <c r="A2889" i="5"/>
  <c r="A2873" i="5"/>
  <c r="A2857" i="5"/>
  <c r="A2841" i="5"/>
  <c r="A2825" i="5"/>
  <c r="A2809" i="5"/>
  <c r="A2793" i="5"/>
  <c r="A2777" i="5"/>
  <c r="A2761" i="5"/>
  <c r="A2745" i="5"/>
  <c r="A2729" i="5"/>
  <c r="A2713" i="5"/>
  <c r="A2697" i="5"/>
  <c r="A2681" i="5"/>
  <c r="A2665" i="5"/>
  <c r="A2649" i="5"/>
  <c r="A2633" i="5"/>
  <c r="A2617" i="5"/>
  <c r="A2601" i="5"/>
  <c r="A2585" i="5"/>
  <c r="A2569" i="5"/>
  <c r="A2553" i="5"/>
  <c r="A2537" i="5"/>
  <c r="A2521" i="5"/>
  <c r="A2505" i="5"/>
  <c r="A2489" i="5"/>
  <c r="A2473" i="5"/>
  <c r="A2457" i="5"/>
  <c r="A2441" i="5"/>
  <c r="A2425" i="5"/>
  <c r="A2409" i="5"/>
  <c r="A2393" i="5"/>
  <c r="A2377" i="5"/>
  <c r="A2361" i="5"/>
  <c r="A2345" i="5"/>
  <c r="A2329" i="5"/>
  <c r="A2313" i="5"/>
  <c r="A2297" i="5"/>
  <c r="A2281" i="5"/>
  <c r="A2265" i="5"/>
  <c r="A2249" i="5"/>
  <c r="A2233" i="5"/>
  <c r="A2217" i="5"/>
  <c r="A2201" i="5"/>
  <c r="A2185" i="5"/>
  <c r="A2169" i="5"/>
  <c r="A2153" i="5"/>
  <c r="A2137" i="5"/>
  <c r="A2121" i="5"/>
  <c r="A2105" i="5"/>
  <c r="A2089" i="5"/>
  <c r="A2073" i="5"/>
  <c r="A2057" i="5"/>
  <c r="A2041" i="5"/>
  <c r="A2025" i="5"/>
  <c r="A2009" i="5"/>
  <c r="A1993" i="5"/>
  <c r="A1977" i="5"/>
  <c r="A1961" i="5"/>
  <c r="A1945" i="5"/>
  <c r="A1929" i="5"/>
  <c r="A1913" i="5"/>
  <c r="A1897" i="5"/>
  <c r="A1881" i="5"/>
  <c r="A1865" i="5"/>
  <c r="A1849" i="5"/>
  <c r="A1833" i="5"/>
  <c r="A1817" i="5"/>
  <c r="A1801" i="5"/>
  <c r="A1783" i="5"/>
  <c r="A1760" i="5"/>
  <c r="A1732" i="5"/>
  <c r="A1698" i="5"/>
  <c r="A1629" i="5"/>
  <c r="A1544" i="5"/>
  <c r="A1458" i="5"/>
  <c r="A1373" i="5"/>
  <c r="A1212" i="5"/>
  <c r="A1041" i="5"/>
  <c r="A870" i="5"/>
  <c r="A633" i="5"/>
  <c r="A236" i="5"/>
  <c r="A3743" i="5"/>
  <c r="A3739" i="5"/>
  <c r="A3735" i="5"/>
  <c r="A3731" i="5"/>
  <c r="A3727" i="5"/>
  <c r="A3723" i="5"/>
  <c r="A3719" i="5"/>
  <c r="A3715" i="5"/>
  <c r="A3711" i="5"/>
  <c r="A3707" i="5"/>
  <c r="A3703" i="5"/>
  <c r="A3699" i="5"/>
  <c r="A3695" i="5"/>
  <c r="A3691" i="5"/>
  <c r="A3687" i="5"/>
  <c r="A3683" i="5"/>
  <c r="A3679" i="5"/>
  <c r="A3675" i="5"/>
  <c r="A3671" i="5"/>
  <c r="A3667" i="5"/>
  <c r="A3663" i="5"/>
  <c r="A3659" i="5"/>
  <c r="A3655" i="5"/>
  <c r="A3651" i="5"/>
  <c r="A3647" i="5"/>
  <c r="A3643" i="5"/>
  <c r="A3639" i="5"/>
  <c r="A3634" i="5"/>
  <c r="A3628" i="5"/>
  <c r="A3623" i="5"/>
  <c r="A3618" i="5"/>
  <c r="A3612" i="5"/>
  <c r="A3607" i="5"/>
  <c r="A3602" i="5"/>
  <c r="A3596" i="5"/>
  <c r="A3591" i="5"/>
  <c r="A3586" i="5"/>
  <c r="A3580" i="5"/>
  <c r="A3575" i="5"/>
  <c r="A3570" i="5"/>
  <c r="A3564" i="5"/>
  <c r="A3559" i="5"/>
  <c r="A3554" i="5"/>
  <c r="A3548" i="5"/>
  <c r="A3543" i="5"/>
  <c r="A3538" i="5"/>
  <c r="A3532" i="5"/>
  <c r="A3527" i="5"/>
  <c r="A3522" i="5"/>
  <c r="A3516" i="5"/>
  <c r="A3511" i="5"/>
  <c r="A3506" i="5"/>
  <c r="A3500" i="5"/>
  <c r="A3494" i="5"/>
  <c r="A3486" i="5"/>
  <c r="A3478" i="5"/>
  <c r="A3470" i="5"/>
  <c r="A3462" i="5"/>
  <c r="A3454" i="5"/>
  <c r="A3446" i="5"/>
  <c r="A3438" i="5"/>
  <c r="A3430" i="5"/>
  <c r="A3422" i="5"/>
  <c r="A3414" i="5"/>
  <c r="A3406" i="5"/>
  <c r="A3398" i="5"/>
  <c r="A3390" i="5"/>
  <c r="A3382" i="5"/>
  <c r="A3374" i="5"/>
  <c r="A3366" i="5"/>
  <c r="A3358" i="5"/>
  <c r="A3350" i="5"/>
  <c r="A3342" i="5"/>
  <c r="A3334" i="5"/>
  <c r="A3326" i="5"/>
  <c r="A3318" i="5"/>
  <c r="A3310" i="5"/>
  <c r="A3302" i="5"/>
  <c r="A3294" i="5"/>
  <c r="A3286" i="5"/>
  <c r="A3278" i="5"/>
  <c r="A3270" i="5"/>
  <c r="A3262" i="5"/>
  <c r="A3254" i="5"/>
  <c r="A3246" i="5"/>
  <c r="A3238" i="5"/>
  <c r="A3230" i="5"/>
  <c r="A3222" i="5"/>
  <c r="A3214" i="5"/>
  <c r="A3206" i="5"/>
  <c r="A3198" i="5"/>
  <c r="A3190" i="5"/>
  <c r="A3182" i="5"/>
  <c r="A3174" i="5"/>
  <c r="A3166" i="5"/>
  <c r="A3158" i="5"/>
  <c r="A3150" i="5"/>
  <c r="A3142" i="5"/>
  <c r="A3134" i="5"/>
  <c r="A3126" i="5"/>
  <c r="A3118" i="5"/>
  <c r="A3110" i="5"/>
  <c r="A3102" i="5"/>
  <c r="A3094" i="5"/>
  <c r="A3086" i="5"/>
  <c r="A3078" i="5"/>
  <c r="A3070" i="5"/>
  <c r="A3062" i="5"/>
  <c r="A3054" i="5"/>
  <c r="A3046" i="5"/>
  <c r="A3038" i="5"/>
  <c r="A3030" i="5"/>
  <c r="A3022" i="5"/>
  <c r="A3014" i="5"/>
  <c r="A3006" i="5"/>
  <c r="A2998" i="5"/>
  <c r="A2990" i="5"/>
  <c r="A2982" i="5"/>
  <c r="A2973" i="5"/>
  <c r="A2962" i="5"/>
  <c r="A2952" i="5"/>
  <c r="A2936" i="5"/>
  <c r="A2920" i="5"/>
  <c r="A2904" i="5"/>
  <c r="A2888" i="5"/>
  <c r="A2872" i="5"/>
  <c r="A2856" i="5"/>
  <c r="A2840" i="5"/>
  <c r="A2824" i="5"/>
  <c r="A2808" i="5"/>
  <c r="A2792" i="5"/>
  <c r="A2776" i="5"/>
  <c r="A2760" i="5"/>
  <c r="A2744" i="5"/>
  <c r="A2728" i="5"/>
  <c r="A2712" i="5"/>
  <c r="A2696" i="5"/>
  <c r="A2680" i="5"/>
  <c r="A2664" i="5"/>
  <c r="A2648" i="5"/>
  <c r="A2632" i="5"/>
  <c r="A2616" i="5"/>
  <c r="A2600" i="5"/>
  <c r="A2584" i="5"/>
  <c r="A2568" i="5"/>
  <c r="A2552" i="5"/>
  <c r="A2536" i="5"/>
  <c r="A2520" i="5"/>
  <c r="A2504" i="5"/>
  <c r="A2488" i="5"/>
  <c r="A2472" i="5"/>
  <c r="A2456" i="5"/>
  <c r="A2440" i="5"/>
  <c r="A2424" i="5"/>
  <c r="A2408" i="5"/>
  <c r="A2392" i="5"/>
  <c r="A2376" i="5"/>
  <c r="A2360" i="5"/>
  <c r="A2344" i="5"/>
  <c r="A2328" i="5"/>
  <c r="A2312" i="5"/>
  <c r="A2296" i="5"/>
  <c r="A2280" i="5"/>
  <c r="A2264" i="5"/>
  <c r="A2248" i="5"/>
  <c r="A2232" i="5"/>
  <c r="A2216" i="5"/>
  <c r="A2200" i="5"/>
  <c r="A2184" i="5"/>
  <c r="A2168" i="5"/>
  <c r="A2152" i="5"/>
  <c r="A2136" i="5"/>
  <c r="A2120" i="5"/>
  <c r="A2104" i="5"/>
  <c r="A2088" i="5"/>
  <c r="A2072" i="5"/>
  <c r="A2056" i="5"/>
  <c r="A2040" i="5"/>
  <c r="A2024" i="5"/>
  <c r="A2008" i="5"/>
  <c r="A1992" i="5"/>
  <c r="A1976" i="5"/>
  <c r="A1960" i="5"/>
  <c r="A1944" i="5"/>
  <c r="A1928" i="5"/>
  <c r="A1912" i="5"/>
  <c r="A1896" i="5"/>
  <c r="A1880" i="5"/>
  <c r="A1864" i="5"/>
  <c r="A1848" i="5"/>
  <c r="A1832" i="5"/>
  <c r="A1816" i="5"/>
  <c r="A1800" i="5"/>
  <c r="A1782" i="5"/>
  <c r="A1759" i="5"/>
  <c r="A1731" i="5"/>
  <c r="A1693" i="5"/>
  <c r="A1624" i="5"/>
  <c r="A1538" i="5"/>
  <c r="A1453" i="5"/>
  <c r="A1368" i="5"/>
  <c r="A1201" i="5"/>
  <c r="A1030" i="5"/>
  <c r="A860" i="5"/>
  <c r="A615" i="5"/>
  <c r="A200" i="5"/>
  <c r="A10" i="4" l="1"/>
  <c r="A11" i="4"/>
  <c r="A12" i="4"/>
  <c r="A13" i="4"/>
  <c r="A14" i="4"/>
  <c r="A15" i="4"/>
  <c r="A16" i="4"/>
  <c r="A17" i="4"/>
  <c r="A18" i="4"/>
  <c r="A19" i="4"/>
  <c r="A20" i="4"/>
  <c r="A21" i="4"/>
  <c r="A22" i="4"/>
  <c r="A23" i="4"/>
  <c r="A24" i="4"/>
  <c r="A25" i="4"/>
  <c r="A26" i="4"/>
  <c r="A27" i="4"/>
  <c r="A28" i="4"/>
  <c r="A29" i="4"/>
  <c r="A30" i="4"/>
  <c r="A31" i="4"/>
  <c r="A32" i="4"/>
  <c r="A33" i="4"/>
  <c r="A34" i="4"/>
  <c r="A35" i="4"/>
  <c r="A36" i="4"/>
  <c r="A37" i="4"/>
  <c r="A38" i="4"/>
  <c r="A39" i="4"/>
  <c r="A40" i="4"/>
  <c r="A41" i="4"/>
  <c r="A42" i="4"/>
  <c r="A43" i="4"/>
  <c r="A44" i="4"/>
  <c r="A45" i="4"/>
  <c r="A46" i="4"/>
  <c r="A47" i="4"/>
  <c r="A48" i="4"/>
  <c r="A49" i="4"/>
  <c r="A50" i="4"/>
  <c r="A51" i="4"/>
  <c r="A52" i="4"/>
  <c r="A53" i="4"/>
  <c r="A54" i="4"/>
  <c r="A55" i="4"/>
  <c r="A56" i="4"/>
  <c r="A57" i="4"/>
  <c r="A58" i="4"/>
  <c r="A59" i="4"/>
  <c r="A60" i="4"/>
  <c r="A61" i="4"/>
  <c r="A62" i="4"/>
  <c r="A63" i="4"/>
  <c r="A64" i="4"/>
  <c r="A65"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A98" i="4"/>
  <c r="A99" i="4"/>
  <c r="A100" i="4"/>
  <c r="A101" i="4"/>
  <c r="A102" i="4"/>
  <c r="A103" i="4"/>
  <c r="A104" i="4"/>
  <c r="A105" i="4"/>
  <c r="A106" i="4"/>
  <c r="A107" i="4"/>
  <c r="A108" i="4"/>
  <c r="A109" i="4"/>
  <c r="A110" i="4"/>
  <c r="A111" i="4"/>
  <c r="A112" i="4"/>
  <c r="A113" i="4"/>
  <c r="A114" i="4"/>
  <c r="A115" i="4"/>
  <c r="A116" i="4"/>
  <c r="A117" i="4"/>
  <c r="A118" i="4"/>
  <c r="A119" i="4"/>
  <c r="A120" i="4"/>
  <c r="A121" i="4"/>
  <c r="A122" i="4"/>
  <c r="A123" i="4"/>
  <c r="A124" i="4"/>
  <c r="A125" i="4"/>
  <c r="A126" i="4"/>
  <c r="A127" i="4"/>
  <c r="A128" i="4"/>
  <c r="A129" i="4"/>
  <c r="A130" i="4"/>
  <c r="A131" i="4"/>
  <c r="A132" i="4"/>
  <c r="A133" i="4"/>
  <c r="A134" i="4"/>
  <c r="A135" i="4"/>
  <c r="A136" i="4"/>
  <c r="A137" i="4"/>
  <c r="A138" i="4"/>
  <c r="A139" i="4"/>
  <c r="A140" i="4"/>
  <c r="A141" i="4"/>
  <c r="A142" i="4"/>
  <c r="A143" i="4"/>
  <c r="A144" i="4"/>
  <c r="A145" i="4"/>
  <c r="A146" i="4"/>
  <c r="A147" i="4"/>
  <c r="A148" i="4"/>
  <c r="A149" i="4"/>
  <c r="A150" i="4"/>
  <c r="A151" i="4"/>
  <c r="A152" i="4"/>
  <c r="A153" i="4"/>
  <c r="A154" i="4"/>
  <c r="A155" i="4"/>
  <c r="A156" i="4"/>
  <c r="A157" i="4"/>
  <c r="A158" i="4"/>
  <c r="A159" i="4"/>
  <c r="A160" i="4"/>
  <c r="A161" i="4"/>
  <c r="A162" i="4"/>
  <c r="A163" i="4"/>
  <c r="A164" i="4"/>
  <c r="A165" i="4"/>
  <c r="A166" i="4"/>
  <c r="A167" i="4"/>
  <c r="A168" i="4"/>
  <c r="A169" i="4"/>
  <c r="A170" i="4"/>
  <c r="A171" i="4"/>
  <c r="A172" i="4"/>
  <c r="A173" i="4"/>
  <c r="A174" i="4"/>
  <c r="A175" i="4"/>
  <c r="A176" i="4"/>
  <c r="A177" i="4"/>
  <c r="A178" i="4"/>
  <c r="A179" i="4"/>
  <c r="A180" i="4"/>
  <c r="A181" i="4"/>
  <c r="A182" i="4"/>
  <c r="A183" i="4"/>
  <c r="A184" i="4"/>
  <c r="A185" i="4"/>
  <c r="A186" i="4"/>
  <c r="A187" i="4"/>
  <c r="A188" i="4"/>
  <c r="A189" i="4"/>
  <c r="A190" i="4"/>
  <c r="A191" i="4"/>
  <c r="A192" i="4"/>
  <c r="A193" i="4"/>
  <c r="A194" i="4"/>
  <c r="A195" i="4"/>
  <c r="A196" i="4"/>
  <c r="A197" i="4"/>
  <c r="A198" i="4"/>
  <c r="A199" i="4"/>
  <c r="A200" i="4"/>
  <c r="A201" i="4"/>
  <c r="A202" i="4"/>
  <c r="A203" i="4"/>
  <c r="A204" i="4"/>
  <c r="A205" i="4"/>
  <c r="A206" i="4"/>
  <c r="A207" i="4"/>
  <c r="A208" i="4"/>
  <c r="A209" i="4"/>
  <c r="A210" i="4"/>
  <c r="A211" i="4"/>
  <c r="A212" i="4"/>
  <c r="A213" i="4"/>
  <c r="A214" i="4"/>
  <c r="A215" i="4"/>
  <c r="A216" i="4"/>
  <c r="A217" i="4"/>
  <c r="A218" i="4"/>
  <c r="A219" i="4"/>
  <c r="A220" i="4"/>
  <c r="A221" i="4"/>
  <c r="A222" i="4"/>
  <c r="A223" i="4"/>
  <c r="A224" i="4"/>
  <c r="A225" i="4"/>
  <c r="A226" i="4"/>
  <c r="A227" i="4"/>
  <c r="A228" i="4"/>
  <c r="A229" i="4"/>
  <c r="A230" i="4"/>
  <c r="A231" i="4"/>
  <c r="A232" i="4"/>
  <c r="A233" i="4"/>
  <c r="A234" i="4"/>
  <c r="A235" i="4"/>
  <c r="A236" i="4"/>
  <c r="A237" i="4"/>
  <c r="A238" i="4"/>
  <c r="A239" i="4"/>
  <c r="A240" i="4"/>
  <c r="A241" i="4"/>
  <c r="A242" i="4"/>
  <c r="A243" i="4"/>
  <c r="A244" i="4"/>
  <c r="A245" i="4"/>
  <c r="A246" i="4"/>
  <c r="A247" i="4"/>
  <c r="A248" i="4"/>
  <c r="A249" i="4"/>
  <c r="A250" i="4"/>
  <c r="A251" i="4"/>
  <c r="A252" i="4"/>
  <c r="A253" i="4"/>
  <c r="A254" i="4"/>
  <c r="A255" i="4"/>
  <c r="A256" i="4"/>
  <c r="A257" i="4"/>
  <c r="A258" i="4"/>
  <c r="A259" i="4"/>
  <c r="A260" i="4"/>
  <c r="A261" i="4"/>
  <c r="A262" i="4"/>
  <c r="A263" i="4"/>
  <c r="A264" i="4"/>
  <c r="A265" i="4"/>
  <c r="A266" i="4"/>
  <c r="A267" i="4"/>
  <c r="A268" i="4"/>
  <c r="A269" i="4"/>
  <c r="A270" i="4"/>
  <c r="A271" i="4"/>
  <c r="A272" i="4"/>
  <c r="A273" i="4"/>
  <c r="A274" i="4"/>
  <c r="A275" i="4"/>
  <c r="A276" i="4"/>
  <c r="A277" i="4"/>
  <c r="A278" i="4"/>
  <c r="A279" i="4"/>
  <c r="A280" i="4"/>
  <c r="A281" i="4"/>
  <c r="A282" i="4"/>
  <c r="A283" i="4"/>
  <c r="A284" i="4"/>
  <c r="A285" i="4"/>
  <c r="A286" i="4"/>
  <c r="A287" i="4"/>
  <c r="A288" i="4"/>
  <c r="A289" i="4"/>
  <c r="A290" i="4"/>
  <c r="A291" i="4"/>
  <c r="A292" i="4"/>
  <c r="A293" i="4"/>
  <c r="A294" i="4"/>
  <c r="A295" i="4"/>
  <c r="A296" i="4"/>
  <c r="A297" i="4"/>
  <c r="A298" i="4"/>
  <c r="A299" i="4"/>
  <c r="A300" i="4"/>
  <c r="A301" i="4"/>
  <c r="A302" i="4"/>
  <c r="A303" i="4"/>
  <c r="A304" i="4"/>
  <c r="A305" i="4"/>
  <c r="A306" i="4"/>
  <c r="A307" i="4"/>
  <c r="A308" i="4"/>
  <c r="A309" i="4"/>
  <c r="A310" i="4"/>
  <c r="A311" i="4"/>
  <c r="A312" i="4"/>
  <c r="A313" i="4"/>
  <c r="A314" i="4"/>
  <c r="A315" i="4"/>
  <c r="A316" i="4"/>
  <c r="A317" i="4"/>
  <c r="A318" i="4"/>
  <c r="A319" i="4"/>
  <c r="A320" i="4"/>
  <c r="A321" i="4"/>
  <c r="A322" i="4"/>
  <c r="A323" i="4"/>
  <c r="A324" i="4"/>
  <c r="A325" i="4"/>
  <c r="A326" i="4"/>
  <c r="A327" i="4"/>
  <c r="A328" i="4"/>
  <c r="A329" i="4"/>
  <c r="A330" i="4"/>
  <c r="A331" i="4"/>
  <c r="A332" i="4"/>
  <c r="A333" i="4"/>
  <c r="A334" i="4"/>
  <c r="A335" i="4"/>
  <c r="A336" i="4"/>
  <c r="A337" i="4"/>
  <c r="A338" i="4"/>
  <c r="A339" i="4"/>
  <c r="A340" i="4"/>
  <c r="A341" i="4"/>
  <c r="A342" i="4"/>
  <c r="A343" i="4"/>
  <c r="A344" i="4"/>
  <c r="A345" i="4"/>
  <c r="A346" i="4"/>
  <c r="A347" i="4"/>
  <c r="A348" i="4"/>
  <c r="A349" i="4"/>
  <c r="A350" i="4"/>
  <c r="A351" i="4"/>
  <c r="A352" i="4"/>
  <c r="A353" i="4"/>
  <c r="A354" i="4"/>
  <c r="A355" i="4"/>
  <c r="A356" i="4"/>
  <c r="A357" i="4"/>
  <c r="A358" i="4"/>
  <c r="A359" i="4"/>
  <c r="A360" i="4"/>
  <c r="A361" i="4"/>
  <c r="A362" i="4"/>
  <c r="A363" i="4"/>
  <c r="A364" i="4"/>
  <c r="A365" i="4"/>
  <c r="A366" i="4"/>
  <c r="A367" i="4"/>
  <c r="A368" i="4"/>
  <c r="A369" i="4"/>
  <c r="A370" i="4"/>
  <c r="A371" i="4"/>
  <c r="A372" i="4"/>
  <c r="A373" i="4"/>
  <c r="A374" i="4"/>
  <c r="A375" i="4"/>
  <c r="A376" i="4"/>
  <c r="A377" i="4"/>
  <c r="A378" i="4"/>
  <c r="A379" i="4"/>
  <c r="A380" i="4"/>
  <c r="A381" i="4"/>
  <c r="A382" i="4"/>
  <c r="A383" i="4"/>
  <c r="A384" i="4"/>
  <c r="A385" i="4"/>
  <c r="A386" i="4"/>
  <c r="A387" i="4"/>
  <c r="A388" i="4"/>
  <c r="A389" i="4"/>
  <c r="A390" i="4"/>
  <c r="A391" i="4"/>
  <c r="A392" i="4"/>
  <c r="A393" i="4"/>
  <c r="A394" i="4"/>
  <c r="A395" i="4"/>
  <c r="A396" i="4"/>
  <c r="A397" i="4"/>
  <c r="A398" i="4"/>
  <c r="A399" i="4"/>
  <c r="A400" i="4"/>
  <c r="A401" i="4"/>
  <c r="A402" i="4"/>
  <c r="A403" i="4"/>
  <c r="A404" i="4"/>
  <c r="A405" i="4"/>
  <c r="A406" i="4"/>
  <c r="A407" i="4"/>
  <c r="A408" i="4"/>
  <c r="A409" i="4"/>
  <c r="A410" i="4"/>
  <c r="A411" i="4"/>
  <c r="A412" i="4"/>
  <c r="A413" i="4"/>
  <c r="A414" i="4"/>
  <c r="A415" i="4"/>
  <c r="A416" i="4"/>
  <c r="A417" i="4"/>
  <c r="A418" i="4"/>
  <c r="A419" i="4"/>
  <c r="A420" i="4"/>
  <c r="A421" i="4"/>
  <c r="A422" i="4"/>
  <c r="A423" i="4"/>
  <c r="A424" i="4"/>
  <c r="A425" i="4"/>
  <c r="A426" i="4"/>
  <c r="A427" i="4"/>
  <c r="A428" i="4"/>
  <c r="A429" i="4"/>
  <c r="A430" i="4"/>
  <c r="A431" i="4"/>
  <c r="A432" i="4"/>
  <c r="A433" i="4"/>
  <c r="A434" i="4"/>
  <c r="A435" i="4"/>
  <c r="A436" i="4"/>
  <c r="A437" i="4"/>
  <c r="A438" i="4"/>
  <c r="A439" i="4"/>
  <c r="A440" i="4"/>
  <c r="A441" i="4"/>
  <c r="A442" i="4"/>
  <c r="A443" i="4"/>
  <c r="A444" i="4"/>
  <c r="A445" i="4"/>
  <c r="A446" i="4"/>
  <c r="A447" i="4"/>
  <c r="A448" i="4"/>
  <c r="A449" i="4"/>
  <c r="A450" i="4"/>
  <c r="A451" i="4"/>
  <c r="A452" i="4"/>
  <c r="A453" i="4"/>
  <c r="A454" i="4"/>
  <c r="A455" i="4"/>
  <c r="A456" i="4"/>
  <c r="A457" i="4"/>
  <c r="A458" i="4"/>
  <c r="A459" i="4"/>
  <c r="A460" i="4"/>
  <c r="A461" i="4"/>
  <c r="A462" i="4"/>
  <c r="A463" i="4"/>
  <c r="A464" i="4"/>
  <c r="A465" i="4"/>
  <c r="A466" i="4"/>
  <c r="A467" i="4"/>
  <c r="A468" i="4"/>
  <c r="A469" i="4"/>
  <c r="A470" i="4"/>
  <c r="A471" i="4"/>
  <c r="A472" i="4"/>
  <c r="A473" i="4"/>
  <c r="A474" i="4"/>
  <c r="A475" i="4"/>
  <c r="A476" i="4"/>
  <c r="A477" i="4"/>
  <c r="A478" i="4"/>
  <c r="A479" i="4"/>
  <c r="A480" i="4"/>
  <c r="A481" i="4"/>
  <c r="A482" i="4"/>
  <c r="A483" i="4"/>
  <c r="A484" i="4"/>
  <c r="A485" i="4"/>
  <c r="A486" i="4"/>
  <c r="A487" i="4"/>
  <c r="A488" i="4"/>
  <c r="A489" i="4"/>
  <c r="A490" i="4"/>
  <c r="A491" i="4"/>
  <c r="A492" i="4"/>
  <c r="A493" i="4"/>
  <c r="A494" i="4"/>
  <c r="A495" i="4"/>
  <c r="A496" i="4"/>
  <c r="A497" i="4"/>
  <c r="A498" i="4"/>
  <c r="A499" i="4"/>
  <c r="A500" i="4"/>
  <c r="A501" i="4"/>
  <c r="A502" i="4"/>
  <c r="A503" i="4"/>
  <c r="A504" i="4"/>
  <c r="A505" i="4"/>
  <c r="A506" i="4"/>
  <c r="A507" i="4"/>
  <c r="A508" i="4"/>
  <c r="A509" i="4"/>
  <c r="A510" i="4"/>
  <c r="A511" i="4"/>
  <c r="A512" i="4"/>
  <c r="A513" i="4"/>
  <c r="A514" i="4"/>
  <c r="A515" i="4"/>
  <c r="A516" i="4"/>
  <c r="A517" i="4"/>
  <c r="A518" i="4"/>
  <c r="A519" i="4"/>
  <c r="A520" i="4"/>
  <c r="A521" i="4"/>
  <c r="A522" i="4"/>
  <c r="A523" i="4"/>
  <c r="A524" i="4"/>
  <c r="A525" i="4"/>
  <c r="A526" i="4"/>
  <c r="A527" i="4"/>
  <c r="A528" i="4"/>
  <c r="A529" i="4"/>
  <c r="A530" i="4"/>
  <c r="A531" i="4"/>
  <c r="A532" i="4"/>
  <c r="A533" i="4"/>
  <c r="A534" i="4"/>
  <c r="A535" i="4"/>
  <c r="A536" i="4"/>
  <c r="A537" i="4"/>
  <c r="A538" i="4"/>
  <c r="A539" i="4"/>
  <c r="A540" i="4"/>
  <c r="A541" i="4"/>
  <c r="A542" i="4"/>
  <c r="A543" i="4"/>
  <c r="A544" i="4"/>
  <c r="A545" i="4"/>
  <c r="A546" i="4"/>
  <c r="A547" i="4"/>
  <c r="A548" i="4"/>
  <c r="A549" i="4"/>
  <c r="A550" i="4"/>
  <c r="A551" i="4"/>
  <c r="A552" i="4"/>
  <c r="A553" i="4"/>
  <c r="A554" i="4"/>
  <c r="A555" i="4"/>
  <c r="A556" i="4"/>
  <c r="A557" i="4"/>
  <c r="A558" i="4"/>
  <c r="A559" i="4"/>
  <c r="A560" i="4"/>
  <c r="A561" i="4"/>
  <c r="A562" i="4"/>
  <c r="A563" i="4"/>
  <c r="A564" i="4"/>
  <c r="A565" i="4"/>
  <c r="A566" i="4"/>
  <c r="A567" i="4"/>
  <c r="A568" i="4"/>
  <c r="A569" i="4"/>
  <c r="A570" i="4"/>
  <c r="A571" i="4"/>
  <c r="A572" i="4"/>
  <c r="A573" i="4"/>
  <c r="A574" i="4"/>
  <c r="A575" i="4"/>
  <c r="A576" i="4"/>
  <c r="A577" i="4"/>
  <c r="A578" i="4"/>
  <c r="A579" i="4"/>
  <c r="A580" i="4"/>
  <c r="A581" i="4"/>
  <c r="A582" i="4"/>
  <c r="A583" i="4"/>
  <c r="A584" i="4"/>
  <c r="A585" i="4"/>
  <c r="A586" i="4"/>
  <c r="A587" i="4"/>
  <c r="A588" i="4"/>
  <c r="A589" i="4"/>
  <c r="A590" i="4"/>
  <c r="A591" i="4"/>
  <c r="A592" i="4"/>
  <c r="A593" i="4"/>
  <c r="A594" i="4"/>
  <c r="A595" i="4"/>
  <c r="A596" i="4"/>
  <c r="A597" i="4"/>
  <c r="A598" i="4"/>
  <c r="A599" i="4"/>
  <c r="A600" i="4"/>
  <c r="A601" i="4"/>
  <c r="A602" i="4"/>
  <c r="A603" i="4"/>
  <c r="A604" i="4"/>
  <c r="A605" i="4"/>
  <c r="A606" i="4"/>
  <c r="A607" i="4"/>
  <c r="A608" i="4"/>
  <c r="A609" i="4"/>
  <c r="A610" i="4"/>
  <c r="A611" i="4"/>
  <c r="A612" i="4"/>
  <c r="A613" i="4"/>
  <c r="A614" i="4"/>
  <c r="A615" i="4"/>
  <c r="A616" i="4"/>
  <c r="A617" i="4"/>
  <c r="A618" i="4"/>
  <c r="A619" i="4"/>
  <c r="A620" i="4"/>
  <c r="A621" i="4"/>
  <c r="A622" i="4"/>
  <c r="A623" i="4"/>
  <c r="A624" i="4"/>
  <c r="A625" i="4"/>
  <c r="A626" i="4"/>
  <c r="A627" i="4"/>
  <c r="A628" i="4"/>
  <c r="A629" i="4"/>
  <c r="A630" i="4"/>
  <c r="A631" i="4"/>
  <c r="A632" i="4"/>
  <c r="A633" i="4"/>
  <c r="A634" i="4"/>
  <c r="A635" i="4"/>
  <c r="A636" i="4"/>
  <c r="A637" i="4"/>
  <c r="A638" i="4"/>
  <c r="A639" i="4"/>
  <c r="A640" i="4"/>
  <c r="A641" i="4"/>
  <c r="A642" i="4"/>
  <c r="A643" i="4"/>
  <c r="A644" i="4"/>
  <c r="A645" i="4"/>
  <c r="A646" i="4"/>
  <c r="A647" i="4"/>
  <c r="A648" i="4"/>
  <c r="A649" i="4"/>
  <c r="A650" i="4"/>
  <c r="A651" i="4"/>
  <c r="A652" i="4"/>
  <c r="A653" i="4"/>
  <c r="A654" i="4"/>
  <c r="A655" i="4"/>
  <c r="A656" i="4"/>
  <c r="A657" i="4"/>
  <c r="A658" i="4"/>
  <c r="A659" i="4"/>
  <c r="A660" i="4"/>
  <c r="A661" i="4"/>
  <c r="A662" i="4"/>
  <c r="A663" i="4"/>
  <c r="A664" i="4"/>
  <c r="A665" i="4"/>
  <c r="A666" i="4"/>
  <c r="A667" i="4"/>
  <c r="A668" i="4"/>
  <c r="A669" i="4"/>
  <c r="A670" i="4"/>
  <c r="A671" i="4"/>
  <c r="A672" i="4"/>
  <c r="A673" i="4"/>
  <c r="A674" i="4"/>
  <c r="A675" i="4"/>
  <c r="A676" i="4"/>
  <c r="A677" i="4"/>
  <c r="A678" i="4"/>
  <c r="A679" i="4"/>
  <c r="A680" i="4"/>
  <c r="A681" i="4"/>
  <c r="A682" i="4"/>
  <c r="A683" i="4"/>
  <c r="A684" i="4"/>
  <c r="A685" i="4"/>
  <c r="A686" i="4"/>
  <c r="A687" i="4"/>
  <c r="A688" i="4"/>
  <c r="A689" i="4"/>
  <c r="A690" i="4"/>
  <c r="A691" i="4"/>
  <c r="A692" i="4"/>
  <c r="A693" i="4"/>
  <c r="A694" i="4"/>
  <c r="A695" i="4"/>
  <c r="A696" i="4"/>
  <c r="A697" i="4"/>
  <c r="A698" i="4"/>
  <c r="A699" i="4"/>
  <c r="A700" i="4"/>
  <c r="A701" i="4"/>
  <c r="A702" i="4"/>
  <c r="A703" i="4"/>
  <c r="A704" i="4"/>
  <c r="A705" i="4"/>
  <c r="A706" i="4"/>
  <c r="A707" i="4"/>
  <c r="A708" i="4"/>
  <c r="A709" i="4"/>
  <c r="A3" i="4"/>
  <c r="A4" i="4"/>
  <c r="A5" i="4"/>
  <c r="A6" i="4"/>
  <c r="A7" i="4"/>
  <c r="A8" i="4"/>
  <c r="A9" i="4"/>
  <c r="A2" i="4"/>
</calcChain>
</file>

<file path=xl/sharedStrings.xml><?xml version="1.0" encoding="utf-8"?>
<sst xmlns="http://schemas.openxmlformats.org/spreadsheetml/2006/main" count="50655" uniqueCount="9135">
  <si>
    <t>GMDN</t>
  </si>
  <si>
    <t>Intravascular microflow catheter</t>
  </si>
  <si>
    <t>Diagnostic or interventional vascular catheters for general use</t>
  </si>
  <si>
    <t>Orthopaedic chisel</t>
  </si>
  <si>
    <t>Surgical chisels or gouges</t>
  </si>
  <si>
    <t>Open-surgery dissector</t>
  </si>
  <si>
    <t>Surgical dissectors</t>
  </si>
  <si>
    <t>Cannulated surgical drill, reusable</t>
  </si>
  <si>
    <t>Surgical power equipment sets</t>
  </si>
  <si>
    <t>Electrosurgical system generator</t>
  </si>
  <si>
    <t>Electrosurgical or electrocautery equipment</t>
  </si>
  <si>
    <t>Bone file</t>
  </si>
  <si>
    <t>Surgical rasps or files</t>
  </si>
  <si>
    <t>Instrument tray</t>
  </si>
  <si>
    <t>Sterilization containers or trays</t>
  </si>
  <si>
    <t>Orthopaedic implant inserter/extractor</t>
  </si>
  <si>
    <t>Surgical extractors</t>
  </si>
  <si>
    <t>Orthopaedic osteotome</t>
  </si>
  <si>
    <t>Orthopaedic prosthesis implantation instrument, reusable</t>
  </si>
  <si>
    <t>Orthopedic surgical instrument sets</t>
  </si>
  <si>
    <t>Neurosurgical sponge</t>
  </si>
  <si>
    <t>42295400</t>
  </si>
  <si>
    <t>Surgical support supplies</t>
  </si>
  <si>
    <t>Sterilization container</t>
  </si>
  <si>
    <t>Bone trephine</t>
  </si>
  <si>
    <t>Orthopedic surgical instruments</t>
  </si>
  <si>
    <t>Bone awl</t>
  </si>
  <si>
    <t>Surgical hand reamers or awls</t>
  </si>
  <si>
    <t>Cranial bur hole cover</t>
  </si>
  <si>
    <t>Cranial plate or bur hole covers</t>
  </si>
  <si>
    <t>Cerebrospinal fluid reservoir</t>
  </si>
  <si>
    <t>External cerebral ventricular drainage bags or reservoirs</t>
  </si>
  <si>
    <t>Suture cutter</t>
  </si>
  <si>
    <t>Sutures</t>
  </si>
  <si>
    <t>Polydioxanone suture</t>
  </si>
  <si>
    <t>Intracranial pressure monitor</t>
  </si>
  <si>
    <t>Bone tap, reusable</t>
  </si>
  <si>
    <t>Surgical taps</t>
  </si>
  <si>
    <t>Catheter-balloon inflator, single-use</t>
  </si>
  <si>
    <t>Angioplasty balloon catheters</t>
  </si>
  <si>
    <t>Arthroscopic suturing unit</t>
  </si>
  <si>
    <t>Bone matrix implant, synthetic</t>
  </si>
  <si>
    <t>Vascular guide-catheter, single-use</t>
  </si>
  <si>
    <t>Bone curette</t>
  </si>
  <si>
    <t>Surgical mallet</t>
  </si>
  <si>
    <t>Surgical hammers or mallets</t>
  </si>
  <si>
    <t>Fluted surgical drill, reusable</t>
  </si>
  <si>
    <t>Surgical drill bit or accessories</t>
  </si>
  <si>
    <t>Intravascular occluding catheter</t>
  </si>
  <si>
    <t>Aneurysm clip applier</t>
  </si>
  <si>
    <t>Uncoated knee femur prosthesis</t>
  </si>
  <si>
    <t>Lower extremity prosthetic devices</t>
  </si>
  <si>
    <t>Uncoated knee tibia prosthesis, metallic</t>
  </si>
  <si>
    <t>Surgical depth gauge, reusable</t>
  </si>
  <si>
    <t>Acetabular orthopaedic reamer</t>
  </si>
  <si>
    <t>Orthopaedic knife</t>
  </si>
  <si>
    <t>Surgical scalpel or knife or blade or trephine accessories</t>
  </si>
  <si>
    <t>Orthopaedic bone pin, non-bioabsorbable</t>
  </si>
  <si>
    <t>Permanent bone fixation pins or pegs</t>
  </si>
  <si>
    <t>Orthopaedic implant impactor</t>
  </si>
  <si>
    <t>Surgical impactors or packers</t>
  </si>
  <si>
    <t>Surgical torque wrench</t>
  </si>
  <si>
    <t>Surgical wrenches</t>
  </si>
  <si>
    <t>Surgical tamp</t>
  </si>
  <si>
    <t>Surgical tamps</t>
  </si>
  <si>
    <t>Hip prosthesis socket pusher</t>
  </si>
  <si>
    <t>Prosthesis stump socks or covers</t>
  </si>
  <si>
    <t>Wire cutter</t>
  </si>
  <si>
    <t>Wire holding/twisting forceps</t>
  </si>
  <si>
    <t>Metallic femoral head prosthesis</t>
  </si>
  <si>
    <t>Upper extremity prosthetic devices</t>
  </si>
  <si>
    <t>Uncoated unicondylar knee femur prosthesis</t>
  </si>
  <si>
    <t>Total knee replacement kits or systems</t>
  </si>
  <si>
    <t>Aneurysmorrhaphy tissue adhesive</t>
  </si>
  <si>
    <t>Bone hook</t>
  </si>
  <si>
    <t>Uncoated knee tibia prosthesis, polyethylene</t>
  </si>
  <si>
    <t>Coated hip femur prosthesis, modular</t>
  </si>
  <si>
    <t>Endoscopic electrosurgical diathermy system generator</t>
  </si>
  <si>
    <t>Hinged total elbow prosthesis</t>
  </si>
  <si>
    <t>Femoral head bipolar component</t>
  </si>
  <si>
    <t>Proximal interphalangeal joint prosthesis, one-piece</t>
  </si>
  <si>
    <t>Partial shoulder prosthesis</t>
  </si>
  <si>
    <t>Total reverse shoulder prosthesis</t>
  </si>
  <si>
    <t>Coated knee femur prosthesis</t>
  </si>
  <si>
    <t>Humeral centering sleeve</t>
  </si>
  <si>
    <t>Humeral stem centralizers or sleeves</t>
  </si>
  <si>
    <t>Metacarpophalangeal joint prosthesis</t>
  </si>
  <si>
    <t>Surgical screwdriver, reusable</t>
  </si>
  <si>
    <t>Surgical drivers</t>
  </si>
  <si>
    <t>Surgical drill guide obturator</t>
  </si>
  <si>
    <t>Hip internal fixation system</t>
  </si>
  <si>
    <t>Sternal fixation device</t>
  </si>
  <si>
    <t>Revision coated hip femur prosthesis</t>
  </si>
  <si>
    <t>Intrathecal implantable infusion pump, nonprogrammable</t>
  </si>
  <si>
    <t>Implantable intrathecal infusion pump accessories</t>
  </si>
  <si>
    <t>Polyethylene acetabulum prosthesis</t>
  </si>
  <si>
    <t>Uncoated hip femur prosthesis, modular</t>
  </si>
  <si>
    <t>Coated femoral stem prosthesis, modular</t>
  </si>
  <si>
    <t>Metal-backed patella prosthesis</t>
  </si>
  <si>
    <t>Coated knee tibia prosthesis</t>
  </si>
  <si>
    <t>Tendon/ligament tunneller</t>
  </si>
  <si>
    <t>Rigid arthroscope, reusable</t>
  </si>
  <si>
    <t>Aneurysm clip</t>
  </si>
  <si>
    <t>Scalp haemostasis clip, reusable</t>
  </si>
  <si>
    <t>Bone lever/elevator</t>
  </si>
  <si>
    <t>Haemostatic forceps</t>
  </si>
  <si>
    <t>Surgical gouge</t>
  </si>
  <si>
    <t>Cardiac guidewire, single-use</t>
  </si>
  <si>
    <t>Surgical drill guide, reusable</t>
  </si>
  <si>
    <t>Surgical drill guides or sleeves</t>
  </si>
  <si>
    <t>Skin/tissue hook</t>
  </si>
  <si>
    <t>Orthopaedic retractor</t>
  </si>
  <si>
    <t>Surgical retractors</t>
  </si>
  <si>
    <t>Bone rasp</t>
  </si>
  <si>
    <t>Arthroscopic drainage cannula</t>
  </si>
  <si>
    <t>Orthopaedic bone wire</t>
  </si>
  <si>
    <t>Surgical wires</t>
  </si>
  <si>
    <t>General-purpose implantable infusion pump, programmable</t>
  </si>
  <si>
    <t>Implantable infusion port or accessories</t>
  </si>
  <si>
    <t>Rigid endoscope obturator</t>
  </si>
  <si>
    <t>Universal foot-controlled electrosurgical diathermy system conducting unit, single-use</t>
  </si>
  <si>
    <t>Line-powered shaver system handpiece electrical cable</t>
  </si>
  <si>
    <t>Orthopaedic bone calliper</t>
  </si>
  <si>
    <t>Arthroscopic probe</t>
  </si>
  <si>
    <t>Endoscope video camera</t>
  </si>
  <si>
    <t>Ventriculo-peritoneal/atrial shunt valve</t>
  </si>
  <si>
    <t>Arthroscopic irrigation/insufflation system</t>
  </si>
  <si>
    <t>Intravenous pole</t>
  </si>
  <si>
    <t>Orthopaedic broach</t>
  </si>
  <si>
    <t>Surgical broaches</t>
  </si>
  <si>
    <t>Ligament anchor</t>
  </si>
  <si>
    <t>Orthopaedic bone washer</t>
  </si>
  <si>
    <t>Orthopedic washers</t>
  </si>
  <si>
    <t>Arthroscopic shaver system, line-powered</t>
  </si>
  <si>
    <t>Manual surgical rotary handpiece</t>
  </si>
  <si>
    <t>Orthopaedic bur, reusable</t>
  </si>
  <si>
    <t>Surgical burr</t>
  </si>
  <si>
    <t>Shoulder glenoid fossa prosthesis</t>
  </si>
  <si>
    <t>Endoscope camera adaptor</t>
  </si>
  <si>
    <t>Foot-switch, electrical</t>
  </si>
  <si>
    <t>Rigid endoscope sheath</t>
  </si>
  <si>
    <t>Laparoscopic sleeve</t>
  </si>
  <si>
    <t>Scalp haemostasis clip, single-use</t>
  </si>
  <si>
    <t>Suture/needle passer, reusable</t>
  </si>
  <si>
    <t>Surgical suture or wire passers or related products</t>
  </si>
  <si>
    <t>Suturing clip</t>
  </si>
  <si>
    <t>Ceramic femoral head prosthesis</t>
  </si>
  <si>
    <t>Periosteal elevator</t>
  </si>
  <si>
    <t>Polymer orthopaedic cement restrictor, non-bioabsorbable, sterile</t>
  </si>
  <si>
    <t>Coated shoulder humeral stem prosthesis</t>
  </si>
  <si>
    <t>Humeral stems</t>
  </si>
  <si>
    <t>Coated ankle tibia prosthesis</t>
  </si>
  <si>
    <t>Arthroscopic shaver system blade, single-use</t>
  </si>
  <si>
    <t>Hip unit prosthesis</t>
  </si>
  <si>
    <t>Surgical irrigation/aspiration system pump</t>
  </si>
  <si>
    <t>Implant handling forceps, scissors-like</t>
  </si>
  <si>
    <t>Surgical instrument/implant rack</t>
  </si>
  <si>
    <t>Sterilization instrument clips or racks or stringers or holders</t>
  </si>
  <si>
    <t>Acetabular shell</t>
  </si>
  <si>
    <t>Acetabular cup shells</t>
  </si>
  <si>
    <t>Non-constrained polyethylene acetabular liner</t>
  </si>
  <si>
    <t>Acetabular cup liners</t>
  </si>
  <si>
    <t>Fluted surgical drill, single-use, sterile</t>
  </si>
  <si>
    <t>Embolization implant kit</t>
  </si>
  <si>
    <t>Embolization implant syringe</t>
  </si>
  <si>
    <t>Orthopaedic surgical procedure kit, non-medicated, single-use</t>
  </si>
  <si>
    <t>Infusion pump programmer</t>
  </si>
  <si>
    <t>Arthroscopic surgical procedure kit, non-medicated, single-use</t>
  </si>
  <si>
    <t>Temporary hip prosthesis</t>
  </si>
  <si>
    <t>Constrained polyethylene acetabular liner</t>
  </si>
  <si>
    <t>Bone Distraction Forceps</t>
  </si>
  <si>
    <t>Surgical bone cutting forceps</t>
  </si>
  <si>
    <t>Soft-tissue ultrasonic surgical system handpiece tip, single-use</t>
  </si>
  <si>
    <t>General internal orthopaedic fixation system implantation kit</t>
  </si>
  <si>
    <t>Surgical implant positioners and holders</t>
  </si>
  <si>
    <t>Soft-tissue ultrasonic surgical system</t>
  </si>
  <si>
    <t>Clinical ruler</t>
  </si>
  <si>
    <t>Cerebrospinal fluid shunt valve programmer</t>
  </si>
  <si>
    <t>Orthopaedic graft inserter</t>
  </si>
  <si>
    <t>Bone graft extender or void fillers or substitutes</t>
  </si>
  <si>
    <t>Orthopaedic graft tensioner</t>
  </si>
  <si>
    <t>Surgical graft measuring instruments</t>
  </si>
  <si>
    <t>Orthopaedic graft sizer</t>
  </si>
  <si>
    <t>Orthopaedic fixation plate, bioabsorbable</t>
  </si>
  <si>
    <t>Orthopaedic bone screw, bioabsorbable</t>
  </si>
  <si>
    <t>Bone screws</t>
  </si>
  <si>
    <t>Soft-tissue anchor, bioabsorbable</t>
  </si>
  <si>
    <t>Soft-tissue anchor, non-bioabsorbable</t>
  </si>
  <si>
    <t>Orthopaedic reamer guide</t>
  </si>
  <si>
    <t>Bone-resection orthopaedic reamer, reusable</t>
  </si>
  <si>
    <t>Medullary canal orthopaedic reamer, rigid</t>
  </si>
  <si>
    <t>Ventriculoperitoneal shunt</t>
  </si>
  <si>
    <t>Surgical implantable shunts or shunt extenders</t>
  </si>
  <si>
    <t>Suture knot pusher, reusable</t>
  </si>
  <si>
    <t>Surgical robotic knot pusher or delivery instruments</t>
  </si>
  <si>
    <t>Electrical mains power cable</t>
  </si>
  <si>
    <t>Surgical irrigation tubing set, single-use</t>
  </si>
  <si>
    <t>Bone nail guidewire</t>
  </si>
  <si>
    <t>Surgical positioning spine board</t>
  </si>
  <si>
    <t>Cranioplasty plate, non-alterable</t>
  </si>
  <si>
    <t>Cranial trephine, single-use</t>
  </si>
  <si>
    <t>Automatic cranial perforator, single-use</t>
  </si>
  <si>
    <t>Manual cranial rotary handpiece, single-use</t>
  </si>
  <si>
    <t>Bare-metal intracranial vascular stent</t>
  </si>
  <si>
    <t>External orthopaedic fixation system reprocessed component</t>
  </si>
  <si>
    <t>Surgical implant template, reusable</t>
  </si>
  <si>
    <t>Surgical sizing instruments or templates</t>
  </si>
  <si>
    <t>Multi-purpose surgical mesh, metallic</t>
  </si>
  <si>
    <t>Tibial insert</t>
  </si>
  <si>
    <t>Tibial inserts or bearings or articular surfaces</t>
  </si>
  <si>
    <t>Craniofacial bone screw, non-bioabsorbable, sterile</t>
  </si>
  <si>
    <t>Craniofacial fixation plate, bioabsorbable</t>
  </si>
  <si>
    <t>Bone plates</t>
  </si>
  <si>
    <t>Craniofacial fixation plate, non-bioabsorbable</t>
  </si>
  <si>
    <t>Orthopaedic bone screw, non-bioabsorbable, sterile</t>
  </si>
  <si>
    <t>Bone holding forceps</t>
  </si>
  <si>
    <t>Retractor blade</t>
  </si>
  <si>
    <t>Subcutaneous tunneller, reusable</t>
  </si>
  <si>
    <t>Subcutaneous catheter tunneller, single-use</t>
  </si>
  <si>
    <t>Scalp clip forceps</t>
  </si>
  <si>
    <t>Scalp clip applier, single-use</t>
  </si>
  <si>
    <t>Spinal infusion/drainage catheter</t>
  </si>
  <si>
    <t>Electrical-only medical device connection cable, single-use</t>
  </si>
  <si>
    <t>Orthopaedic trocar</t>
  </si>
  <si>
    <t>Medical device electrical cable, reusable</t>
  </si>
  <si>
    <t>Cerebrospinal fluid shunt connector</t>
  </si>
  <si>
    <t>Scalpel, single-use</t>
  </si>
  <si>
    <t>Surgical irrigation/aspiration tubing set</t>
  </si>
  <si>
    <t>Craniofacial bone distractor</t>
  </si>
  <si>
    <t>Craniofacial bone distractor extension</t>
  </si>
  <si>
    <t>Orthopaedic instrument connecting screw</t>
  </si>
  <si>
    <t>Orthopaedic implant aiming arm</t>
  </si>
  <si>
    <t>Orthopaedic implant/trial-implant holder</t>
  </si>
  <si>
    <t>Orthopedic toe implant sizer sets</t>
  </si>
  <si>
    <t>Orthopaedic implant aiming/guiding block</t>
  </si>
  <si>
    <t>Surgical instrument handle</t>
  </si>
  <si>
    <t>Surgical instrument sleeve, reusable</t>
  </si>
  <si>
    <t>Surgical sleeves</t>
  </si>
  <si>
    <t>Orthopaedic implant/instrument adaptor, reusable</t>
  </si>
  <si>
    <t>Open-surgery electrosurgical handpiece/electrode, bipolar, reusable</t>
  </si>
  <si>
    <t>Ceramic acetabular liner</t>
  </si>
  <si>
    <t>Metallic acetabular liner</t>
  </si>
  <si>
    <t>Knee stem</t>
  </si>
  <si>
    <t>Femoral knee extension stems</t>
  </si>
  <si>
    <t>Knee arthroplasty wedge</t>
  </si>
  <si>
    <t>Femoral knee wedges</t>
  </si>
  <si>
    <t>Uncoated unicondylar knee tibia prosthesis, metallic</t>
  </si>
  <si>
    <t>Uncoated unicondylar knee tibia prosthesis, polyethylene</t>
  </si>
  <si>
    <t>Unicondylar knee insert</t>
  </si>
  <si>
    <t>Femoral knee components</t>
  </si>
  <si>
    <t>Stem-fixed humeral head prosthesis</t>
  </si>
  <si>
    <t>Resurfacing humeral head prosthesis</t>
  </si>
  <si>
    <t>Resurfacing humeral components</t>
  </si>
  <si>
    <t>Press-fit shoulder humeral stem prosthesis</t>
  </si>
  <si>
    <t>Reverse shoulder prosthesis base plate</t>
  </si>
  <si>
    <t>Prosthetic clamping device accessories</t>
  </si>
  <si>
    <t>Polyethylene reverse shoulder prosthesis cup</t>
  </si>
  <si>
    <t>Dura mater biomatrix implant</t>
  </si>
  <si>
    <t>Ankle prosthesis bearing</t>
  </si>
  <si>
    <t>Coated ankle talus prosthesis</t>
  </si>
  <si>
    <t>Press-fit hip femur prosthesis, modular</t>
  </si>
  <si>
    <t>Orthopaedic bone distractor</t>
  </si>
  <si>
    <t>Orthopaedic bone screw, non-bioabsorbable, non-sterile</t>
  </si>
  <si>
    <t>Graft preparation station</t>
  </si>
  <si>
    <t>Suture/needle passer, single-use</t>
  </si>
  <si>
    <t>Dura mater graft, synthetic</t>
  </si>
  <si>
    <t>Thrombectomy suction catheter</t>
  </si>
  <si>
    <t>Femoral head trial prosthesis</t>
  </si>
  <si>
    <t>Acetabulum trial prosthesis, reusable</t>
  </si>
  <si>
    <t>Femoral stem trial prosthesis</t>
  </si>
  <si>
    <t>Knee trial implant sizers</t>
  </si>
  <si>
    <t>Knee femur trial prosthesis</t>
  </si>
  <si>
    <t>Knee tibia trial prosthesis</t>
  </si>
  <si>
    <t>Humeral head trial prosthesis, reusable</t>
  </si>
  <si>
    <t>Humeral heads</t>
  </si>
  <si>
    <t>Cranial bone prosthesis, custom-made</t>
  </si>
  <si>
    <t>Orthopaedic prosthesis implantation instrument, single-use</t>
  </si>
  <si>
    <t>Femoral head/stem prosthesis adaptor</t>
  </si>
  <si>
    <t>Cervical spine immobilization system, single-use</t>
  </si>
  <si>
    <t>Shoulder humeral body prosthesis</t>
  </si>
  <si>
    <t>Humeral bodies</t>
  </si>
  <si>
    <t>Metallic acetabulum prosthesis</t>
  </si>
  <si>
    <t>Vascular embolization coil detacher, single-use</t>
  </si>
  <si>
    <t>Reverse shoulder head trial prosthesis</t>
  </si>
  <si>
    <t>Humeral stem trial prosthesis</t>
  </si>
  <si>
    <t>Reverse shoulder cup trial prosthesis</t>
  </si>
  <si>
    <t>Neurovascular embolization plug</t>
  </si>
  <si>
    <t>Neurovascular embolization coil</t>
  </si>
  <si>
    <t>Vascular coils</t>
  </si>
  <si>
    <t>Cerebrospinal fluid catheter connector</t>
  </si>
  <si>
    <t>Ventriculo-peritoneal/atrial shunt</t>
  </si>
  <si>
    <t>Atrial cerebrospinal fluid catheter</t>
  </si>
  <si>
    <t>Peritoneal/atrial cerebrospinal fluid catheter</t>
  </si>
  <si>
    <t>Bone-screw internal spinal fixation system, non-sterile</t>
  </si>
  <si>
    <t>Internal bone fixation sets</t>
  </si>
  <si>
    <t>Cranial port/reservoir</t>
  </si>
  <si>
    <t>Intracerebral infusion/drainage catheter, long-term</t>
  </si>
  <si>
    <t>Intracerebral sensor catheter</t>
  </si>
  <si>
    <t>Intracerebral infusion/drainage catheter, short-term</t>
  </si>
  <si>
    <t>Cerebral ventricular or hydrocephalus drainage catheters or adapters</t>
  </si>
  <si>
    <t>Intracerebral catheter cranial-fixation kit</t>
  </si>
  <si>
    <t>Cranial clamps</t>
  </si>
  <si>
    <t>Intracerebral trocar</t>
  </si>
  <si>
    <t>Lumboperitoneal shunt</t>
  </si>
  <si>
    <t>Orthopaedic bone staple, non-adjustable, non-sterile</t>
  </si>
  <si>
    <t>Bone fixation staples</t>
  </si>
  <si>
    <t>Orthopaedic bone washer, non-sterile</t>
  </si>
  <si>
    <t>Orthopaedic bone washer, sterile</t>
  </si>
  <si>
    <t>Internal orthopaedic fixation system, plate/screw, non-bioabsorbable, sterile</t>
  </si>
  <si>
    <t>Internal orthopaedic fixation system, plate/screw, non-bioabsorbable, non-sterile</t>
  </si>
  <si>
    <t>Internal orthopaedic fixation system, cerclage wire/cable, sterile</t>
  </si>
  <si>
    <t>Internal orthopaedic fixation system, cerclage wire/cable, non-sterile</t>
  </si>
  <si>
    <t>Vascular embolization coil detacher, reusable</t>
  </si>
  <si>
    <t>Ventricular cerebrospinal fluid drainage catheterization kit</t>
  </si>
  <si>
    <t>Intracerebral cannula</t>
  </si>
  <si>
    <t>Short Description</t>
  </si>
  <si>
    <t>Long Description</t>
  </si>
  <si>
    <t>Abdominal hernia surgical mesh, composite-polymer</t>
  </si>
  <si>
    <t>A hand-held surgical instrument, usually spoon-shaped or rounded at the working end, used to separate a soft tissue or body structure from another. It is used in general or plastic surgery and is usually designed with a handle which continues into a shaft that terminates at the distal end with a tip. The tip may be pointed or flat, sharp or blunt, and angled or straight from the shaft. It is made of high-grade stainless steel, comes in various shapes and sizes. This is a reusable device. See also: Blunt-microdissection atherectomy catheter</t>
  </si>
  <si>
    <t>Catgut suture, plain</t>
  </si>
  <si>
    <t>A sterile, single-strand (monofilament), natural, bioabsorbable thread composed mostly of collagen fibres derived from mammals (e.g., sheep or bovine intestines) intended to join (i.e., approximate) the edges of a soft-tissue wound or incision by stitching or to ligate soft tissues; it may include an attached needle intended to be disposed of after single use. The thread provides temporary wound support, until the wound sufficiently heals to withstand normal stress, and is subsequently absorbed by enzymatic degradation. This is a single-use device.</t>
  </si>
  <si>
    <t>Polyester suture</t>
  </si>
  <si>
    <t>A sterile, multiple-strand (multifilament), synthetic, non-bioabsorbable thread made of polyester (a polymer of polyethylene terephthalate) fibres, that may be coated with polybutilate or silicone, intended to join (approximate) the edges of a soft-tissue wound or incision by stitching or to ligate soft tissues; it may also include an attached needle intended to be disposed of after single use. The thread, commonly used for vessel anastomosis and the placement of prosthetic materials, provides temporary wound support until the wound sufficiently heals to withstand normal stress; it elicits minimal tissue reaction and lasts indefinitely in the body. This is a single-use device.</t>
  </si>
  <si>
    <t>Polyglycolic acid suture</t>
  </si>
  <si>
    <t>A sterile, single-strand (monofilament), synthetic, bioabsorbable thread made from a polymerization of polyglycolic acid (PGA) that is intended to join (approximate) the edges of a soft-tissue wound or incision by stitching or to ligate soft tissues. It may include an attached needle intended to be disposed of after single use; it may be coated with a material such as polycaprolactone or uncoated. The thread provides temporary wound support, until the wound sufficiently heals to withstand normal stress, and is subsequently absorbed by hydrolysis. This is a single-use device.</t>
  </si>
  <si>
    <t>Polypropylene suture</t>
  </si>
  <si>
    <t>A sterile, single-strand (monofilament), synthetic, non-bioabsorbable thread made of polypropylene, an isostatic crystalline stereoisomer of a linear propylene polymer, intended to join (approximate) the edges of a soft-tissue wound or incision by stitching or to ligate soft tissues; it may include an attached needle intended to be disposed of after single use. The thread provides temporary wound support until the wound sufficiently heals to withstand normal stress; as the material does not adhere to tissues, it is typically used in cases where the suture is to be removed after healing. This is a single-use device.</t>
  </si>
  <si>
    <t>Silk suture, sterile</t>
  </si>
  <si>
    <t>A sterile, natural, non-bioabsorbable thread made from raw silk spun by silkworms (typically coated with beeswax or silicone) intended to join (i.e., approximate) the edges of a soft-tissue wound or incision by stitching or to ligate soft tissues; it may include an attached disposable needle. It provides temporary wound support until the wound sufficiently heals to withstand normal stress. Although classified as a "non-bioabsorbable" material, it may be digested by proteolysis after an extended period of time. This is a single-use device.</t>
  </si>
  <si>
    <t> Laparoscopic trocar</t>
  </si>
  <si>
    <t> Gallbladder trocar</t>
  </si>
  <si>
    <t>Surgical stainless steel suture, monofilament</t>
  </si>
  <si>
    <t>A sterile, single-strand (monofilament), synthetic, bioabsorbable thread made of polydioxanone (PDS) [made from poly (p-dioxanone)] intended to join (approximate) the edges of a soft-tissue wound or incision by stitching or to ligate soft tissues. It may include an attached needle intended to be disposed of after single use. The thread provides extended temporary wound support, until the wound sufficiently heals to withstand normal stress, and is subsequently absorbed by hydrolysis. This is a single-use device.</t>
  </si>
  <si>
    <t>Suction system tubing</t>
  </si>
  <si>
    <t>Syringe tip cap</t>
  </si>
  <si>
    <t>A device intended to cover the tip of a syringe (without a needle) in order to prevent the leakage of syringe contents and to maintain content sterility until the syringe is used. This device is typically constructed of plastic. This is a single-use device.</t>
  </si>
  <si>
    <t>Polybutester suture</t>
  </si>
  <si>
    <t>A sterile, single-strand (monofilament), synthetic, non-bioabsorbable thread made of polybutester, a copolymer of polyglycol terephthalate and polytrimethylene terephthalate, intended to join (approximate) the edges of a soft-tissue wound or incision by stitching or to ligate soft tissues; it may include an attached needle intended to be disposed of after single use. The thread provides temporary wound support until the wound sufficiently heals to withstand normal stress. It is very elastic and has a low coefficient of friction, making it ideal for surface closure, and does not lose tensile strength or become absorbed. This is a single-use device.</t>
  </si>
  <si>
    <t>Polyglactin suture</t>
  </si>
  <si>
    <t>A sterile, multiple-strand (multifilament), synthetic, bioabsorbable thread made of polyglactin, typically coated (e.g., with a copolymer of lactide and glycolide, and calcium stearate), intended to join (approximate) the edges of a soft-tissue wound or incision by stitching or to ligate soft tissues; it may include an attached needle intended to be disposed of after single use. The thread provides temporary wound support, until the wound sufficiently heals to withstand normal stress, and is subsequently absorbed by hydrolysis. This is a single-use device. See also: Polyglactin suture, antimicrobial</t>
  </si>
  <si>
    <t>A shaft of metal with an obtuse, V-shaped cutting edge designed to be rotated to bore into bone to create a hole of the same dimension as the diameter of the shaft. This device, commonly called a "twist drill", has a cylindrical design with a double-edged cutting head that is formed from two spiralled flutes that extend the length of the insertion part of the drill. At the proximal end, it is usually inserted into a surgical power tool or a surgical hand drill/brace. It is typically made of high-grade stainless steel and is available in various sizes. This is a reusable device.</t>
  </si>
  <si>
    <t>A surgical instrument designed to accurately determine the depth of a recess (usually a drilled hole). It typically consists of a moveable (sliding) centrepiece (a prong), the tip of which is inserted into the recess; when the tip makes contact with the bottom a reading is visually taken from a scale marked on the side of the device. It is often used to measure the depth of holes being drilled in bone so that the surgeon can determine the length of the bone screw to be used. It is made of corrosive resistant materials [e.g., stainless steel, titanium (Ti)]. This is a reusable device intended to be sterilized prior to use. See also: Surgical depth gauge, single-use</t>
  </si>
  <si>
    <t>A hand-held manual surgical instrument intended to be used for gripping, turning/tightening, or twisting an object (e.g., a nut, bolt, or wire) during a surgical intervention; it is not dedicated to dental use only. It may be available in a variety of forms and might have fixed or adjustable jaws, or a detachable endpiece(s) [e.g., ratchet type]. This is a reusable device.</t>
  </si>
  <si>
    <t>ENT trocar</t>
  </si>
  <si>
    <t>A rigid, surgical instrument with a sharp pyramidal or conical point used to puncture body cavities during ear/nose/throat (ENT) surgery. It can be assembled and used together with a compatible sleeve filling its lumen, thereby allowing the introduction of this assembly. Following puncture, the trocar is withdrawn providing a working channel to the cavity. This is a reusable device. See also: Tracheolaryngeal trocar, single-use</t>
  </si>
  <si>
    <t>Endoscopic suturing unit, reusable</t>
  </si>
  <si>
    <t>Invasive breast implant sizer, single-use</t>
  </si>
  <si>
    <t>Orthopaedic bone particle collector, single-use</t>
  </si>
  <si>
    <t>Anti-adhesion dressing, bioabsorbable</t>
  </si>
  <si>
    <t>A sterile bioabsorbable, surgically-implanted device intended to prevent the abnormal fibrous union (adhesion) between one internal body part/tissue to another following a surgical procedure. The device is typically implanted during abdominal or pelvic surgery to reduce the incidence of adhesions between adjacent anatomical structures. It is typically made of a modified cellulose material</t>
  </si>
  <si>
    <t>Surgical clip applier, reusable</t>
  </si>
  <si>
    <t>A hand-held manual surgical instrument designed to apply small atraumatic clips for the ligation of blood vessels, or similar tubular anatomy, mainly to prevent and/or stop bleeding (i.e., haemostasis) during an open-surgery procedure; it may also be used to apply small clamps (e.g., bulldog type) to tissues. The device is typically a metallic, forceps-like instrument with flat, curved ends to hold and deliver the clips; it may have an interchangeable clip holder containing the clips. This is a reusable device after sterilization.</t>
  </si>
  <si>
    <t>A hand-held manual surgical instrument designed to be inserted through an arthroscope to explore, measure, and/or perform therapeutic procedures within a joint. This is a reusable device.</t>
  </si>
  <si>
    <t>Pulse oximeter probe, reprocessed</t>
  </si>
  <si>
    <t>A photoelectric device applied externally to a body site, e.g., a fingertip, ear lobe, the bridge of nose, a toe, or the bridge of the foot of a paediatric or adult patient for the transcutaneous measurement of haemoglobin oxygen saturation (SpO2) in arterial blood using light detection. The signals, produced by a light-emitting diode (LED) and a receiving detector, are received by an oximeter to which this device is connected. This is a single-use device that has previously been used on a patient and has been subjected to additional processing and manufacturing for an additional single-use patient application.</t>
  </si>
  <si>
    <t>Liposuction system cannula, single-use</t>
  </si>
  <si>
    <t>A rigid tube that is inserted percutaneously to sites of fat deposits, and that functions as part of a lipectomy suction system for the aspiration of the fat during liposuction/lipoplasty. The device may also be used to infiltrate the operative site with a solution during the procedure, which is then aspirated. It is typically made of high-grade stainless steel or a rigid plastic material. This is a single-use device. See also: Liposuction system</t>
  </si>
  <si>
    <t>A device designed to be implanted into bone specifically to attach the ends of a ligament (synthetic or natural source) to the bone. The device is available in various designs and sizes and is made of a material that cannot be chemically degraded or absorbed via natural body processes [e.g., titanium (Ti)].</t>
  </si>
  <si>
    <t>Saline-filled breast implant</t>
  </si>
  <si>
    <t>A sterile implantable device designed to reconstruct or augment the breast that is composed of a silicone rubber outer shell, made of polysiloxane(s), with a single lumen inflated with sterile isotonic saline to the desired size. The implant may be of fixed or adjustable volume and may be prefilled, partially filled, or empty and filled during the implantation procedure; the volume of saline solution in adjustable volume implants may be adjusted after implantation. The device may vary in shape, profile, volume, shell surface, and shell thickness.</t>
  </si>
  <si>
    <t>Silicone gel-filled breast implant</t>
  </si>
  <si>
    <t>A sterile implantable device designed to reconstruct or augment the breast that is composed of a silicone rubber shell, made of polysiloxane(s), with a single lumen filled with a fixed amount of silicone gel. The implant may vary in shape, profile, volume, shell surface, and shell thickness.</t>
  </si>
  <si>
    <t>Ultrasonic surgical system generator</t>
  </si>
  <si>
    <t>Liposuction system</t>
  </si>
  <si>
    <t>Medical table clamp</t>
  </si>
  <si>
    <t>A device that is designed to be used together with operating tables and certain kinds of examination/treatment tables. It can have different fixation/locking mechanisms, but is often designed to fit onto the side rails of such tables. It is used to hold different components and accessories onto the table providing added functionality. Such devices can be footrests, transducer holders, anaesthesia screen holders. The clamp allows for easy and safe adjustments of the position of these accessory devices and provides a secure locking mechanism. This is a reusable device. See also: Medical device service rail clamp</t>
  </si>
  <si>
    <t> Endotherapy trocar, reusable</t>
  </si>
  <si>
    <t>A single lumen sleeve intended to be inserted through the abdominal wall to create an access port for a laparoscope/laparoscopic instrument during laparoscopy. It is intended to be inserted using a separate laparoscopic trocar (not included) which fills its lumen and enables puncture of the abdominal wall. The sleeve, also known as a cannula housing, is often provided with a shut-off valve for gas/fluid supply, and other sealing devices (e.g., dedicated seals/rings, caps, valves) to inhibit leakage of insufflation gas when the abdomen is distended, but that allow the entry of instruments. It is available in a variety of dimensions and/or designs. This is a reusable device. See also: Laparoscopic multi-instrument access port</t>
  </si>
  <si>
    <t>Endoscopic suturing unit, single-use</t>
  </si>
  <si>
    <t>Nylon suture, multifilament</t>
  </si>
  <si>
    <t>A sterile, multiple-strand (multifilament), synthetic, non-bioabsorbable thread made of nylon (a polyamide polymer) intended to join (i.e., approximate) the edges of a soft-tissue wound or incision by stitching or to ligate soft tissues; it may include an attached needle intended to be disposed of after single use. The thread provides temporary wound support until the wound sufficiently heals to withstand normal stress; it can be removed from the tissue once wound healing occurs or allowed to remain in the tissue where it is gradually encapsulated by fibrous connective tissue. This is a single-use device.</t>
  </si>
  <si>
    <t>Nylon suture, monofilament</t>
  </si>
  <si>
    <t>A sterile, single-strand (monofilament), synthetic, non-bioabsorbable thread made of nylon (a polyamide polymer) intended to join (i.e., approximate) the edges of a soft-tissue wound or incision by stitching or to ligate soft tissues; it may include an attached needle intended to be disposed of after single use. The thread provides temporary wound support until the wound sufficiently heals to withstand normal stress; it can be removed from the tissue once wound healing occurs or allowed to remain in the tissue where it is gradually encapsulated by fibrous connective tissue. This is a single-use device.</t>
  </si>
  <si>
    <t> Endotherapy trocar, single-use</t>
  </si>
  <si>
    <t>Nasal irrigation applicator</t>
  </si>
  <si>
    <t>Diagnostic ultrasound cardiac catheter, non-steerable</t>
  </si>
  <si>
    <t>Laparoscopic trocar/sleeve, single-use</t>
  </si>
  <si>
    <t>A sterile, surgical device assembly that includes a single-lumen sleeve (laparoscopic sleeve) and a sharp rigid intraluminal rod/pin/blade (laparoscopic trocar), intended to puncture the abdominal wall and create an access port for a laparoscope/laparoscopic instrument during laparoscopy. The trocar is intended to fill the lumen of the sleeve during insertion, and is then withdrawn once the sleeve is in situ to provide an access port to the abdominal cavity; a laparoscopic sleeve seal may be included. It is available in a variety of dimensions and/or designs. This is a single-use device. See also: Laparoscopic multi-instrument access port</t>
  </si>
  <si>
    <t>Diagnostic ultrasound cardiac catheter, steerable, single-use</t>
  </si>
  <si>
    <t>Fluid transfer set, general-purpose</t>
  </si>
  <si>
    <t>Laparoscopic surgical procedure kit, non-medicated, single-use</t>
  </si>
  <si>
    <t>A collection of various sterile surgical and endoscopic instruments (e.g., trocars, sleeves, cannulae), possibly combined with dressings and the other materials, used to perform a laparoscopic surgical procedure. It does not contain pharmaceuticals. This is a single-use device.</t>
  </si>
  <si>
    <t>Eye lubricant</t>
  </si>
  <si>
    <t>A sterile substance intended to provide supplemental lubrication/hydration to the natural eye to treat dry, tired, and/or strained eyes resulting from dry eye syndrome (a disorder resulting in dry, gritty, burning symptoms), ageing/hormone changes (menopause), or environmental factors (e.g., medications, pollution, computer use, air conditioning, and contact lens use). It may be a topical solution, spray, suspension, or gel applied to the eyes or eyelids, and may have special formulations (e.g., intensive, night use). It is normally available [non-prescription] over-the-counter (OTC) for home-use (single dose or multidose). After application, this device cannot be reused. See also: Eyeball prosthesis lubricant</t>
  </si>
  <si>
    <t>Ethmoid punch</t>
  </si>
  <si>
    <t>A hand-held manual surgical instrument with a cutting/biting action used for the removal of ethmoid bone (bone which separates the cavity of the nose from the membranes of the brain) during a ear/nose/throat (ENT) surgical intervention. It is typically designed with a long, thin, two-part sliding shaft (the upper part sliding along the lower part) which is joined to sprung (self-opening), pivoted, pistol-grip or ring handles. The working end terminates with sharp, profiled cutting jaws that close over the ethmoid tissue when the handles are squeezed together cutting through it. It is available in various sizes and designs and is made of high-grade stainless steel. This is a reusable device. See also: Bone punch</t>
  </si>
  <si>
    <t>Multi-purpose surgical mesh, synthetic polymer, bioabsorbable</t>
  </si>
  <si>
    <t>Polydioxanone/polyethylene suture</t>
  </si>
  <si>
    <t>A sterile, multiple-strand (multifilament), synthetic thread made from strands of bioabsorbable polydioxanone and non-bioabsorbable polyethylene (PE), intended to join (i.e., approximate) the edges of a soft-tissue wound or incision by stitching or to ligate soft tissues (includes use in orthopaedic surgeries); it is coated with a copolymer and may include an attached needle intended to be disposed of after single-use. It provides temporary wound support until the wound sufficiently heals to withstand normal stress. This is a single-use device.</t>
  </si>
  <si>
    <t>Skin-cover adhesive strip</t>
  </si>
  <si>
    <t>A small, narrow flexible band (of fabric, plastic, paper, or other material) coated on one side with a pressure-sensitive adhesive and possibly with an absorbent pad, typically used to cover a superficial wound or fix a dressing to skin. It is normally available [non-prescription] over-the-counter (OTC). The device may be hypoallergenic and/or waterproof. This is a single-use device.</t>
  </si>
  <si>
    <t>Catgut suture, chromic</t>
  </si>
  <si>
    <t>A sterile, single-strand (monofilament), natural, bioabsorbable thread composed mostly of collagen fibres derived from mammals (e.g., sheep or bovine intestines), impregnated with chromium salts to increase tensile strength and retard absorption, intended to join (i.e., approximate) the edges of a soft-tissue wound or incision by stitching or to ligate soft tissues; it may include an attached needle intended to be disposed of after single use. The thread provides temporary wound support, until the wound sufficiently heals to withstand normal stress, and is subsequently absorbed by enzymatic degradation. This is a single-use device.</t>
  </si>
  <si>
    <t>Tissue expander</t>
  </si>
  <si>
    <t>An sterile inflatable device intended to be temporarily implanted to enlarge tissue, typically the dimensions of a skin flap where there is insufficient tissue coverage to accommodate the volume of a long-term implantable device (e.g., a breast implant), or for the revision of a scar or cutaneous defect. The device typically consists of an expansion envelope (e.g., silicone elastomer) with fill tube, and an inflation valve, and is managed by a healthcare professional. This is a single-use device. See also: Tissue expander injection port</t>
  </si>
  <si>
    <t>Suction cannula, reusable</t>
  </si>
  <si>
    <t>A rigid or semi-rigid, hand-held, metal or durable plastic tube designed as a conduit for the evacuation (suctioning) of blood, fluids, and other tissue debris directly from the surgical site during a surgical procedure (e.g., open-, plastic-, tissue/bone morcellation surgery). Also known as a suction tube, it is typically a general-purpose device to which the suction system tubing is connected proximally; some types may be attached to a dedicated handpiece that typically have a valve. Dedicated cannula specifically intended for a particular procedure (e.g., bronchial, dental, eye, uterine, oral, and liposuction) are also available. This is a reusable device. See also: Basic suction tip, reusable</t>
  </si>
  <si>
    <t>Lift thread, non-bioabsorbable</t>
  </si>
  <si>
    <t>A sterile filament made of a non-bioabsorbable material (e.g., polypropylene) with projections (e.g., barbs or cones) along its length intended to be surgically implanted typically during a cosmetic surgical procedure for alternative lifting (e.g., face, neck, breast). The device is inserted through dermis and tacked to deep fascia where the barbs produce tension for elevation of the subdermis. It is available in a variety of lengths and may be supplied with a needle(s).</t>
  </si>
  <si>
    <t>Closed-wound drain connector</t>
  </si>
  <si>
    <t>A sterile device designed to connect compatible components of a closed-wound drainage kit (e.g., the drain tubing to the drain bag or reservoir). It will typically be shaped as a straight bore connector or a Y-piece connector. This is a single-use device. See also: Closed-wound drain insertion set</t>
  </si>
  <si>
    <t>Polyglactin suture, antimicrobial</t>
  </si>
  <si>
    <t>A sterile, multiple-strand (multifilament), synthetic, bioabsorbable thread made of polyglactin, typically coated (e.g., with a copolymer of lactide and glycolide, and calcium stearate) and containing an agent to locally inhibit bacterial growth, intended to join (approximate) the edges of a soft-tissue wound or incision by stitching or to ligate soft tissues (excluding ophthalmic, cardiovascular, and neurological tissues); it may include an attached needle intended to be disposed of after single use. The thread provides temporary wound support, until the wound sufficiently heals to withstand normal stress, and is subsequently absorbed by hydrolysis. This is a single-use device. See also: Polyglactin suture</t>
  </si>
  <si>
    <t>Liposuction system cannula, reusable</t>
  </si>
  <si>
    <t>A rigid tube that is inserted percutaneously to sites of fat deposits, and that functions as part of a lipectomy suction system for the aspiration of the fat during liposuction/lipoplasty. The device may also be used to infiltrate the operative site with a solution during the procedure, which is then aspirated. It is typically made of high-grade stainless steel. This is a reusable device. See also: Liposuction system</t>
  </si>
  <si>
    <t>Silicone gel/saline-filled breast implant</t>
  </si>
  <si>
    <t>A sterile implantable device composed of two shells designed to reconstruct or augment the breast. The inflatable inner shell is filled with saline. The silicone elastomer [polysiloxane(s)] outer shell has an inflatable double lumen, the outer lumen containing a fixed amount of silicone gel and an inner lumen designed with a valve for filling the inner shell with saline during the implantation procedure. The expandable device functions as both a long-term breast implant and a tissue expander, potentially eliminating the need for skin expander exchange surgery.</t>
  </si>
  <si>
    <t>Laparoscopic sleeve seal reducer</t>
  </si>
  <si>
    <t>A sterile implantable device intended to divert excessive cerebrospinal fluid (CSF) from the brain ventricles to the peritoneal cavity, where it can be absorbed into the body, as a treatment for increased intracranial pressure (e.g., caused by hydrocephalus). It typically consists of three main connected parts: 1) an intracerebral ventricular catheter through which CSF flows; 2) a mechanical shunt valve that typically opens at a pre-set pressure; and 3) a peritoneal catheter that channels the CSF to the peritoneal cavity. It is made of plastic and silicone materials; disposable devices associated with implantation may be included.</t>
  </si>
  <si>
    <t>An insulated electrical cord designed to enable connection of a medical device to a mains electricity supply socket, with a male and a female connector (plug) at either end. It is manufactured to medical grade standards for use in healthcare facilities and the home, providing the required legislative level of electrical safety; it may include an adaptor/transformer. This is a reusable device. See also: Medical device electrical cable, reusable</t>
  </si>
  <si>
    <t>Poliglecaprone suture</t>
  </si>
  <si>
    <t>A sterile, single-strand (monofilament), synthetic, bioabsorbable thread made of poliglecaprone (a copolymer of glycolide and E-caprolactone of low tissue reactivity) intended to join (approximate) the edges of a soft-tissue wound or incision by stitching or to ligate soft tissues; it may include an attached needle intended to be disposed of after single use. The thread provides temporary wound support, until the wound sufficiently heals to withstand normal stress, and is subsequently absorbed by hydrolysis. This is a single-use device.</t>
  </si>
  <si>
    <t>Breast implant fill tube plug</t>
  </si>
  <si>
    <t>A small sterile implantable stopper typically made of medical grade silicone used to seal the fill tube of an expandable breast implant following satisfactory expansion of the implant in situ; in addition, its placement facilitates removal of the implant's injection port (this can be required in some patients for aesthetic or comfort purposes). During surgery, the injection port is cut free from the fill tube, after which an introducer is used to insert the stopper into the tube to form a seal. This device may be used for breast reconstructive or cosmetic augmentation surgery. This is a single-use device.</t>
  </si>
  <si>
    <t>Breast implant fill tube plug introducer</t>
  </si>
  <si>
    <t>A long cylindrical sterile instrument designed to insert a plug into the fill tube of an expandable breast implant in order to create a seal after satisfactory expansion. The device typically consists of: 1) a carrier tube which is inserted into the fill tube at a predetermined depth; and 2) the push rod, or inserter, that is used to push the plug along the carrier tube and into the fill tube to create the seal. This is a single-use device.</t>
  </si>
  <si>
    <t>Breast implant fill tube plug kit</t>
  </si>
  <si>
    <t>A collection of sterile devices designed to seal the fill tube of an expandable breast implant following satisfactory expansion of the implant in situ; in addition, its use facilitates removal of the implant's injection port (this can be required in some patients for aesthetic or comfort purposes). It typically consists of a plug(s) (e.g., made of silicone) used to seal the fill tube, and a introducer (push rod and carrier tube) used to insert the plug into the fill tube after the injection port has been cut free from the fill tube. This kit may be used for breast reconstructive or cosmetic augmentation surgery. This is a single-use device.</t>
  </si>
  <si>
    <t>General-purpose catheter connector, sterile</t>
  </si>
  <si>
    <t>A small sterile device intended to create a mechanical union between a catheter and an external device (non-dedicated); it has an intended use profile that is not dedicated to a specific type of catheter (i.e., can be applied to catheters specific to different anatomical sites and body fluids). It may be used to permit catheter insertion and/or manipulation, and/or to facilitate delivery or extraction of substances through the catheter lumen. This is a single-use device.</t>
  </si>
  <si>
    <t>Skin moisture barrier dressing</t>
  </si>
  <si>
    <t>Poliglecaprone suture, antimicrobial</t>
  </si>
  <si>
    <t>A sterile, single-strand (monofilament), synthetic, bioabsorbable thread made of poliglecaprone (a copolymer of glycolide and E-caprolactone of low tissue reactivity) and containing an agent to locally inhibit bacterial growth, intended to join (approximate) the edges of a soft-tissue wound or incision by stitching or to ligate soft tissues; it may include an attached needle intended to be disposed of after single use. The thread provides temporary wound support, until the wound sufficiently heals to withstand normal stress, and is subsequently absorbed by hydrolysis. This is a single-use device.</t>
  </si>
  <si>
    <t>Cardiac mapping catheter, percutaneous, single-use</t>
  </si>
  <si>
    <t>Cardiac mapping catheter, percutaneous, reprocessed</t>
  </si>
  <si>
    <t>Surgical clip applier, reprocessed</t>
  </si>
  <si>
    <t>A hand-held manual surgical instrument designed to apply small atraumatic clips for the ligation of blood vessels, or similar tubular anatomy, mainly to stop and/or prevent bleeding (i.e., haemostasis) during an open-surgery procedure. The device is typically a metallic, forceps-like instrument with flat, curved ends to hold and deliver the clips; it may be preloaded with clips and include a mechanism for single or multiple insertions of clips. This is a single-use device that has previously been used on a patient and has been subjected to additional processing and manufacturing for an additional single-use patient application.</t>
  </si>
  <si>
    <t>Medical device electrical cable, reprocessed</t>
  </si>
  <si>
    <t>A component of an external fixation system intended to be used to stabilize a fractured bone/joint. It may be a specially designed frame, clamp, rod, pin, rod-to-rod coupling, rod-to-pin coupling, post, fastener, wire, bolt, washer, nut, hinge, ring, socket, bar, screw, or other device. This is a single-use device that has previously been used on a patient and has been subjected to additional processing and manufacturing for an additional single-use patient application. See also: External orthopaedic fixation system, reusable</t>
  </si>
  <si>
    <t>Tissue expander injection port locator</t>
  </si>
  <si>
    <t>Tissue injection cannula</t>
  </si>
  <si>
    <t>A thin, sterile, semi-rigid or rigid metal tube intended to be inserted percutaneously for the injection of a substance into the cutaneous or subcutaneous layers. It is typically used for the administration of fillers [e.g., hyaluronic acid (HA)] to add volume to tissue for cosmetic or reconstructive purposes. The device is typically designed with a closed-off nose and a lateral hole at the distal tip, and a connector at the proximal end for attachment to a device that propels the injection substance. It is typically made of high-grade stainless steel. This is a single-use device.</t>
  </si>
  <si>
    <t>Lift thread, bioabsorbable</t>
  </si>
  <si>
    <t>A sterile filament made of a bioabsorbable material [e.g., poly-L-lactide (PLLA), poly(lactic-co-glycolic acid) (PLGA)] with projections (e.g., barbs or cones) along its length intended to be surgically implanted typically during a cosmetic surgical procedure for alternative lifting (e.g., face, neck, breast). The device is inserted through dermis and tacked to deep fascia where the projections produce tension for elevation of the subdermis. It is available in a variety of lengths and may be supplied with a needle(s).</t>
  </si>
  <si>
    <t>Lift thread, partially-bioabsorbable</t>
  </si>
  <si>
    <t>A sterile filament made of a non-bioabsorbable material (e.g., polypropylene) with bioabsorbable projections (e.g., cones) attached along its length intended to be surgically implanted typically during a cosmetic surgical procedure for alternative lifting (e.g., face, neck, breast). The device is inserted through dermis and tacked to deep fascia where the projections produce tension for elevation of the subdermis. It is available in a variety of lengths and may be supplied with a needle(s).</t>
  </si>
  <si>
    <t> Abdominal trocar</t>
  </si>
  <si>
    <t>Poly(L-lactide-co-caprolactone) suture</t>
  </si>
  <si>
    <t>A sterile, single-strand (monofilament), synthetic, bioabsorbable thread made from poly(L-lactide-co-caprolactone) intended to join (approximate) the edges of a soft-tissue wound or incision by stitching, or to ligate soft tissues; it may include an attached needle intended to be disposed of after single use. The thread provides temporary wound support until the wound sufficiently heals to withstand normal stress, and is subsequently absorbed by hydrolysis. This is a single-use device.</t>
  </si>
  <si>
    <t>Laparoscopic irrigation/aspiration cannula</t>
  </si>
  <si>
    <t>A rigid, sterile, hand-operated, tube-like device intended to be inserted through a laparoscopic port to provide a conduit for the instillation and/or aspiration of fluid during laparoscopy. It has a single lumen, a proximal handle, and is typically made of plastic materials. It is connected via tubing to an appropriate irrigating/aspirating device(s), the irrigation/aspiration being regulated by the operator with mechanical valve controls typically in the handle of the cannula. This is a single-use device.</t>
  </si>
  <si>
    <t>Polydioxanone suture, antimicrobial</t>
  </si>
  <si>
    <t>A sterile, single-strand (monofilament), synthetic, bioabsorbable thread made of polydioxanone (PDS) [made from polyester poly (p-dioxanone) and of low tissue reactivity] and containing an agent to locally inhibit bacterial growth, intended to join (approximate) the edges of a soft-tissue wound or incision by stitching and is typically supplied with a needle attached intended to be disposed of after single use. The thread provides temporary wound support, until the wound sufficiently heals to withstand normal stress, and is subsequently absorbed by hydrolysis. This is a single-use device.</t>
  </si>
  <si>
    <t> Single-enzyme device detergent</t>
  </si>
  <si>
    <t>Wound hydrogel dressing, non-sterile</t>
  </si>
  <si>
    <t>A non-sterile wound covering typically made of cross-linked polymer gels in sheet form or an amorphous hydrating gel of various formulations intended to promote wound healing by maintaining a moist wound environment; it may also facilitate wound debridement and/or absorb exudates in wounds that are minimally to moderately exudative. It may combine hydrogel with supplemental dressing materials (e.g., alginate, film backing), require the use of a secondary dressing, and/or provide a barrier impermeable to liquids/gases. Some types are intended to reduce hypertrophic/keloid scars by providing a barrier impermeable to liquids/gases to maintain a moist environment. This is a single-use device. See also: Dermatological hydrogel dressing</t>
  </si>
  <si>
    <t>A hand-held manual surgical instrument designed to attach to the proximal end of a surgical instrument (e.g., a screwdriver shaft) to allow the surgeon to perform manipulations with the instrument, typically manual rotation of a bone screw or tensioning of a nut during a surgical procedure. The device is typically made of metal and/or synthetic material (e.g., polysulphone) and may have a straight or T-shaped handle grip which may include additional features such as a ratchet mechanism to allow the surgeon to maintain a constant hold on the handle when providing rotation in one direction. It does not include a torque-limiting mechanism. This is a reusable device. See also: Surgical instrument torque-limiting handle</t>
  </si>
  <si>
    <t>Female stress urinary incontinence surgical mesh</t>
  </si>
  <si>
    <t>Wart-removal material</t>
  </si>
  <si>
    <t>Contact lens wetting solution</t>
  </si>
  <si>
    <t>An aqueous formulation intended to wet contact lenses. The device is dispensed as droplets typically directly on the eyes while the patient wears the contact lenses; it is available in single- or multiple-dose containers. After application, this device cannot be reused.</t>
  </si>
  <si>
    <t>Open-surgery electrosurgical handpiece/electrode, bipolar, single-use</t>
  </si>
  <si>
    <t>A sterile rigid combined electrosurgical handpiece and bipolar electrode, intended to deliver electrosurgical current from a system generator directly to tissues for cutting/coagulation during an open surgical procedure. It is available in a variety of forms (e.g., pen, pistol-shaped forceps, pincer-shaped forceps, scissors) and may also include irrigation, aspiration, lavage and/or surgical plume (smoke) evacuation features to support its primary electrosurgical function. This is a single-use device.</t>
  </si>
  <si>
    <t>Syringe lock</t>
  </si>
  <si>
    <t>A small device designed to attach between the thumb rest of a syringe plunger and the top of the syringe barrel to lock the syringe in an open position to eliminate the need to manually hold the syringe plunger when generating a vacuum within the syringe. It is typically made of stainless steel and is available for different size syringes (e.g., 60 cc, 30 cc, 10 cc versions). It is typically used for the collection of adipose tissue from the patient or a container holding the tissue or other substances from plastic and reconstructive surgery, cosmetic surgery, or general surgery procedures. This is a reusable device.</t>
  </si>
  <si>
    <t>Electrosurgical/ultrasonic surgical system generator</t>
  </si>
  <si>
    <t>Laparoscopic clip applier</t>
  </si>
  <si>
    <t>A sterile, rigid device designed to perform through a compatible laparoscopic instrument (e.g., a laparoscopic sleeve) for the application of an implantable clip(s), to achieve ligation/occlusion during transection or for radiographic marking. It typically consists of an insertion sheath, a mechanism at the distal end for applying the clips, an integral cassette containing the surgical or ligation clips, and a control handle at the proximal end for firing the clips into the target tissue. This is a single-use device.</t>
  </si>
  <si>
    <t>Blood collection Luer-syringe adaptor</t>
  </si>
  <si>
    <t>A sterile syringe transfer device or Luer-system adaptor intended to be used during patient blood collection to facilitate transfer of a clinical blood specimen from the blood access device (e.g., blood collection tube holder with needle) into a syringe that utilizes a Luer fitting (e.g., a blood gas syringe). The adaptor is intended to attach to both the blood access device and the syringe, allowing for syringe connection to an otherwise incompatible blood access device; this may reduce the number of venipunctures. This is a single-use device.</t>
  </si>
  <si>
    <t>Invasive breast implant sizer, reusable</t>
  </si>
  <si>
    <t>A sterile, hand-held surgical instrument intended to be used during implantation of an orthopaedic prosthesis, either manually or as a computer-assisted surgery (CAS) device, to aid in the navigation/placement of the prosthesis or other instruments. It may be used for the following applications: 1) to hold/align/fix bone preparation instruments, prosthesis, or prosthesis component; 2) to provide relative position landmarks; 3) to ascertain correct spatial orientation or limb alignment; and/or 4) as an interface between prosthesis components. This is a single-use device. See also: Orthopaedic prosthesis implantation instrument, reusable</t>
  </si>
  <si>
    <t>Tissue expander injection port</t>
  </si>
  <si>
    <t>Antisnoring mucosa lubricant</t>
  </si>
  <si>
    <t>A non-sterile substance intended to be taken prior to sleep to control snoring; it may be in the form of a dissolvable lozenge, dissolvable oral strip, a throat spray, or a rinse. It typically contains natural ingredients (e.g., eucalyptus oil, glycerol, menthol, peppermint oil, hyaluronic acid) intended to lubricate and tone mucosa in the back of the throat to reduce sound vibration. It is normally available [non-prescription] over-the-counter (OTC). This is a single-use device.</t>
  </si>
  <si>
    <t>Open-surgery manual linear cutting stapler, single-use</t>
  </si>
  <si>
    <t>A sterile, hand-held, manual surgical instrument intended to be used during open surgery (including abdominal, gynaecological, paediatric, or thoracic surgery) for the expeditious transection/resection of tissues and creation of anastomoses. The device operates by a manual mechanism (e.g., lever, sliding knob) whereby it cuts the tissues (e.g., colon) and simultaneously applies single or multiple linear rows of surgical staples to the resulting ends, eliminating the need for temporary clamping. The staples and cutting blade may be housed in a single-use loading unit (SULU) which may be included. This is a single-use device.</t>
  </si>
  <si>
    <t>Endoscopic manual linear cutting stapler, single-use</t>
  </si>
  <si>
    <t>A sterile, hand-held, manual surgical instrument intended to be used during endoscopic surgery for the expeditious transection/resection of tissues and creation of anastomoses; it may also be used during open surgery. The device operates by a manual mechanism (e.g., trigger mechanism) whereby it cuts the tissues (e.g., colon) and simultaneously applies single or multiple linear rows of surgical staples to the resulting ends, eliminating the need for temporary clamping. The staples and cutting blade may be housed in a single-use loading unit (SULU) which may be included. This is a single-use device.</t>
  </si>
  <si>
    <t>Open-surgery manual linear stapler, reusable</t>
  </si>
  <si>
    <t>A hand-held, manual surgical instrument intended to be used during open surgery (including abdominal, gynaecological, paediatric, or thoracic surgery) for the application of surgical staples to approximate internal soft tissues (e.g., two ends of bowel) or for fixation of a surgical mesh to tissue. The device operates by a manual mechanism (e.g., lever, sliding knob) whereby it applies single or multiple linear rows of surgical staples to a portion of tissue; it has no cutting function. The staples may be housed in a single-use loading unit (SULU) which may be included. This is a reusable device intended to be sterilized prior to use.</t>
  </si>
  <si>
    <t>Open-surgery manual linear stapler, single-use</t>
  </si>
  <si>
    <t>A sterile, hand-held, manual surgical instrument intended to be used during open surgery (including abdominal, gynaecological, paediatric, or thoracic surgery) for the application of surgical staples to approximate internal soft tissues (e.g., two ends of bowel) or for fixation of a surgical mesh to tissue. The device operates by a manual mechanism (e.g., lever, sliding knob) whereby it applies single or multiple linear rows of surgical staples to a portion of tissue; it has no cutting function. The staples may be housed in a single-use loading unit (SULU) which may be included. This is a single-use device.</t>
  </si>
  <si>
    <t>Endoscopic manual linear stapler</t>
  </si>
  <si>
    <t>A sterile, hand-held, manual surgical instrument intended to be used during endoscopic surgery for the application of surgical staples to approximate internal soft tissues (e.g., two ends of bowel) or for fixation of a surgical mesh to tissue during a laparoscopic procedure; it has no cutting function and may be used during open surgery. The device operates by a manual mechanism (e.g., trigger mechanism) whereby it applies single or multiple linear rows of surgical staples to a portion of tissue. The staples may be housed in a single-use loading unit (SULU) which may be included. This is a single-use device.</t>
  </si>
  <si>
    <t>Intraluminal circular stapler, single-use</t>
  </si>
  <si>
    <t>A sterile, hand-held, manual surgical instrument intended to be used during open or laparoscopic surgical procedures of the alimentary tract, to create anastomoses (e.g., end-to-end, end-to-side, or side-to-side) via intraluminal (within the lumen) resection. It is designed to connect two portions of lumen (e.g., colon) with a single or multiple circular rows of staples, and then cut out the tissue within the staple line to create a new channel. This device operates via a manual lever mechanism and may be available in a variety of sizes appropriate to a specific luminal diameter. This is a single-use device.</t>
  </si>
  <si>
    <t>Abdominal hernia surgical mesh, synthetic polymer</t>
  </si>
  <si>
    <t>IV line/syringe Luer connector</t>
  </si>
  <si>
    <t>A sterile device intended to be used to assemble an intravenous (IV) fluid line by connecting tubing, stopcocks, adaptors other connectors, syringes to the IV line; it may also be used to connect a syringe to a vial adaptor. It has a Luer connection (slip or lock) at each end and may incorporate features to prevent leakage (drip-lock), egress and ingress of materials (i.e., hazardous drugs, microbes) or minimize the potential of aerosolization; it does not contain a valve mechanism or closed pressure equalization chamber. This is a single-use device.</t>
  </si>
  <si>
    <t>Intravenous fluid bag spike</t>
  </si>
  <si>
    <t>A small, sterile device intended to connect an intravenous (IV) fluid bag or blood bag to a fluid line to administer fluid to a patient. It consists of a plastic hollow spike at one end intended to be inserted into the IV bag port, a connector at the other end to attach to the IV line (typically via a drip chamber) and may include an additional administration port (i.e., Y-site device). It does not include a built-in drip chamber. This is a single-use device.</t>
  </si>
  <si>
    <t>Laparoscopic trocar, single-use</t>
  </si>
  <si>
    <t>A sterile, rigid, surgical instrument with a sharp pyramidal or conical point intended to puncture the abdominal wall to facilitate the introduction of a separate laparoscopic sleeve (not included) during laparoscopy. It is intended to fill the lumen of the laparoscopic sleeve, whereby following puncture the trocar is withdrawn to provide a single-lumen access port to the abdominal cavity. This is a single-use device.</t>
  </si>
  <si>
    <t>A non-sterile, non-bioabsorbable, implantable device designed to be inserted into fractured bone to achieve fixation and repair; the device may also be used to attach/secure structures (e.g., ligaments/tendons) to bone, or to reduce/cease bone growth in skeletal deformities (e.g., by being implanted across epiphysial cartilage). It is typically a curved or U-shaped device made of metal alloy material, and is not adjustable after it has been applied. Disposable devices associated with implantation may be included.</t>
  </si>
  <si>
    <t>Orthopaedic bone staple, non-adjustable, sterile</t>
  </si>
  <si>
    <t>A sterile, non-bioabsorbable, implantable device designed to be inserted into fractured bone to achieve fixation and repair; the device may also be used to attach/secure structures (e.g., ligaments/tendons) to bone, or to reduce/cease bone growth in skeletal deformities (e.g., by being implanted across epiphysial cartilage). It is typically a curved or U-shaped device made of metal alloy material, and is not adjustable after it has been applied. Disposable devices associated with implantation may be included.</t>
  </si>
  <si>
    <t>A non-sterile flat thin ring or plate designed to be used with a nut and bolt/screw to improve tightness in an orthopaedic fixation assembly. It may be made of metal, polymer, or reinforced polymer. This is a single-use device.</t>
  </si>
  <si>
    <t>A sterile flat thin ring or plate designed to be used with a nut and bolt/screw to improve tightness in an orthopaedic fixation assembly. It may be made of metal, polymer, or reinforced polymer. This is a single-use device.</t>
  </si>
  <si>
    <t>A sterile assembly of implantable devices designed for general orthopaedic repairs including procedures for long bone fractures, hips, spine, bone grafting and reinforcement of bone. It may also be used for supplementary fixation and reduction with bone plate/screw systems. It typically consists of cerclage wires or cables and crimps and/or clamps made of materials that cannot be chemically degraded or absorbed via natural body processes (e.g., implant grade metal, surgical steel, titanium alloy). It may also include instruments for the attachment of the implants such as crimping tool, cerclage wire/cable cutting tool, a tensioning tool, and a passer.</t>
  </si>
  <si>
    <t>A non-sterile assembly of implantable devices designed for general orthopaedic repairs including procedures for long bone fractures, hips, spine, bone grafting and reinforcement of bone. It may also be used for supplementary fixation and reduction with bone plate/screw systems. It typically consists of cerclage wires or cables and crimps and/or clamps made of materials that cannot be chemically degraded or absorbed via natural body processes (e.g., surgical steel, titanium alloy). It may also include instruments for the attachment of the implants such as crimping tool, cerclage wire/cable cutting tool, a tensioning tool, and a passer. This device is intended to be sterilized prior to use.</t>
  </si>
  <si>
    <t>Cardiac radio-frequency ablation system catheter</t>
  </si>
  <si>
    <t>Arthroscopic shaver system blade, reprocessed</t>
  </si>
  <si>
    <t>Blood pressure cuff, reprocessed</t>
  </si>
  <si>
    <t>A band-like device that has an inflatable bladder in an inelastic sleeve with one or two connecting tubes with connector (typically locking connectors) intended to be connected to a mechanism for inflating and deflating the bladder and/or a sphygmomanometer or a patient monitoring device/system that is used to determine a patient's blood pressure. It is typically wrapped around the upper arm of the patient. This is a previously used single-use device that has been processed for an additional single-use patient application. See also: Blood pressure long-term ambulatory recorder</t>
  </si>
  <si>
    <t>Single-chamber venous compression system garment, reprocessed</t>
  </si>
  <si>
    <t>Diagnostic ultrasound cardiac catheter, steerable, reprocessed</t>
  </si>
  <si>
    <t>Laparoscopic trocar/sleeve, reprocessed</t>
  </si>
  <si>
    <t>A sterile, surgical device assembly that includes a single-lumen sleeve (laparoscopic sleeve) and a sharp rigid intraluminal rod/pin/blade (laparoscopic trocar), intended to puncture the abdominal wall and create an access port for a laparoscope/laparoscopic instrument during laparoscopy. The trocar is intended to fill the lumen of the sleeve during insertion, and is then withdrawn once the sleeve is in situ to provide an access port to the abdominal cavity; a laparoscopic sleeve seal may be included. It is available in a variety of dimensions and/or designs. This is a previously used single-use device that has been processed for an additional single-use patient application. See also: Laparoscopic multi-instrument access port</t>
  </si>
  <si>
    <t>Tourniquet cuff, reprocessed</t>
  </si>
  <si>
    <t>A sterile, band-like device intended to be applied around an extremity (arm or leg) and connected to a tourniquet unit to apply a controlled pressure to restrict blood circulation and prevent normal blood flow to or from the distal area during a surgical intervention or following serious injury. The tourniquet unit is used to provide the pressure within the cuff and display the pressure applied. The cuff may comprise a dual-chamber allowing alternation of the pressure site to avoid tissue damage or necrosis. This is a previously used single-use device that has been processed for an additional single-use patient application.</t>
  </si>
  <si>
    <t>Open-surgery electrosurgical handpiece/electrode, monopolar, single-use</t>
  </si>
  <si>
    <t>A sterile rigid device consisting of combined electrosurgical handpiece and monopolar electrode intended to deliver electrosurgical current from a system generator directly to tissues for cutting/coagulation during an open surgical procedure. It is available in a variety of forms (e.g., pen, pistol-shaped forceps, pincer-shaped forceps, scissors) and may also include irrigation, aspiration, lavage and/or surgical plume (smoke) evacuation features to support its primary electrosurgical function. This is a single-use device.</t>
  </si>
  <si>
    <t>Corn dressing</t>
  </si>
  <si>
    <t>A non-sterile adhesive dressing intended for the treatment of corns or calluses (hardened areas of skin on the feet or toes) consisting of a pad of material (e.g., hydrocolloid) impregnated with an acid (e.g., salicylic) which acts as a keratolytic agent to facilitate the removal of dead skin. It may be supplied with another dressing (e.g., ring) which provides cushioning around the lesion. It is normally available [non-prescription] over-the-counter (OTC). This is a single-use device.</t>
  </si>
  <si>
    <t>Surgical staple, non-bioabsorbable</t>
  </si>
  <si>
    <t>A length of wire, typically U-shaped, designed to mechanically fasten internal tissues together (e.g., the subcuticular closure of skin or the approximation of the ends of bowel) to facilitate healing typically in abdominal, thoracic, gynaecologic, orthopaedic, or plastic and reconstructive surgery. The device is made of a material that cannot be chemically degraded or absorbed via natural body processes (e.g., implant grade metal). This is a single-use device</t>
  </si>
  <si>
    <t>Skin-approximation adhesive</t>
  </si>
  <si>
    <t>A sterile biodegradable glue made of synthetic polymer (e.g., cyanoacrylate) intended for topical closure of surgical incisions and simple traumatic lacerations that have easily-approximated skin edges. It is intended to be used as an adjunct to standard methods of closure (e.g., dermal stitches) and is not intended for internal surgical applications. After application, this device cannot be reused.</t>
  </si>
  <si>
    <t>Endoscopic motorized cutting stapler, single-use</t>
  </si>
  <si>
    <t xml:space="preserve">04 Electro mechanical medical devices , 10 Single-use devices </t>
  </si>
  <si>
    <t>A sterile, hand-held, battery-powered surgical instrument designed to be used during endoscopic surgical procedures for the expeditious transection and resection of tissues and the creation of anastomoses; it may also be used during open surgery. The device is intended to mechanically cut the tissue and simultaneously apply surgical staples to the resulting sides of the cut line, with power from a motor in the handle. This device is typically loaded with staples and may be pistol-like in design. This is a single-use device</t>
  </si>
  <si>
    <t>Pelvic organ prolapse surgical mesh, synthetic polymer</t>
  </si>
  <si>
    <t>A sterile woven/knitted or porous material comprised of a non-bioabsorbable synthetic polymer (e.g., polypropylene) intended to be permanently implanted into a female patient for reinforcement and/or bridging of the supporting tissues of the pelvic floor for the surgical treatment of vaginal pelvic organ prolapse (POP), including anterior, posterior, or apical prolapse repair. It is typically available with various material attributes (e.g., density, pore size, weave) and may be pre-configured for specific repair or cut to desired size/shape. Disposable devices associated with implantation (e.g., introducer needles) may be included.</t>
  </si>
  <si>
    <t>Haematological concentrate system applicator</t>
  </si>
  <si>
    <t>A sterile, manually-operated device designed to administer, in a liquid or spray form, a haematological concentrate or other blood products (e.g., platelet concentrate, bone marrow aspirate concentrate, thrombin) to a surgical wound or graft to facilitate haemostasis and healing. The device may have one channel to administer one product, or two channels to co-administer two different products simultaneously in a precise ratio. This is a single-use device</t>
  </si>
  <si>
    <t xml:space="preserve">Surgical plant polysaccharide haemostatic agent </t>
  </si>
  <si>
    <t>A sterile, bioabsorbable device derived from plant polysaccharides (e.g., cellulose, starch, agar derivative) intended to be applied to surgical and traumatic wounds to facilitate local haemostasis primarily through denaturation of blood proteins and/or adherence to blood platelets; it may be used in combination with supplemental agents (e.g., vitamin K-dependent coagulation factors). It is available in various forms (e.g., liquid, spray, foam, particles, foam pad/sponge, bandage strip) that can be applied directly to the wound where it remains to be absorbed by the body; it does not contain an antimicrobial agent. This is a single-use device</t>
  </si>
  <si>
    <t>A sterile rigid device intended to be used during an endoscopic procedure to provide access for the instillation of haemostatic agents to a bleeding surgical site. It is typically made of high-grade stainless steel and plastic materials, and consists of a long, single lumen tube with an atraumatic tip, and an obturator for expressing the excess agent remaining in the cannula. It is used for general and trauma surgery in the abdomen and pelvis, urological, gynaecological, and surgical oncology applications. It is inserted into the body percutaneously, via a port or a rigid endoscope (e.g., laparoscope). This is a single-use device.</t>
  </si>
  <si>
    <t>Closed-wound drain</t>
  </si>
  <si>
    <t xml:space="preserve">A sterile, tube-like device designed to establish a channel for the removal of fluid or purulent material from a closed-wound or an infected area, typically used with a closed drainage system that applies a low negative pressure through the drain lumen. It is typically made of silicone and comes in various designs/sizes for a wide variety of surgical applications (e.g., orthopaedic, plastic/reconstructive, neurological, gynaecological, thoracic, cardiovascular, and general surgery). It might include disposable devices dedicated to drain insertion/function (e.g., sharp metal trocar, connector), however it does not include any fluid collection bags/containers. This is a single-use device. </t>
  </si>
  <si>
    <t>Rigid endoscopic grasping forceps, single-use</t>
  </si>
  <si>
    <t>A sterile, rigid manual device used in combination with a compatible endoscope to grasp tissue (typically atraumatically) or foreign bodies. It is typically constructed as a very long instrument with one sliding and one stationary rod whose distal ends are equipped with grasping tongs or claws which are operated by scissors-like ring handles at the proximal end of the instrument. It is typically made of metal and plastic materials and is introduced into the body through the working channel of the endoscope to grasp internal structures for observation, excision, and/or biopsy procedures. This is a single-use device</t>
  </si>
  <si>
    <t>Laparoscopic blunt dissector</t>
  </si>
  <si>
    <t>A sterile, rigid, manual instrument designed to facilitate blunt dissection between tissue planes during laparoscopic procedures, and may additionally be used during open surgical interventions of the abdomen. It is typically made of high-grade stainless steel and plastic materials, and usually consists of a long, thin shaft with a handle and activation lever proximally, and distally a steerable, flexible blunt tip used to mechanically disrupt tissues. Using the lever, the operator can articulate and lock the tip at an angle. It may also be used to snare and pull a pre-tied suture or interface with other similarly shaped articles (e.g., gastric band tubing). This is a single-use device</t>
  </si>
  <si>
    <t>Needle holder, reusable</t>
  </si>
  <si>
    <t>A hand-held manual surgical instrument designed to grasp a suture needle when pushing/pulling the needle and attached suture through tissue during suturing. It is made of high-grade stainless steel and has short serrated jaws at the distal end to provide better grip of the needle. It is available in a wide variety of sizes and designs, such as: 1) a self-retaining, scissors-like design with ring handles at the proximal end; 2) a tweezers-like design with bowed, hinged handles that are operated by squeezing them together; and 3) a heavy-duty pincer-like design. Some types may utilize inserts made of hard materials (e.g., carbide) and include scissor blades. This is a reusable device.</t>
  </si>
  <si>
    <t>Surgical clip applier, single-use</t>
  </si>
  <si>
    <t>A hand-held manual surgical instrument designed to apply small atraumatic clips for the ligation of blood vessels, or similar tubular anatomy, mainly to stop and/or prevent bleeding (i.e., haemostasis) during an open-surgery procedure. The device is typically a metallic, forceps-like instrument with flat, curved ends to hold and deliver the clips; it may be preloaded with clips and include a mechanism for single or multiple insertions of clips. This is a single-use device that is discarded after a single surgical procedure.</t>
  </si>
  <si>
    <t>Tissue extraction bag</t>
  </si>
  <si>
    <t>An impervious, flexible, sterile container intended to be used during minimally-invasive, typically keyhole, surgical techniques (e.g., laparoscopic) to extract dissected patient body tissue. The device is inserted into the body through a large bore cannula port, and the tissue to be extracted is placed in the bag with trans-cannula instruments and evacuated through the cannula. The device typically includes an x-ray detectable thread. This device may be used for surgical interventions such as an appendectomy, colonectomy, lymphadenectomy, or gallbladder removal. This is a single-use device</t>
  </si>
  <si>
    <t>Suture clasp, bioabsorbable</t>
  </si>
  <si>
    <t>A small, sterile, implantable fastening device intended to be used to secure the ends of a suture as an alternative to tying a knot, for approximation of soft tissue and/or prosthetic materials during a surgical procedure. The device is typically made of a polymer (e.g., polydioxanone) that is gradually degraded and digested by body tissues; it is typically implanted with a dedicated applicator.</t>
  </si>
  <si>
    <t>Abdominal radial retractor</t>
  </si>
  <si>
    <t xml:space="preserve">A sterile device that is inserted into an abdominal incision to separate the margins of the incision to create a conduit to the underlying organs/tissues for examination/intervention during hand-assisted minimally-invasive and open surgery. It consists of an external and internal ring interconnected with a fixed-length, shaped sheath (a tube) of an elastomeric material that also provides protection against wound contamination. Also known as a lap disc hand access device or a handport, it is available in a variety of sizes and may be used with or without a seal cap for colorectal, urological, gynaecological, and general surgical procedures. This is a single-use device. </t>
  </si>
  <si>
    <t>Abdominal radial retractor seal cap</t>
  </si>
  <si>
    <t>A device used with an abdominal radial retractor to provide an adjustable membrane that functions as an iris valve seal and access port. It is secured to the retaining latches of the external ring of the inserted retractor and the operator can open/close the port by turning the upper seal ring; this action revolves the thin membrane like the iris shutter of a camera. It is used to facilitate the entry of the surgeon's hand into the abdominal cavity, the extraction of large specimens, and as an instrument port, while helping to maintain pneumoperitoneum. This device is used in colorectal, urological, gynaecological, and general surgical procedures. This is a single-use device</t>
  </si>
  <si>
    <t xml:space="preserve">A sterile hand-held manual surgical instrument designed to create a subcutaneous tunnel (artificial passageway) between percutaneous entry and exit incisions for the subcutaneous placement of a catheter (e.g., for medication administration) or shunt. It is available in a variety of forms and may be: 1) a luminal sheath with a removable inner obturator, intended for co-axial catheter introduction, followed by sheath removal; or 2) a non-luminal device intended to either lead or pull the catheter through subcutaneous tissue. It is not intended for tunnelling through deep tissues. This is a single-use device. </t>
  </si>
  <si>
    <t xml:space="preserve">Spring-loaded pneumoperitoneum needle, single-use </t>
  </si>
  <si>
    <t>A slender, sharply-pointed metal tube designed to introduce or remove gas from the peritoneal cavity as a therapeutic or surgical/radiological procedural method. It is often inserted into the peritoneal cavity for the purpose of insufflation [e.g., with carbon dioxide (CO2)] to establish pneumoperitoneum prior to abdominal endoscopy. It is equipped with a spring-loaded, round-tipped obturator that extends from the tube when the device does not encounter resistance (i.e., when the cavity has been reached) to prevent damage from the sharp point. This is a single-use device</t>
  </si>
  <si>
    <t>Subcutaneous injection/infusion port needle</t>
  </si>
  <si>
    <t>A sterile, sharp bevel-edged, hollow tubular metal instrument attached to a syringe and designed for the therapeutic injection or infusion of medicinal substances directly beneath the skin layer. This is a single-use device.</t>
  </si>
  <si>
    <t>Gastric band access port kit</t>
  </si>
  <si>
    <t>A collection of sterile devices designed to establish a replacement access port for an implanted gastric band of the adjustable type that is invasively inflated. It typically includes access port needles, an access port, an end plug, a connector, and tubing to connect the new port to the existing gastric band. It is typically used when the original port must be removed due to leaks, infection, or contamination. This is a single-use device</t>
  </si>
  <si>
    <t>Gastric calibration tube, non-sterile</t>
  </si>
  <si>
    <t>A non-sterile, thin, flexible, hollow cylinder with an inflatable balloon at the distal end designed to be inserted into a patient's stomach through the mouth and oesophagus to create and size a gastric pouch typically for a bariatric gastric surgical procedure (e.g., sleeve gastrectomy, gastric banding). The proximal end may include a check valve and connects to a syringe, typically included, intended to inflate the balloon to a predetermined volume; fluid suction/irrigation ports are provided at the distal end. This is a single-use device</t>
  </si>
  <si>
    <t>Gastric band</t>
  </si>
  <si>
    <t>An implantable device in the form of a small belt or strip intended to be surgically (open surgery or laparoscopically) placed around the proximal part of the stomach to create a small pouch with a narrowed outlet (stoma) that divides the stomach into two portions. Commonly known as a lap-band, it is used for weight loss in overweight/obese patients by attempting to restrict the quantity of food consumed by increasing the sense of satiety (fullness). The device typically has an inflatable band used to control the amount of constriction on the stomach; this is adjusted by percutaneous injection of, e.g., saline, into a subcutaneous access port connected by a tube to the device</t>
  </si>
  <si>
    <t>Ultrasonic surgical system adaptor, reusable</t>
  </si>
  <si>
    <t>A small connecting device designed to fit between the component devices of an ultrasonic surgical system (i.e., the handpiece tip, handpiece, and generator) to enable them to join each other. It may include controls (e.g., buttons) that allow the operator to activate different power level settings for the system during surgery. This is a reusable device.</t>
  </si>
  <si>
    <t xml:space="preserve">Ultrasonic surgical system adaptor, single-use  </t>
  </si>
  <si>
    <t>A small, sterile, connecting device designed to fit between the component devices of an ultrasonic surgical system (i.e., the handpiece tip, handpiece, and generator) to enable them to join each other. It may include controls (e.g., buttons) that allow the operator to activate different power level settings for the system during surgery. This is a single-use device</t>
  </si>
  <si>
    <t>A receptacle designed to hold unwrapped surgical instruments, typically devices such as surgical powered drills and saws along with their hoses, during sterilization and for their subsequent storage. The container is permeable in order to allow moisture to escape from within after the sterilization process is finished, whilst protecting the contents from being contaminated. It may have features such as an expiry date label, sterile breathing filter, and stacking capabilities. This is a reusable device</t>
  </si>
  <si>
    <t>Ultrasonic surgical system handpiece/generator tester</t>
  </si>
  <si>
    <t>A non-sterile metal [e.g., titanium (Ti)] rod designed to test the ability of an ultrasonic surgical handpiece/generator combination to achieve frequency resonance lock as a means to ascertain that the handpiece and generator function properly together. It is inserted into the handpiece as a substitute for the ultrasonic surgical handpiece tip during testing. It is intended to be used by a healthcare provider in a clinical setting. This is a reusable device intended to be sterilized prior to use</t>
  </si>
  <si>
    <t>Ultrasonic surgical system torque wrench, reusable</t>
  </si>
  <si>
    <t>A hand-held instrument designed to manually attach or detach a handpiece tip (blade) from the handpiece of an ultrasonic surgical system. It is typically formed with a socket that is placed over the handpiece tip and rotated by the operator to tighten or loosen, with appropriate torque, the tip to or from the handpiece. The device is made of durable materials and typically includes a mechanism to prevent under- or over-tightening. This is a reusable device.</t>
  </si>
  <si>
    <t>Electromechanical device transport trolley</t>
  </si>
  <si>
    <t>A cart used as a carrier for transporting one or more electromechanical devices. This trolley (cart) will typically have one or more horizontal surfaces where the devices are placed; these surfaces may be covered with an antistatic material for the protection of the electronics and software of the devices</t>
  </si>
  <si>
    <t>Electrosurgical cable adaptor</t>
  </si>
  <si>
    <t>A small connector used to join the cable(s) from a handpiece/electrode(s) (active and/or return) to the generator of an electrosurgical system. This device will typically be used when the system components are from different manufacturers and the connections are not compatible. This is a reusable device</t>
  </si>
  <si>
    <t>An electrically-powered pedal used by an operator of a medical device to regulate the activation and/or intensity of a parent device (e.g., electrosurgical system generator, laser, ophthalmic examination unit, dental drill/saw system control unit) to which it is connected, typically via an electrical cable. This is a reusable device</t>
  </si>
  <si>
    <t>Electrosurgical/ultrasonic surgical system tester interface</t>
  </si>
  <si>
    <t>A non-sterile electrical connecting device designed to provide an interface between a commonly used electrical output analyser/equipment and an electrosurgical system generator and an ultrasonic surgical system generator, or a combination electrosurgical/ultrasonic surgical system generator when being tested for power output in a non-clinical setting. Commonly known as a verification key, it is typically used by a hospital clinical engineer when testing the generators during routine maintenance or inspection and provides standard connector components (e.g., banana plug receptacles) to allow simpler interface with a custom generator connector. This is a reusable device</t>
  </si>
  <si>
    <t>Soft-tissue ultrasonic surgical system handpiece, hand-controlled, reusable</t>
  </si>
  <si>
    <t>A hand-held component of an ultrasonic surgical system intended to convert high frequency electrical current from a generator into an ultrasonic oscillation for a tip placed at its end to mechanically fragment soft-tissue cells upon contact for cutting and/or coagulating tissue during surgery. The operator regulates the energy with a microswitch that is integrated into the device. The device may also serve as a conduit for irrigation and aspiration during surgery. It is typically in the form of a pen/pencil or elongated probe with permanently attached cables. This is a non-dedicated device intended to be used in multiple clinical specialties. This is a reusable device</t>
  </si>
  <si>
    <t>Colorectal sizer</t>
  </si>
  <si>
    <t>A hand-held manual surgical instrument designed to assess colon and/or rectal lumen diameter to aid the selection of an appropriate size intraluminal stapler (i. e, the stapler head) for bowel anastomosis following transection. It is typically made of high-grade stainless steel and consists of a shaft handle at the proximal end and an oval-shaped head at the distal end that is introduced transanally. The device is typically available in a set of graduated sizes. This is a reusable device.</t>
  </si>
  <si>
    <t>Utility forceps, reusable</t>
  </si>
  <si>
    <t>A hand-held manual surgical instrument used for general-purpose grasping/picking up of other devices/objects typically with the intention of maintaining a sterile condition or avoiding direct hand contact because of unhygienic/unfavourable conditions. It typically has a scissors-like design with ring handles and is made of high-grade stainless steel. It is available in various sizes and the working end will typically have grasping blades that are elongated or shaped as large oval or triangular rings. The blades are usually serrated to enhance grip on the objects being picked up. This is a reusable device.</t>
  </si>
  <si>
    <t>Skin stapler</t>
  </si>
  <si>
    <t>A sterile hand-held surgical instrument designed for the application of skin staples to approximate free edges of skin from an incision or wound. This device, often pistol-like in design, is typically loaded with staples and is intended to mechanically deliver staples with manual power. This is a single-use device</t>
  </si>
  <si>
    <t>Surgical staple remover, single-use</t>
  </si>
  <si>
    <t>A sterile surgical instrument that is used to remove skin staples after the healing process has progressed sufficiently to permit the borders of the wound or incision to remain together without assistance. It is a tweezers-like device made of high-grade stainless steel with blades at the distal end activated by lever action designed for grasping, opening, and removing surgical staples. This is a single-use device</t>
  </si>
  <si>
    <t>Ligation clip cartridge holder</t>
  </si>
  <si>
    <t>A device designed to hold sterile ligation clip cartridges to facilitate quick reloading of the cartridges into a surgical clip applier during a surgical procedure. It is typically made of metal and plastic materials in the form of a flat and stable base with profiled slots in its upper surface into which many ligation clip cartridges are held ready for loading. This is a reusable device</t>
  </si>
  <si>
    <t>Ligation clip, metallic</t>
  </si>
  <si>
    <t>A sterile, metallic, non-bioabsorbable clasp designed to be implanted around a blood vessel, lymphatic vessel, other tubular anatomy, or a tissue bundle for permanent occlusion. It may be used for ligation in open and endoscopic (e.g., laparoscopic) surgeries</t>
  </si>
  <si>
    <t>Haemorrhoidal surgical stapler, single-use</t>
  </si>
  <si>
    <t>A sterile, surgical instrument designed to apply surgical staples to tissue in the anal canal to treat haemorrhoids, particularly the procedure for prolapse and haemorrhoids (PPH) [repositioning of the anal canal mucosa to reduce blood flow to internal haemorrhoids]. It is typically pistol-like in design with a rounded, cylindrical head loaded with staples at the distal end, and operating levers at the proximal end intended to deliver a single- or multiple-circular band(s) of staples, whilst cutting away hemorrhoidal tissue. It may include disposable supportive devices intended to assist the procedure (e.g., rectal dilator, anoscope). This is a single-use device.</t>
  </si>
  <si>
    <t>Pelvic organ prolapse surgical mesh, composite-polymer</t>
  </si>
  <si>
    <t>A sterile woven/knitted or porous material comprised of both a bioabsorbable polymer (e.g., poliglecaprone 25) and a non-bioabsorbable polymer (e.g., polypropylene) intended to be permanently implanted into a female patient for reinforcement and/or bridging of the supporting tissues of the pelvic floor for the surgical treatment of vaginal pelvic organ prolapse (POP), including anterior, posterior, or apical prolapse repair. It is typically available with various material attributes (e.g., density, pore size, weave) and may be pre-configured for specific repair or cut to desired size/shape. Disposable devices associated with implantation (e.g., introducer needles, trocars) may be included</t>
  </si>
  <si>
    <t>A noninvasive, insulated, electrical cord designed to enable an electrical connection between a pair of medical devices (e.g., to connect a lead, electrical catheter, handpiece, or monitor to a parent device); it does not contact the patient directly nor does it connect directly to patient-worn electrodes (i.e., it is not a lead). It transmits power and/or signal (data) and includes a connector (plug) at both ends, typically with different connection configurations; it does not generate any type of power and/or signal and is not intended to be used as a mains power cable. It is manufactured to medical grade standards for use in healthcare facilities and the home. This is a reusable device</t>
  </si>
  <si>
    <t>Basic suction tip, single-use</t>
  </si>
  <si>
    <t>A sterile device that is attached to a suction system via the distal end of a suction tube and used for the rapid removal of bulk matter (e.g., vomit, mucus, tissue debris) from a natural or surgical cavity. It is a general-purpose suction tip and will typically be designed with a finger hole in its handle portion which is used by the operator to control the level of suction applied during the procedure or treatment. It is typically made of plastic materials. This is a single-use device</t>
  </si>
  <si>
    <t>Polyvinylidene fluoride suture</t>
  </si>
  <si>
    <t>A sterile, single-strand (monofilament), synthetic, non-bioabsorbable thread made of polyvinlyidene fluoride intended to join (approximate) the edges of a soft-tissue wound or incision by stitching or to ligate soft tissues; it may include an attached needle intended to be disposed of after single use. The thread provides temporary wound support until the wound sufficiently heals to withstand normal stress; it can be removed from the tissue once wound healing occurs or allowed to remain in the tissue where it is gradually encapsulated by fibrous connective tissue. This is a single-use device</t>
  </si>
  <si>
    <t>Suture retention device</t>
  </si>
  <si>
    <t>A device designed to be placed on the surface of the skin and intended to aid wound healing by distributing suture tension over a larger area in the patient. It is typically in the form of a retention bridge, a surgical button, or a suture bolster through which the sutures are passed. The distribution of suture tension will help prevent the suture from cutting the skin. This is a single-use device</t>
  </si>
  <si>
    <t>Transthoracic pacing lead</t>
  </si>
  <si>
    <t>A flexible wire with an electrode, insulated with non-conductive material except at its ends, that serves as an electrical conductor between the heart and an external temporary pacing/defibrillation device used to treat postoperative cardiac arrhythmias/cardiac arrests. The electrode end is attached to the myocardium. The other end initially is typically attached to a removable needle used to perforate the chest wall from the inside out, after which it is connected to a pulse generator, typically via an adaptor. This device is only used for temporary pacing of the heart and is removed once the patient is stable. This is a single-use device</t>
  </si>
  <si>
    <t>Umbilical cord tape</t>
  </si>
  <si>
    <t>A thin, flat strip of synthetic and/or natural material which is used as a tie or suture around the umbilical cord of a newborn infant after severance from the placenta. It typically consists of a braided strip of cotton thread and or spun polyester yarn and comes in a variety of sizes. This is a single-use device.</t>
  </si>
  <si>
    <t>Bone wax, natural</t>
  </si>
  <si>
    <t xml:space="preserve">An implantable device in the form of a sterile wax-like, putty-like, or paste material designed to stop bone bleeding by the creation of a physical barrier along the edges of bone that has been damaged by trauma or cut during a surgical procedure. When placed on the bone under moderate pressure it plugs the vascular openings in the bone and prevents further bleeding. It is made from natural purified beeswax (a yellowish or dark-brown wax secreted by honeybees for constructing honeycombs). </t>
  </si>
  <si>
    <t>Endometrial-ablation hyperthermia catheter</t>
  </si>
  <si>
    <t>A sterile device in the form of a thin tube with an inflatable balloon at its distal tip intended to be used to provide heat ablation (typically at a temperature of approximately 150°C) of the interior lining of the uterus (endometrium) for the treatment of dysfunctional uterine bleeding (menorrhagia). It is designed to be attached to a hand-held control unit in which a fluid medium (e.g., glycerin) is heated before being forced into the catheter balloon under pressure to compress against the uterine wall and circulate within for homogenous heat distribution. This is a single-use device</t>
  </si>
  <si>
    <t>Wound closure set, topical</t>
  </si>
  <si>
    <t>A collection of sterile devices used to topically close easily-approximated skin edges of wounds. It typically includes a pressure-sensitive adhesive tape or mesh and a liquid adhesive, each contained within a dispensing applicator. The tape/mesh is first applied to temporarily approximate the skin edges followed by application of the liquid adhesive, over the tape/mesh, which polymerizes to affect wound closure. This set may be used to treat surgical incisions, simple lacerations, and may also be used in conjunction with deep dermal stitches. This is a single-use device.</t>
  </si>
  <si>
    <t>ALL DEPUY &amp; SYNTHES</t>
  </si>
  <si>
    <t>A sterile, noninvasive, hand-held, battery-powered unit intended to deliver a low-level electric current to break the connection between a vascular (neurovascular or peripheral) embolization coil and its deployment device (i.e., implant inserter or delivery wire) via an electrolytic reaction. It is intended to connect to the proximal end of an appropriate implant inserter (delivery wire) which conducts the current to the desired electrically unstable detachment point. This is a single-patient device that may be reapplied to the patient over a short term (single-use) before being discarded.</t>
  </si>
  <si>
    <t>A sterile, non-bioabsorbable, implantable device intended to induce a neurovascular thrombosis to treat an intracranial aneurysm and/or neurovascular arteriovenous malformation (AVM); it may also be intended to treat non-neurovascular malformations. It is in the form of a metal [e.g., platinum alloy] or metal/synthetic polymer wire which coils upon deployment within the aneurysm/vasculature; it is typically pre-attached to a nonimplantable delivery wire. Disposable devices associated with implantation (e.g., delivery wire, catheter) may be included.</t>
  </si>
  <si>
    <t>A sterile flexible tube with an inflatable system of single or dual balloons at the distal end intended for the temporary blockage of a blood vessel. It may be used for arteriography, selective angiography, preoperative occlusion, peripheral and neurovasculature occlusion, emergency control of haemorrhage, to treat malformations (e.g., aneurysms), chemotherapeutic drug infusion, and renal opacification procedures. It may have a dual- or multi-lumen design, one for balloon inflation and another to pass it over a guidewire, or for the infusion of contrast medium, or for the delivery of a smaller catheter or embolic agents. It is intended for short-term use only. This is a single-use device.</t>
  </si>
  <si>
    <t>A sterile, small-diameter, flexible tube designed for the controlled infusion of agents/fluids (e.g., thrombolytics, diagnostic contrast media) into superselective small vessels (including neuro, peripheral, or coronary vasculature) for angiography and treatment, and the delivery of embolic devices into tortuous or superselective anatomy. Also known as a continuous flush catheter, it may include an ultrasound transducer, a thermal sensor, and a hole for guidewire placement located at the distal tip. It is typically used with a microflow infusion system which provides the energy for its application. This is a single-use device.</t>
  </si>
  <si>
    <t>A sterile flexible tube intended to be used for the percutaneous transluminal passage and placement of guidewires and/or diagnostic/interventional devices (e.g., pacing leads, balloon dilatation catheter, stent and delivery system, or embolization device) within the vascular system. The guide catheter may be rigid or flexible, non-steerable or steerable, and the distal section of the tube can have a variety of preformed shapes (e.g., straight, multi-purpose, hockey stick, renal double curve); it typically has radiopaque markers so that it can be fluoroscopically tracked. It may include disposable introduction devices (e.g., needle, guidewire, dilator). This is a single-use device.</t>
  </si>
  <si>
    <t>A sterile, nonimplantable, rigid tube intended to be surgically inserted through the skull for subdural access to the brain (e.g., cerebral ventricles) for cerebrospinal fluid (CSF) drainage and/or infusion of materials. It is usually made of metal (e.g., stainless steel) and may include a stylet/trocar. This is a reusable device intended to be sterilized prior to use.</t>
  </si>
  <si>
    <t>A sterile, metallic device intended to be permanently implanted around the neck of an aneurysm (a balloon-like sac formed on a blood vessel) for occlusion, to prevent it from bleeding or bursting and to isolate it from the rest of the vessel. The device is typically an alpha-shaped coil spring, with blades that open like jaws, that comes with a dedicated applier for application to the aneurysm. The device is available in a variety of sizes and its blades may be straight or curved. It is typically used to treat intracranial aneurysms; it may also be used to prevent bleeding from small blood vessels.</t>
  </si>
  <si>
    <t>A surgical instrument designed for the application/insertion of aneurysm clips (devices for approximating the edges of the neck of an aneurysm or for the prevention of bleeding from small individual blood vessels). This is a reusable device.</t>
  </si>
  <si>
    <t>A hand-held, manually-operated, surgical instrument used to manually apply and remove haemostatic scalp clips (reusable or single-use) from the scalp during or after a surgical intervention on the cranium/scalp. It is typically a scissors-like device with ring handles, and may or may not be self-retaining. The working end of the device will typically have dedicated grasping blades that are profiled/designed to accommodate a compatible scalp clip. The device is available in various sizes and is typically made of high-grade stainless steel. This is a reusable device.</t>
  </si>
  <si>
    <t>A sterile, drill-like, device designed to cut a circular section, or sections, of the skull vault (calvarium) to provide access to the interior for diagnostic/therapeutic purposes or for the removal of a bone flap for brain surgery. It typically consists of two coaxial drills (one rotating inside the other), a drive shank that enables connection to a powered (either electrical or pneumatic) handpiece, and a built-in clutch mechanism. The inner drill extends slightly beyond the outer cutter in such a way that when the inner drill penetrates the inner table of the skull the clutch mechanism disengages. It is typically made of high-grade stainless steel. This is a single-use device.</t>
  </si>
  <si>
    <t>A non-patient-contact, insulated, electrical cord with a connector (plug) at both ends designed to transmit electrical power and/or signal (data) between medical devices (e.g., to connect a lead, electrical catheter, handpiece, or monitor to a parent device). It is not intended to connect directly to patient-worn electrodes (i.e., it is not a lead), is not intended to connect to the mains (i.e., not a mains power cable), does not generate any type of power and/or signal, and has no additional non-electrical conducting or processing functionality. This is a single-use device.</t>
  </si>
  <si>
    <t>A sterile flat woven/knitted material made of a biocompatible metal (e.g., surgical stainless steel, tantalum) with appropriate mechanical characteristics for implantation. This non-dedicated device is used alone or in combination with synthetic materials (e.g., polymers) to support or protect tissues in reconstructive surgical procedures (e.g., to repair large chest wall defects or large abdominal incisional hernias) and/or orthopaedic procedures (e.g., cranioplasty, femoral reconstruction). Disposable devices associated with implantation (e.g., introducer needles, trocars) may be included.</t>
  </si>
  <si>
    <t>A sterile adhesive substance (e.g., a glue or a resin) intended to be used in the repair of an aneurysm by means of obliterative adhesion of the sac. This is a single-use device.</t>
  </si>
  <si>
    <t>A long, coiled, sterile wire intended to be percutaneously placed into the vasculature, typically via the femoral artery, to function as a guide for the introduction, positioning, and/or operation of a cardiac catheter or a pacing lead into the ventricles or vessels of the heart. It is typically made of stainless steel, with or without coating (coating facilitates movement), and is available in a variety of distal tip designs. It is used during percutaneous transluminal coronary angioplasty (PTCA) and other diagnostic and interventional procedures. It may include devices used to facilitate manipulation (e.g., torque device). This is a single-use device.</t>
  </si>
  <si>
    <t>A sterile flexible tube intended for short-term percutaneous access to the subarachnoid (intrathecal) or epidural space of the lumbar spinal column for infusion of materials (typically anaesthetic or analgesic substances during surgery, labour, or delivery), and/or drainage of cerebrospinal fluid (CSF) and/or other fluids. Devices intended to assist catheter insertion (e.g., Tuohy needle, suture) may be included. This is a single-use device.</t>
  </si>
  <si>
    <t>A sterile, non-bioabsorbable, material (e.g., gel, liquid) intended to be implanted in a neurovascular blood vessel, to obstruct blood flow to treat a brain arteriovenous malformation (bAVM). It may be supplied as a liquid [e.g., ethylene vinyl alcohol (EVOH)], gel or powder intended to solidify or expand in situ to create a barrier to blood flow (embolus); it contains no pharmaceutical agents. It may be supplied with dedicated instruments for implantation.</t>
  </si>
  <si>
    <t>A collection of sterile devices and supplies used in combination for the implantation of an embolization implant that will purposely create permanent or temporary obstruction, i.e., stop the flow of blood, in arteries/blood vessels. The kit will typically consist of, e.g., an embolization implant, an inserter, a dedicated syringe, and possibly other supplies necessary for the surgical procedure. This is a single-use device.</t>
  </si>
  <si>
    <t>A sterile flexible tube with a sensor at the distal end intended to be surgically inserted through the skull for short-term (≤ 30 days) access to the ventricular and/or parenchymal areas of the brain to drain cerebrospinal fluid (CSF) and to measure intracranial parameters [e.g., intracranial pressure (ICP), temperature, partial pressure of oxygen (pO2)]; it may also be intended for infusion of materials (e.g., chemotherapeutic agents, radioisotopes). It may include accessory devices intended to facilitate catheter introduction, stabilization, and/or fluid collection/infusion (e.g., stylet, bolts, drills, drainage/infusion port/reservoir). This is a single-use device.</t>
  </si>
  <si>
    <t>A rigid combined electrosurgical handpiece and bipolar electrode, intended to deliver electrosurgical current from a system generator directly to tissues for cutting/coagulation during an open surgical procedure. It is available in a variety of forms (e.g., pen, pistol-shaped forceps, pincer-shaped forceps, scissors) and may also include irrigation, aspiration, lavage and/or surgical plume (smoke) evacuation features to support its primary electrosurgical function. This is a reusable device.</t>
  </si>
  <si>
    <t>A sterile device made of animal-derived collagen (e.g., equine, porcine) designed to temporarily substitute for dura mater during surgical repair or replacement of dura, and to function as a matrix for the regeneration of living dura. Restoration of the dura mater maintains the integrity of the brain and spinal cord, and helps prevent leakage of the cerebrospinal fluid (CSF). The device is typically in the form of a transparent foil that usually requires no suturing and may be used with fibrin sealant.</t>
  </si>
  <si>
    <t>A sterile hollow barrel fitted with a threaded plunger and a pressure gauge, designed to place an embolic implant in the body. The device provides precise pressure control for the preparation (purging) and release of an implantable device after it has been surgically positioned at the target site using a delivery tube (e.g., an appropriate catheter). The plunger has a locking mechanism for added control, and the device comes equipped with a flexible, high-pressure extension tube. The pressure gauge will typically facilitate settings for purging, implant placement, and detachment (launch). This is a single-use device.</t>
  </si>
  <si>
    <t>A sterile, flexible tube intended to be surgically inserted through the skull for long-term (&gt; 30 days) subdural access to the brain (e.g., cerebral ventricles, cystic tumours) for cerebrospinal fluid (CSF) drainage and/or infusion of materials (e.g., chemotherapeutic agents); it is typically used for measurement of intracranial pressure (ICP) and as part of a shunt system. It may include an attached port/reservoir at its proximal end that is placed subcutaneously to facilitate material infusion/collection, and/or accessory devices intended to facilitate catheter introduction and/or stabilization (e.g., stylet, catheter holder); it does not include a sensor. This is a single-use device.</t>
  </si>
  <si>
    <t>A sterile flexible tube intended to be implanted as the distal component of a ventriculo-peritoneal/atrial shunt, to channel cerebrospinal fluid (CSF) to either the peritoneal cavity or the right atrium (i.e., dual-capability) where it can be absorbed into the body. It is intended to be part of a therapeutic measure for situations where excess CSF causes elevated intracranial pressure (hydrocephalus). Disposable devices associated with implantation may be included.</t>
  </si>
  <si>
    <t>A sterile, implantable chamber intended to be connected to an intracerebral catheter (not included) for infusion/injection of materials (e.g., chemotherapeutic agents, radioisotopes) into the brain (e.g., cerebral ventricles, cystic tumours, tumour cavities); it may also be used for drainage of cerebrospinal fluid (CSF) from the ventricles and as part of a ventriculo-peritoneal/atrial shunt system. The device is implanted subcutaneously and materials infused/injected with a needle via hypodermic puncture flow into the target site through the connected catheter. It is typically a bulb-shaped device made of plastic material (e.g., polypropylene, silicone).</t>
  </si>
  <si>
    <t>A sterile implantable device intended to connect components of a cerebrospinal fluid (CSF) shunt assembly (e.g., ventriculoperitoneal shunt, lumboperitoneal shunt), designed to remove excess cerebrospinal fluid from around the central nervous system especially in the treatment of hydrocephalus. It is typically made of plastic or metal and is Y-shaped or straight. This is a single-patient device.</t>
  </si>
  <si>
    <t>A sterile implantable device intended to divert excessive cerebrospinal fluid (CSF) from the subarachnoid space of the lumbar spine to the peritoneal cavity where it can be absorbed into the body, as a treatment for raised CSF pressure (e.g., caused by hydrocephalus). It typically consists of fully implanted interconnected components: a spinal catheter implanted into subarachnoid space of the lumbar spine; a mechanical shunt valve that may incorporate a puncturable reservoir for sampling/infusion; and a peritoneal catheter implanted into the peritoneal cavity. Disposable devices associated with implantation may be included.</t>
  </si>
  <si>
    <t>A hand-held manual surgical instrument designed to create a subcutaneous tunnel (artificial passageway) between percutaneous entry and exit incisions for the subcutaneous placement of a device (e.g., catheter for medication administration, shunt, retinal chip). It is available in a variety of forms and may be: 1) a luminal sheath with a removable inner obturator, intended for co-axial device introduction, followed by sheath removal; or 2) a non-luminal device intended to either lead or pull the device through subcutaneous tissue. It is not intended for tunnelling through deep tissues. This is a reusable device intended to be sterilized prior to use.</t>
  </si>
  <si>
    <t>A collection of sterile devices intended for short-term access to the brain ventricles to drain cerebrospinal fluid (CSF), and/or other fluids of similar physical characteristics, as a means of reducing CSF volume and intracranial pressure (ICP). It includes an intracerebral infusion/drainage catheter and devices intended for catheter insertion (e.g. stylet) and CSF collection (e.g., drip chamber, drainage bag, tubing set). This is a single-use device.</t>
  </si>
  <si>
    <t>A sterile flexible tube intended to be surgically inserted through the skull for short-term (≤ 30 days) subdural access to the brain (e.g., cerebral ventricles, cystic tumours) for cerebrospinal fluid (CSF) drainage and/or infusion of materials (e.g., chemotherapeutic agents); it may also be intended for measurement of intracranial pressure (ICP). It may include an attached port/reservoir at its proximal end that is placed subcutaneously to facilitate material infusion/collection, and/or accessory devices intended to facilitate catheter introduction and/or stabilization (e.g., stylet, bolts, drills, catheter holder); it does not include a sensor. This is a single-use device.</t>
  </si>
  <si>
    <t>A sterile implantable device intended to function as part of a ventriculoperitoneal or ventriculoatrial shunt to regulate the pressure and flow level of cerebrospinal fluid (CSF) from the brain to the peritoneum/heart right atrium in the management of increased intracranial pressure (e.g., caused by hydrocephalus). It consists of a mechanical valve with catheter connections and is made of plastic and silicone materials. It typically opens at a pre-set pressure and may be non-invasively adjusted using a dedicated programmer.</t>
  </si>
  <si>
    <t>A sterile flexible tube intended to be implanted as the distal component of a ventriculoatrial shunt to channel cerebrospinal fluid (CSF) to the right atrium where it can be absorbed into the body. It is intended to be part of a therapeutic measure for situations where increased CSF causes elevated intracranial pressure (hydrocephalus). Disposable devices associated with implantation may be included.</t>
  </si>
  <si>
    <t>A sterile implantable device intended to divert excessive cerebrospinal fluid (CSF) from the brain ventricles to either the peritoneal cavity or the heart right atrium (i.e., dual-capability), where it can be absorbed into the body, as a treatment for increased intracranial pressure (e.g., caused by hydrocephalus). It typically consists of 1) an intracerebral ventricular catheter through which CSF flows; 2) a mechanical shunt valve that typically opens at a pre-set pressure; and 3) a peritoneal/atrial catheter that channels the CSF to the peritoneal cavity or right atrium. It is made of plastic and silicone materials and disposable devices associated with implantation may be included.</t>
  </si>
  <si>
    <t>A sterile, hand-held, manual surgical instrument with a sharp, needle-like point intended to be used in conjunction with an intracerebral catheter (e.g., ventricular catheter) to puncture tissue and create a channel to access the brain (e.g., cerebral ventricles, cystic tumours) typically for cerebrospinal fluid (CSF) drainage or infusion of materials (e.g., chemotherapeutic agents). It is inserted within the lumen of the intracerebral catheter prior to catheter insertion; the catheter is not included. This is a single-use device.</t>
  </si>
  <si>
    <t>A manually-powered, hand-held, surgical device intended to be used to remove circular sections of the skull vault (calvarium) to provide access to the interior for diagnosis (e.g., the insertion of a neuroscope), or treatments [e.g., to alleviate intracranial pressure (ICP)], or for the removal of a bone flap for brain surgery. It is typically a drill brace or a housing containing bevelled and/or straight teethed gears rotated via a side handle, and a Jacobs chuck or gripping collet to attach an exchangeable rotating endpiece (e.g., a cranial drill, bur, trephine or perforator). This is a single-use device.</t>
  </si>
  <si>
    <t>A sterile implantable device made from synthetic polymers [e.g., expanded polytetrafluoroethylene (ePTFE), ePTFE/elastic fluoropolymer] intended to be used for the temporary or permanent repair or replacement of the dura mater in a recipient during a neurosurgical procedure. Restoration of the dura mater maintains the integrity of the brain and spinal cord, and helps prevent leakage of the cerebrospinal fluid (CSF). This dural graft is typically overlaid on the patient's dura; it is typically supplied in the form of a patch and may be sutured into place.</t>
  </si>
  <si>
    <t>A battery-powered, nonprogrammable, sterile device designed to be implanted in a patient for the storing and subarachnoid administration of narcotics/drugs (e.g., morphine sulfate, baclofen) to manage intractable pain and muscle spasms of malignant or non-malignant origin. This implantable infusion pump (IIP) may enable delivery of a bolus of medication, typically patient-controlled with mechanical restrictions that limit the refill rate of the device, or it may provide a constant flow of medication at a factory-set rate. The device typically consists of a drug reservoir, usually implanted under the skin of the lower abdomen, and a connected catheter placed into the spinal fluid space.</t>
  </si>
  <si>
    <t>A sterile non-bioabsorbable tubular device typically intended to be implanted into the base or parent artery of an intracranial aneurysm (e.g., wide-neck aneurysm situated at the base of a bifurcation) to facilitate the delivery of embolics to fill the aneurysm, facilitate clotting within the aneurysm by slowing blood flow into it, and/or to provide support for a neurovascular embolization coil placed inside the aneurysm. It is made of uncoated metal [e.g., nickel-titanium alloy (Nitinol)] and self-expands after it is delivered to the site of implantation and released (e.g., from a dedicated delivery instrument). Disposable devices associated with implantation may be included.</t>
  </si>
  <si>
    <t>A battery-powered, sterile device designed to be implanted in a patient for the long-term or intermittent infusion of narcotics, short-acting anaesthetic agents, antineoplastic drugs, and other agents. This implantable infusion pump (IIP) delivers drug doses from its implanted reservoir which is controlled by drug concentration and/or by radio-frequency (RF) signals from an external programming device. A catheter connected to the reservoir is inserted into the epidural or subarachnoid (intrathecal) space of the spinal canal or into a blood vessel.</t>
  </si>
  <si>
    <t>An external device that enables a user to interrogate, test, analyse and program, noninvasively, one or more of the operating parameters (the programs) of an implanted infusion pump. It is able to read stored parameters in the infusion pump, providing historic and/or current information regarding performance, and may be used to upload new software into the infusion pump. It is a dedicated device, typically with an electronic wand with a communication antenna, connected to a port of a personal computer (PC) using dedicated software to drive the electronics of the wand to communicate with the implanted infusion pump.</t>
  </si>
  <si>
    <t>A sterile, two-way connector designed to connect the proximal end of a cerebrospinal fluid (CSF) drainage catheter directly to a drainage bag or an intracranial pressure monitor. It is typically made of polymer materials [e.g., polyvinyl chloride (PVC)] and profiled at both ends to create leak-proof connections. It may also feature a tap-like valve to isolate the line when injecting, flushing, or replacing the drainage bag. This is a single-use device.</t>
  </si>
  <si>
    <t>A collection of sterile devices intended to be used to affix an intracerebral sensor/infusion/drainage catheter on the skull of a patient. It includes cranial screws and screwing tools; it does not include the intracerebral catheter, and does not include devices intended for long-term implantation (&gt; 30 days). This is a single-use device.</t>
  </si>
  <si>
    <t>A device intended to noninvasively modify the operating pressure of a programmable, non-active, implanted cerebrospinal fluid (CSF) shunt valve that is part of a CSF shunt (e.g., ventriculoperitoneal shunt, lumboperitoneal shunt). It is used in neurosurgery for intra- and postoperative treatment of hydrocephalus when shunting CSF. It typically includes electronic circuits, a control panel, a programming information display, and transmitter/identification devices (e.g., smart cards). When externally placed on the location of the implanted valve, it is actuated to supply coded magnetic signals to affect mechanical changes to the pressure characteristics of the proprietary implanted valve.</t>
  </si>
  <si>
    <t>A sterile flexible tube designed for the percutaneous, transluminal disruption and removal of clotted blood (i.e., a thrombus or thromboembolus) or other formed elements causing vascular obstruction in native and stented blood vessels, native and synthetic bypass grafts, and/or haemodialysis access grafts, through suction (aspiration) typically achieved with the use of an included syringe(s) attached to the proximal end of the catheter, or connection to a dedicated suction pump system. Collection baskets may also be included to obtain filtered blood specimens for analyses. This is a single-use device.</t>
  </si>
  <si>
    <t>A mains electricity-powered (AC-powered) component of a electrosurgical system intended to generate radio-frequency (RF) electrical current for subsequent cutting and coagulation of soft tissues during an endoscopic or open surgical procedure; it is not dedicated to focal ablation of specific tissues (i.e., not a radio-frequency ablation system generator). It includes controls and is intended to be connected via a cable to an electrosurgical handpiece and electrode (neither of these are included); it is not intended for argon-enhanced electrosurgery.</t>
  </si>
  <si>
    <t>A mains electricity (AC-powered) device used to generate positive and/or negative pressures as part of an irrigation/aspiration system used during a general surgical procedure to intermittently or continuously irrigate and/or aspirate body cavities and wounds. It is not intended to be used for the administration of parenteral fluids, infusion of drugs, or for any life sustaining purposes.</t>
  </si>
  <si>
    <t>A metal rod with two or more hooked bars extending horizontally from its top from which various fluid delivery devices (bags or bottles) can be suspended for the administration of intravenous (IV) fluids/medication to the patient. It is used during infusion therapy for intravenous administration of fluids/solutions or blood transfusions. Infusion pumps and/or syringe pumps can also be attached to it. Commonly known as an IV pole or drip pole, it can be a fixed or side-swinging, adjustable, vertical pole attached to a bed or operating table, or more commonly, an independent floor-standing IV pole for bedside use; some have wheels to allow patient mobility.</t>
  </si>
  <si>
    <t>A mains electricity (AC-powered) device, which may include internal rechargeable batteries, intended for intermittent or continuous measurement and display of intracranial pressure (ICP). It is used in conjunction with an invasive intracranial device (e.g., intracerebral sensor catheter) that transmits electrical signals via connected cables or pressure signals via tubing (e.g., via the air pouch method). It may include an alarm designed to alert clinical staff to an elevated ICP and may also produce a strip-chart recording or display of the ICP waveform that enables interpretation of long-term ICP trends.</t>
  </si>
  <si>
    <t>A small, manually-operated and applied surgical device used to stop bleeding from the scalp during surgery on the cranium. It is is usually applied to the scalp using the fingers or a dedicated pair of scalp clip forceps, and consists of two blades that are joined at a midpoint or is made of a single alpha-shaped part. It is typically made of high-grade stainless steel. This is a reusable device.</t>
  </si>
  <si>
    <t>A small, manually-operated and applied surgical device used to stop bleeding from the scalp during surgery on the cranium. It is is usually applied to the scalp using the fingers or a dedicated pair of scalp clip forceps, and consists of two blades that are joined at a midpoint. It is typically made of plastic materials. This is a single-use device.</t>
  </si>
  <si>
    <t>A hand-held, manually-operated, surgical instrument used for the application (the attachment) of nonimplantable, single-use scalp clips to the margins of a scalp wound/incision during a surgical intervention on the cranium/scalp. Often referred to as a clip gun, it has a pistol-like design and holds an exchangeable, preloaded cassette of scalp clips that are fired into the scalp tissue, with the pull of a trigger, to approximate the margins of the wound/incision until it heals. This is a single-use device.</t>
  </si>
  <si>
    <t>A sterile absorbent material intended to be used on the brain to remove blood and other fluids during an operation. This is a single-use device.</t>
  </si>
  <si>
    <t>A collection of sterile, flexible, single-bore, external tubing intended to provide a conduit to deliver a sterile irrigation solution (e.g., saline solution) from its source (e.g., gravity feed bag, feed pump) to the surgical intervention site; it is not intended to navigate through an anatomical lumen. The tubing typically includes associated items such as clamps, filters, spikes, and connectors; it may include an integrated manual pump (e.g., a squeeze bulb) to assist in the channelling between the irrigation source and the point of application. Some types may have dual tubing to help expedite gastric lavage procedures. This is a single-use device.</t>
  </si>
  <si>
    <t>A neurosurgical blade used to cut/remove circular sections of the skull vault (calvarium) to provide access to the interior, e.g., for the insertion of a catheter or a neuroscope for diagnosis, or treatments such as, to alleviate intracranial pressure (ICP), obtain cerebrospinal fluid samples, inject radiopaque dyes. It may be used to make several holes for the removal of a bone flap. It is typically a hollow cylinder with a circular, saw-like serrated working edge and a centre drill for guidance. It is an exchangeable device, typically made of high-grade stainless steel, that is attached to a manually rotated handle or to a powered rotary surgical handpiece. This is a single-use device.</t>
  </si>
  <si>
    <t>A sterile, powered, rotational, cutting device designed for use in an arthroscopic shaver system handpiece for soft and bone tissue resection during arthroscopic surgery on a joint, e.g., a knee, shoulder, or ankle. It is locked into a handpiece, and typically consists of a small outer tube with a hub and a rotating inner tube with a connector. The inner and outer tubes are typically made of high-grade stainless steel; the hub and connector may be made of stainless steel or a polymer [e.g., polyphenylsulfone (PPSU)]. This is a single-use device.</t>
  </si>
  <si>
    <t>A manually-powered, hand-held, surgical device intended to be used to generate a rotary motion to an endpiece during a surgical procedure for e.g., cutting, sculpting, trepanning, drilling bone and driving Kirschner wires; it is not dedicated to a specific clinical procedure. It is available in two main designs: 1) a U-shaped drill brace powered by the surgeon holding the top of the brace steady whilst rotating it with horizontal crankshaft-like movements with the other hand; or 2) a drill powered by the rotation of a side-mounted, handle; it may be cannulated to allow for use of a guidewire. Both types may have a Jacobs chuck or collet to hold the drill bit. This is a reusable device.</t>
  </si>
  <si>
    <t>A spike-like, orthopaedic, surgical instrument that is used to bore holes in bone. It is typically designed as a straight or slightly curve rod-like instrument with a sharp, trocar-like point at the distal end and a T-shaped handle at the proximal end. It is manually-operated by the surgeon who rotates the point back and forth on the bone whilst exerting pressure onto the handle. This operation will penetrate the hard outer bone and create a passage into, e.g., a medullary canal. It is typically made of high-grade stainless steel, titanium (Ti) and a synthetic material for the handle (e.g., Tufnol). This is a reusable device intended to be sterilized prior to use.</t>
  </si>
  <si>
    <t>A metal surgical instrument designed for cutting internal threads into bone so that the threads facilitate the insertion of bone screws. The screws anchor bone fragments, fixtures and/or other devices to the bone. It is made of high-grade stainless steel and has a helical thread intersected with longitudinal cutting grooves forming the cutting edges at its distal end and may be cannulated. The proximal end typically terminates in a square to which a tapping instrument or extension can be attached. It will typically be manually rotated in order to create a best possible thread. This is a reusable device.</t>
  </si>
  <si>
    <t>A surgical device designed to fill the lumen of a drill guide during its insertion to a surgical site primarily to prevent tissue obstruction of the drill guide lumen. When the drill guide is firmly placed at the chosen position on the bone surface, the obturator is removed. It is typically a rod with a rounded distal end, which protrudes out of the drill guide, and a knob-like handle that functions as a regulator to control the length of the protruding end and to remove it from the drill guide. It is typically made of a high-grade stainless steel. This is a reusable device.</t>
  </si>
  <si>
    <t>A small surgical device designed to join (connect) two additional devices during a surgical procedure (e.g., two surgical instruments or an instrument and an implant) to facilitate the minimally-invasive insertion and placement of implantable devices (e.g., pins, nails, screws, blades) into bone. It is typically made of high-grade steel and in the form of a short rod with machine threads at one end and a connecting slot (e.g., sunken Hex head) or thumbscrew at the other. This is a reusable device.</t>
  </si>
  <si>
    <t>A sterile device used to cover or to plug holes drilled into the skull during surgery and to reattach cranial bone removed during the intervention. This is a single-use device.</t>
  </si>
  <si>
    <t>A long, thin, metal rod designed to guide intramedullary canal devices for performing the implantation of an intramedullary nail to treat damaged bone. The rod is usually manually inserted into the canal to typically guide a surgical instrument (e.g., a reamer) and the implantable nail. This device is made of metal [e.g., high-grade stainless steel, titanium (Ti)] and is available in a variety of sizes, lengths, and designs (e.g., round-tip, trocar-tip, or flexible-tip). It may be used in femoral, tibial, humeral or supracondylar intramedullary canals. This is a reusable device.</t>
  </si>
  <si>
    <t>A sterile rigid or semi-rigid tube that is inserted into a joint following arthroscopic surgery to drain fluid. This is a single-use device.</t>
  </si>
  <si>
    <t>A hand-held manual surgical instrument that enables the user performing an internal suturing procedure (e.g., suturing a heart valve in the thoracic cavity) to advance suture knots created extracorporeally to the point of appropriate suture tension. It is a long, thin, rod-like device that has a guiding mechanism (e.g., an eyelet or groove) at its distal end, allowing it to be steered down one end of the suture as it pushes the knot with its blunted nose. Saline may be used to lubricate the suture and the knot pusher if necessary. This is a reusable device.</t>
  </si>
  <si>
    <t>A dedicated hand-held surgical instrument used for cutting sutures. It will typically have a protected scalpel-like blade which may be fixed or have a scissor-like cutting action. This is a reusable device.</t>
  </si>
  <si>
    <t>A hand-held, manually-operated surgical instrument used to lift/separate (elevate) or tunnel under the periosteum (membrane of fibrous connective tissue tightly surrounding bone or teeth) typically during dental, ophthalmic, or orthopaedic surgery. In design it is similar to a raspatory, but is typically a much finer instrument, often double-ended with a central handle. In dentistry it may be used to access retained roots, or for their removal with surrounding bone. It is typically a one-piece instrument made of high-grade stainless steel and is available in various sizes and blade shapes. This is a reusable device.</t>
  </si>
  <si>
    <t>A shaft of metal intended to be mounted into an appropriate surgical power tool (e.g., a pneumatic reamer or drilling system handpiece with appropriate torque capacity) and rotated to bore into hard/tough tissues (e.g., bone, cartilage) to clear a channel of the same dimension as the diameter of the shaft. This drill is cannulated, having a hollow centre, and is typically flexible so that it can be fed over a guiding pin that has been placed into the correct position prior to operation. This device is typically used in orthopaedic surgery for clearing of the intramedullary channel prior to the insertion of a prosthetic device. This is a reusable device.</t>
  </si>
  <si>
    <t>A hand-held manual surgical instrument designed for passing (driving) sutures and suture needles through tissues/prosthetic materials to facilitate suturing. A passer, also known as a needle driver, is a long, thin, rod-like device that may be flexible or rigid in design and have hooks, catches, clasps, or forceps-like jaws at the distal end that grip/hold. The distal end will typically terminate as a button, rounded, or acorn tip, while the proximal end will have a handle or lever that is operated by the user. This is a reusable device.</t>
  </si>
  <si>
    <t>A manually-operated, surgical device intended to be used in combination with a compatible arthroscope to mechanically approximate the edges of an internal wound or incision, including muscle tears, with sutures during arthroscopy. A suture punch mechanism places the number of sutures desired by the surgeon at the site of the lesion. This is a reusable device intended to be sterilized prior to use.</t>
  </si>
  <si>
    <t>A hand-held manual surgical instrument designed to hook skin or tissue in order to grasp, apply traction, and lift the skin/tissue during a surgical intervention. It is typically a shaft-like instrument with small double hooks at the distal end and a handle at the proximal end. The hooks are curved in opposite directions and when the device is placed onto the skin or tissue to be grasped, it is twisted clockwise so that the hooks lock into the skin/tissue. Also known as a tissue pick, it is not unlike a hooked wound retractor. It is made of high-grade stainless steel and may be supplied with a cylindrical steel protecting sheath for storage and sterilization. This is a reusable device.</t>
  </si>
  <si>
    <t>A hand-held, manually-operated, file-like surgical instrument with a ridged surface of coarse grooves or teeth designed to be used in surgical procedures, typically orthopaedic surgery. It is made of high-grade steel and is used to scrape and smooth the surface of bone. It will have coarse cutting ridges along all or part of the distal working end and a handle at the proximal end. A rasp differs from a file in that the grooves or teeth are much coarser than a file so that they will not clog so easily and render the instrument unusable until cleaned of the debris. This is a reusable device.</t>
  </si>
  <si>
    <t>A hand-held manual surgical instrument designed for cutting/shaping bone during an orthopaedic surgical intervention. It is typically a heavy, one-piece instrument with a sharp, single-edged, strong cutting blade at the distal end available in various shapes and sizes, with a handle at the proximal end. It is normally made of high-grade stainless steel. This is a reusable device.</t>
  </si>
  <si>
    <t>A sterile, hand-held, manual surgical instrument designed for passing (driving) sutures and suture needles through tissues/prosthetic materials to facilitate suturing. A passer, also known as a needle driver, is a long, thin, rod-like device that may be flexible or rigid in design and have hooks, catches, clasps, or forceps-like jaws at the distal end that grip/hold. The distal end will typically terminate as a button, rounded, or acorn tip, while the proximal end will have a handle or lever that is operated by the user. This is a single-use device.</t>
  </si>
  <si>
    <t>A flat shallow vessel, usually with a raised rim, providing a suitable platform for containing many medical, usually surgical instruments and items. It is typically made of stainless steel and designed to fit into other devices, e.g., supply trolleys, storage systems or sterilizers. This device may or may not be fitted with a lid or cover. This is a reusable device.</t>
  </si>
  <si>
    <t>A tool that fits into a screw head in order to apply rotation to tighten/loosen/remove a screw during a surgical procedure. It typically has a high-grade stainless steel shaft with a distal end dedicated to fit into a screw head that may be slotted, Phillips (cross head), Pozidriv (Supadriv), Torx, Hex (Allen), Robertson (square), spanner head (twin pins), Polydrive, or one-way (clutch). The proximal end of the shaft may have a handle for manual use, or it may have a profiled tang that fits into an interchangeable screwdriver handle, a manually-operated chuck, or a power driver. Some types may include a torque-measuring gauge. This is a reusable device.</t>
  </si>
  <si>
    <t>A manual chisel-like surgical instrument designed to cut and/or shape bone by percussion during an orthopaedic procedure where the bone is typically used as a transplant. It is hand-held by the operator who uses a surgical mallet or hammer to manually impart a force to the proximal end of the instrument. The distal end (the cutting or shaping edge) is sharp, often flat, but can be curved (concave) in design, and is typically bevelled on both sides with sloping curves. It is made of high-grade stainless steel. This is a reusable device.</t>
  </si>
  <si>
    <t>A hand-held manual surgical instrument designed to strike a surface or another device (e.g., a surgical chisel, gouge, driver) to drive it during a surgical intervention. It is available in a variety of designs and materials; the shaft is typically made of metal (e.g., chromed iron (Fe) or high-grade stainless steel), but can be made of synthetic materials (e.g., Tufnol), and tapers distally to the head. The head is typically a solid, cylindrical shape normally being double-ended and made of solid (iron/steel) or shock-absorbing materials (e.g., rubber, plastic, or Tufnol). Also referred to as a surgical hammer it may also be used for autopsy. This is a reusable device.</t>
  </si>
  <si>
    <t>A heavy-duty, hand-held, surgical instrument used to remove pieces of bone or other hard tissue during orthopaedic and plastic surgery procedures. It typically comprises a handle proximally which becomes a shaft that terminates in a convex profile with a sharp, semi-lunar, bevelled cutting edge to facilitate tissue removal. It is hand-held by the surgeon who will use a surgical mallet or hammer to manually impart an impacting force to the proximal end of the instrument. It is typically made of high-grade stainless steel and can be designed as a one-piece instrument (all steel) or the handle may be made of synthetic material (e.g., Tufnol). This is a reusable device.</t>
  </si>
  <si>
    <t>A manual surgical instrument designed for cutting and excising bone tissue typically during an orthopaedic or a plastic surgery procedure. It is typically designed as a long, slender instrument with a handle at the proximal end and a concave, spoon-like tip which has a sharp edge, at the distal end, or it may be double-ended, and is used to facilitate the removal of the bone tissue without causing trauma to the surrounding muscles. It is typically made of high-grade stainless steel and is a common instrument of choice for the removal of the bone. This is a reusable device.</t>
  </si>
  <si>
    <t>A rotary cutting device consisting of a shaft of high-grade steel and a cutting head of hard metal/material with fluting or cutting planes of various shapes at the working end and which is designed to fit into an appropriate powered handpiece that provides the rotation allowing the user to excavate/shape bone tissue during small and large bone surgery (e.g., maxillofacial, spinal, or orthopaedic). This is a reusable device intended to be sterilized prior to use.</t>
  </si>
  <si>
    <t>A hand-held manual surgical instrument designed to separate and/or draw back tissues to permit access to skeletal structures for examination or intervention. It is made of high-grade stainless steel. This is a reusable device.</t>
  </si>
  <si>
    <t>A small diameter rod typically used for the fixation of a bone fracture or bone grafts, or for an osteotomy or arthrodesis. The rod may be smooth, wholly- or partially-threaded, solid or cannulated, and some designs may be tapered; it is not specific to the clavicle bone. The device is made of a material that is not chemically degraded or absorbed by natural body processes (e.g., implant grade metal, surgical steel, titanium alloy, or carbon fibre). Some designs may have a break-off shank and/or may be coated [e.g., with hydroxyapatite, also known as hydroxylapatite (HA)] to improve purchase in osteoporotic bone and for long-term fixation. This is a single-use device.</t>
  </si>
  <si>
    <t>A long, hand-held, manual surgical instrument designed to tunnel an artificial passageway along ligament and/or tendon tissue to create a connecting channel. It can have a variety of designs: 1) a long, round, stiff rod that tapers to a rounded point at the distal tip with a handle at the proximal end to allow the surgeon to exert the necessary pressure and manipulation to push it through the body tissue; or 2) a ring-handled instrument with long, slightly curved arms that join at a pivot point near the distal end, terminating in short grasping arms. It will typically be made of high-grade stainless steel. This is a reusable device.</t>
  </si>
  <si>
    <t>A surgical, jig-like device designed as a preshaped block with a defined pattern of prefabricated holes of various sizes and shapes in it used by the surgeon to guide other instruments [e.g., drill sleeves and guide wires (Kirschner wires)] and to align a corresponding implant (e.g., a fixation plate) during an orthopaedic procedure. It is typically made of high-grade stainless steel or synthetic materials and will typically have a connecting bolt in its centre for attachment to the implant. The surgeon can ascertain the correct placement of the implant and that the bone screws used to fix the plate in place are at the correct angle to the anatomy of the bone. This is a reusable device.</t>
  </si>
  <si>
    <t>A non-sterile surgical instrument that contains a series of holes of varying diameters intended to be used in orthopaedic surgery [e.g., in anterior cruciate ligament (ACL) reconstruction surgery] to determine the size of a graft to be implanted. It is used in vitro [e.g., on the preparation table of the operating room (OR)] on a harvested graft. The measurement is subsequently used to determine the diameter of the holes drilled into the site (e.g., distal femur) for acceptance of the new graft. The device may be made of polysulfone. This is a reusable device intended to be sterilized prior to use.</t>
  </si>
  <si>
    <t>A non-sterile assembly of devices designed to provide the operator with a workstation for the preparation and pretensioning of a graft prior to implantation. It typically consists of a work base to provide a stable platform on which the graft can be treated, various types of adjustable and fixed posts including soft tissue clamps and tensioning devices, a graft sizing block, and the necessary tools (e.g., an Allen key) to hold and tension the graft. It may be used for a variety of graft such as semitendinosus patellar tendon, quadriceps tendon, or patellar tendon grafts for anterior cruciate ligament (ACL) reconstruction. This is a reusable device intended to be sterilized prior to use.</t>
  </si>
  <si>
    <t>A small, sterile, threaded rod with a slotted head typically used for internal orthopaedic fracture fixation by being screwed into bone to hold plates or nails to bone or to provide direct interfragmentary stabilization of bone, or it may fasten soft tissue to bone; it is made of a material that is chemically degraded and typically absorbed via natural body processes (e.g., degradable polymers). This device may be used in maxillofacial surgery. There are a number of kinds available: cortical, cancellous, malleolar, scaphoid, partially-threaded and fully-threaded. A "lag screw" can be any of these used to obtain compression across bone fragments.</t>
  </si>
  <si>
    <t>An orthopaedic surgical blade designed to cut and remove circular sections of bone, typically for biopsy or percutaneous bone graft harvesting. It is typically a hollow cylinder with a circular, saw-like serrated working edge. It is an exchangeable device that may be attached to a manually-operated handle or to a powered rotary surgical handpiece. The device is typically made of high-grade stainless steel. This is a reusable device.</t>
  </si>
  <si>
    <t>A sterile, hand-held, manual surgical instrument constructed as a one-piece handle and scalpel blade (not an exchangeable component) used by the operator to manually cut or dissect tissue. The blade is typically made of high-grade stainless steel alloy or carbon steel and the handle is often made of plastic. This is a single-use device.</t>
  </si>
  <si>
    <t>A hand-held manual surgical instrument designed to push a cartilage or bone graft into a position from which the graft can be delivered into a chondral defect [e.g., during anterior cruciate ligament (ACL) reconstruction surgery]. This device is available in a variety of designs, such as a plunger made of high-grade materials [e.g., stainless steel or titanium (Ti)] used to advance the graft down its tubular-shaped holder or possibly a bone graft funnel and into place; it is also available in a variety of sizes. This is a reusable device.</t>
  </si>
  <si>
    <t>A collection of various sterile orthopaedic surgical instruments, dressings, and other materials intended to be used to perform an orthopaedic surgical procedure, however the kit is not dedicated to orthopaedic implantation. It does not contain pharmaceuticals. This is a single-use device.</t>
  </si>
  <si>
    <t>A collection of instruments and devices intended to be used for the placement of an internal orthopaedic fixation system into or onto all types of bones (e.g., bones of limbs, spine, pelvis, or craniomaxillofacial). It is a non-dedicated device that includes various metallic and/or plastic reusable devices [e.g., retractors, rods, clamps, drills, pins, saws, screwdrivers, guides, trials, impactors] intended to be used for the implantation of any type of internal orthopaedic fixation system; the implant(s) is not included. This is a reusable device.</t>
  </si>
  <si>
    <t>A hand-held manual surgical instrument used during anterior cruciate ligament (ACL) reconstruction surgery to apply appropriate tension to an ACL graft during implantation. After the femoral fixation device has been successfully implanted, securing the graft at one end, tension is applied to the graft by the surgeon while the other end is secured. The device is typically made of high-grade stainless steel materials or titanium (Ti). This is a reusable device.</t>
  </si>
  <si>
    <t>An endoscopic device that is a component of a rigid endoscope assembly shaped as a thin metal tube through which other endoscopic elements are introduced and assembled to create a complete operative endoscopic unit. This is a reusable device.</t>
  </si>
  <si>
    <t>An endoscopic device that is a component of a rigid endoscope assembly that has a distally rounded, solid, head or end that is placed into the sheath of a rigid endoscope in order to fill out the sheath's lumen (open end), thereby assisting its insertion into the body and protecting against damage to the patient. This is a reusable device.</t>
  </si>
  <si>
    <t>A rigid hand-held surgical instrument with a sharp pyramidal or rounded conical point used to manually puncture a bodily entry point to assist in the location and positioning of skeletal fractures and/or, upon entry, gently part the surrounding soft tissue. It is typically made of high-grade stainless steel, titanium (Ti) or synthetic material and is usually used with a compatible sleeve (drill guide) allowing the introduction of this assembly (e.g., for positioning/drilling of tibial nail locking screws), or it may be attached to a handle to facilitate its manipulation (e.g., during subcondylar fracture repair). This is a reusable device.</t>
  </si>
  <si>
    <t>An insulated electrical conductor designed to provide an electrical connection between the control unit or generator and the handpiece of a line-powered shaver system to transfer low-voltage electricity (e.g., 24 volt) and signals. The device typically consists of metal wires surrounded by non-conductive materials and terminal metal connectors (e.g., electrical plugs consisting of pins and sockets) that lock into place. This is a reusable device.</t>
  </si>
  <si>
    <t>A hand-held manual surgical instrument designed to constrict blood vessels during surgery to prevent bleeding. Often referred to as a haemostat (hemostat), it typically has a scissors-like, self-retaining design with ring handles and is made of high-grade stainless steel. It is available in various sizes and the working end will typically have short or long narrow blades that can be straight or curved. The blades are finely serrated to provide extra grip on the blood vessels. This is a reusable device.</t>
  </si>
  <si>
    <t>A sterile, closed system designed to access the cerebral ventricles to drain and collect cerebrospinal fluid to reduce intracranial pressure (ICP). This is a single-use device.</t>
  </si>
  <si>
    <t>A flat thin ring or plate typically used with a nut and bolt/screw to improve tightness in an orthopaedic fixation assembly. The washer may be made of metal, polymer, or reinforced polymer. This is a single-use device.</t>
  </si>
  <si>
    <t>A sterile electrical conductor comprised of an electrode handpiece with cables and an active electrode, typically non-detachable, intended to provide an electrical connection between the output terminals of an electrosurgical diathermy generator and a patient. The energy emitted from the device is used to cut and coagulate tissue at a surgical site on the patient. The operator regulates the energy with a foot-switch. This is a non-dedicated device intended to be used in multiple clinical specialties. This is a single-use device.</t>
  </si>
  <si>
    <t>A mains electricity-powered (AC-powered) component of an endoscopic electrosurgical diathermy system that generates a high frequency electrical current in selected radio-frequency (RF) bands between two electrodes to produce heat in tissues for cutting and coagulating during endoscopic surgery. It is typically connected to an endoscopic conducting unit (handpiece/electrode) via a cable, and the energy it produces may be regulated by the operator with a hand- or foot-switch.</t>
  </si>
  <si>
    <t>A dedicated assembly of mains electricity (AC-powered) devices designed for soft-tissue and bone resection during arthroscopic surgery on a joint (e.g., a knee, shoulder, or ankle). It typically consists of a power supply/control unit with operational display and dedicated software, intended to provide optimal parameters for the procedure, and a rotatory handpiece(s) that can operate a variety of burs and blades (either straight or curved) or other rotatory instruments. An irrigation system may be included. Common procedures include cartilage debridement (e.g., meniscus repair or meniscectomy) and removal of the inflamed inner lining of the joint (synovectomy). This is a reusable device.</t>
  </si>
  <si>
    <t>A collection of various sterile surgical and endoscopic instruments, dressings and the necessary materials used to perform an arthroscopic surgical procedure. It does not contain any pharmaceuticals. This is a single-use device.</t>
  </si>
  <si>
    <t>A mains electricity (AC-powered) device assembly designed to provide controlled distention and irrigation (expansion by pressure and continual flushing) of the tissue and space around a joint where arthroscopy is being performed (e.g., the knee or shoulder joint). This is achieved by filling the cavity with a sterile fluid that is pumped into the wound by the system's pump(s) and distends the tissue around the site to improve visualization and enlarge the surgical field. Suction may also be applied by the system to assist in the removal of the surgically-resected bone, cartilage, and other tissue/debris from the site.</t>
  </si>
  <si>
    <t>A device designed to connect a camera (moving- or still-image) to a non-video endoscope (rigid or flexible), especially when the devices are from different manufacturers. This is a reusable device.</t>
  </si>
  <si>
    <t>An endoscope with a rigid inserted portion intended for the visual examination and treatment of the interior of a joint (e.g., knee, shoulder, elbow). It is inserted into the body through an artificial orifice created by an incision made during arthroscopy. Anatomical images are transmitted to the user by the device through relayed lens optics or a fibreoptic bundle. This device is commonly used to examine structural damage to a joint, often from sports injuries. The arthroscope eyepiece is normally interfaced with a video camera. This is a reusable device.</t>
  </si>
  <si>
    <t>An electro-optical device (e.g., a CCD) designed to be attached, either directly or with an adaptor, to a flexible or rigid endoscope to allow real-time viewing of the internal anatomy during an endoscopic surgical procedure and to obtain moving-picture documentation of endoscopic findings and procedures. The device is designed for transducing visual images as a sequence of electronic data following a pre-established standard; the images are usually displayed sequentially on the screen of a monitor as a video image. The device may include audio recording capabilities.</t>
  </si>
  <si>
    <t>A hand-held manual surgical instrument designed to lift, position, or pry up (elevate) bone, other anatomical structures, or surgical material/devices during an orthopaedic intervention. It is made of high-grade stainless steel and is available in a wide variety of sizes, designs, and blade shapes. It is typically a robust instrument with a blunted blade with no cutting edge at the distal end that can be pointed, rounded, flat, curved or hook shaped and a handle of various designs at the proximal end. Some types can have special functions, e.g., for angle joint operations or for luxation procedures. This is a reusable device.</t>
  </si>
  <si>
    <t>An orthopaedic surgical instrument designed to cut and resurface with precision the acetabulum for the acceptance of the acetabular component of a hip joint prosthesis. The device is designed with a hemispherical shell with an abrasive outer surface as the cutting head that is attached to a shaft for manual or powered rotation. It is typically made of a high-grade stainless steel alloy and is available in various sizes. This is a reusable device.</t>
  </si>
  <si>
    <t>A small, non-sterile, threaded rod with a slotted head typically used for internal orthopaedic fracture fixation by being screwed into bone to hold plates or nails to bone or to provide direct interfragmentary stabilization of bone, or it may fasten soft tissue to bone; it is made of a material that cannot be chemically degraded or absorbed via natural body processes (includes implant grade metal such as surgical steel, titanium alloy, or carbon fibre). Screws available are: cortical, cancellous, malleolar, scaphoid, partially-threaded and fully-threaded, self-tapping, and cannulated. A "lag screw" can be any of these used to obtain compression. This device must be sterilized prior to use.</t>
  </si>
  <si>
    <t>A sterile, implantable component of a two-piece acetabulum prosthesis that forms the outer portion of the prosthesis, fixed to the pelvis to provide a base for the inner portion (acetabular liner). It is made of metal, and is fixed with bone cement and/or fixation devices.</t>
  </si>
  <si>
    <t>A sterile implantable principal component of a total hip prosthesis (femoral component) designed to replace the femoral head and neck; the device is composed of two or more separate pieces (e.g., head, neck, and stem) designed to be joined and is coated with a material (e.g., porous materials, hydroxyapatite) intended to improve fixation and stability by promoting bone ingrowth. The device may be made of metal and/or ceramic materials. Fixation devices for implantation (e.g., screws and bolts) may be included and implantation may be performed with or without bone cement.</t>
  </si>
  <si>
    <t>A sterile implantable artificial substitute for a diseased or injured femoral head that has an outer surface made of metal [e.g., cobalt-chrome (Co-Cr), titanium (Ti), stainless steel]. It is designed to be attached to the trunnion of a prosthetic femoral stem/shaft or a head/stem adaptor, and to articulate with an acetabulum prosthesis as part of a total hip arthroplasty (THA) or with a bipolar component as part of a partial hip arthroplasty. The device ranges in form from partially to fully spherical (ball-shaped) and is available in various sizes.</t>
  </si>
  <si>
    <t>A sterile implantable device designed to replace the bearing surface of one femoral condyle (femoral component) during primary or revision unicompartmental replacement of the knee joint. It is made of metal [e.g., cobalt-chrome (Co-Cr)] and is not coated with a material intended to improve fixation and stability by promoting bone ingrowth. The device articulates with a tibial component and an insert, and its implantation is intended to be performed with bone cement.</t>
  </si>
  <si>
    <t>A sterile implantable device designed to replace the bearing surface of one tibial condyle (tibial component) during primary or revision unicompartmental replacement of the knee joint. It is made of polyethylene (PE) and is not coated with a material intended to improve fixation and stability. The device articulates with a femoral component, and its implantation is intended to be performed with bone cement.</t>
  </si>
  <si>
    <t>A sterile implantable device designed to replace the bearing surface of one tibial condyle (tibial component) during primary or revision unicompartmental replacement of the knee joint. It is made of metal [e.g., cobalt-chrome (Co-Cr)] and is not coated with a material intended to improve fixation and stability. The device articulates with a femoral component and an insert, and its implantation is intended to be performed with bone cement.</t>
  </si>
  <si>
    <t>A sterile implantable device designed to articulate the femoral and tibial components of a knee joint prosthesis during primary or revision unicompartmental knee joint replacement. It is a one-piece contoured device typically made of polyethylene (PE).</t>
  </si>
  <si>
    <t>A sterile implantable hemisphere-shaped device used as part of a partial hip replacement (femoral) and designed to interface with the acetabulum on its outer surface where it freely rotates, and interface with a femoral head prosthesis on its inner surface where it allows free rotation of the head. It is a one-piece device typically composed of an outer metal shell [e.g., cobalt-chrome (Co-Cr), titanium (Ti), stainless steel] and an inner polyethylene (PE) liner.</t>
  </si>
  <si>
    <t>A sterile implantable device designed to provide fixation within the proximal humerus and a site of attachment for a humeral head or humeral body prosthesis as part of a shoulder joint replacement. The device is made of metal [e.g., titanium (Ti), cobalt-chrome (Co-Cr), stainless steel] and is coated with a material (e.g., porous materials, hydroxyapatite) intended to improve fixation and stability by promoting bone ingrowth. Fixation devices for implantation (e.g., screws) may be included and implantation may be performed with or without bone cement.</t>
  </si>
  <si>
    <t>A sterile implantable device designed to fix a humeral stem prosthesis in the middle of the humeral canal. It is a metal cylinder [e.g., titanium (Ti), cobalt-chrome (Co-Cr), stainless steel] that fits over the distal end of the stem and is implanted into the humeral canal of the patient.</t>
  </si>
  <si>
    <t>A sterile implantable component of a total shoulder prosthesis intended to form a connection between a humeral stem prosthesis and a humeral head prosthesis. It is made of metal [e.g., cobalt-chrome-molybdenum (Co-Cr-Mo)] or titanium (Ti)] and is used in a modular shoulder replacement system.</t>
  </si>
  <si>
    <t>A sterile implantable artificial substitute for a diseased or injured humeral head. It is made of metal [e.g., titanium (Ti), cobalt-chrome (Co-Cr), stainless steel] and designed to be attached to a humeral stem prosthesis and to articulate with the natural glenoid fossa, a glenoid fossa prosthesis, or a humeral head bipolar component as part of a shoulder replacement.</t>
  </si>
  <si>
    <t>A sterile, implantable component of a two-piece acetabulum prosthesis that is inserted into an acetabular shell prosthesis to provide the articulating surface with a femoral head prosthesis as part of a total hip arthroplasty (THA). It is made of polyethylene (includes hylamer, cross-linked polyethylene), and does not include a stabilizing component to limit the range of motion of the hip.</t>
  </si>
  <si>
    <t>A sterile implantable principal component of a total hip prosthesis (acetabular component) designed to replace or repair the acetabulum. The component is of a one-piece construction and is made entirely of polyethylene (polyethylene cup); it may include fixation devices (e.g., screws) for attachment to the body.</t>
  </si>
  <si>
    <t>A sterile implantable device designed to provide fixation within the proximal humerus and a site of attachment for a humeral head or humeral body prosthesis as part of a shoulder joint replacement. The device is made of metal [e.g., titanium (Ti), cobalt-chrome (Co-Cr), stainless steel] and is contoured to enable fixation by pressing the distal end into the cortex of the remaining natural humerus to achieve a mechanical interlock without the use of bone cement.</t>
  </si>
  <si>
    <t>A sterile implantable component of a total shoulder prosthesis (glenoid component) designed to replace or repair the glenoid fossa. It is cup-like in shape and typically made of polyethylene (PE), but may be made of metal or a combination of PE and metal; it may include fixation devices (e.g., screws) for attachment to the scapula.</t>
  </si>
  <si>
    <t>An implantable device designed to articulate the femoral and tibial components of a knee joint prosthesis during primary or revision bicondylar knee joint replacement. It is typically a one-piece contoured polyethylene (PE) insert, or a more complex device (e.g., a guide arm with a stem that is inserted into the tibial tray and a polymer glide) which will better reproduce the flexion of the knee joint due to its capacity for lateral rotation and anterior/posterior movement. This device is typically made of metal and/or a polymer.</t>
  </si>
  <si>
    <t>A sterile implantable device designed to replace the tibial condyles (tibial component) during primary bicondylar replacement of the knee joint or to replace a dysfunctional knee prosthesis (revision); it is made of metal [e.g., cobalt-chrome (Co-Cr)] and is coated with a material (e.g., beads, hydroxyapatite, mesh) intended to improve fixation and stability by promoting bone ingrowth. The device is designed to articulate with an insert and the femoral prosthetic component of the knee joint and its implantation may be performed with or without bone cement.</t>
  </si>
  <si>
    <t>A sterile implantable principal component of a total hip prosthesis (acetabular component) designed to replace or repair the acetabulum. The component is of a one-piece construction and is made entirely of metal [e.g., stainless steel, titanium (Ti)]. Devices designed to assist implantation/fixation (e.g., screws, surgical guides, trial prosthesis, anatomical models) may be included.</t>
  </si>
  <si>
    <t>An assembly of implantable devices designed to treat fractures of the hip. It typically includes a metal plate that is held in position with fasteners such as screws and nails, or bolts, nuts and washers. The assembly is typically intended to treat stable or unstable intertrochanteric, pertrochanteric, and/or base of neck hip fractures.</t>
  </si>
  <si>
    <t>A sterile, implantable component of a two-piece acetabulum prosthesis that is inserted into an acetabular shell prosthesis to provide the articulating surface with a femoral head prosthesis as part of a total hip arthroplasty (THA). It is made of polyethylene (includes hylamer, cross-linked polyethylene) and may include a stabilizing component (e.g., a ring) to limit the range of motion of the hip to help prevent dislocation.</t>
  </si>
  <si>
    <t>A sterile implantable inner component of a two-piece acetabulum prosthesis that is inserted into an acetabular shell prosthesis to provide the articulating surface with a femoral head prosthesis as part of a total hip arthroplasty (THA). It is made of metal [e.g., cobalt-chrome (Co-Cr)].</t>
  </si>
  <si>
    <t>A sterile implantable inner component of a two-piece acetabulum prosthesis that is inserted into an acetabular shell prosthesis to provide the articulating surface with a femoral head prosthesis as part of a total hip arthroplasty (THA). It is made of ceramic material (e.g., alumina).</t>
  </si>
  <si>
    <t>A sterile implantable artificial substitute for the humeral component of a shoulder joint typically replaced due to injury (e.g., fracture). It includes humeral head and stem components with parts made of metal and can articulate with the natural glenoid fossa, a glenoid fossa prosthesis, or a humeral head bipolar component. Fixation devices for implantation (e.g., screws) may be included and implantation may be performed with or without bone cement.</t>
  </si>
  <si>
    <t>A sterile implantable device designed to treat a disease-damaged (e.g., arthritic) shoulder joint by replacing the humeral articulating surface of the joint while preserving the natural humerus. It consists of a metallic humeral cap [e.g., titanium (Ti), cobalt-chrome (Co-Cr), stainless steel] that is placed over (resurfaces) a surgically-prepared humeral head, and may be used with a cementless stem.</t>
  </si>
  <si>
    <t>A sterile implantable artificial substitute for the proximal interphalangeal (PIP) joint(s) of the hand (finger) which has been damaged by rheumatoid, degenerative, or traumatic arthritis. It consists of a single flexible across-the-joint component made from either a silicone elastomer or a combination of polypropylene and polyester materials. The flexible across-the-joint component may be covered with a silicone rubber sleeve.</t>
  </si>
  <si>
    <t>A sterile implantable artificial substitute for the metacarpophalangeal (MCP) joint(s) of the hand (finger) which has been damaged by rheumatoid, degenerative, or traumatic arthritis. It consists of a single flexible across-the-joint component made from either a silicone elastomer or a combination of polypropylene and polyester materials. The flexible across-the-joint component may be covered with a silicone rubber sleeve.</t>
  </si>
  <si>
    <t>A sterile implantable device designed to replace the femoral condyles (femoral component) during primary bicondylar replacement of the knee joint, femoral bone resection, or to replace a dysfunctional knee prosthesis (revision); it is made of metal [e.g., cobalt-chrome (Co-Cr), cobalt-chrome-molybdenum (Co-Cr-Mo), titanium (Ti)] and is not coated with a material intended to improve fixation and stability by promoting bone ingrowth. The device is designed to articulate with tibial and, if required, patellar prosthetic components of the knee joint and its implantation is intended to be performed with bone cement.</t>
  </si>
  <si>
    <t>A sterile implantable device designed to replace the femoral condyles (femoral component) during primary bicondylar replacement of the knee joint or to replace a dysfunctional knee prosthesis (revision); it is made of metal [e.g., cobalt-chrome (Co-Cr)] and is coated with a material (e.g., beads, hydroxyapatite, mesh) intended to improve fixation and stability by promoting bone ingrowth. The device is designed to articulate with tibial and, if required, patellar prosthetic components of the knee joint and its implantation may be performed with or without bone cement.</t>
  </si>
  <si>
    <t>An artificial kneecap (patellar component) covered with metal on its outer surface and implanted during primary or revision bicondylar knee joint replacement. It is a sterile device designed to articulate with a prosthetic distal femoral component and is implanted on the back of the natural patella with or without bone cement.</t>
  </si>
  <si>
    <t>A sterile device designed to augment the implantation of a knee femur or tibia prosthesis by acting as a space-filler adjacent to the prosthesis, typically to replace lost bone. It is typically made of metal [e.g., cobalt-chrome (Co-Cr), cobalt-chrome-molybdenum (Co-Cr-Mo) or titanium (Ti)].</t>
  </si>
  <si>
    <t>A sterile implantable device designed to replace the tibial condyles (tibial component) during primary bicondylar replacement of the knee joint, femoral bone resection, or to replace a dysfunctional knee prosthesis (revision); it is made of metal [e.g., cobalt-chrome (Co-Cr), cobalt-chrome-molybdenum (Co-Cr-Mo), titanium (Ti)] and is not coated with a material intended to improve fixation and stability by promoting bone ingrowth. The device is designed to articulate with an insert and/or the femoral prosthetic component of the knee joint and its implantation is intended to be performed with bone cement.</t>
  </si>
  <si>
    <t>A sterile implantable artificial substitute for a shoulder joint designed to replace both articulating surfaces of the joint particularly in patients with chronic, longstanding rotator cuff muscle tears, arthritis, and/or humeral fractures unsuccessfully treated by previous surgery. The device reverses normal anatomy so that the head portion of the joint is attached to the scapula and the socket portion is attached to the humerus. It typically includes a humeral stem and glenosphere (head) with body and cup components. The device may include screws for implantation and may be implanted with or without bone cement.</t>
  </si>
  <si>
    <t>A sterile implantable component of a reverse shoulder prosthesis that consists of a polyethylene (PE) cup intended to be attached to a humeral stem prosthesis, or humeral body component, and to articulate with the reverse shoulder head.</t>
  </si>
  <si>
    <t>A sterile implantable tubular device designed to connect a femoral head prosthesis to the trunnion of a femoral stem prosthesis. It is typically intended to be used as part of a total hip arthroplasty (THA) revision to correct offset, neck length, lateralization, and anteversion/retroversion where there is a good fitting stem; it may also be used as part of a primary procedure. It is made of metal [e.g., titanium (Ti) alloy] and is available in various sizes and shapes; it is intended to be used with a dedicated femoral head prosthesis.</t>
  </si>
  <si>
    <t>A sterile implantable artificial substitute for a diseased or injured femoral head that has an outer surface made of ceramic (e.g., alumina, zirconia). It is designed to be attached to the trunnion of a prosthetic femoral stem/shaft or a head/stem adaptor, and to articulate with an acetabulum prosthesis as part of a total hip arthroplasty (THA) or with a bipolar component as part of a partial hip replacement. The device ranges in form from partially to fully spherical (ball-shaped) and is available in various sizes.</t>
  </si>
  <si>
    <t>A sterile, non-bioabsorbable, implantable device designed to be inserted into the medullary canal of a bone (e.g., femur, tibia, or humerus) during orthopaedic surgery to prevent cement progression in the diaphysis and therefore facilitate cement pressurization during the introduction of an implant. It is typically made of polyetheretherketone (PEEK) or ultrahigh molecular weight polyethylene (UHMWPE) and is available in a variety of designs, e.g., straight or tapered, hollow with a fenestrated surface, and it may have a toothed surface to prevent its migration from the desired location. It may incorporate a metal orientation marker for radiographs and is not intended for spinal indication.</t>
  </si>
  <si>
    <t>A sterile implantable device designed to replace the proximal talus (talar component) as part of a primary ankle joint replacement or prosthesis revision. The device is made of metal [e.g., titanium (Ti), cobalt-chrome (Co-Cr), stainless steel] and is coated with a material (e.g., porous materials, hydroxyapatite) intended to improve fixation and stability by promoting bone ingrowth. Fixation devices for implantation (e.g., screws) may be included and implantation may be performed with or without bone cement.</t>
  </si>
  <si>
    <t>A sterile implantable device designed to replace the distal tibia (tibial component) as part of a primary ankle joint replacement or prosthesis revision. The device is made of metal [e.g., titanium (Ti), cobalt-chrome (Co-Cr), stainless steel] and is coated with a material (e.g., porous materials, hydroxyapatite) intended to improve fixation and stability by promoting bone ingrowth. Fixation devices for implantation (e.g., screws) may be included and implantation may be performed with or without bone cement.</t>
  </si>
  <si>
    <t>A sterile implantable device made of polyethylene (PE) designed to articulate the tibial and talar components of a total ankle prosthesis.</t>
  </si>
  <si>
    <t>A sterile implantable device designed to replace the tibial condyles (tibial component) during primary bicondylar replacement of the knee joint or to replace a dysfunctional knee prosthesis (revision); it is made entirely of polyethylene (PE) and is not coated with a material intended to improve fixation and stability by promoting bone ingrowth. The device is designed to articulate with an insert and the femoral prosthetic component of the knee joint and its implantation is intended to be performed with bone cement.</t>
  </si>
  <si>
    <t>A sterile implantable principal component of a total hip prosthesis (femoral component) typically designed to replace the femoral head and neck; the device is composed of two or more separate pieces (e.g., head, neck, and stem) designed to be joined and is not coated with materials intended to improve fixation and stability by promoting bone ingrowth. The device may be made of metal and/or ceramic materials. Fixation devices for implantation (e.g., screws and bolts) may be included and implantation is intended to be performed with bone cement.</t>
  </si>
  <si>
    <t>A sterile short-term substitute for an infected total hip prosthesis that provides a means for limited mobility/weight-bearing of the patient following surgical excision of the infected device. It also functions as a carrier for antibiotic drugs for their local delivery within the periprosthetic space. This temporary device includes femoral and acetabular components typically made of metallic and synthetic polymer materials, polymethylmethacrylate (PMMA), and antibiotic bone cement. Following infection resolution and device explantation, another permanent total hip prosthesis is implanted.</t>
  </si>
  <si>
    <t>A sterile implantable principal component of a total hip prosthesis (femoral component) designed to replace the femoral head and neck. The device is composed of two or more separate pieces (e.g., head, neck, and stem) designed to be joined, and is contoured to enable fixation by pressing the distal end into the cortex of the remaining natural femur to achieve a mechanical interlock without the use of bone cement. The device may be made of metal and/or ceramic materials; supplemental fixation devices for implantation (e.g., screws and bolts) may be included.</t>
  </si>
  <si>
    <t>A sterile implantable device designed to replace the proximal femoral neck as part of a total hip arthroplasty (THA). The device is composed of two or more separate segments designed to be joined, typically made of metal [e.g., cobalt-chrome (Co-Cr), titanium (Ti), stainless steel], and is coated with a material (e.g., porous materials, hydroxyapatite) intended to improve fixation and stability by promoting bone ingrowth. Fixation devices for implantation (e.g., screws and bolts) may be included and implantation may be performed with or without bone cement.</t>
  </si>
  <si>
    <t>A sterile implantable artificial substitute for an elbow joint designed to replace the articulating surfaces of the damaged (e.g., fractured) and/or degenerative (e.g., arthritic) joint. It includes humeral and ulnar components, typically with parts made of metal and polyethylene (PE), that form a hinge at articulation. The device may include fixation devices (e.g., screws) for implantation and may be implanted with or without bone cement.</t>
  </si>
  <si>
    <t>A sterile device designed to provide additional stability for an implanted knee femur prosthesis by extending the attachment of the prosthesis from the distal femur into the midshaft of the bone. It is typically a shaft-like device made of metal [e.g., cobalt-chrome (Co-Cr)] and is often used in prosthesis revision to compensate for bone loss.</t>
  </si>
  <si>
    <t>A hand-held manual surgical instrument designed to hold an acetabular cup or shell at the distal end. It is rod-like in shape and used to force the acetabular component of a total hip prosthesis into the proper position in the acetabular vault of the pelvis. This is a reusable device.</t>
  </si>
  <si>
    <t>An orthopaedic surgical instrument designed to open and enlarge the medullary canal (e.g., in the femur, humerus, tibia, ulnar) for the insertion of various devices during prosthesis implantation or fracture fixation procedures. It is typically designed as a long, cylindrical, rigid shaft with straight, spiralled, or contoured flutes that function as cutting surfaces; it may include a transverse milling (spotfacing) burr to level the end of the bone (e.g., post amputation). It is typically made of a high-grade stainless steel and is available in various sizes. It is intended for manual or powered rotation. This is a reusable device intended to be sterilized prior to use.</t>
  </si>
  <si>
    <t>A surgical instrument that is designed as an elongated, tapered and serrated cutting tool intended for shaping and enlarging holes in bone tissue. This is a reusable device.</t>
  </si>
  <si>
    <t>A copy of a final femoral stem prosthesis designed to be used for trial reductions during hip arthroplasty to judge the correct offset, leg-length, and range of motion of the final femoral prosthesis to be implanted. It is one of a set of trial hip prostheses that match the different anatomical structures of the hip joint, and is used in conjunction with femoral head trial prostheses. It is typically made of metal or polymer material and includes trial stems and trial necks. This is a reusable device intended to be sterilized prior to use.</t>
  </si>
  <si>
    <t>A hand-held manual surgical instrument consisting of two legs hinged at one end designed to measure various bone dimensions (e.g., diameter or length) required for orthopaedic procedures. It has an attached scale to indicate the measured units. This is a reusable device.</t>
  </si>
  <si>
    <t>A copy of a final femur prosthesis designed to be used during unicompartmental knee replacement surgery or total knee arthroplasty (TKA) to determine the correct alignment, size, and fit of the final prosthesis. It is one of a set of trial knee prostheses that match the different anatomical structures of the knee joint, and may be used in conjunction with a knee tibia trial prosthesis and a patella trial prosthesis. It is typically made of metal or polymer material and includes femoral articulation trials, femoral spacer trials, anterior stop trials, stem adaptor trials, and stem trials. This is a reusable device intended to be sterilized prior to use.</t>
  </si>
  <si>
    <t>A connecting device designed to join an implant to a surgical instrument or a surgical instrument to another instrument particularly to create an extension or to connect two devices where the interfaces of the devices are not compatible. It is typically made from high-grade stainless steel and/or synthetic material and is available in a variety of sizes and lengths. This device can be used, e.g., during a percutaneous interspinous distraction procedure for the removal of a distraction sleeve. This is a reusable device.</t>
  </si>
  <si>
    <t>A device designed to determine the appropriate size and placement of an implant for a patient prior to or during surgery. It is typically available as a graduated set or an individual plate (e.g., a translucent plastic sheet or a cut metal shape) with patterns/sizes corresponding to the size of the implant to be used to aid the surgeon in final selection of implant size, placement, and/or adaption. It is used for, e.g., total- or partial-joint prostheses, bone fracture fixation implants (plates, nails, including skull plate implants) or other types of surgical implants. This is a reusable device.</t>
  </si>
  <si>
    <t>A metal and/or plastic hand-held manual surgical instrument designed to position an implant into the body. Its mode of application is by transmission of an impact force to drive the implant into its final position in the body. The proximal end is a handle usually designed to absorb the impact from a surgical hammer or mallet. The distal end is usually shaped to conform to the implant shape, which could be flat or anatomically curved, or shaped like a chisel handle to facilitate the positioning. This is a reusable device.</t>
  </si>
  <si>
    <t>A copy of a final tibia prosthesis designed to be used during unicompartmental knee replacement surgery or total knee arthroplasty (TKA) to determine the correct alignment, size, and fit of the final prosthesis. It is one of a set of trial knee prostheses that match the different anatomical structures of the knee joint, and may be used in conjunction with a knee femur trial prosthesis and a patella trial prosthesis. It is typically made of metal or polymer material and includes tibial base plate trials, tibial spacer trials, tibial insert trials, and guide pin trials. This is a reusable device intended to be sterilized prior to use.</t>
  </si>
  <si>
    <t>A hand-held, manually-operated, instrument that has various forms of fine ridged cutting surfaces along part of or all of its working end that is used for cutting and smoothing (filing) bone tissue. It is made of high-grade steel and may be a one-piece instrument with a handle at the proximal end. The distal end may be flat or profiled (e.g., flat on one side and convex on the other). This device is typically used in orthopaedics, plastic surgery and dentistry. This is a reusable device.</t>
  </si>
  <si>
    <t>A hand-held, surgical instrument used for hooking around or into bone, typically to grasp, hold, and apply traction to the bone during a surgical intervention. It is a shaft-like instrument with a robust design and can have a singular hook or multiple hooks at the distal end and a handle of various designs at the proximal end. It is made of high-grade stainless steel. It is sometimes called a bone retractor. This is a reusable device.</t>
  </si>
  <si>
    <t>A hand-held manual surgical instrument designed to connect to and hold an orthopaedic implant or trial implant to facilitate guidance, gauging, and monitoring of the implant or trial implant during the orthopaedic procedure. The instrument is typically made of high-grade stainless steel or synthetic materials and is typically constructed in the form of a long shaft with a handle at the proximal end and an implant holding/fixation mechanism at the distal end (e.g., a threaded portion or a clamp mechanism). This is a reusable device.</t>
  </si>
  <si>
    <t>A surgical jig-like device designed as a precision guide for the pre-drilling of orthopaedic screw holes into bone and for guiding an orthopaedic instrument into an implanted device, typically to treat long bones (e.g., femur, humerus, and tibia). It typically consists of two parts: 1) an insertion guide in which the correctly angled/placed guide holes are situated; and 2) an insertion handle which will attach to the bone or implant. Drill guides or other drilling/tapping devices will be fed through the insertion guide at the precise intended angle, and it may have adaptations for providing magnetic alignment. This is a reusable device.</t>
  </si>
  <si>
    <t>A copy of a final humeral head prosthesis designed to be used before primary or revision implant surgery to validate the proper size of the permanent prosthesis required by the patient, to ensure its proper orientation and positioning, and to verify that the implant site has been cut to the proper dimensions. It has a cup-like ball shape and is available in types such as concentric head fixation, eccentric head fixation, cuff tear arthropathy (CTA), or types for revision surgery. It is typically made of metal and/or polymer. This is a reusable device intended to be sterilized prior to use.</t>
  </si>
  <si>
    <t>An orthopaedic surgical device that functions as a guide for an orthopaedic reamer. The guide, commonly called a spigot, is inserted into a predetermined site where bone is to be resected for the acceptance of a prosthetic implant, typically at or within a joint (e.g., the condyle head of the knee, the olecranon of the ulna) or for the reaming of the intramedullary canal for acceptance of an intramedullary nail. The device allows the controlled cutting action of the reamer which is steered down its length. It is typically made of a high-grade stainless steel alloy; it comes in varying sizes. This is a reusable device.</t>
  </si>
  <si>
    <t>An orthopaedic surgical instrument designed to resect (cut out part of the bone) and precisely shape a specific area of bone for the acceptance of a prosthetic implant, typically at or within a joint (e.g., condyle of knee, neck of humerus, olecranon of ulna). It is commonly called a mill or a reamer and is typically designed as either a preshaped or a solid cylindrical body with an end or circumferential cutting edge. It is attached to a shaft for manual or powered rotation and may be steered over a guide or spigot that has been inserted into the site to control the cutting action. It is typically made of a high-grade stainless steel alloy in varying sizes. This is a reusable device.</t>
  </si>
  <si>
    <t>A device designed as a small case, typically with a hinged lid that can be closed to protect the contents (i.e., surgical instruments and/or implantable devices such as plates or screws), and an integral rest(s) with grooves or notches in the upper edge so that the contents can be securely placed, protected, and organized. The lid or rest may be set at an angle to facilitate instrument/implant access during surgical procedures or sterilization. The device is typically be made of stainless steel or a suitable plastic material so that it can be sterilized. This is a reusable device.</t>
  </si>
  <si>
    <t>A hand-held, surgical instrument used to pack tissue or other material during a surgical intervention. It typically consists of a shaft that terminates in a blunt (flat or profiled) tip at the distal end and a handle at the proximal end. It is typically a one-piece instrument made of high-grade stainless steel, but some types may employ a synthetic material for the handle (e.g., Tufnol). The surgeon may pack the material by applying hand pressure or by tapping the proximal end with a hammer/mallet. This is a reusable device.</t>
  </si>
  <si>
    <t>A hand-held manual surgical instrument designed to distract (force apart) two bone surfaces to enable a surgical procedure. It typically aids in fracture reduction by helping to temporarily stabilize bones prior to definitive surgical fixation. It typically consists of a central threaded spindle, a static endpiece and a sliding carriage that can be adjusted using spindle nuts to or from the endpiece to widen or shorten the gap; it facilitates the attachment of orthopaedic bone pins (Schanz screws) screwed into the bones to be distracted. It is typically used for multiple injuries when it is advantageous to perform procedures on a standard operating table. This is a reusable device.</t>
  </si>
  <si>
    <t>A hand-held, single-blade surgical instrument, bevelled on one side, designed to cut and shape bone during orthopaedic surgery. It is hand-held by the operator who uses a surgical mallet or hammer to manually impart a force to the proximal end of the instrument. The distal end (the cutting or shaping edge) is sharp, flat or curved [(concave) - also known as a hollow blade] in design. It is either entirely made of metal (e.g., high-grade stainless steel) or has a metal blade with a handle made of synthetic material (e.g., Tufnol). This is a reusable device.</t>
  </si>
  <si>
    <t>A sterile implantable device intended to repair a defect of the cranium or mandible that is designed and constructed with specific characteristics (e.g., size, shape, material) as prescribed by a healthcare provider for a specified patient. It is typically manufactured from a three-dimensional (3-D) model based on computed tomography (CT) images and made of plastic [e.g., ultrahigh molecular weight polyethylene (UHMWPE), polyetheretherketone (PEEK)] and/or metal [e.g., titanium (Ti)]. The device may be used to repair defects due to injury, surgical intervention for tumour removal, congenital anomaly, or disease, or for cosmetic/aesthetic purposes.</t>
  </si>
  <si>
    <t>Angiographic catheter, single-use</t>
  </si>
  <si>
    <t>Orthopaedic fixation plate, non-bioabsorbable, sterile</t>
  </si>
  <si>
    <t>A sterile implantable sheet of firm material intended to be attached to fractured long bone fragments with screws to bridge and stabilize the fracture gap, and shield the site from stress as the bone heals; the material is not chemically degraded or absorbed by natural body processes (includes implant grade metal such as surgical steel, titanium alloy, or carbon fibre). The device is typically used to treat traumatic or pathological orthopaedic fractures; it may also be used to temporarily augment bone following a lengthening procedure, or for arthrodesis (joint fusion).</t>
  </si>
  <si>
    <t>Femur nail, sterile</t>
  </si>
  <si>
    <t>A sterile rod made of metal or other material which, when inserted into the intramedullary canal of the femur, acts to immobilize by holding the ends of a fractured bone in position to promote healing. The device may also be used to support the bone in the presence of a pathological condition, or for knee arthrodesis. The device may be a locked or unlocked model, and possess components to assist fixation of more proximal or distal conditions. This is a single-use device.</t>
  </si>
  <si>
    <t>Polymeric spinal fusion cage, non-sterile</t>
  </si>
  <si>
    <t>A non-sterile device intended to help fuse segments of the spine to treat anatomical abnormalities of the vertebrae, typically due to degenerative intervertebral disks [i.e., degenerative disc disease (DDD)]. The device is typically designed as a small, hollow and/or porous, threaded or fenestrated cylinder (or other geometric form) and is made of non-bioabsorbable synthetic polymer [e.g., polyetheretherketone (PEEK)] that is implanted between the bones or bone grafts of the spine, to provide mechanical stability and sufficient space for bone fusion to occur. Disposable devices associated with implantation may be included. This device must be sterilized prior to use.</t>
  </si>
  <si>
    <t>Polymeric spinal fusion cage, sterile</t>
  </si>
  <si>
    <t>A sterile device intended to help fuse segments of the spine to treat anatomical abnormalities of the vertebrae, typically due to degenerative intervertebral disks [i.e., degenerative disc disease (DDD)]. The device is typically designed as a small, hollow and/or porous, threaded or fenestrated cylinder (or other geometric form) and is made of non-bioabsorbable synthetic polymer [e.g., polyetheretherketone (PEEK)] that is implanted between the bones or bone grafts of the spine, to provide mechanical stability and sufficient space for bone fusion to occur. Disposable devices associated with implantation may be included.</t>
  </si>
  <si>
    <t>Metallic spinal fusion cage, non-sterile</t>
  </si>
  <si>
    <t>A non-sterile device intended to help fuse segments of the spine to treat anatomical abnormalities of the vertebrae, typically due to degenerative intervertebral disks [i.e., degenerative disc disease (DDD)]. The device is typically designed as a small, hollow and/or porous, threaded or fenestrated cylinder (or other geometric form) made of metal [usually titanium (Ti)] that is implanted between the bones or bone grafts of the spine, to provide mechanical stability and sufficient space for therapeutic spinal bone fusion to occur. Disposable devices associated with implantation may be included. This device must be sterilized prior to use.</t>
  </si>
  <si>
    <t>Orthopaedic bone bolt</t>
  </si>
  <si>
    <t>A short rod or shaft designed to be inserted through a long bone in order to secure the bone for traction or for a similar process/apparatus. The device is fastened with a nut/washer, and is typically made of metal or a polymer. It is typically used in the proximal tibia or distal femur. This is a single-use device.</t>
  </si>
  <si>
    <t>Tibia nail, sterile</t>
  </si>
  <si>
    <t>A sterile rod made of metal or other material which, when inserted into the intramedullary canal of the tibia, acts to immobilize by holding the ends of a fractured bone in position to promote healing. The device may also be used to support the bone in the presence of a pathological condition, or for knee arthrodesis. The device may be a locked or unlocked model, and possess components to assist fixation of more proximal or distal conditions. This is a single-use device.</t>
  </si>
  <si>
    <t>External orthopaedic fixation system, reusable</t>
  </si>
  <si>
    <t>An assembly of devices designed to stabilize fractured bones, other than those in the vertebral column, to promote treatment and healing. It typically consists of an external plastic and/or metallic fixator (a framework) and other external and/or implantable components such as clamps, rods, rings, cams, bushings, collars, bolts and nuts; it may also include some instrumentation (e.g., screw drivers, wrenches, drills). It is used mainly to help the healing of long bones such as the femur, tibia and humerus, as well as fractures of the wrist, elbow, knee, hip and ankle, joint fusions, and limb lengthening. This is a reusable device.</t>
  </si>
  <si>
    <t>Trial joint prosthesis</t>
  </si>
  <si>
    <t>A copy of a final prosthetic implant or component (e.g., acetabular or femoral component of a hip prosthesis) used to validate the proper size of the permanent prosthesis required by the patient, to determine its appropriate position, and/or to verify that the implant site has been cut to the proper dimensions. This trial device is used in orthopaedic joint replacement and is specific to the replaced joint (e.g., hip, knee, shoulder, ankle, elbow). It can be made of metal or plastic. This is a reusable device.</t>
  </si>
  <si>
    <t>Spinal fixation plate, non-bioabsorbable</t>
  </si>
  <si>
    <t>A small implantable sheet of solid material that is attached to the spine with screws for spinal immobilization and is made of a material that is not chemically degraded or absorbed via natural body processes (includes implant grade metal such as surgical steel, titanium alloy, or carbon fibre). The device is typically used to provide immobilization and stabilization of spinal segments in the treatment of various spinal instabilities or deformities (e.g., during anterior/posterior cervical, anterior/posterior lumbar, thoracolumbar, and occipital fixation procedures).</t>
  </si>
  <si>
    <t>Vertical expandable prosthetic rib system</t>
  </si>
  <si>
    <t>An assembly of implantable devices designed to treat a patient with complex chest wall and/or spinal deformities, typically thoracic insufficiency syndrome (TIS) in paediatric patients (a congenital condition where severe deformities of the chest, spine, and ribs prevent normal breathing and lung growth and development). The assembly typically consists of telescoping rods/bars, fixation hooks, and locking screws/clamps made of surgical stainless steel or titanium (Ti), and are typically vertically attached to the ribs, spine, and/or pelvis to help straighten the spine and separate ribs so that the lungs can grow and fill with sufficient air for breathing.</t>
  </si>
  <si>
    <t>Vertebral body prosthesis, non-sterile</t>
  </si>
  <si>
    <t>A non-sterile implantable device designed to replace or repair (fuse) the spinal bony segments, or vertebrae, lost or injured as a consequence of, e.g., trauma, deformity, tumour, or degenerative disease. It is typically intended to be used with supplemental spinal fixation and may be used with a bone graft. It is usually made of metal, polymer, or a combination of these materials. This device must be sterilized prior to use.</t>
  </si>
  <si>
    <t>Spiral blade</t>
  </si>
  <si>
    <t>An implantable, rod-like, cannulated device with spiralled flutes at the distal end and a smooth cylindrical portion at the proximal end that is used in combination with a bone fixation plate or an intramedullary nail to support bone fragments after fractures, particularly in the proximal femur or proximal humerus (the bone heads). It is made of metal that cannot be chemically degraded (e.g., surgical steel, titanium alloy). It is intended to decrease the amount of removed bone required for device insertion, and provides a support surface in the zone requiring support (bone head) and resistance to bending in the zone most subject to torque.</t>
  </si>
  <si>
    <t>Manual orthopaedic bender, reusable</t>
  </si>
  <si>
    <t>A manually-operated surgical instrument designed to bend orthopaedic devices, typically those for implantation (e.g., orthopaedic rods, bone fixation plates), to an appropriate anatomical shape. The bending process is typically performed within the operating room (OR), inside or outside of the operative sterile field. The device may be hand held or table mounted. This is a reusable device.</t>
  </si>
  <si>
    <t>Endoscopic light source, line-powered</t>
  </si>
  <si>
    <t>A mains electricity (AC-powered) device that provides light of high intensity, often called cold light, for viewing surgical fields and body cavities when using rigid or flexible endoscopes, e.g., arthroscopes, cystoscopes, laparoscopes, gastroscopes. It provides a source of bright light [e.g., typically using a xenon (Xe) light bulb] that is channelled via a light cable connecting this device to the endoscope to illuminate the site of observation/intervention while minimizing tissue heating.</t>
  </si>
  <si>
    <t>Bone nail end-cap</t>
  </si>
  <si>
    <t>A small, sterile, rounded plug or cover designed to seal the proximal end of an intramedullary nail after implantation. It prevents the healing tissue from growing inside the hollow nail that has been implanted to treat a damaged bone (e.g., a fracture) and facilitates nail extraction. It is typically made of metal [e.g., high-grade stainless steel, titanium (Ti)], and is available in a variety of sizes typically to fit the inner dimensions of the nail. It may also be used to securely lock the most proximal oblique locking screw or help extend the length of a nail when necessary. It may be used with trochanteric, femoral, humeral, supracondylar or tibial nails. This is a single-use device.</t>
  </si>
  <si>
    <t>Orthopaedic implant driver</t>
  </si>
  <si>
    <t>A hand-held manual surgical instrument designed to impart force to an orthopaedic implantable device that is inserted to fix or fasten together bones. The device is frequently used to insert devices such as screws, nails, plates, or wires that are used to fix fractured or damaged bones and/or to attach orthopaedic prostheses to the bones. It is typically made of high-grade stainless steel or titanium (Ti). This is a reusable device.</t>
  </si>
  <si>
    <t>Sagittal surgical saw blade, reusable</t>
  </si>
  <si>
    <t>A flat surgical cutting instrument, usually made of high-grade stainless steel, with a serrated edge designed for attachment to a dedicated powered saw used for cutting bone/tissue during orthopaedic or oral surgery. This device is designed with the cutting teeth arranged in an arc at the distal end pointing directly forward. It cuts when the blade is powered in a rapid oscillating (side to side) movement. This type of blade allows a frontal cutting action to be applied within a restricted area. This is a reusable device.</t>
  </si>
  <si>
    <t>Bone-screw internal spinal fixation system, sterile</t>
  </si>
  <si>
    <t>An assembly of sterile implantable devices intended to provide immobilization and stabilization of spinal segments in the treatment of various spinal instabilities or deformities, also used as an adjunct to spinal fusion [e.g., for degenerative disc disease (DDD)]. Otherwise known as a pedicle screw instrumentation system, it typically consists of a combination of anchors (e.g., bolts, hooks, pedicle screws or other types), interconnection mechanisms (incorporating nuts, screws, sleeves, or bolts), longitudinal members (e.g., plates, rods, plate/rod combinations), and/or transverse connectors. Sterile disposable devices associated with implantation may be included.</t>
  </si>
  <si>
    <t>Humerus nail, sterile</t>
  </si>
  <si>
    <t>A sterile rod made of metal or other material which, when inserted into the intramedullary canal of the humerus, acts to immobilize by holding the ends of a fractured bone in position to promote healing. The device may also be used to support the bone in the presence of a pathological condition. The device may be a locked or unlocked model, and possess components to assist fixation of more proximal or distal conditions. This is a single-use device.</t>
  </si>
  <si>
    <t>Elbow radius prosthesis</t>
  </si>
  <si>
    <t>A sterile implantable device designed to replace the proximal radius typically as treatment for severe radial head fracture or degenerative disease (arthritis). The device includes a radial head or radial head with stem and is made of metal [e.g., titanium (Ti), cobalt-chrome (Co-Cr), stainless steel] or metal and polyethylene (PE). Fixation devices for implantation (e.g., screws) may be included and implantation may be performed with or without bone cement.</t>
  </si>
  <si>
    <t>Spinal curette</t>
  </si>
  <si>
    <t>A hand-held, sterile surgical instrument used to scrape and score the cancellous vertebral bone of the spine, typically during a percutanous, minimally-invasive procedure. It consists of a long, thin, metal shaft that terminates distally in a mushroom-like cutting head that can be set at alternative angles (up to ninety degrees). The device enables a smooth scoring action for the creation of grooves or channels, and is typically used as an adjunct device in the treatment of vertebral compression fractures (VCFs) during kyphoplasty. This is a single-use device.</t>
  </si>
  <si>
    <t>Orthopaedic rongeur</t>
  </si>
  <si>
    <t>A hand-held manual surgical instrument with a cutting/biting action designed to remove bone during an orthopaedic intervention. It is a heavy-duty instrument that has a forceps- or pliers-like design and terminates at the distal end with sharp-edged, scoop-shaped jaws attached to strong, sprung (self-opening), pivoted or multi-pivoted handles that, when squeezed together, close the jaws to bite (cut) through the bone. It is available in various sizes and is made of high-grade stainless steel. This is a reusable device.</t>
  </si>
  <si>
    <t>Sleeve femoral/tibial extension, coated</t>
  </si>
  <si>
    <t>A sterile implantable device typically designed to be attached to a revision femoral stem, knee femur prosthesis, femur/tibia shaft prosthesis, or body femoral/tibial extension stem to extend length to make up for bone loss during revision arthroplasty or bone resection. The device is a hollow sleeve made of metal [e.g., cobalt-chrome (Co-Cr), titanium (Ti), stainless steel] and is coated with a material (e.g., porous materials, hydroxyapatite) intended to improve fixation and stability by promoting bone ingrowth. Fixation devices for implantation (e.g., screws and bolts) may be included.</t>
  </si>
  <si>
    <t>Patella trial prosthesis</t>
  </si>
  <si>
    <t>A copy of a final patella prosthesis designed to be used during unicompartmental knee replacement surgery or total knee arthroplasty (TKA) to determine the correct alignment, size, and fit of the final prosthesis, and to check that patellar ligament balancing is correct. It is one of a set of trial knee prostheses that match the different anatomical structures of the knee joint, and may be used in conjunction with a knee femur trial prosthesis. It is typically made of metal or polymer material. This is a reusable device intended to be sterilized prior to use.</t>
  </si>
  <si>
    <t>Spinal bone screw, non-bioabsorbable</t>
  </si>
  <si>
    <t>A small, sterile, threaded rod with a slotted head used for internal spinal fixation by being screwed into the spine to hold plates, or other stabilization device, to bone; it is made of a material that is not chemically degraded or absorbed via natural body processes (includes implant grade metal such as surgical steel, titanium alloy, or carbon fibre). The device is typically used to provide immobilization and stabilization of spinal segments in the treatment of various spinal instabilities or deformities.</t>
  </si>
  <si>
    <t>Vertebral body prosthesis, sterile</t>
  </si>
  <si>
    <t>A sterile implantable device designed to replace or repair (fuse) the spinal bony segments, or vertebrae, lost or injured as a consequence of, e.g., trauma, deformity, tumour, or degenerative disease. It is typically intended to be used with supplemental spinal fixation and may be used with a bone graft. It is usually made of metal, polymer, or a combination of these materials.</t>
  </si>
  <si>
    <t>Laparoscopic multi-instrument access port, single-use</t>
  </si>
  <si>
    <t>A sterile sleeve assembly made of plastic materials intended to retract a small abdominal incision to allow multiple laparoscopic instruments to pass into the abdomen at the same time during a laparoscopic procedure. It will typically have an introducer that creates the abdominal incision (but is not used in cases where the surgeon chooses to make the incision), and a valve component that maintains the pneumoperitoneum established for the surgical procedure. It allows for the introduction of multiple instruments and/or a camera port, and removal of larger specimens during minimally-invasive laparoscopic surgery. This is a single-use device.</t>
  </si>
  <si>
    <t>Femur nail, non-sterile</t>
  </si>
  <si>
    <t>A non-sterile rod made of metal or other material which, when inserted into the intramedullary canal of the femur, acts to immobilize by holding the ends of a fractured bone in position to promote healing. The device may also be used to support the bone in the presence of a pathological condition, or for knee arthrodesis. The device may be a locked or unlocked model, and possess components to assist fixation of more proximal or distal conditions. This is a single-use device intended to be sterilized prior to use.</t>
  </si>
  <si>
    <t>Orthopaedic feeler</t>
  </si>
  <si>
    <t>A hand-held manual surgical instrument designed to identify the position and/or shape of bone structures and/or cavities created within these structures, e.g., the angle of a drilled hole, during surgery. It is typically designed as a long, thin, shaft with a handle or handle connector at the proximal end and typically a round ball-tip at the distal end. It is typically made of high-grade stainless steel and/or synthetic material and is used by the surgeon to recognize structures and cavities through a tactile feedback. This is a reusable device.</t>
  </si>
  <si>
    <t>Orthopaedic implantable-device cutter</t>
  </si>
  <si>
    <t>A heavy-duty manual surgical instrument designed to hold and cut orthopaedic surgical implant devices (i.e., metal rods, plates, screws). The cutting is typically performed with a shearing action. It may be a hand-held or a table mounted device. This is a reusable device.</t>
  </si>
  <si>
    <t>Orthopaedic rod reducer</t>
  </si>
  <si>
    <t>A heavy-duty, hand-held manual surgical instrument intended to be used to reduce or seat an implantable rod into the saddle of an implant (i.e., bone screw, spinal hook) used as a component of a system to apply force to a series of vertebrae to correct scoliosis (lateral curvature of the spine) or other spinal conditions. When the rod lies medial or lateral to the implant channel this instrument allows for controlled translation of the rod into the saddle of the screws and/or hooks. The surgeon is able to control the positioning (bending) of the rod into the saddle. Once the rod is securely seated in the saddle it is locked into position with a plug or a setscrew. This is a reusable device.</t>
  </si>
  <si>
    <t>Orthopaedic fixation implant alignment tool</t>
  </si>
  <si>
    <t>A surgical instrument designed to facilitate the correct orientation (alignment) of an orthopaedic fixation implant, implants, or system of implants during orthopaedic surgery. It may be used, e.g., to align a series of bone screws in an implant system for posterior stabilization of the spine, or to align a spinal anatomical fixation implant. It is available in a variety of shapes and sizes and allows the surgeon to engage this device with the implant(s) and align them in the desired configuration. It is typically made of high-grade stainless steel or titanium alloy and will have profiled features to fit into the implant(s) to align them. This is a reusable device.</t>
  </si>
  <si>
    <t>Medullary canal orthopaedic reamer, flexible</t>
  </si>
  <si>
    <t>An orthopaedic surgical instrument designed to open and enlarge the medullary canal (e.g., in the femur, tibia, ulnar) for the insertion of various devices during prosthesis implantation or fracture fixation procedures. It is typically designed as a long cylindrical device with straight, spiralled, or contoured flutes, which function as cutting surfaces, that is attached to a flexible shaft for manual or powered rotation. It is typically made of a high-grade stainless steel and is available in various sizes. This is a reusable device intended to be sterilized prior to use.</t>
  </si>
  <si>
    <t>Orthopaedic counter-torque/rod-pushing instrument</t>
  </si>
  <si>
    <t>A hand-held, manual, tube-like surgical instrument with a right-angled handle designed to apply a rotational force that opposes the directional force of torque when tightening (locking) a screw or screw head setscrew with a screwdriver, inserted down the instrument's hollow centre, during orthopaedic surgery. In addition, it may be used to push (seat) an orthopaedic rod into the slotted screw heads of screws that have been inserted into bone (e.g., vertebrae). It is typically made of high-grade stainless steel or titanium alloy, and synthetic materials. This is a reusable device.</t>
  </si>
  <si>
    <t>Reciprocating surgical saw blade, reusable</t>
  </si>
  <si>
    <t>A flat surgical cutting instrument, usually made of high-grade stainless steel, with a serrated edge designed for attachment to a dedicated powered saw used for cutting bone/tissue during orthopaedic or oral surgery. This device is designed with the cutting teeth arranged in a straight line along the cutting edge and which cuts when the blade is powered in a rapid reciprocating movement (a back and forth motion like a jigsaw) against the object to be cut. The end of the blade is typically not protected. This is a reusable device.</t>
  </si>
  <si>
    <t>Stereotactic surgery system probe, reusable</t>
  </si>
  <si>
    <t>A long, slender, rod-like device made of metal, used during image guided surgery (e.g., neurosurgical or orthopaedic surgery procedures) to accurately position implantable devices (e.g., shunts), or to correlate the position of its tip to that of a targeted tissue of interest within a patient so that this area of tissue is clearly pinpointed with respect to diagnostic images stored in the stereotactic surgery system. This is a reusable device.</t>
  </si>
  <si>
    <t>Surgical countersink, reusable</t>
  </si>
  <si>
    <t>A rotary surgical instrument designed to enlarge the diameter of the proximal portion of a hole drilled in bone. It is a shaft of metal with a cutting head, available in various configurations, that is rotated at low speeds typically by a drilling system. The device is typically used to recess the head of a screw/bolt within bone (enable it to lie flush with or below the bone surface) or to help accommodate the implantation of a device in bone. This is a reusable device.</t>
  </si>
  <si>
    <t>Burring power tool attachment</t>
  </si>
  <si>
    <t>A device intended to connect to a surgical power tool system motor [it is locked and held in a collet or quick coupling and not simply gripped in a drill chuck (Jacobs chuck)] to convert the non-dedicated mechanical energy provided by the motor to a dedicated mechanical motion to perform a burring function when an appropriate bur is inserted. It may include integral design features, e.g., have an angled head or have an extended body length to better suit a particular activity. It is typically made of high-grade stainless steel and synthetic materials. The device may be of the micro or macro design. This is a reusable device.</t>
  </si>
  <si>
    <t>Surgical instrument clip</t>
  </si>
  <si>
    <t>A device designed to hold surgical instruments together; typically those with ring handles. This can be for sterilization, storage purposes, and/or to keep surgical instruments used for a particular procedure together prior to being lain out for surgery. It is typically designed like a very large safety pin (i.e., an elongated spring wire clasp with a locking catch onto which the instruments are threaded, usually by the ring handle). It is typically made of stainless steel or chromed metal. This is a reusable device.</t>
  </si>
  <si>
    <t>Surgical instrument maintenance lubricant</t>
  </si>
  <si>
    <t>A non-sterile solution intended to be applied to a surgical instrument prior to sterilization for purposes of lubrication/maintenance (e.g., to prevent moving or mating parts from sticking together during use, inhibit corrosion, and to improve longevity of the instrument); it is not dedicated to a particular type of surgical instrument. It may be a water-soluble solution, commonly known as instrument milk because of its white colour when mixed with water, in which the instrument is immersed, or it may be a spray that is sprayed onto the instrument. After application, this device cannot be reused.</t>
  </si>
  <si>
    <t>Automatic cranial perforator, reusable</t>
  </si>
  <si>
    <t>A drill-like device designed to cut a hole(s) or a circular section(s) of the skull vault (calvarium) to provide access to the interior for diagnostic/therapeutic purposes or for the removal of a bone flap for brain surgery. It is available in various configurations such as: 1) two coaxial drills (one rotating inside the other with the inner drill extending slightly beyond the outer cutter); or 2) a single trepan bur rotating a in protective sleeve, both having a drive shank that connects to a powered handpiece and a built-in clutch mechanism that disengages with penetration of the cutter through the skull. It is typically made of high-grade stainless steel. This is a reusable device.</t>
  </si>
  <si>
    <t>External battery charger</t>
  </si>
  <si>
    <t>An electrically-powered device designed to supply an electrical charge, via a direct/wired connection (i.e., not wireless), to a rechargeable battery or battery pack to recharge it for operation in a parent device.</t>
  </si>
  <si>
    <t>Bone mill</t>
  </si>
  <si>
    <t>A manually-operated device intended to be used to grind bone into a slurry or a powder for use as a bone matrix for bone regeneration or bone grafting. This is a reusable device.</t>
  </si>
  <si>
    <t>Surgical drill chuck</t>
  </si>
  <si>
    <t>A device used to grip a cutting tool (normally a drill or other rotational cutting tool) using three adjustable jaws that are geared to be manually closed concentrically upon the cutting tool. It is attached (locked) to a surgical drilling machine which is usually powered, but may be manual. A special key is often used to close and tighten the jaws. Commonly known as a Jacobs chuck, it is typically made of high-grade stainless steel to resist the corrosive effects of sterilization processes. This is a reusable device.</t>
  </si>
  <si>
    <t>Battery box</t>
  </si>
  <si>
    <t>A special container intended to be used to house batteries for protective purposes. This device will typically be portable so that the user can safely carry the power source.</t>
  </si>
  <si>
    <t>Fibreoptic operating light system</t>
  </si>
  <si>
    <t>A system of lights intended to be used in the operating room (OR) to illuminate the surgical site over a prolonged period for optimal visualization of small, low-contrast objects at varying depths or through small incisions. It operates through light provided by a light source, usually located outside of the surgical field, which is delivered through fibreoptic cables to the site of operation. The cables will be mounted, e.g., from the ceiling or attached to a suitable floor mount, or they may possibly connect directly to the surgeons head-worn head light.</t>
  </si>
  <si>
    <t>Orthopaedic bone nut</t>
  </si>
  <si>
    <t>A sterile profiled block made of metallic or non-metallic material that is threaded on its inside surface, and designed to securely fasten a bone fixation bolt, possibly with a washer. This is a single-use device.</t>
  </si>
  <si>
    <t>Cardiovascular patch, synthetic</t>
  </si>
  <si>
    <t>A sterile implantable material designed to reinforce suture lines and/or increase the strength of weak or injured cardiac and/or peripheral vascular tissues during cardiovascular repair/reconstruction procedures (e.g., annulus or septal defect repair, endarterectomy, profundaplasty). It is a non-bioabsorbable perforated patch made of synthetic polymer material [e.g., polypropylene, polytetrafluoroethylene (PTFE) or Teflon, felt], without biological materials, that is typically implanted with sutures. It is typically implanted during cardiovascular procedures but may also be used in other open and/or laparoscopic soft-tissue surgical procedures (e.g., hernia repair).</t>
  </si>
  <si>
    <t>Suprapubic trocar</t>
  </si>
  <si>
    <t>A surgical instrument with a sharp pyramidal or conical point used to puncture the lower abdominal wall, typically to access the urinary bladder with a catheter or cannula. It is typically made of high-grade stainless steel or durable plastic and may be flexible. It used to make a puncture through the skin and underlying tissues to create a channel for a catheter or cannula to pass fluids to and from the bladder. This is a reusable device.</t>
  </si>
  <si>
    <t>Orthopaedic bone screw starter/notcher</t>
  </si>
  <si>
    <t>A hand-held surgical instrument used to create an indentation or enlarge a pre-drilled pilot hole in a bone that will enable the surgeon to begin threading a bone screw or place another form of anchoring device. This device, commonly known as a bone notcher, may function and be used in a variety of ways: 1) notch the bone such that the threads on a bone screw will bite into the bone; 2) simply hold the screw at the desired angle to the bone while the screw is driven into position; or 3) in the case of hard bone (e.g., on the glenoid) be inserted into a pilot hole where it is rotated to create a cavity within the soft bone for placement of, e.g., a suture anchor. This is a reusable device.</t>
  </si>
  <si>
    <t>Wire/ligature passer</t>
  </si>
  <si>
    <t>A surgical instrument for passing wire or ligatures through tissue. Typical passers may be flexible or rigid rods with handles that have hooks, catches or clasps to hold the material being passed through the tissue. The rod may taper to a button or acorn on the distal tip. Passers may also be ring-handled instruments with extended, straight or slightly curved blades. The ring handle form has a pivot point near the distal end. Distal to the pivot, the blades form short grasping arms. This is a reusable device.</t>
  </si>
  <si>
    <t>Orthopaedic wire crimper</t>
  </si>
  <si>
    <t>A hand-held manual surgical instrument designed like wire-closing forceps and used to bend wire or cerclage. This is a reusable device.</t>
  </si>
  <si>
    <t>Wire twister</t>
  </si>
  <si>
    <t>A surgical instrument specifically designed to twist surgical wire after this has been applied to the site in order to tighten the loop or binding that has been made by the surgeon. The loose ends of the wire are inserted into and gripped by the jaws of this device, and the surgeon pulls a handle which spins the spirally grooved centre piece, thereby twisting and tightening the wire. It is typically used in orthopaedic procedures. This is a reusable device.</t>
  </si>
  <si>
    <t>Sleeve femoral extension</t>
  </si>
  <si>
    <t>A sterile implantable device typically designed to be attached to the distal end of a revision femoral stem prosthesis to extend the length of the prosthetic femur to make-up for proximal bone loss during revision of a total hip prosthesis. The device is a hollow sleeve typically made of metal [e.g., cobalt-chrome (Co-Cr), titanium (Ti), stainless steel]. Fixation devices for implantation (e.g., screws and bolts) may be included and implantation may be performed with or without bone cement.</t>
  </si>
  <si>
    <t>Revision uncoated hip femur prosthesis</t>
  </si>
  <si>
    <t>A sterile device designed to replace the entire femoral component of a total hip prosthesis implanted during replacement of the total hip prosthesis typically due to wear. The revision device is composed of two or more separate segments (e.g., femoral head, neck, stem, and extensions) designed to be joined (modular) and is not coated with materials intended to improve fixation and stability by promoting bone ingrowth. The device may be made of metal and/or ceramic materials. Fixation devices for implantation (e.g., screws and bolts) may be included and implantation is intended to be performed with bone cement.</t>
  </si>
  <si>
    <t>Polyethylene craniofacial tissue reconstructive material</t>
  </si>
  <si>
    <t>A sterile implantable device intended to support, contour, and provide structure for the craniofacial anatomy (i.e., head and face including the chin, cheeks, nose, eye sockets and ears) during reconstructive and plastic surgery procedures. It is typically a high-density polyethylene (PE) material with an interconnecting pore structure that supports tissue ingrowth. The device is available in blocks, sheets, wedges and spheres that can be cut by the surgeon to meet the patient's specific needs.</t>
  </si>
  <si>
    <t>Synthetic bone graft</t>
  </si>
  <si>
    <t>An artificial bone substitute used for structural bone replacement typically when bone is lost due to disease (e.g., osteoporosis) or injury. It consists mainly of porous and mesh ceramic materials that provide a framework for bone growth, or harvested sea coral that serves as an additive, extender, or provides a framework for bone growth. This is a single-use device.</t>
  </si>
  <si>
    <t>Rechargeable battery-powered surgical power tool system motor</t>
  </si>
  <si>
    <t>A compact engine that draws power from a rechargeable battery pack intended to convert electrical energy into a non-dedicated mechanical energy to perform a variety of surgical procedures that include drilling, sawing, and inserting involving bones and tough tissues (e.g., cartilage, ligaments). It is typically a pistol-like handpiece that connects to a variety of surgical power tool attachments. The device may be cannulated to permit use of a guidewire. It may be operated with a hand- or foot-switch; it is not intended to draw power from a line-powered control unit. This is a reusable device.</t>
  </si>
  <si>
    <t>Clinical goniometer, manual</t>
  </si>
  <si>
    <t>A manually-operated measuring device that is graduated in degrees (e.g., from 0 to 360 degrees) and designed to be used in the clinic to measure the range of motion of the limb of a patient by measuring the angle of movement achieved at the joint. It is typically be used by rheumatologists, physiotherapists, orthopaedists and general practitioners to evaluate joint movement, e.g., ankle, finger, knee, shoulder or spine before and after a treatment or surgical intervention. It may be made of plastic or stainless steel and be designed in varying designs, e.g., protractor-like with pivoting arms, dial-like with twin rotating dials. This is a reusable device.</t>
  </si>
  <si>
    <t>Surgical instrument guard, reusable</t>
  </si>
  <si>
    <t>A device designed to be applied to a variety of surgical or invasive instruments to protect the instrument and/or its operator and/or the patient from injury, distortion, or damage during an invasive diagnostic or interventional procedure. It is typically made of stainless steel or plastic materials. This is a reusable device.</t>
  </si>
  <si>
    <t>Intravenous pole device connector</t>
  </si>
  <si>
    <t>A clamp-like device intended to be affixed to an intravenous (IV) pole to provide a means to fix/mount a medical device (e.g., suction/irrigation pump), or other non-medical device, to the IV pole. It typically has a gripping profile that is compatible with the device it is intended to fit. This is a reusable device.</t>
  </si>
  <si>
    <t>Osteotomy guide</t>
  </si>
  <si>
    <t>A non-sterile surgical instrument intended to be attached to a portion of bone (e.g., pelvis, femur, tibia, ulna) during an osteotomy procedure to outline the desired cut-line and mechanically support/guide the cutting device (e.g., oscillating cutting saw). This is a reusable device intended to be sterilized prior to use.</t>
  </si>
  <si>
    <t>Endoscopic electrosurgical electrode, monopolar, single-use</t>
  </si>
  <si>
    <t>A sterile, invasive, distal component of an electrosurgical system intended to deliver electrosurgical current in a monopolar configuration (i.e., used with a patient contact return electrode) to tissues for cutting/coagulation/ablation during endoscopic (including laparoscopic, arthroscopic) surgery. It is a long thin device available in a variety of forms (e.g., exchangeable electrode for electrosurgical forceps, rigid electrode, flexible endoscopic probe) which may include a lumen for suction/irrigation; it does not include a handpiece with any form of electrical or mechanical controls (e.g., does not include controlling ring-handles). This is a single-use device.</t>
  </si>
  <si>
    <t>Internal spinal fixation system cable, non-sterile</t>
  </si>
  <si>
    <t>A non-sterile implantable fixation device designed to apply a force to a series of vertebrae to correct scoliosis (lateral curvature of the spine) or other spinal conditions. The device is typically made of braided medical grade titanium (Ti) and stainless steel alloy of various lengths and designs (e.g., it may be supplied with or without attached fasteners). The cable is tightened with a tension device and is fastened or crimped at each eye-type screw.</t>
  </si>
  <si>
    <t>Lumbar cerebrospinal fluid drainage catheterization kit</t>
  </si>
  <si>
    <t>A collection of sterile devices intended for short-term percutaneous access to the subarachnoid (intrathecal) or epidural space of the lumbar spinal column to drain cerebrospinal fluid (CSF), and/or other fluids of similar physical characteristics, as a means of reducing CSF volume and intracranial pressure (ICP). It includes a spinal infusion/drainage catheter and devices intended for catheter insertion (e.g. Tuohy needle, suture, guidewire) and CSF collection (e.g., drip chamber, drainage bag, tubing set, filter). This is a single-use device.</t>
  </si>
  <si>
    <t>Femoral stem centralizer</t>
  </si>
  <si>
    <t>A small sterile implantable device intended to be used during the implantation of a cemented femoral stem prosthesis to centralize and stabilize the prosthesis tip within the femoral medullary canal; it is inserted after cement insertion and prior to, or in conjunction with, the femoral stem prosthesis. It is made of a synthetic polymer [e.g., polymethylmethacrylate (PMMA)] and may have a winged structure.</t>
  </si>
  <si>
    <t>Flexible bone nail, non-sterile</t>
  </si>
  <si>
    <t>A non-sterile, bending rod made of metal designed for insertion into the intramedullary canal of a long bone for fracture fixation where flexibility of the implant is desired. It is available in various lengths and diameters for use on lower and upper extremity diaphyseal fractures, and some metaphyseal fractures of paediatrics and small-statured/normal adults, to provide temporary stabilization of the bone segments/fragments until bone consolidation has been achieved. It is intended to splint the cortices and maintain elastic energy to continually brace against rotational/angular forces of the muscles. This is a single-use device intended to be sterilized prior to use.</t>
  </si>
  <si>
    <t>Powered bone mill motor</t>
  </si>
  <si>
    <t>A non-sterile motorized base unit intended to be used with a disposable cutting cartridge to create particles of bone autografts (i.e., bone harvested from and transplanted into the same patient) for implantation during a bone regeneration or bone grafting procedure. The motor is intended to provide the rotational force required by the cutters in the cartridge to produce the bone particles; it is typically powered by a line-powered surgical power tool control unit. This is a reusable device.</t>
  </si>
  <si>
    <t>Screw-extraction orthopaedic reamer</t>
  </si>
  <si>
    <t>A sterile surgical tool designed for overdrilling, gripping, and extracting an implanted surgical screw shaft when the screw head has become defective or detached, or the shaft has broken. It is in the form of a thin hollow metal shaft, with saw teeth at the cutting edge and a conical thread within the lumen. The device is rotated around the screw shaft to remove a thin layer of bone, either by a surgical power tool or a manual handle, until the internal thread grips the screw for removal. This is a single-use device.</t>
  </si>
  <si>
    <t>Manual orthopaedic bender, single-use</t>
  </si>
  <si>
    <t>A sterile, manually-operated surgical instrument designed to bend orthopaedic devices, typically those for implantation (e.g., orthopaedic rods, bone fixation plates), to an appropriate anatomical shape. The bending process is typically performed within the operating room (OR), inside or outside of the operative sterile field. The device may be hand held or table mounted. This is a single-use device.</t>
  </si>
  <si>
    <t>Surgical power tool maintenance adaptor</t>
  </si>
  <si>
    <t>A device intended to connect a surgical power tool (e.g., pneumatically or electrically driven motors, turbines, or attachments) to a maintenance device (i.e., maintenance unit or lubricant container) during maintenance/lubrication of the surgical power tool. It is typically a metal attachment designed to connect a specific type of tool and maintenance device together.</t>
  </si>
  <si>
    <t>Hypodermic needle, single-use, sterile</t>
  </si>
  <si>
    <t>A sterile, sharp bevel-edged, hollow tubular metal device intended to be used in conjunction with syringes, secondary medication sets, or phlebotomy equipment (e.g., blood collection adapters or holders) to prepare and administer fluids/medications/drugs to a patient and/or to withdraw(aspirate) fluids from a patient. This is a single-use device.</t>
  </si>
  <si>
    <t>Orthopaedic implant/instrument assembling device</t>
  </si>
  <si>
    <t>A non-sterile device designed to assemble the component parts of an orthopaedic implant or surgical instrument during a surgical procedure, typically when component sizes are determined during the procedure [e.g., stem, neck, and head femoral components of a total hip arthroplasty (THA)]. It typically consists of a manually-operated press made of metal [e.g., steel, titanium (Ti)] and/or carbon fibre, and may include accessories such as exchangeable gripping devices (holders), an impactor head, and a torque wrench. This is a reusable device intended to be sterilized prior to use.</t>
  </si>
  <si>
    <t>Intraoperative freestanding patient positioning frame</t>
  </si>
  <si>
    <t>A non-sterile device designed to support and stabilize a patient's arm or leg in a desired posture during a surgical procedure, typically an orthopaedic procedure where it is intended to be used with an arm or leg ring. It is typically in the form of a frame with a base and support arch that is not attached to a parent device (freestanding); it is typically constructed of plastic materials. This is a reusable device intended to be sterilized prior to use.</t>
  </si>
  <si>
    <t>Total knee prosthesis implantation guide-instrument kit</t>
  </si>
  <si>
    <t>A collection of sterile hand-held surgical instruments intended to be used during total knee arthroplasty (TKA), either manually or as a computer-assisted surgery (CAS) device, to aid in the navigation/placement of the prosthesis or other instruments. Components may be used for the following applications: 1) to hold/align/fix bone preparation instruments, prosthesis, or prosthesis component; 2) to provide relative position landmarks; 3) to ascertain correct spatial orientation or limb alignment; and/or 4) as an interface between prosthesis components; the implant is not included. This is a single-use device.</t>
  </si>
  <si>
    <t>Surgical implant template, single-use</t>
  </si>
  <si>
    <t>A device designed to determine the appropriate size and placement of an implant for a patient prior to or during surgery. It is typically available as a graduated set or an individual plate (e.g., a translucent plastic sheet or a cut metal shape) with patterns/sizes corresponding to the size of the implant to be used to aid the surgeon in final selection of implant size, placement, and/or adaption. It is used for, e.g., total- or partial-joint prostheses, bone fracture fixation implants (plates, nails, including skull plate implants) or other types of surgical implants. This is a single-use device.</t>
  </si>
  <si>
    <t>Surgical screwdriver, single-use, sterile</t>
  </si>
  <si>
    <t>A sterile tool that fits into a screw head in order to apply rotation to tighten/loosen/remove a screw during a surgical procedure. It typically has a high-grade stainless steel shaft with a distal end dedicated to fit into a screw head that may be slotted, Phillips (cross head), Pozidriv (Supadriv), Torx, Hex (Allen), Robertson (square), spanner head (twin pins), Polydrive, or one-way (clutch). The proximal end of the shaft may have a handle for manual use, or it may have a profiled tang that fits into an interchangeable screwdriver handle, a manually-operated chuck, or a power driver. This is a single-use device.</t>
  </si>
  <si>
    <t>Femoral head sphericity template</t>
  </si>
  <si>
    <t>A non-sterile hand-held manual gauge intended to be used to help estimate the loss of sphericity of the femoral head to help guide femoral head restoration during an osteoplasty procedure [e.g., an osteotomy to correct femoro-acetabular impingement (FAI)]. It is typically made of plastic and includes a handle attached to a transparent, semi-spherical concave base applied to the femoral head for the estimation; it is available as a set of graduated sizes. This is a reusable device intended to be sterilized prior to use.</t>
  </si>
  <si>
    <t>Surgical cutting/shaping board</t>
  </si>
  <si>
    <t>A non-sterile, flat, stiff, plastic device designed to be used as a surface for trimming/contouring objects [e.g., porous polyethylene (PE) orthopaedic implants] in an operating room (OR) or other clean room during a surgical procedure. It may have measurement graduations as a visual approximation aid. This is a reusable device intended to be sterilized prior to use.</t>
  </si>
  <si>
    <t>Compartmental-pressure monitoring system, reusable</t>
  </si>
  <si>
    <t>An assembly of non-sterile devices designed to measure and display, periodically or continuously, the interstitial pressure in a closed fascial compartment of muscle. It typically consists of a battery-powered, hand-held, pressure-measuring instrument with a display and connected devices used to access the muscle compartment (e.g., transducing probe, extension cable). It is intended to assess chronic and/or acute compartmental syndrome, a condition of increased intra-compartmental pressures from swelling within muscle compartments and tendon sheaths due to trauma. This is a reusable device with parts that must be sterilized before the first and between patient applications.</t>
  </si>
  <si>
    <t>Epidural needle, non-threaded</t>
  </si>
  <si>
    <t>A sterile, sharp bevel-edged, hollow tubular metal instrument designed to access the epidural space. It may be used to deliver anaesthetic or analgesic agents or to introduce a dedicated catheter for continuous anaesthesia administration. If used with a stylet, it is often referred to as a cannula. This is a single-use device.</t>
  </si>
  <si>
    <t>Rechargeable battery/line-powered surgical sawing system handpiece</t>
  </si>
  <si>
    <t>A hand-held device that consists of a motorized handpiece that provides sagittal or oscillating or reciprocating movement for attachable serrated saw blades to cut through hard/tough tissue during surgery. It is powered by an attached rechargeable battery pack to directly provide low-voltage electricity or from a control unit that supplies mains (e.g., 230 or 115 volt), stepped-down, low-voltage electricity (e.g., 24 volt) to the motor of the handpiece via an electrical cable. It is typically a macro design. This is a reusable device.</t>
  </si>
  <si>
    <t>Acetabulum prosthesis apical hole plug</t>
  </si>
  <si>
    <t>A sterile implantable device designed as a small threaded plug intended to close the apical hole of a two-piece acetabulum prosthesis [a metal shell and an ultrahigh molecular weight polyethylene (UHMWPE) liner], implanted with or without bone cement. The plug, typically made of titanium alloy, is screwed into place to fill the driver hole of the acetabulum prosthesis after implantation.</t>
  </si>
  <si>
    <t>Humerus nail, non-sterile</t>
  </si>
  <si>
    <t>A non-sterile rod made of metal or other material which, when inserted into the intramedullary canal of the humerus, acts to immobilize by holding the ends of a fractured bone in position to promote healing. The device may also be used to support the bone in the presence of a pathological condition. The device may be a locked or unlocked model, and possess components to assist fixation of more proximal or distal conditions. This is a single-use device intended to be sterilized prior to use.</t>
  </si>
  <si>
    <t>Craniotomy kit</t>
  </si>
  <si>
    <t>A collection of various sterile basic instruments, dressings and the necessary materials used to perform a craniotomy procedure. It typically includes scalpels, retractors, forceps, sutures, but does not contain pharmaceuticals. This is a single-use device.</t>
  </si>
  <si>
    <t>Flexible bone nail, sterile</t>
  </si>
  <si>
    <t>A sterile, bending rod made of metal designed for insertion into the intramedullary canal of a long bone for fracture fixation where flexibility of the implant is desired. It is available in various lengths and diameters for use on lower and upper extremity diaphyseal fractures and some metaphyseal fractures of paediatrics and small-statured/normal adults to provide temporary stabilization of the bone segments/fragments until bone consolidation has been achieved. It is intended to splint the cortices and maintain elastic energy to continually brace against rotational/angular forces of the muscles. This is a single-use device.</t>
  </si>
  <si>
    <t>Humeral head trial prosthesis, single-use</t>
  </si>
  <si>
    <t>A sterile copy of a final humeral head prosthesis designed to be used before primary or revision implant surgery to validate the proper size of the permanent prosthesis required by the patient, to ensure its proper orientation and positioning, and to verify that the implant site has been cut to the proper dimensions. It has a cup-like ball shape and is available in types such as concentric head fixation, eccentric head fixation, or types for revision surgery. It is typically made of metal and/or polyethylene (PE). This is a single-use device.</t>
  </si>
  <si>
    <t>Human parainfluenza virus 4B nucleic acid IVD, control</t>
  </si>
  <si>
    <t>A material which is used to verify the performance of an assay intended to be used for the qualitative and/or quantitative detection of nucleic acid from human parainfluenza virus 4B in a clinical specimen.</t>
  </si>
  <si>
    <t>Lumbar cerebrospinal fluid drainage kit</t>
  </si>
  <si>
    <t>A sterile collection of items designed for use with dimensionally compatible devices for draining cerebrospinal fluid (CFS) and other fluids of similar physical characteristics from the lumbar subarachnoid (intrathecal) region as a means of reducing intracranial pressure (ICP) and CSF volume. It typically includes a catheter, a Tuohy needle, suture, and connectors. This is a single-use device.</t>
  </si>
  <si>
    <t>Lumbar total disc replacement prosthesis</t>
  </si>
  <si>
    <t>A sterile implantable device designed to replace most or all of a dysfunctional intervertebral disc in the lumbar spine. It is typically made of metal or synthetic polymer materials, or a combination of the two. It most commonly has a two-plate design, one plate attaching to the vertebra above and the other to the vertebra below. The device is intended to facilitate motion usually through the sliding action of its smooth surfaces.</t>
  </si>
  <si>
    <t>Cervical total disc replacement prosthesis, sterile</t>
  </si>
  <si>
    <t>A sterile implantable device designed to replace most or all of a dysfunctional intervertebral disc in the cervical spine. It is typically made of metal or synthetic polymer materials, or a combination of the two. It most commonly has a two-plate design, one plate attaching to the vertebra above and the other to the vertebra below. The device is intended to facilitate motion usually through the sliding action of its smooth surfaces.</t>
  </si>
  <si>
    <t>A sterile rod made of metal or other material which, when inserted into the intramedullary canal of the ulna, acts to immobilize by holding the ends of a fractured bone in position to promote healing. The device may also be used to support the bone in the presence of a pathological condition. The device may be a locked or unlocked model, and possess components to assist fixation of more proximal or distal conditions. This is a single-use device.</t>
  </si>
  <si>
    <t>Dura mater graft, bioengineered</t>
  </si>
  <si>
    <t>A sterile device made from bioengineered materials (e.g., cellulose fibres produced by microorganisms) used for the repair or replacement of the dura mater in a recipient during a neurosurgical procedure. Restoration of the dura mater maintains the integrity of the brain and spinal cord, and helps prevent leakage of the cerebrospinal fluid (CSF). This dural graft is typically overlaid on the patient's dura. It may be supplied in various sizes and shapes (e.g., square or rectangular) and may be sutured into place.</t>
  </si>
  <si>
    <t>Orthopaedic bone-fragment manipulator, reusable</t>
  </si>
  <si>
    <t>A hand-held manual surgical instrument designed to help position a fractured fragment of bone to achieve proper alignment (reduction). It is typically a long, thin, rigid rod made of high-grade stainless steel with a self-drilling/self-tapping screw thread at the distal end and a connector at the proximal end to attach an appropriate handle. The device is usually inserted transcutaneously to the fractured section of bone (e.g., through the skin and into a craniofacial fracture) and removed after positioning and fixation of the fracture. This is a reusable device.</t>
  </si>
  <si>
    <t>Orthopaedic implant/instrument depth limiter</t>
  </si>
  <si>
    <t>An orthopaedic device designed to limit the depth of insertion of a surgical instrument (e.g., a drill or a reamer), a trial implant, or an implant. It may be used as a stand-alone device or it may be attached to another device to control the insertion depth; this can be to prevent the insertion of an instrument or implant below the surgical field of interest thereby avoiding damage to tissue behind or below the target structures. It is typically made from high-grade stainless steel and/or synthetic material and is available in a variety of shapes and lengths. This is a reusable device.</t>
  </si>
  <si>
    <t>Surgical instrument torque limiter</t>
  </si>
  <si>
    <t>A small device designed to attach to a surgical power tool (e.g., the proximal end of a surgical drill handpiece) or a manual surgical instrument (e.g., a screwdriver) to define the torque effect of that tool allowing the surgeon to apply the correct torque, e.g., when tightening an orthopaedic fixation screw during a surgical intervention. It is typically made of high-grade stainless steel or synthetic materials and includes a built-in clutch mechanism. It is available in various shapes, sizes and torque ranges. It will normally provide an indication to the surgeon when the pre-set torque level is reached with an audible click and release of rotational traction. This is a reusable device.</t>
  </si>
  <si>
    <t>Surgical power tool adaptor</t>
  </si>
  <si>
    <t>A connecting device designed as a mechanical coupling to join and lock together a distal tool to the surgical power tool to provide the power when these are incompatible and are of a different manufacture/industry standard. It is typically made from high-grade stainless steel and/or synthetic material and is available in a variety of shapes and sizes. This device may be cannulated to allow the use of a guidewire. There are various types such as a Hudson adaptor, Trinkle adaptor, Zimmer adaptor. This is a reusable device.</t>
  </si>
  <si>
    <t>Surgical instrument torque-limiting handle</t>
  </si>
  <si>
    <t>A hand-held manual surgical instrument designed to attach to the proximal end of a surgical instrument (e.g., a screwdriver shaft) to allow the surgeon to perform manipulations with the instrument, typically manual rotation of a bone screw (e.g., the insertion of pedicle screws), whilst providing a torque-limiting function to ensure that the screw is not over tightened, during an orthopaedic procedure. The device is typically made of metal/synthetic material (e.g., polysulphone) and may have a T-shaped handle grip. It will normally provide an indication to the surgeon when the pre-set torque level is reached with an audible click and release of rotational traction. This is a reusable device.</t>
  </si>
  <si>
    <t>Orthopaedic implant hammering attachment</t>
  </si>
  <si>
    <t>A surgical instrument that is attached to another surgical implantation instrument or directly to an orthopaedic implant to provide a surface on which an operating surgeon can make strikes, with a surgical hammer or mallet, to insert an orthopaedic implant (e.g., an intramedullary nail). It is typically made of high-grade stainless steel and typically in the form of a cylindrical shaft with a threaded portion at the distal end (i.e., threaded into the implant or connected to the implantation instrument) and a broader, robust striking head (surface) at the proximal end. This is a reusable device.</t>
  </si>
  <si>
    <t>Ulna nail, non-sterile</t>
  </si>
  <si>
    <t>A non-sterile rod made of metal or other material which, when inserted into the intramedullary canal of the ulna, acts to immobilize by holding the ends of a fractured bone in position to promote healing. The device may also be used to support the bone in the presence of a pathological condition. The device may be a locked or unlocked model, and possess components to assist fixation of more proximal or distal conditions. This is a single-use device intended to be sterilized prior to use.</t>
  </si>
  <si>
    <t>Orthopaedic bone-fragment manipulator, single-use, non-sterile</t>
  </si>
  <si>
    <t>A non-sterile, hand-held manual surgical instrument designed to help position a fractured fragment of bone to achieve proper alignment (reduction). It is typically a long, thin, rigid rod made of high-grade stainless steel with a self-drilling/self-tapping screw thread at the distal end and a connector at the proximal end to attach an appropriate handle. The device is usually inserted transcutaneously to the fractured section of bone (e.g., through the cheek and into the mandible) and removed after positioning and fixation of the fracture. This is a single-use device intended to be sterilized prior to use.</t>
  </si>
  <si>
    <t>Orthopaedic fixation plate bending insert, single-use</t>
  </si>
  <si>
    <t>A non-sterile device that is inserted into the threaded or non-threaded hole of a metal orthopaedic fixation plate (e.g., trauma or craniofacial plate) prior to the surgeon bending the plate to conform to the anatomical shape of the implant site (e.g., jawbone or pelvis) in order to preserve the integrity of the holes which would otherwise deform, negating the entry of the bone screws that hold the plate in place. It is typically made of metal or synthetic material in the form of a short screw or pin-like device with a slotted head used solely during the bending of plates that typically have a continuous row of screw holes. This is a single-use device intended to be sterilized prior to use.</t>
  </si>
  <si>
    <t>Orthopaedic fixation plate bending insert, reusable</t>
  </si>
  <si>
    <t>A device that is inserted into the threaded or non-threaded hole of a metal orthopaedic fixation plate (e.g., trauma or craniofacial plate) prior to the surgeon bending the plate to conform to the anatomical shape of the implant site (e.g., jawbone or pelvis) in order to preserve the integrity of the holes which would otherwise deform, negating the entry of the bone screws that hold the plate in place. It is typically made of metal or synthetic material in the form of a short screw or pin-like device with a slotted head (for the acceptance of a screwdriver) used solely during the bending of plates that typically have a continuous row of screw holes. This is a reusable device.</t>
  </si>
  <si>
    <t>Bone matrix implant mixer</t>
  </si>
  <si>
    <t>A mains electricity (AC-powered) instrument designed to automatically mix two or more component materials used to form an injectable and/or mouldable synthetic bone replacement material. It is typically used outside of the sterile surgical field in the operating room (OR) and designed to provide mixing cycles as defined by the manufacturer of the materials to be mixed. The device may include a manual mode to enable mixing in the absence of electrical power.</t>
  </si>
  <si>
    <t>Bone graft packing block</t>
  </si>
  <si>
    <t>A device designed to tightly compact (pack) an implant with a bone graft material (e.g., autologous, allogeneic, xenogeneic, or of synthetic origin) prior to the implantation of the implant. It is typically a small, box-shaped device consisting of two parts, a frame to hold the implant to be filled and a fitted lid that stabilizes the implant while it is being filled. The packing of the implant is done manually, typically with an impactor. This is a reusable device.</t>
  </si>
  <si>
    <t>Bone fixation plate pliers insert</t>
  </si>
  <si>
    <t>A small, soft, gripping device inserted into bone fixation plate bending/cutting pliers to hold the free section of a cut implant to prevent it from becoming a projectile when it is cut. The insert is used when modifying an orthopaedic implant, typically a light bone plate [e.g., a 1-2 mm in thickness craniomaxillofacial (CMF) fixation plate being cut to a desired length]. It is typically made of synthetic material (e.g., silicone). This is a reusable device.</t>
  </si>
  <si>
    <t>Orthopaedic fixation plate tensioner</t>
  </si>
  <si>
    <t>A hand-held manual surgical instrument designed to apply tension to an orthopaedic implant (typically a fixation plate) to compress a fracture site prior to final fixation of the implant. It is typically designed with two adjustable legs, one terminating with an anchoring loop that is attached to intact bone and the other terminating with a claw that is attached to the implant which has been fixed to one side of the fracture site; after device placement the fracture is compressed through manual operation of a device mechanism (e.g., turning a central screw). It is typically made of high-grade stainless steel and may be used on simple or compound fractures. This is a reusable device.</t>
  </si>
  <si>
    <t>Orthopaedic cement dispensing gun</t>
  </si>
  <si>
    <t>A hand-operated device designed to hold an orthopaedic cement syringe and to facilitate the dispensing of the cement in the syringe to the application site. It is a pistol-like device with a barrel recess to accept the syringe; upon activation of a handle's trigger at the proximal end of the device, a central piston pushes on the syringe to force cement from its distal end. This is a reusable device.</t>
  </si>
  <si>
    <t>Craniofacial alignment rod</t>
  </si>
  <si>
    <t>A surgical instrument typically used in pairs to facilitate correct cranial orientation of craniofacial implants (e.g., fixation plates being attached to jaw bones) and other devices (e.g., craniofacial distractors) during their application in craniofacial surgery. It is typically designed as a long, thin, rigid rod made of high-grade stainless steel or titanium alloy with connectors at either end for attachment to the devices being aligned; it may have a knurled mid section (to provide better grip) onto which other instruments can be locked to assist the orientation procedure. This is a reusable device.</t>
  </si>
  <si>
    <t>Bone fixation plate pliers</t>
  </si>
  <si>
    <t>A manual surgical instrument designed to bend and cut light-bone fixation plates (e.g., 1 to 2 mm in thickness), such as those used in craniomaxillofacial (CMF) or finger surgery. The instrument is typically made of high-grade steel and consists of two arms/rods that form a handle proximally and extend distally through a pivot to form jaws that bend and cut the metal plates allowing the surgeon to customize their size and shape. This is a reusable device.</t>
  </si>
  <si>
    <t>Surgical countersink, single-use</t>
  </si>
  <si>
    <t>A rotary surgical instrument designed to enlarge the diameter of the proximal portion of a hole drilled in bone. It is a shaft of metal with a cutting head, available in various configurations, that is rotated at low speeds typically by a drilling system. The device is typically used to recess the head of a screw/bolt within bone (enable it to lie flush with or below the bone surface) or to help accommodate the implantation of a device in bone. This is a single-use device intended to be sterilized prior to use.</t>
  </si>
  <si>
    <t>Bone graft harvesting filter</t>
  </si>
  <si>
    <t>A sterile receptacle designed to collect morselized (cut/shredded into small pieces) bone and bone marrow typically obtained during an intramedullary procedure involving reaming, irrigation, and aspiration (suction). The filter is situated, with connection tubing, between the bone harvesting device (e.g., the orthopaedic reamer handpiece) and a suction system which creates vacuum to draw the graft into the filter where it is captured. The retrieved tissue is used for surgical procedures requiring bone graft (e.g., to facilitate bone fusion and/or fill bone defects). This is a single-use device.</t>
  </si>
  <si>
    <t>Fluted surgical drill, single-use, non-sterile</t>
  </si>
  <si>
    <t>A non-sterile shaft of metal with an obtuse, V-shaped cutting edge designed to be rotated to bore into bone to create a hole of the same dimension as the diameter of the shaft. This device, commonly called a "twist drill", has a cylindrical design with a double-edged cutting head that is formed from two spiralled flutes that extend the length of the insertion part of the drill. At the proximal end, its shaft is mounted into a surgical power tool or a surgical hand drill/brace. It is typically made of high-grade stainless steel and is available in various sizes. This is a single-use device intended to be sterilized prior to use.</t>
  </si>
  <si>
    <t>Bone tap, single-use, non-sterile</t>
  </si>
  <si>
    <t>A non-sterile, metal, surgical instrument designed for cutting internal threads into bone so that the threads facilitate the insertion of bone screws. The screws anchor bone fragments, fixtures and/or other devices to the bone. It is made of high-grade stainless steel and has a helical thread intersected with longitudinal cutting grooves forming the cutting edges at its distal end and may be cannulated. The proximal end typically terminates in a square to which a tapping instrument or extension can be attached. It will typically be manually rotated in order to create a best possible thread. This is a single-use device intended to be sterilized prior to use.</t>
  </si>
  <si>
    <t>Inflatable bone tamp</t>
  </si>
  <si>
    <t>A catheter-like device with an inflatable balloon at the distal end used for the reduction of fractures and/or creation of a void in cancellous bone [e.g., in the spine for a vertebral compression fracture (VCF), hand, tibia, radius, and calcaneus]. It is commonly used for kyphoplasty, which involves its insertion into a patient's back to reduce a vertebral body fracture by compression of cancellous bone and/or movement of the endplates as the balloon is inflated. After the device is removed, orthopaedic bone cement is introduced into the created void to stabilize the vertebra. This is a single-use device.</t>
  </si>
  <si>
    <t>Fibreoptic retractor handle</t>
  </si>
  <si>
    <t>A hand-held, surgical instrument that enables manipulation of an attached retractor blade, and that has an integrated fibreoptic bundle for illuminating deep surgical sites often encountered during gastroenterological, urological, or gynaecological procedures. The interchangeable retractor blade is slotted/fixed onto this instrument, which when assembled, is sometimes referred to as a variable or vario retractor because of the ability to change blade lengths and sizes. It is made of high-grade stainless steel and the fibreoptic bundle is attached to a separate light source, typically via a light-source cable, to produce illumination. This is a reusable device.</t>
  </si>
  <si>
    <t>Nerve/vessel hook</t>
  </si>
  <si>
    <t>A hand-held, surgical instrument used for hooking around a nerve or a blood vessel in order to separate it from the surrounding tissue during a surgical intervention. It is a shaft-like instrument with a blunt bulbous or rounded tip (a hook) at the distal end and a handle at the proximal end. The hook is available in a variety of designs such as, curved, right-angled, or 45 degree angled. It is made of high-grade stainless steel. This is a reusable device.</t>
  </si>
  <si>
    <t>Orthopaedic fixation plate kit, non-bioabsorbable, sterile</t>
  </si>
  <si>
    <t>A sterile collection of small sheets of firm material and bone screws intended to be implanted onto fractured bone fragments to bridge and stabilize the fracture gap, and shield the site from stress as the bone heals; the components are made of a material that is not chemically degraded or absorbed by natural body processes (includes implant grade metal such as surgical steel, titanium alloy, or carbon fibre). Tools for implantation may be included. The device is typically used to treat traumatic or pathological orthopaedic fractures; it may also be used to temporarily augment bone following a lengthening procedure, or for arthrodesis (joint fusion).</t>
  </si>
  <si>
    <t>Craniofacial fixation plate kit, non-bioabsorbable</t>
  </si>
  <si>
    <t>A collection of small sheets of firm material and bone screws, of various shapes/sizes, that are implanted onto fractured craniofacial bone (including the maxilla and/or mandible) to bridge and stabilize the fracture gap, and shield the site from stress as the bone heals; the components are made of a material that is not chemically degraded or absorbed by natural body processes (includes implant grade metal such as surgical steel, titanium alloy, or carbon fibre). Tools for implantation may be included. The device may also be used for craniofacial reconstructive procedures (e.g., to treat congenital malformations), endobrow fixation, or craniotomy flap fixation.</t>
  </si>
  <si>
    <t>Vertebral bone biopsy procedure kit</t>
  </si>
  <si>
    <t>A collection of sterile devices, equipment, and supplies used to obtain a bone specimen from the vertebrae of a patient (the bony segments of the spinal column) for histological analysis. It typically contains a metal cannula which can have various tip designs (e.g., bevelled, pyramidal, scoop-, or diamond-shaped) and stylet(s), a biopsy needle, an obturator, a needle holder, syringes, and connecting tube. The specimen can be used for the detection of cancer, infection, or other bone disorders. The device may also be used for vertebral infusion (e.g., injection of bone cement). This is a single-use device.</t>
  </si>
  <si>
    <t>Vacuum tubing, single-use</t>
  </si>
  <si>
    <t>A sterile length of flexible tube intended to be used as a connection line between a vacuum source and a medical device, medical equipment, or a medical system that is dependent upon suction to operate or function. It is typically made of malleable synthetic polymer material(s) (e.g., plastic, silicone) and is designed with a thick wall to prevent collapse due to the negative pressure of the vacuum; it is available in a variety of lengths, including standard coil lengths. This device is used when sterile conditions are required (e.g., for an autologous blood transfusion system). This is a single-use device.</t>
  </si>
  <si>
    <t>Craniofacial bone tack, bioabsorbable</t>
  </si>
  <si>
    <t>A small, sterile, bioabsorbable, cylindrical shaft, typically with a flat, rounded head at one end and tapered to a point at the other, intended to be implanted into craniofacial bone (includes maxilla and/or mandible) to provide stabilization for fracture repair and reconstructive procedures, or to maintain the relative position of bony fragments, bone grafts, or bone graft substitutes. It is made of a material that is chemically degraded and typically absorbed via natural body processes (e.g., a degradable polymer), and may be designed to be heated during implantation, with a dedicated inserter, to facilitate its moulding and optimal insertion.</t>
  </si>
  <si>
    <t>Orthodontic anchoring screw</t>
  </si>
  <si>
    <t>A small metallic rod with a spiral thread and slotted/formed head that is inserted into the bone of the jaw to serve as a temporary anchor for an orthodontic device (e.g., a spring or plate). It is available in various sizes and lengths, and may have a self-drilling/self-tapping thread for easy insertion and removal after desired alignment of the teeth. It is used in a variety of orthodontic treatment situations, especially when normal anatomy has been compromised (e.g., due to periodontal disease or agenesis, displacement of teeth in the same direction, asymmetrical anatomy). This is a single-use device.</t>
  </si>
  <si>
    <t>Surgical traction skull tongs</t>
  </si>
  <si>
    <t>An instrument used during orthopaedic surgery to perform traction on the cervical spine by applying an upward force to the skull that causes hyperextension of the head and neck. It is typically a two-arm pivoted instrument that is attached to the skull using pins (either partially implanted or not); the proximal end includes a mechanism (e.g., an adjustable threaded bolt and nut) responsible for the application of the traction force. This device is typically used during procedures to treat a fractured spine. This is a single-use device.</t>
  </si>
  <si>
    <t>Surgical instrument guard, single-use</t>
  </si>
  <si>
    <t>A sterile device designed to be applied to a variety of surgical or invasive instruments to protect the instrument and/or its operator and/or the patient from injury, distortion, or damage during an invasive diagnostic or interventional procedure. It is typically made of stainless steel or plastic materials. This is a single-use device.</t>
  </si>
  <si>
    <t>Oscillating surgical saw blade, single-use</t>
  </si>
  <si>
    <t>A sterile, flat surgical cutting instrument, usually made of high-grade stainless steel, with a serrated edge and designed for attachment to a dedicated powered saw used for cutting bone/tissue during orthopaedic or oral surgery. This device is designed with cutting teeth arranged in an arc or on a flat plane at its distal end; the teeth are at a 90° angle to its shaft. It cuts when it is moved in a rapid oscillating motion. This device enables side-cutting action to be performed within a restricted-access area. This is a single-use device.</t>
  </si>
  <si>
    <t>Bone marrow biopsy needle, single-use</t>
  </si>
  <si>
    <t>A sterile, sharp bevel-edged, hollow tubular metal instrument designed to obtain a specimen of bone marrow percutaneously. The device is typically available in a variety of large bores, and is sufficiently robust to penetrate bone (usually the hip bone or posterior iliac crest) with the force of pressure and twisting manually applied to its proximal handgrip. The resultant specimen is typically used for the pathological analysis of the source of blood cellular elements. This is a single-use device.</t>
  </si>
  <si>
    <t>Bone graft delivery kit</t>
  </si>
  <si>
    <t>A collection of sterile devices intended to be used to prepare and/or deliver bone graft material during an orthopaedic surgical procedure. It typically includes aspirating/delivery/mixing syringe(s), an adaptor, and a needle/cannula. It allows for the aspiration and/or premixing of bone marrow, autologous blood, plasma, intravenous fluids (IVF), and bone void filler (e.g., allograft, autograft, synthetic bone graft material), and their delivery to the surgical site. This is a single-use device.</t>
  </si>
  <si>
    <t>Orthopaedic cement, medicated</t>
  </si>
  <si>
    <t>A substance designed to be used in arthroplastic and/or osteosynthetic procedures for the fixation of polymer or metallic prosthetic implants to the living bone and/or to fill voids in the case of bone pathologies, and to treat infected joint prostheses or osteomyelitis; it may also be used prophylactically in primary or uninfected revision total joint arthroplasty. It is typically made from methylmethacrylate, polymethylmethacrylate (PMMA), esters of methacrylic acid or copolymers containing polymethylmethacrylate and polystyrene, and contains an antimicrobial agent. After application, this device cannot be reused.</t>
  </si>
  <si>
    <t>Orthopaedic cement compressor</t>
  </si>
  <si>
    <t>A device used to apply pressure to orthopaedic bone cement during a total hip arthroplasty (THA) procedure (within the acetabulum and/or femur) in order to optimise inner bone (cancellous) cement interdigitation to improve fixation of the implant. The device is typically made of a compressible silicone rubber which conforms to the shape of the cut bone to enable formation of a good seal. Cement may be injected through the device into the bone cavity using an appropriate syringe; pressure may be applied to the device with a firm handle (e.g., stainless steel), or a backplate. This is a single-use device.</t>
  </si>
  <si>
    <t>Orthopaedic cement preparation/delivery kit</t>
  </si>
  <si>
    <t>A collection of sterile surgical instruments, tools, and materials designed to prepare and apply bone cement during an orthopaedic surgical procedure (e.g., hip replacement, arthroplasty, or vertebroplasty). It typically includes items such as forceps, a mallet, cement delivery injectors, delivery tubes, and mixing devices; it may or may not include bone cement. This is a single-use device.</t>
  </si>
  <si>
    <t>Self-retaining surgical retractor, reusable</t>
  </si>
  <si>
    <t>A hand-operated, self-locking, surgical instrument used to temporarily part tissue (e.g., hold the edges of a wound open), or other anatomical structures, to expose internal tissues or organs for access during surgery. The device may resemble a pair of scissors with wide-angle blades in a variety of forms (e.g., blunt, sharp, fenestrated, solid, deep) and has various general surgical applications. It is made of high-grade stainless steel. This is a reusable device.</t>
  </si>
  <si>
    <t>Self-retaining surgical retraction system</t>
  </si>
  <si>
    <t>A frame-like assembly of surgical instruments/devices used to create a self-locking, self-retaining, mechanism to temporarily part tissue (e.g., hold the edges of an incision open) to expose internal tissues or organs for access during surgery (e.g., cholecystectomy, retroperitoneal resections, nephrectomy, hysterectomy, appendectomy, hernia repair and transplant procedures). It is typically anchored to the operating table side rail and includes horizontal bars, a retaining ring(s), ratchet mechanisms, fibreoptic lights, attachment devices, and a variety of retractor blades. It is typically made of high-grade stainless steel and synthetic materials. This is a reusable device.</t>
  </si>
  <si>
    <t>Orthopaedic reamer handle</t>
  </si>
  <si>
    <t>A hand-held surgical device that is attached to the proximal end of an orthopaedic reamer shaft to allow the operator to manually rotate the cutting device. It typically has a T-shaped design and is made of a high-grade stainless steel alloy; it is available in a variety of sizes. This is a reusable device.</t>
  </si>
  <si>
    <t>Internal orthopaedic fixation system, plate/screw, bioabsorbable</t>
  </si>
  <si>
    <t>An assembly of implantable devices designed for the stabilization of fractured/surgically-cut bones of the limbs (long bones), their appendages (hands, feet), craniomaxillofacial bones, and/or for limb-joint fusion. It typically consists of a set of bone fixation plates, screws, wires, and pins made of a material that can be chemically degraded and typically absorbed via natural body processes (e.g., degradable polymers). It may also include instruments for the attachment of the implants such as screwdrivers or drills.</t>
  </si>
  <si>
    <t>Manual surgical saw, flexible</t>
  </si>
  <si>
    <t>A hand-held manual surgical instrument typically used in orthopaedic or neurological surgery for cutting bone through a sawing action performed by the operator. It typically consists of an exchangeable, flexible, wire-like blade with a handle at each end of the blade. The handles can be easily unhooked to permit entry of the blade into a narrow opening, e.g., holes drilled in the top of the skull through which the flexible blade is fed for sawing of the skull prior to removal of the top section. This device is commonly known as a Gigli saw. This is a reusable device.</t>
  </si>
  <si>
    <t>Oscillating surgical saw blade, reusable</t>
  </si>
  <si>
    <t>A flat surgical cutting instrument, usually made of high-grade stainless steel, with a serrated edge and designed for attachment to a dedicated powered saw used for cutting bone/tissue during orthopaedic or oral surgery. This device is designed with cutting teeth arranged in an arc or on a flat plane at its distal end; the teeth are at a 90° angle to its shaft. It cuts when it is moved in a rapid oscillating motion. This device enables side-cutting action to be performed within a restricted-access area. This is a reusable device.</t>
  </si>
  <si>
    <t>Craniofacial bone wire/bar</t>
  </si>
  <si>
    <t>A length of metal (e.g., stainless steel) intended to stabilize bony fragments (fractured bone) in the oral cavity and/or stabilize injured teeth. Stabilization occurs by direct application of the device to the bone/teeth (e.g., by wrapping the ligature around fractured bone segments and locking the ends together). The device may be used for intermaxillary fixation, maxillomandibular fixation, or other forms of jaw immobilization. This is a single-use device.</t>
  </si>
  <si>
    <t>Orthopaedic instrument cleaning tool</t>
  </si>
  <si>
    <t>A hand-held manual device designed to clean the residual tissue or debris that remains embedded on or in an orthopaedic surgical instrument (e.g., reamers, bone taps) following use. The device can be in the form of wire or a strip of metal. This is a reusable device.</t>
  </si>
  <si>
    <t>Internal spinal fixation system cable tensioner</t>
  </si>
  <si>
    <t>A manual, hand-held surgical instrument used during orthopaedic surgery to apply an appropriate tension to a cable that is being implanted as part of a system to provide corrective surgery for the spine. The device is typically made of high-grade stainless steel, and is designed with a low intrusion profile to minimize the surgical exposure required for tightening the cables in situ. It will also be equipped with a means for accurate and reproducible tensioning of the cable(s). This is a reusable device.</t>
  </si>
  <si>
    <t>Electrosurgical system</t>
  </si>
  <si>
    <t>An assembly of devices intended to generate, and apply radio-frequency (RF) alternating current to soft tissues for cutting and coagulation during an endoscopic or open surgical procedure; it is not dedicated to focal ablation of specific tissues (i.e., not a radio-frequency ablation system). The assembly includes a mains electricity-powered (AC-powered) RF generator with monitoring functions/controls, connection cables, a handpiece, and electrodes to apply the energy to the surgical site. Tissue resistance to the electrical current creates the heat as the current travels through the body between electrodes; it is not intended for argon-enhanced electrosurgery.</t>
  </si>
  <si>
    <t>Trial joint prosthesis set</t>
  </si>
  <si>
    <t>A collection of copies of prostheses to be implanted, comprised of sets of facsimiles matching the final components (e.g., acetabular and femoral components of a hip prosthesis) used to validate the proper size of the permanent prosthesis required by the patient, to determine its appropriate position, and/or to verify that the implant site has been cut to the proper dimensions. This set of trial devices, typically containing the full range of possible implant sizes, is used in orthopaedic joint replacement and is specific to the joint being replaced (e.g., hip, knee, shoulder, ankle, elbow). Each facsimile is made of metal and/or plastic. This is a reusable device.</t>
  </si>
  <si>
    <t>Joint prosthesis implantation kit, reusable</t>
  </si>
  <si>
    <t>A collection of surgical instruments used for cutting and forming bone to allow the implantation of a joint prosthesis. The instruments include various metallic and/or plastic reusable devices (e.g., retractors, rods, clamps, drills, pins, saws, guides, cutting blocks) that are specific to the joint of application (e.g., hip, knee, shoulder, ankle, or elbow); the implant(s) is not included. This is a reusable device.</t>
  </si>
  <si>
    <t>Multi-purpose surgical power tool system, rechargeable battery-powered</t>
  </si>
  <si>
    <t>An assembly of devices designed to resect bones and tough tissues (e.g., cartilage, ligaments) during a surgical procedure; it is not dedicated to a specific clinical application. It includes a rechargeable battery pack/control unit which supplies low-voltage electricity, motors/handpieces/power tool attachments, and a variety of tools (e.g., drills, burs, saws, screwdriver bits, and guide wires); it is not intended to be connected to mains power.</t>
  </si>
  <si>
    <t>Surgical drill chuck key</t>
  </si>
  <si>
    <t>A hand-held device used to close and tighten the adjustable jaws of a surgical drill chuck onto a cutting tool, normally a drill or other rotational cutting tool, for a firm grip. It is inserted into any one of three side holes that are spaced around the inner barrel of the chuck, and will engage the geared portion of the outer barrel. When rotated, the key will turn the outer barrel, which in turn closes and locks the jaws of the chuck upon the cutting tool. To loosen, the reverse action is taken. It is typically made of high-grade stainless steel to resist the corrosive effects of sterilization processes. This is a reusable device.</t>
  </si>
  <si>
    <t>Surgical flat-nosed pliers</t>
  </si>
  <si>
    <t>A heavy-duty, surgical instrument with specially designed sturdy handles and gripping jaws (typically parallel) used to grip and hold an object during a surgical intervention. It has a scissors-like design with curved handles and is made of high-grade stainless steel. It is available in various sizes and the jaws (typically broad with serrations) at the working end are activated through a single pivot or a double ratio-lever exchange pivot to provide greater gripping force. This is a reusable device.</t>
  </si>
  <si>
    <t>Multi-purpose surgical power tool system, line-powered</t>
  </si>
  <si>
    <t>An assembly of devices designed to resect bones, tough tissues (e.g., cartilage, ligaments), and soft tissues during a surgical procedure; it is not dedicated to a specific clinical application. It includes a mains electricity (AC-powered) control unit which supplies low-voltage electricity, motors/handpieces/power tool attachments, and a variety of tools (e.g., drills, saws, burs, milling cutters, shavers, screwdriver bits, guide wires).</t>
  </si>
  <si>
    <t>Drilling power tool attachment, basic</t>
  </si>
  <si>
    <t>A device intended to connect to a surgical power tool system motor [it is locked and held in a collet or quick coupling and not simply gripped in a drill chuck (Jacobs chuck)] to convert the non-dedicated mechanical energy provided by the motor to a dedicated mechanical motion to perform a drilling function when an appropriate drill bit is inserted. It may include integral design features, e.g., have an angled head, be cannulated, have an attached Jacobs chuck, or have an extended body length to better suit a particular activity. It is typically made of high-grade stainless steel and synthetic materials. The device may be of the micro or macro design. This is a reusable device.</t>
  </si>
  <si>
    <t>Temporal bone holder</t>
  </si>
  <si>
    <t>A surgical device used to hold a piece of bone in a clamped position outside of the surgical field while the surgeon and/or other helping assistants work on it. It is typically used to reshape bone or for creating grafting material. This device will typically have a sturdy foot, a clamp to hold the bone, and an integral dish-like bowl to catch the bone fragments/cuttings. This is a reusable device.</t>
  </si>
  <si>
    <t>Sawing power tool attachment, oscillating</t>
  </si>
  <si>
    <t>A device intended to connect to a surgical power tool system motor [it is locked and held in a collet or quick coupling and not simply gripped in a drill chuck (Jacobs chuck)] to convert the non-dedicated mechanical energy provided by the motor to a dedicated mechanical motion to perform an oscillating sawing function when an oscillating saw blade is inserted. This attachment is designed with the cutting teeth arranged in an arc or on a flat plane at its distal end; the teeth are at a 90° angle to its shaft and it cuts when it is moved in a rapid oscillating motion. It is typically made of high-grade stainless steel and synthetic materials and of the macro design. This is a reusable device.</t>
  </si>
  <si>
    <t>Sawing power tool attachment, reciprocating</t>
  </si>
  <si>
    <t>A device intended to connect to a surgical power tool system motor [it is locked and held in a collet or quick coupling and not simply gripped in a drill chuck (Jacobs chuck)] to convert the non-dedicated mechanical energy provided by the motor to a dedicated mechanical motion to perform a reciprocating sawing function when a reciprocating saw blade is inserted. This attachment is designed with the cutting teeth arranged in a straight line along the cutting edge and which cuts when the blade is powered in a rapid reciprocating movement (a back and forth motion like a jigsaw) against the object to be cut. It is typically of the macro design. This is a reusable device.</t>
  </si>
  <si>
    <t>Sawing power tool attachment, sagittal</t>
  </si>
  <si>
    <t>A device intended to connect to a surgical power tool system motor [it is locked and held in a collet or quick coupling and not simply gripped in a drill chuck (Jacobs chuck)] to convert the non-dedicated mechanical energy provided by the motor to a dedicated mechanical motion to perform a sagittal sawing function when a sagittal saw blade is inserted. This attachment is designed with the cutting teeth arranged in an arc at the distal end pointing directly forward and cuts when the blade is powered in a rapid oscillating (side to side) movement. It is typically made of high-grade stainless steel and synthetic materials and is typically of the macro design. This is a reusable device.</t>
  </si>
  <si>
    <t>Screwing power tool attachment</t>
  </si>
  <si>
    <t>A device intended to connect to a surgical power tool system motor [it is locked and held in a collet or quick coupling and not simply gripped in a drill chuck (Jacobs chuck)] to convert the non-dedicated mechanical energy provided by the motor to a dedicated mechanical motion to perform a powered screw insertion function when an appropriate screwdriver bit is inserted. It may include integral design features, e.g., have an angled head or have an extended body length to better suit a particular activity. It is typically made of high-grade stainless steel and synthetic materials. The device may be of the micro or macro design. This is a reusable device.</t>
  </si>
  <si>
    <t>Wire-driving power tool attachment</t>
  </si>
  <si>
    <t>A device intended to connect to a surgical power tool system motor [it is locked and held in a collet or quick coupling and not simply gripped in a drill chuck (Jacobs chuck)] to convert the non-dedicated mechanical energy provided by the motor to a dedicated mechanical motion to perform a wire driving/insertion function when an appropriate orthopaedic wire is inserted, e.g., Kirschner wires or K-Wires (thin pins that are pointed for self-drilling). It may include integral design features, e.g., have an angled head or have an extended body length to better suit a particular activity. The device may be of the micro or macro design. This is a reusable device.</t>
  </si>
  <si>
    <t>Bone-screw internal spinal fixation system</t>
  </si>
  <si>
    <t>An assembly of implantable devices intended to provide immobilization and stabilization of spinal segments in the treatment of various spinal instabilities or deformities, also used as an adjunct to spinal fusion [e.g., for degenerative disc disease (DDD)]. Otherwise known as a pedicle screw instrumentation system, it typically consists of a combination of anchors (e.g., bolts, hooks, pedicle screws or other types), interconnection mechanisms (incorporating nuts, screws, sleeves, or bolts), longitudinal members (e.g., plates, rods, plate/rod combinations), and/or transverse connectors. Disposable devices associated with implantation may be included.</t>
  </si>
  <si>
    <t>Limb cover</t>
  </si>
  <si>
    <t>A device made of fabric or harder materials designed to protect or aid in the use of a cast, orthosis, or prosthesis by being placed over the limb as a cover. This is a reusable device.</t>
  </si>
  <si>
    <t>Trephining power tool attachment</t>
  </si>
  <si>
    <t>A device intended to connect to a surgical power tool system motor [it is locked and held in a collet or quick coupling and not simply gripped in a drill chuck (Jacobs chuck)] to convert the non-dedicated mechanical energy provided by the motor to a dedicated mechanical motion to function as a craniotome when an appropriate cutter is inserted. It is inserted through a pre-drilled bur hole or perforator hole and is used to cut a flap in the bone of the skull vault (calvarium). It includes a small shielding tip at the distal end to prevent the end of the cutter penetrating the dura mater membrane. This is a reusable device.</t>
  </si>
  <si>
    <t>Drilling power tool attachment, oscillating</t>
  </si>
  <si>
    <t>A device intended to connect to a surgical power tool system motor [it is locked and held in a collet or quick coupling and not simply gripped in a drill chuck (Jacobs chuck)] to convert the non-dedicated mechanical energy provided by the motor to a dedicated mechanical motion to perform a drilling function when an appropriate drill bit is inserted. The oscillating drilling movement prevents tissues and nerves from being wrapped around the drill bit during bone surgery. It may include integral design features, e.g., have an angled head or have an extended body length. The device may be of the micro or macro design. This is a reusable device.</t>
  </si>
  <si>
    <t>Surgical power tool system control unit, line-powered</t>
  </si>
  <si>
    <t>A mains electricity (AC-powered) component of a line-powered surgical/dental power tool system intended to step down the electrical power from the mains to supply the handpiece/motor (not included), and may also be intended to regulate some of the functions of the connected power tools (e.g., speed and torque); it may be intended for single or multiple clinical applications (i.e., dedicated or non-dedicated). This device may have integrated irrigation functionality and may be operated through hand and/or foot controls.</t>
  </si>
  <si>
    <t>General-purpose surgical scissors, reusable</t>
  </si>
  <si>
    <t>A hand-held manual surgical instrument designed cut a variety of tissues during surgery (i.e., is not dedicated to a specific anatomy/clinical intended use); it may in addition be intended for cutting sutures or other materials associated with surgery. It is comprised of two pivoted shearing blades with handles, whereby the blades cut as the sharpened edges pass one another as they are closed. It is typically made of high-grade stainless steel and is available in various designs and sizes; the blades may have different shapes. Some types can have carbide inserts along the cutting edges. This is a reusable device intended to be sterilized prior to use.</t>
  </si>
  <si>
    <t>Radiation shielding blanket</t>
  </si>
  <si>
    <t>A personal protective device intended to shield the selected body parts of a patient, or others from unnecessary exposure to radiation during diagnostic or therapeutic medical or dental procedures. Radiation protection blankets used in diagnostic x-ray and nuclear medicine typically consist of a fluid resistant outer covering that surrounds a thin sheet of lead (Pb) or lead-equivalent material. Blankets intended to attenuate neutrons are composed of hydrogenous materials instead of lead. Blankets used in mixed beta-gamma radiation field may have layers of both hydrogenous and lead-equivalent materials.</t>
  </si>
  <si>
    <t>Metallic spinal fusion cage, sterile</t>
  </si>
  <si>
    <t>A sterile device intended to help fuse segments of the spine to treat anatomical abnormalities of the vertebrae, typically due to degenerative intervertebral disks [i.e., degenerative disc disease (DDD)]. The device is typically designed as a small, hollow and/or porous, threaded or fenestrated cylinder (or other geometric form) made of metal [usually titanium (Ti)] that is implanted between the bones or bone grafts of the spine, to provide mechanical stability and sufficient space for therapeutic spinal bone fusion to occur. Disposable devices associated with implantation may be included.</t>
  </si>
  <si>
    <t>Polymer orthopaedic cement restrictor, bioabsorbable</t>
  </si>
  <si>
    <t>A sterile, implantable device that is chemically degraded and absorbed via natural body processes designed to be inserted into the medullary canal of a bone (e.g., femur, tibia, or humerus) during orthopaedic surgery to prevent cement progression in the diaphysis and therefore facilitate cement pressurization during the introduction of an implant. It is made of bioabsorbable synthetic polymer materials and is available in a variety of designs, e.g., straight or tapered, hollow with a fenestrated surface, and it may have a toothed surface to prevent its migration from the desired location. It may incorporate a metal orientation marker for radiographs and is not intended for spinal indication.</t>
  </si>
  <si>
    <t>Surgical power tool system handpiece, rotary, pneumatic</t>
  </si>
  <si>
    <t>A hand-held, pneumatically-powered device intended to provide rotation for a rotary endpiece instrument during surgical procedures performed on bones and tough tissues (e.g., cartilage, ligaments). It typically has the capacity to be used with a variety of rotary instruments (e.g., drills, reamers, cutters) and is not dedicated to a specific clinical procedure. It includes a built-in motor and an attachment for direct connection of an endpiece(s) [which is not included]. The device may be cannulated to enable use of a guidewire and may be of the micro or macro design. This is a reusable device.</t>
  </si>
  <si>
    <t>Pneumatic surgical power tool system hose</t>
  </si>
  <si>
    <t>A single or double lumen (coaxial) tube in a straight or spiral design used to conduct compressed surgical-grade air or nitrogen (N2) gas from a gas source, usually the central medical gas supply system, to a surgical drilling system or sawing system handpiece or motor to supply it with power. The device is usually from 2 to 5 meters in length. The coaxial types have a double tube (inner and outer tubing) to facilitate the removal of the exhaust gases. This is a reusable device.</t>
  </si>
  <si>
    <t>Surgical power tool system handpiece, rotary, rechargeable battery-powered</t>
  </si>
  <si>
    <t>A hand-held device intended to provide rotation for a rotary endpiece instrument during surgical procedures performed on bones and tough tissues (e.g., cartilage, ligaments). It typically has the capacity to be used with a variety of rotary instruments (e.g., drills, reamers, cutters) and is not dedicated to a specific clinical procedure. It includes a built-in motor and an attachment for direct connection of an endpiece(s) [which is not included]. It is powered by an attached rechargeable battery pack to directly provide low-voltage electricity to the motor of the handpiece. The device may be cannulated to allow the use of a guidewire. This is a reusable device.</t>
  </si>
  <si>
    <t>Instrument cleaning jet pistol</t>
  </si>
  <si>
    <t>A hand-operated device designed to regulate and direct a narrow stream (a jet) of water and/or air to a designated target, typically soiled instruments after surgery for the removal of gross blood, tissue, and surgical matter. It is usually in the form of a gun with an activation trigger and may be fitted with different nozzles or a variable nozzle. It is typically connected via tubing to a tap (faucet) and/or a pressurized air source and is used for the initial cleaning of laboratory glassware, pipettes, syringes, certain endoscopes, cannulae, surgical instruments and other devices prior to disinfection/sterilization. This is a reusable device.</t>
  </si>
  <si>
    <t>Laparoscopic sleeve dilator</t>
  </si>
  <si>
    <t>A hollow dilator with a tapered distal end intended to enable the gentle insertion of a larger laparoscopic sleeve, necessary when significantly increasing the working access port's lumen, e.g., from 10 to 20 mm diameter. It is commonly used in minimally-invasive laparoscopic procedures. The dilator is entered over a guide rod, forcing a larger opening as the skin is pressed aside, thereby reducing the possible degree of damage. This is a reusable device.</t>
  </si>
  <si>
    <t>Light source adaptor</t>
  </si>
  <si>
    <t>A small connecting device designed to permit the connection of the devices that together deliver light to a work field from a light source. This device is used to connect together products of dissimilar manufacture and dimensions, e.g., a fibreoptic light cable of one manufacture to the light source of another. It may also be used at the instrument end. This is a reusable device.</t>
  </si>
  <si>
    <t>Rechargeable battery pack</t>
  </si>
  <si>
    <t>A group of rechargeable batteries held within a holder or container intended to provide temporary electrical energy to operate a medical device, typically when it is not possible, intentional, or convenient to connect the device being powered to a mains electricity (AC-powered) electrical outlet. It is typically used during a transport situation (e.g., a neonatal incubator), or when the device is designed to power a cordless devices (e.g., an endoscopic device or a rechargeable battery-powered surgical drilling system handpiece). This is a reusable device.</t>
  </si>
  <si>
    <t>Ventricular cerebrospinal fluid drainage kit</t>
  </si>
  <si>
    <t>A collection of sterile devices that includes an externally-placed tube intended to be attached to an intracerebral catheter to enable drainage and measurement of cerebrospinal fluid (CSF), and other fluids of similar physical character, as a means of reducing/maintaining intracranial pressure (ICP) and CSF volume. The kit enables removal of CSF from a brain ventricle. It typically consists of a combination of tubes, an attached exchange bag, and a drip chamber connected to an intracerebral catheter. This is a single-use device.</t>
  </si>
  <si>
    <t>Suturing guide</t>
  </si>
  <si>
    <t>A surgical device that is placed over an open wound to the aid the surgeon in placing the sutures so that, when pulled tight, the sutures will meet. It is typically made of metal or plastic material. This is a single-use device.</t>
  </si>
  <si>
    <t>Self-retaining surgical retraction system ring</t>
  </si>
  <si>
    <t>A frame-like mechanism (e.g., a large ring) designed to be placed around the incision site and to which surgical retractors are mounted and locked into position to temporarily part tissue (e.g., hold the edges of an incision open) to expose internal tissues or organs for access during surgery (e.g., cholecystectomy, retroperitoneal resections, nephrectomy, hysterectomy, appendectomy, hernia repair, mastectomy, foot and hand, and vascular). The retractors may be blunt or hook-like, sometimes with multiple hooks. It is typically made of high-grade stainless steel and synthetic materials. This is a reusable device.</t>
  </si>
  <si>
    <t>Intervertebral disc rongeur</t>
  </si>
  <si>
    <t>A surgical instrument designed for introduction between the bodies of vertebrae for the removal of the broad and flattened disc of fibrocartilage through a cutting/biting action. It is typically made of high-grade stainless steel and constructed as a long instrument with one sliding and one stationary rod, each having a sharp-edged, scoop-shaped, jaw at the distal end which is activated through two pivoted handles that, when squeezed together, close the jaws to bite (cut) through tissue. It is designed to withstand the forces which are applied in order to bite over such tough tissue whilst having a thin enough profile to enable entry into this narrow space. This is a reusable device.</t>
  </si>
  <si>
    <t>Fibreoptic light cable</t>
  </si>
  <si>
    <t>A flexible fibreoptic cable that is designed to transport cold light from a light source to an instrument or other equipment, e.g., an endoscope or a headlight. The fibreoptic bundle is protected within a sheath and can be made of either glass or plastic fibres. Each end of the cable is encased in a metal connector that fits into the respective instruments/equipment and also protects the end of the fibreoptic bundle. This is a reusable device.</t>
  </si>
  <si>
    <t>Manual wire driver</t>
  </si>
  <si>
    <t>A hand-held manual surgical instrument (drill-like) designed to drive orthopaedic bone wires, e.g., Steinmann pins, Kirschner wires or K-Wires (thin needle-like pins of different thickness that are pointed for self-drilling) into fractured/deformed bones for their restoration. This is a reusable device.</t>
  </si>
  <si>
    <t>Tendon stripper</t>
  </si>
  <si>
    <t>A hand-held manual surgical instrument designed to excise a length of ligament, tendon or fascia for use as a living graft. It typically consists of a handle and a semicircular shaped trough that terminates in a sharp cutting edge. It is typically made of high-grade stainless steel. This is a reusable device.</t>
  </si>
  <si>
    <t>Bone punch, reusable</t>
  </si>
  <si>
    <t>A hand-held manual surgical instrument with a cutting/biting action used to cut small cross-sectional pieces of bone typically for biopsy or fixation procedures during a surgical intervention. It is typically designed with a long, thin, two-part sliding shaft (the upper part sliding along the lower part) which is joined to sprung (self-opening), pivoted, pistol grip handles. The working end terminates with a sharp, angled, cutting jaw that closes over an endpiece when the handles are squeezed together cutting through the bone. It is available in various sizes and designs (e.g., it can have upward or downward located jaws) and is made of high-grade stainless steel. This is a reusable device.</t>
  </si>
  <si>
    <t>Orthopaedic cement, non-medicated</t>
  </si>
  <si>
    <t>A substance designed to be used in arthroplastic and/or osteosynthetic procedures for the fixation of polymer or metallic implants to the living bone. It may also be intended for use as a filler in the case of bone pathologies (e.g., to stabilize and reinforce vertebral body structures in vertebroplasty and kyphoplasty). It is typically made from methylmethacrylate, polymethylmethacrylate (PMMA), esters of methacrylic acid or copolymers containing polymethylmethacrylate and polystyrene. This device does not contain an antimicrobial agent. After application, this device cannot be reused.</t>
  </si>
  <si>
    <t>Bone nail driver</t>
  </si>
  <si>
    <t>A hand-held manual surgical instrument designed to impart force on another instrument or directly on a bone fixation nail to insert the nail into tissue (i.e., to drive the nail into the intramedullary canal). It is typically made of high-grade stainless steel or titanium (Ti). This is a reusable device.</t>
  </si>
  <si>
    <t>Scalpel, reusable</t>
  </si>
  <si>
    <t>A hand-held manual surgical instrument constructed as a one-piece handle and scalpel blade (not an exchangeable component) used by the operator to manually cut or dissect tissue. The device is typically made of high-grade stainless steel alloy. This is a reusable device.</t>
  </si>
  <si>
    <t>Chisel/osteotome blade handle</t>
  </si>
  <si>
    <t>A hand-held manual surgical device that is an interchangeable component of a chisel or osteotome blade and that functions as a handle designed to mount a compatible blade of these types which is locked into place. Together, this device and the selected blade, become a single-bladed surgical instrument used by a physician for cutting/contouring bone. This is a reusable device.</t>
  </si>
  <si>
    <t>Surgical helmet system</t>
  </si>
  <si>
    <t>A system intended for the purpose of protecting healthcare workers and patients from cross-infection during surgery. It is typically composed of a helmet frame with a face shield, a loose fitting disposable hood or gown draped around this, inflow and exhaust fans and filters, and a power supply, e.g., a battery pack to drive the internal ventilation.</t>
  </si>
  <si>
    <t>Dissection forceps</t>
  </si>
  <si>
    <t>A sterile rod made of metal or other material (e.g., carbon fibre) designed to be inserted into the intramedullary canal of any long bone [e.g., femur, tibia, humerus (including fixation of the glenoid), talus, fibula, radius, ulna] to immobilize by holding the ends of a fractured or diseased bone together (i.e., in position) for the purpose of joint fusion or arthrodesis (an operation to permanently fix a joint in position). The device is used for traumatic repair or reconstructive procedures; it may include screws if locked into place. This is a single-use device.</t>
  </si>
  <si>
    <t>Secondary battery</t>
  </si>
  <si>
    <t>A rechargeable set of electrochemical cells, or a single cell, designed to store chemical energy and release it in the form of electrical energy to provide power for active implantable medical devices or external medical instruments, for backup power for programmable devices that must retain electronic information, or to power portable or other medical devices when it is not possible or convenient to use the line supply. The size, shape, and chemical composition of the battery should be specified according to the requirements of the appropriate IEC standard.</t>
  </si>
  <si>
    <t>Uncoated shoulder humeral stem prosthesis</t>
  </si>
  <si>
    <t>A sterile implantable device designed to provide fixation within the proximal humerus and a site of attachment for a humeral head or humeral body prosthesis as part of a shoulder joint replacement. The device is made of metal [e.g., titanium (Ti), cobalt-chrome (Co-Cr), stainless steel] and is not coated with a material intended to improve fixation and stability by promoting bone ingrowth. Fixation devices for implantation (e.g., screws) may be included and implantation is intended to be performed with bone cement.</t>
  </si>
  <si>
    <t>Uncoated hip femur prosthesis, one-piece</t>
  </si>
  <si>
    <t>A sterile implantable principal component of a total hip prosthesis (femoral component) designed to replace the femoral head and neck; the device is one-piece and is not coated with materials intended to improve fixation and stability. The device may be made of metal and/or ceramic materials. Fixation devices for implantation (e.g., screws and bolts) may be included and implantation is intended to be performed with bone cement.</t>
  </si>
  <si>
    <t>Bone approximation clamp</t>
  </si>
  <si>
    <t>A hand-held manual surgical instrument designed to grip and hold a bone or, being used in pairs one on either side of the fracture, to approximate the proximal and distal segment of a fractured bone during orthopaedic surgery. It is typically made of high-grade stainless steel and is designed with a double hooked, blade-like jaw at the distal end (this hooks over the upper edge of the bone) whilst an adjustable single hook is tightened against the lower edge of the bone through a screw mechanism. A traction bar may be employed to bridge the two bone clamps and using its screw mechanism, the fracture is drawn together. This is a reusable device.</t>
  </si>
  <si>
    <t>Orthopaedic cerclage applier</t>
  </si>
  <si>
    <t>A hand-held manual surgical instrument designed to position and secure or bind an orthopaedic cerclage loop, clamp, or wire. This is a reusable device.</t>
  </si>
  <si>
    <t>N/A</t>
  </si>
  <si>
    <t>Arthrodesis nail, sterile</t>
  </si>
  <si>
    <t>Vascular graft sizer</t>
  </si>
  <si>
    <t>A sterile surgical instrument used in vascular surgery that allows measurement of the patient's diseased or damaged blood vessel diameter just prior to surgery, for the selection of an appropriately sized vascular graft replacement. The device typically consists of a holder with detachable gauges for the evaluation of a range of vessel diameters. This is a single-use device.</t>
  </si>
  <si>
    <t>Surgical power tool hand-switch</t>
  </si>
  <si>
    <t>A handle-like device that is attached (clips or is slid onto the cylindrical barrel) to an electrically- or pneumatically-powered surgical power tool handpiece or motor of the micro types (a drill or a saw) so that the two devices interact to function as a switch used by the operating surgeon to hand activate (start and stop) the handpiece/motor. It is typically made of metal and/or synthetic materials and will typically include a sliding lock that, when brought into use by the surgeon, will lock the handle in the "On" position. This is a reusable device.</t>
  </si>
  <si>
    <t>Surgical drilling suction device</t>
  </si>
  <si>
    <t>A hand-held surgical tubular device designed to provide irrigation fluid and suction whilst simultaneously assisting with guidance of a rotating drill (e.g., a surgical twist drill or crown drill) during an orthopaedic drilling procedure on hard tissue (usually bone) and/or a metal implant (e.g., an orthopaedic bone screw). It is connected to an irrigation/suction system(s) via its dual bore construction, one bore to deliver the irrigation fluid and the second for aspiration of fluid and debris; the irrigation fluid also acts as a coolant to avoid overheating the site. It is made of a high-grade stainless steel, typically with exchangeable drill guides. This is a reusable device.</t>
  </si>
  <si>
    <t>Orthopaedic implant/instrument dismantling device</t>
  </si>
  <si>
    <t>A device designed to dismantle (take apart) the component parts of an implant or a surgical instrument that have previously been assembled. It may be used as a stand-alone device or in combination with another device to control the dismantling process of, e.g., complex implants (e.g., a modular vertebral implant that has to be dismantled if the combination of the component parts do not fit the required size) or instruments so that these are correctly disassembled, without causing damage to any of the parts. It is typically made from high-grade stainless steel and/or synthetic material and is available in a variety of shapes and lengths. This is a reusable device.</t>
  </si>
  <si>
    <t>Surgical power tool battery-exchange sterility cover</t>
  </si>
  <si>
    <t>A cover that functions as a physical barrier between a battery and the sterile battery-powered surgical power tool (e.g., a drill or saw) in which the non-sterile battery is being placed/exchanged prior to or during a surgical procedure. It is typically made from high-grade stainless steel and/or synthetic material and is designed as a flange that fits into/around the slot where the battery is housed (typically in the handle of the power tool). This ensures that no contact is made between the sterile power tool and the person holding it inside the sterile operation field and the non-sterile battery and person loading the battery from outside the sterile field. This is a reusable device.</t>
  </si>
  <si>
    <t>Bone graft funnel</t>
  </si>
  <si>
    <t>A device designed to deliver bone graft filling material (autologous, allogeneic, xenogeneic, or synthetic) during an orthopaedic procedure to enable the filling of bone gaps intended to be fused. It is a funnel-shaped device; the funnel being bowl-shaped with the ability to hold back the filling material depending upon the angle of tilt applied by the surgeon, and a long, thin tube that can be inserted into the site to be filled, e.g., a cancellous bone graft being discharged into the posterior disc space of a vertebra. An orthopaedic graft inserter can be pushed down the funnel tube to press the graft material into the site. This is a reusable device.</t>
  </si>
  <si>
    <t>Pelvic C-clamp</t>
  </si>
  <si>
    <t>A manual surgical instrument designed as an emergency stabilization device for unstable injuries and fractures of the pelvic ring; these conditions can be associated with massive blood loss and terminal shock. It is mechanically fixed to either side of the pelvis by means of thick nails permitting quick and efficient compression and stabilization of pelvic fractures and luxations providing time for haemorrhage and embolization control. It is typically designed as a C-shaped frame with a rail, twin adjustable arms, adjusting side screws, and nails made of high-grade stainless steel and/or synthetic material. It is compatible for use in computed tomography (CT). This is a reusable device.</t>
  </si>
  <si>
    <t>Orthopaedic ball spike</t>
  </si>
  <si>
    <t>A hand-held manual surgical instrument used in the surgical wound to reposition a bone fragment during a surgical intervention. It is typically a robust instrument designed with a handle at the proximal end and a long, sturdy, shaft that terminates in a singularly pointed ball head at the distal end. It is typically made of high-grade stainless steel and/or synthetic material and is used by the surgeon to reposition and hold bone fragments. This is a reusable device.</t>
  </si>
  <si>
    <t>Surgical power tool irrigation-control device</t>
  </si>
  <si>
    <t>A device designed to be activated by the surgeon to regulate the flow of irrigation fluid (normally sterile saline) to the surgical site where a rotational high-speed cutting tool [e.g., 40.000 - 90.000 revolutions per minute (rpm)] is being applied to bone; primarily to provide the fluid as a coolant to the cutting tool (e.g., a bur or drill) and the site to avoid necrosis. It typically consists of tubing, connectors, and a simple electrically or pneumatically activated valve in which the coolant tubing is placed and which is pinched to regulate the fluid flow. It is typically made of metal and/or synthetic materials. This is a reusable device.</t>
  </si>
  <si>
    <t>Orthopaedic implant calibration pin</t>
  </si>
  <si>
    <t>A cylindrical rod used preoperatively as a precision guide to align an orthopaedic implant aiming arm with, e.g., an intramedullary bone nail (femoral, humeral, and tibial) that will be implanted. It is inserted through the guiding locking holes of the adjustable aiming arm and its profiled distal tip is engaged into the locking holes of the intramedullary nail providing a given reference point whereby the drill guides and the rest of the aiming arm can be correctly set to correspond with the holes and measurements of the implant. It is typically made of high-grade stainless steel or synthetic materials. Several calibration pins will be used for this procedure. This is a reusable device.</t>
  </si>
  <si>
    <t>Orthopaedic bone-reduction tool</t>
  </si>
  <si>
    <t>A hand-held manual surgical instrument that is fed down the intramedullary canal of a long bone (e.g., the femur) to help reposition a fracture where the two sections are out of alignment to achieve reduction for consequent reaming and nailing of the bone. It is typically a short cylindrical device with a protruding pointed tip (straight or angled) and which is secured to the distal end of a long, thin, flexible rod/shaft having a handle at the proximal end. It is pressed down the intramedullary canal to the fracture site and the surgeon manipulates the alignment, reducing the bone fragments under image-intensifier control. It is made of high-grade stainless steel. This is a reusable device.</t>
  </si>
  <si>
    <t>Temporary mandibular condyle prosthesis</t>
  </si>
  <si>
    <t>A sterile implantable device intended for the temporary reconstruction of the mandibular condyle of the temporomandibular joint (TMJ) typically in a patient undergoing ablative surgery requiring the removal of the mandibular condyle. It is typically made of metal or synthetic material and includes the condyle head with an adjustable plate for attachment to the remaining natural mandible.</t>
  </si>
  <si>
    <t>Orthodontic anchor plate</t>
  </si>
  <si>
    <t>A small metallic plate that is implanted intraorally to serve as a temporary anchor for an orthodontic device (e.g., a spring). It is available in various sizes and lengths and is anchored to the jawbone with dedicated bone screws. It is used in a variety of orthodontic treatment situations, especially when normal anatomy has been compromised (e.g., due to periodontal disease or agenesis, displacement of teeth in the same direction, asymmetrical anatomy). This is a single-use device.</t>
  </si>
  <si>
    <t>Bone grafting cannula</t>
  </si>
  <si>
    <t>A sterile rigid tube intended to be used surgically to introduce a bone void filler (e.g., a bone matrix implant/bone substitute) in voids or gaps of the skeletal system (i.e., extremities, craniofacial bone, spine, and pelvis) to fill defects in the bone structure created surgically or traumatically. It is typically made of high-grade stainless steel with a plastic hub at the distal end to connect to a syringe or other device that propels the filler. The device may also be used for the delivery of orthopaedic cement. This is a single-use device.</t>
  </si>
  <si>
    <t>Face splash shield</t>
  </si>
  <si>
    <t>A clear, transparent guard intended to provide full face cover, to protect (shield) the healthcare worker from blood and other body fluid splashes while performing a clinical or laboratory procedure. It is commonly known as a splash shield. This is a single-use device.</t>
  </si>
  <si>
    <t>Cerebrospinal fluid shunt filter</t>
  </si>
  <si>
    <t>A sterile implantable device intended to be used with a cerebrospinal fluid (CSF) shunt assembly (e.g., ventriculoperitoneal shunt, lumboperitoneal shunt) for in-line shunt placement to filter particles by size to prevent transmission of cells when draining CSF from the brain. It typically includes a cellulose membrane supported in a stainless steel mesh encased in, e.g., silicone, and has ports for connection to the shunt. It is used when neoplasms are present or suspected in patients who need treatment using a CSF shunt. It may be implanted behind the mastoid air cells to expose its content to radiation when applied.</t>
  </si>
  <si>
    <t>Cranial resinous compound</t>
  </si>
  <si>
    <t>A substance used to reconstitute cranial bone after neurosurgery (i.e., cranioplasty). It typically consists of a self-curing resin [e.g., polymethylmethacrylate (PMMA)] or a two part resinous material made of several compositions. It may be conformed as an inert implant in an appropriate shape (e.g., a plate) needed to repair the defect of the skull, either using an intraoperatively cured solid composition, or a preoperatively fabricated, porous, custom-made, implant. After application, this device cannot be reused.</t>
  </si>
  <si>
    <t>Basic crimper</t>
  </si>
  <si>
    <t>A hand-held manual device designed to compress (pinch) a non-patient-contact sealing device (e.g., a clip or crimping ring of metal applied apart from the body) to reduce its size (diameter) and create a tight seal on objects being clamped or held together. This is performed by the application of force on the grip of the crimper's handles by the operator. This is a reusable device.</t>
  </si>
  <si>
    <t>Surgical staple remover, reusable</t>
  </si>
  <si>
    <t>A surgical instrument made of metal or plastic that is used to remove surgical staples after the healing process has progressed sufficiently to permit the borders of the wound or incision to remain together without assistance. It is typically made of high-grade stainless steel with blades at the distal end designed for grasping, opening, and removing surgical staples. This is a reusable device.</t>
  </si>
  <si>
    <t>Endoscopic video image processor</t>
  </si>
  <si>
    <t>A mains electricity (AC-powered) device designed to receive the electronic signals sent from a video endoscope or endoscopic video camera for the purpose of processing them. It may have additional features which compensate for/enhance the colour and light qualities provided. The picture images are sent to and shown on a visual display unit (VDU), typically to assist the endoscope operator with an ongoing intervention and often to allow the patient visualization of the process, and also the images can be recorded on a video recorder or stored on computerized media. Hard copy pictures can also be produced through the use of other devices.</t>
  </si>
  <si>
    <t>Glove liner</t>
  </si>
  <si>
    <t>A cloth glove intended to be worn as a liner underneath rubber, plastic, or latex gloves (examination or surgical) to minimize the risk of allergic reactions, rashes, and other skin irritations, or to reduce the risk of sharps injuries. This is a single-use device.</t>
  </si>
  <si>
    <t>Wire holding/twisting pliers</t>
  </si>
  <si>
    <t>A heavy-duty manual surgical instrument with specially-designed sturdy handles and blade jaws used to grip, tighten, and/or twist wires during a surgical intervention. It has a scissors-like design with curved handles and is made of high-grade stainless steel. It is available in various sizes and the jaws (typically short and broad with serrations) at the working end are activated through a single pivot or a double ratio-lever exchange pivot to provide greater gripping force. This is a reusable device.</t>
  </si>
  <si>
    <t>Suction system canister, single-use</t>
  </si>
  <si>
    <t>A cylindrical sealable container typically made of disposable plastic materials used as a component of a suction system, or other system that utilizes suction, and which is designed for the collection of aspirated waste materials (e.g., blood, bodily fluids, rinsing fluids, laser plume evacuation gas) and/or body tissue intended for diagnostic/therapeutic purposes (e.g., histological analysis, autologous fat tissue transfer) from a site of operation. It may be used singularly or in a connected series to provide greater capacity. This is a single-use device that should be appropriately discarded with its contaminated waste content.</t>
  </si>
  <si>
    <t>Pneumatic surgical power tool system motor</t>
  </si>
  <si>
    <t>A compact engine that draws power from a pneumatic surgical power tool system control unit intended to convert pneumatic energy [e.g., from surgical-grade air or nitrogen (N2)] into a non-dedicated mechanical energy to perform a variety of surgical procedures that include drilling, sawing, and inserting involving bones and tough tissues. It may be available in two different forms: 1) a pistol-like handpiece that connects to a variety of surgical power tool attachments; or 2) a proximal attachment (e.g., micro-motor) to a variety of motorless handpieces. The device may be cannulated to permit use of a guidewire. It may be operated with a hand- or foot-switch. This is a reusable device.</t>
  </si>
  <si>
    <t>Surgical power tool maintenance unit</t>
  </si>
  <si>
    <t>A device used for the automatic internal lubrication and maintenance of surgical power tools (e.g., pneumatically or electrically driven motors, turbines, or attachments). This device will automatically run programs for the lubrication of the internal components with service oil and flushing with compressed air after external cleansing, but prior to sterilization. This process is intended to improve performance and safety of the surgical instruments. The unit is designed to accept different handpieces which are connected directly or via adaptors to the unit's processing chamber.</t>
  </si>
  <si>
    <t>Bone nail dummy</t>
  </si>
  <si>
    <t>A cylindrical rod that simulates an orthopaedic bone nail designed to be placed into the proximal end of the intramedullary canal of a long bone (e.g., through the femoral head) to act as a decisive reference point for the subsequent drilling and insertion of guide wires/bone screws to secure the fracture(s); the dummy nail is then exchanged with the implant nail. An orthopaedic implant/trial implant holder is connected to the exposed end of the dummy nail whilst in situ and it is this alignment together with a connecting screw and an aiming arm which provides the surgeon with the correct calculated positions and angles for the final placement of the bone screws. This is a reusable device.</t>
  </si>
  <si>
    <t>Orthopaedic medialization instrument</t>
  </si>
  <si>
    <t>A surgical instrument used to restore the anatomical and mechanical axes during orthopaedic correction osteotomies. It is typically designed as a robust block with a long, thin, adjusting rod running through its centre and an incremented measuring scale that enables the surgeon to gauge the adjustments made to the axes (the medialization). It is usually attached to a dedicated bone plate which is bridging the osteotomy site in order to achieve the correct offset of the two separated bone sections. It is typically made of high-grade stainless steel and can be used on adult and paediatric patients. This is a reusable device.</t>
  </si>
  <si>
    <t>Surgical power tool drive-shaft seal</t>
  </si>
  <si>
    <t>A small sterile device designed as an external seal that is placed on the drive shaft of a rotary cutting tool (e.g., an orthopaedic reamer) that is attached to and driven by a surgical power tool in order to prevent the backflow of fluid (i.e., blood and rinsing fluid) penetrating the drive mechanisms of the power tool. It is made of synthetic material (e.g., silicone) and is available in a variety of shapes and sizes. This is a single-use device.</t>
  </si>
  <si>
    <t>Orthopaedic bone-fragment manipulator, single-use, sterile</t>
  </si>
  <si>
    <t>A sterile, hand-held manual surgical instrument designed to help position a fractured fragment of bone to achieve proper alignment (reduction). It is typically a long, thin, rigid rod made of high-grade stainless steel with a self-drilling/self-tapping screw thread at the distal end and a connector at the proximal end to attach an appropriate handle. The device is usually inserted transcutaneously to the fractured section of bone (e.g., through the skin and into a craniofacial fracture) and removed after positioning and fixation of the fracture. This is a single-use device.</t>
  </si>
  <si>
    <t>Catheter introducer</t>
  </si>
  <si>
    <t>A sterile tubular plastic sheath designed to be percutaneously placed into a natural body space (e.g., vein, artery, ventricle, peritoneal cavity), or an artificial passageway (e.g., created by means of a catheter tunneller), and through which a catheter is subsequently inserted (by pushing) for placement. It typically has a handle (e.g., T-shaped wing grips) at the proximal end, and may have radiopaque graduated markings at the working end to make it visible on x-ray. This is a single-use device.</t>
  </si>
  <si>
    <t>Closed-wound/centesis drainage receptacle</t>
  </si>
  <si>
    <t>A sterile container designed to be connected to an invasive drain/drainage catheter (not included) to collect fluids or purulent material being removed during drainage of a body cavity, a closed-wound, and/or the bile duct; it is not intended for drainage of cerebrospinal fluid (CSF) or blood. It is typically in the form of a bottle, bag, or bulb with fluid volume markers, and might include a hand-operated pump (e.g., suction bulb) and tubing; it does not include any invasive components or powered devices. This is a single-use device.</t>
  </si>
  <si>
    <t>Epistaxsis balloon</t>
  </si>
  <si>
    <t>A device consisting of a hollow rubber or rubber-like structure, expandable with either liquid or air, intended to be used to control nose bleeding (epistaxis) of the anterior or posterior nasal cavity. It is applied during an ear/nose/throat (ENT) intervention and can also be used to treat glue ear in children, and/or to support the structure and patency of the nasal canal. This is a single-use device.</t>
  </si>
  <si>
    <t>Biological sterilization indicator</t>
  </si>
  <si>
    <t>A sterilization indicator consisting of a standardized, viable population of microorganisms (e.g., bacterial spores known to be resistant to the mode of sterilization being monitored) that will display a change when exposed to an effective sterilization outcome indicating that sterilization parameters have been met. This is a single-use device.</t>
  </si>
  <si>
    <t>Sterilization packaging, single-use</t>
  </si>
  <si>
    <t>A device intended to be used to enclose medical devices that are to be sterilized. It is designed to allow sterilization of the enclosed medical device and also to maintain sterility of the device until the packaging is opened for use of the device, or until a predetermined shelf date is expired. This is a single-use device.</t>
  </si>
  <si>
    <t>Surgical stainless steel suture, multifilament</t>
  </si>
  <si>
    <t>A sterile, multiple-strand (multifilament), natural, non-bioabsorbable wire made of surgical steel (iron-chromium-nickel-molybdenum alloy) intended to join (approximate) the edges of a soft-tissue wound or incision by stitching (e.g., for abdominal wound closure, intestinal anastomosis, hernia repair), or transosseous (through bone) stitching (e.g., sternal closure); it may include an attached needle intended to be disposed of after single use. It is used primarily in orthopaedic, neurosurgical, and thoracic applications and provides temporary wound support until the wound sufficiently heals to withstand normal stress; it may be retained for permanent support. This is a single-use device.</t>
  </si>
  <si>
    <t>Peripheral angioplasty balloon catheter, basic</t>
  </si>
  <si>
    <t>A sterile, non-drug-eluting, flexible tube designed for percutaneous transluminal angioplasty (PTA) to dilate a stenotic peripheral (i.e., non-cerebral, non-coronary) artery by controlled inflation of a distensible balloon(s) at its distal tip; it may also be intended for positioning and expansion of a stent/stent-graft. It is available as an over-the-wire (OTW) type with multiple lumens, or a rapid exchange (RX) type with a single lumen. Some types may include microsurgical blades (atherotomes) to score the plaque. This is a single-use device.</t>
  </si>
  <si>
    <t>Bronchial balloon catheter</t>
  </si>
  <si>
    <t>A sterile flexible tube designed with a balloon at or near the distal tip that may be introduced directly (usually under fluoroscopic guidance) or through a bronchoscope so that its distal tip reaches the bronchi, permitting the inflation of the balloon after introduction. The device is typically used to treat benign stenosis and strictures of the airway and/or to control pulmonary bleeding (i.e., hemoptysis). This is a single-use device.</t>
  </si>
  <si>
    <t>Home-use/point-of-care blood glucose monitoring system IVD</t>
  </si>
  <si>
    <t>A collection of devices including a portable, battery-powered, semi-automated or automated instrument (self-testing meter), reagents, test strips and/or other associated materials and accessories (e.g., control solutions, lancets) intended to be used together for testing, either at the point-of-care or self-testing by a layperson, for the quantitative measurement of glucose in a whole blood clinical specimen. Measured glucose values are used to manage blood glucose levels, primarily by persons with diabetes mellitus.</t>
  </si>
  <si>
    <t>General surgical procedure kit, non-medicated, single-use</t>
  </si>
  <si>
    <t>A general-purpose collection of various sterile surgical instruments, dressings, and materials intended to be used to assist a range of surgical procedures across multiple clinical specialities. It does not contain pharmaceuticals. This is a single-use device.</t>
  </si>
  <si>
    <t>Bur cleaning brush</t>
  </si>
  <si>
    <t>An instrument consisting of a handle at one end and bristles, fibres or spines, at the other intended to be used to clean burs, e.g., remove debris stuck in the cutting flutes. The bristles, fibres or spines may be mounted along a single plane or radiate out around a central shaft. The shaft/handle may be flexible or rigid and the bristles may be soft or stiff. This is a reusable device.</t>
  </si>
  <si>
    <t>Endoscope washer/disinfector</t>
  </si>
  <si>
    <t>A mains electricity (AC-powered) unit intended to be used for the washing and/or disinfecting of endoscopes with water or an appropriate disinfectant solution. It has built-in features to circulate a solution through the lumen (flushing) of the endoscope; some types may also have built-in drying features.</t>
  </si>
  <si>
    <t>Electrocautery system generator, line-powered</t>
  </si>
  <si>
    <t>A mains electricity (AC-powered) device that regulates an electrical current used to heat the electrode tip or wire loop of a cutting instrument used during surgical intervention to burn or sear body tissue. It is used to stop bleeding (cauterization of blood vessels), to treat superficial skin lesions, e.g., the removal of warts, the removal of gastrointestinal polyps via an appropriate endoscope or to occlude fallopian tubes during sterilization procedures. It will typically contain electronic circuits and have a built-in thermocoupler to help control the temperature at the electrode. This is not an electrosurgical diathermy system.</t>
  </si>
  <si>
    <t>Electrosurgical diathermy system cable, reusable</t>
  </si>
  <si>
    <t>An insulated metal wire that functions as an electrical conductor between an electrosurgical diathermy system generator and a system handpiece/electrode, to transmit electrical energy between the two that may, or may not, contain information. This is a reusable device.</t>
  </si>
  <si>
    <t>Electrosurgical handpiece/electrode holder, reusable</t>
  </si>
  <si>
    <t>A device intended to be used to house or fix an active electrosurgical handpiece/pen with its electrode when not being used by the surgeon during the surgical procedure to secure the electrical conducting unit, especially the electrode, within the sterile operating zone and protect it against potential adverse events. The holder will typically be fastened to an object within the sterile field (e.g., a drape, anaesthesia dividing arm, operating table). This is a reusable device intended to be sterilized prior to use.</t>
  </si>
  <si>
    <t>Rigid nasopharyngoscope</t>
  </si>
  <si>
    <t>An endoscope with a rigid inserted portion intended for the visual examination and treatment of the nasopharynx (the upper part of the throat behind the nose). It is inserted through a nostril during ear/nose/throat (ENT) procedures. Anatomical images are transmitted to the user by the device through relayed lens optics or a fibreoptic bundle. This is a reusable device.</t>
  </si>
  <si>
    <t>Chemical/physical sterilization process indicator</t>
  </si>
  <si>
    <t>A sterilization indicator designed to respond with a characteristic chemical or physical change to one or more of the physical conditions within the sterilizing chamber. This is a single-use device.</t>
  </si>
  <si>
    <t>Aerobic laboratory incubator</t>
  </si>
  <si>
    <t>A mains electricity (AC-powered) device heated by electrical currents passing through a heating block containing simple resistors (usually coils of nickel-chromium wire) for the purpose of growing microorganisms and cells that require oxygen (O2) for growth. Aerobic incubators are typically used for serology and crystallization studies, tissue culture work, paraffin wax embedding and in vitro fertilization (IVF).</t>
  </si>
  <si>
    <t>Ambulatory insulin infusion pump</t>
  </si>
  <si>
    <t>A portable, battery-powered, electronic device designed to provide continuous or intermittent subcutaneous delivery of insulin to patients with diabetes mellitus. It is typically worn in a case attached to the belt or carried in a pocket and includes a reservoir (e.g., a cartridge similar to a syringe), a pumping mechanism, and an infusion-rate controller. The pump infuses periodic microvolume pulses and bolus doses. Insulin is infused subcutaneously, typically into the abdomen, through a needle or catheter. The device is typically used to treat non-insulin-dependent (type 2) and pregnancy-induced diabetes mellitus.</t>
  </si>
  <si>
    <t>Haemostasis valve</t>
  </si>
  <si>
    <t>A sterile, noninvasive device with a self-sealing lumen (valve) designed as a conduit through which a small diameter diagnostic/interventional device (e.g., 25 French or less) can be introduced into or withdrawn from the patient's vasculature while maintaining haemostasis to reduce blood loss from the patient. It is intended to be attached, typically via Luer-lock, to an invasively-placed catheter introducer (not included) and typically has a sideport for the introduction of solutions. It may include noninvasive guidewire accessories (e.g., guidewire introducer, torque device). This is a single-use device.</t>
  </si>
  <si>
    <t>Plasma sterilizer</t>
  </si>
  <si>
    <t>A mains electricity (AC-powered) device designed for total elimination and/or inactivation of microorganisms from medical devices and related products using vapours (or gases) in plasma state; it is typically used for products sensitive to high temperature and humidity. It typically includes a treatment chamber with shelves where the devices to be sterilized are placed, usually after cleaning of gross debris and then packed; a means to introduce the vapour [e.g., hydrogen peroxide (H2O2)] into the chamber; electrodes that are activated to convert the vapour into plasma; a radio-frequency generator; and cycle controls. The device is available in stand-alone (bulk) and tabletop units.</t>
  </si>
  <si>
    <t>Rigid hysteroscope</t>
  </si>
  <si>
    <t>An endoscope with a rigid inserted portion intended for the visual examination and treatment of the canal of the cervix and the uterine cavity (uterus). It is inserted through the vagina during hysteroscopy. Anatomical images are transmitted to the user by the device through relayed lens optics or a fibreoptic bundle. Distention of the uterus with, e.g., carbon dioxide(CO2) gas may be used to improve viewing. This device is commonly used to evaluate/treat fibroids (myomas), polyps, or causes of severe cramping (dysmenorrhea), heavy menstrual periods (menorrhagia), and bleeding between periods (metrorrhagia). This is a reusable device.</t>
  </si>
  <si>
    <t>Endoscope assembly adaptor</t>
  </si>
  <si>
    <t>A connecting component of a flexible or rigid endoscope assembly intended to be used to join one or more endoscope elements to create a complete endoscope assembly, or to enable the connection of other devices (e.g., a laser). It may also be fitted with stop-cocks or instrument ports for the introduction of devices (e.g., catheters), fluids, gases, or to perform aspiration. This is a reusable device.</t>
  </si>
  <si>
    <t>Manual blood lancing device, reusable</t>
  </si>
  <si>
    <t>A hand-held manual instrument intended to be used for controlled skin puncture to obtain a capillary blood specimen (e.g., performed by a diabetic patient) typically at the fingertip or ear lobe. It is used with a sterile, disposable lancet tip, and has a manually-powered mechanism (e.g., spring-loaded) which enables the tip to puncture to a predetermined depth and blood subsequently to be squeezed out of the puncture site. This is a reusable device.</t>
  </si>
  <si>
    <t>Glucose IVD, control</t>
  </si>
  <si>
    <t>A material which is used to verify the performance of an assay intended to be used for the quantitative measurement of glucose in a clinical specimen.</t>
  </si>
  <si>
    <t>Metal/carbide ENT bur, reprocessed</t>
  </si>
  <si>
    <t>A small rotary shaft of hard metal (e.g., steel) or carbide, with fluting or cutting planes of various shapes at the working end, designed for incising or removing cartilage and/or bone from the ear, nose, or throat during an ear/nose/throat (ENT) procedure. It is usually power-driven by a rotary handpiece or other powered device. It is typically used in mastoid surgery, frontal sinus surgery, or surgery of the facial nerves. This is a single-use device that has previously been used on a patient and has been subjected to additional processing and manufacturing for an additional single-use patient application.</t>
  </si>
  <si>
    <t>Female wearable urinal, reusable</t>
  </si>
  <si>
    <t>A non-sterile, urine drainage device designed for women that typically consists of a flexible tube attached to a collector that is specially formed to securely fit around the female genitals to provide a route to channel urine, via a tube, into a collection bag. This device provides an alternative to inserting a catheter through the urethra, especially when difficulty is encountered in insertion or retention. It may be used to treat urinary incontinence or for non-ambulatory patients. This is a reusable device after appropriate cleaning.</t>
  </si>
  <si>
    <t>Multi-purpose surgical power tool system, pneumatic</t>
  </si>
  <si>
    <t>An assembly of devices designed to resect bones and tough tissues (e.g., cartilage, ligaments) during a surgical procedure; it is not dedicated to a specific clinical application. It includes a pneumatically-powered control unit which controls output of nitrogen (N2) or surgical-grade air via a connecting hose, motors/handpieces/power tool attachments, and a variety of tools (e.g., drills, saws, burs, milling cutters, shavers, screwdriver bits, guide wires).</t>
  </si>
  <si>
    <t>Cardiac ablation system irrigation tubing set</t>
  </si>
  <si>
    <t>A collection of sterile flexible tubing and associated items that may include clamps, filters, and connectors, used with an irrigation pump to deliver irrigation and/or cooling solution (saline) to an ablation device (e.g., an ablation catheter or a cardiac tissue ablation system applicator) at a specified flow rate during a cardiac electrophysiology (EP) ablation procedure. The tubing is made of synthetic material and is of a fixed diameter that is specific to the requirements of the pump. This is a single-use device.</t>
  </si>
  <si>
    <t>An assembly of devices that converts high frequency current into ultrasonic oscillation to mechanically fragment soft-tissue cells upon contact with a vibrating tip for cutting and/or coagulating tissue during surgery, possibly in combination with irrigation and aspiration. Ongoing vibration may create heat in cells (diathermy) to increase the cutting/coagulating capacity. It typically includes an energy-producing generator with monitoring functions, a handpiece(s) with tip(s) to convert and apply the energy, connecting cables, a foot-switch as an option to regulate the energy, and possibly an integrated irrigation/suction system.</t>
  </si>
  <si>
    <t>Hydrogen peroxide device sterilant</t>
  </si>
  <si>
    <t>A gaseous or liquid substance that includes hydrogen peroxide (H2O2) as its primary agent to completely destroy or eliminate all harmful microorganisms on a medical device (e.g., surgical or dental instrument). The medical device is typically bathed by the substance for a specified period of time in order to achieve sterilization. The substance may be presented in discrete quantities to accommodate the requirements of a sterilization device or system. After application, this device cannot be reused.</t>
  </si>
  <si>
    <t>Cardiac mapping/radio-frequency ablation catheter, single-use</t>
  </si>
  <si>
    <t>A sterile, flexible, steerable catheter intended to be used as part of a cardiac mapping system and/or a radio-frequency cardiac ablation system to transmit electrical pacing stimuli to, and electrical responses from, the heart for electrophysiological (EP) mapping, and/or to apply radio-frequency alternating current to ablate areas of the endocardium of a beating heart, in the evaluation/treatment of cardiac arrhythmias. It is intended to be introduced into the heart via venous access (e.g., femoral vein) and may contain monopolar and/or bipolar ablation electrodes. This is a single-use device.</t>
  </si>
  <si>
    <t>Dental anaesthesia injection kit</t>
  </si>
  <si>
    <t>A collection of sterile devices designed to inject dental anaesthetics into gingival tissue or the oral mucosa, while preventing or reducing the risk of accidental needle-stick injury, during restorative or surgical dental procedures. It typically includes a syringe, a needle, a needle protection mechanism, and a plunger. This device does not contain the pharmaceuticals which are typically held within a cartridge produced to fit the syringe. This is a single-use device.</t>
  </si>
  <si>
    <t>Evacuated blood collection tube IVD, Na2EDTA</t>
  </si>
  <si>
    <t>A sterile glass or plastic tube, sealed with a stopper, containing a pre-measured amount of vacuum and the anticoagulant disodium ethylene diamine tetraacetic acid (Na2EDTA). It is intended to be used for the collection, and preservation and/or transport, of blood for analysis and/or other investigation (e.g., blood trace-element, toxicology, and nutritional-chemistry determinations). This is a single-use device.</t>
  </si>
  <si>
    <t>Cardiac mapping system reference patch</t>
  </si>
  <si>
    <t>A component of a cardiac mapping system that is an adhesive device placed on the surface of a patient's body, typically the chest and/or back, to provide a fixed reference point for the tip of an internal, non-fluoroscopic catheter during an electrophysiological and electromechanical real-time mapping of the heart. It may be sensor-containing or have a sensor attached to it, and is used to compensate for patient movement during the procedure. It is typically used with a cardiac mapping system computer to assist in the location and navigation of the catheter tip, and to provide electrocardiogram information. This is a single-use device.</t>
  </si>
  <si>
    <t>NA</t>
  </si>
  <si>
    <t>Cardiac mapping system</t>
  </si>
  <si>
    <t>An assembly of devices designed to measure, process, and store electronic data for the interpretation of cardiac physiological parameters received from the output of connected measuring devices (e.g., body surface or intracardiac electrocardiograph (ECG) sensors, transducers, and catheters). The measurements can be compared to pre-established diagnostic criteria for parameters such as cardiac blood flow, electrical conduction, or heart chamber geometry. It typically consists of dedicated workstation, hardware and software that display real-time, three-dimensional (3-D) cardiac maps (e.g., electrical propagation, electrical potential, and cardiac chamber geometry maps), and a catheter.</t>
  </si>
  <si>
    <t>Cranial bur, single-use</t>
  </si>
  <si>
    <t>A rotary cutting device consisting of a shaft of high-grade steel and a cutting head of hard metal and/or diamond material with fluting or cutting planes of various shapes at the working end and which is designed to fit into an appropriate powered handpiece that provides the rotation allowing the user to excavate soft or hard skull tissue. This is a single-use device.</t>
  </si>
  <si>
    <t>Electrical catheter connection cable, reusable</t>
  </si>
  <si>
    <t>An insulated electrical conductor designed to provide an electrical connection between an electrical catheter (e.g., an electrophysiological diagnostic catheter or ablation catheter) and an electrically-powered parent device (e.g., generator, analyser). Its length may also allow the catheter to remain in the sterile field. This device will be made of robust materials with metal connectors, e.g., gold (Au) plated electrical connecting pins and sockets, that ensure continued reliability each time it is reused. This is a reusable device.</t>
  </si>
  <si>
    <t>Electrical catheter connection cable, single-use</t>
  </si>
  <si>
    <t>An insulated electrical conductor designed to provide an electrical connection between an electrical catheter (e.g., an electrophysiological diagnostic catheter or ablation catheter) and an electrically-powered parent device (e.g., generator, analyser). Its length may also allow the catheter to remain in the sterile field. This is a single-use device.</t>
  </si>
  <si>
    <t>Catheter-balloon inflator, reprocessed</t>
  </si>
  <si>
    <t>A sterile device designed to manually inflate and regulate the pressure of a balloon catheter (e.g., by injecting and aspirating fluid or air within the balloon), and to deflate the balloon during a medical procedure. It typically consists of a dedicated syringe/plunger, a pressure gauge for monitoring the pressure, a locking mechanism, and a connecting tube. It is typically used during angiography, angioplasty, gastrointestinal (GI), or sinuplasty procedures. This is a single-use device that has previously been used on a patient and has been subjected to additional processing and manufacturing for an additional single-use patient application.</t>
  </si>
  <si>
    <t>Endomyocardial biopsy forceps, single-use</t>
  </si>
  <si>
    <t>A sterile grasping instrument designed to obtain tissue samples from the inner walls of the heart (endomyocardium) typically for histopathological examination. It is typically a flexible metal coil or plastic tube with a pair of scissors-like cups with cutting edges around their rims at the distal end which are operated by a handle attached at the proximal end. It is usually introduced percutaneously through the jugular vein or femoral artery (during catheterization). Acquired tissue samples are typically used for assessment of early rejection of a transplanted heart, cardiomyopathy and myocarditis diagnosis, or detection of antracycline cardiotoxicity. This is a single-use device.</t>
  </si>
  <si>
    <t>Blunt-microdissection atherectomy catheter</t>
  </si>
  <si>
    <t>A manually-powered instrument intended to be used to create a pathway through an occluded blood vessel to facilitate the intraluminal placement of a conventional guidewire beyond a stenotic lesion [especially a chronic total occlusion (CTO) of a coronary artery], prior to further percutaneous intervention to remove the lesion. It typically consists of a long, thin, flexible segment, introduced into the vasculature, that is equipped to mechanically disrupt the lesion (e.g., by blunt microdissection) through manipulation of hand controls at the proximal end. This is a single-use device.</t>
  </si>
  <si>
    <t>Physiologic-monitoring sedation system</t>
  </si>
  <si>
    <t>An assembly of devices designed to monitor patient physiology while delivering a sedative agent intravenously during a diagnostic or surgical procedure (e.g., endoscopy, minor plastic surgery, cardiovascular procedure). It is a computer-assisted personalized sedation (CAPS) system that typically consists of physiologic/responsiveness monitors [e.g., for blood pressure, oxygen (O2) saturation, capnometry], an infusion pump, an O2 delivery module, alarms, controls, and a computer with software that integrates the components to react to the patient's physiology for precisely controlled sedation. It may contain batteries to facilitate use during transport (e.g., from bedside to procedure room).</t>
  </si>
  <si>
    <t>Ortho-phthalaldehyde (OPA) device disinfectant test strip</t>
  </si>
  <si>
    <t>A sliver of absorbent material impregnated with chemical indicators and dyes intended to be used to rapidly indicate, through colour change, the concentration of ortho-phthalaldehyde (OPA) in a device disinfectant solution after preparation to ensure disinfectant properties. It is used to prevent diluting the disinfectant to a concentration that is lower than the manufacturer's recommended minimum effective concentration (MEC). This is a single-use device.</t>
  </si>
  <si>
    <t>Glutaraldehyde device disinfectant/sterilant test strip</t>
  </si>
  <si>
    <t>A sliver of absorbent material impregnated with chemical indicators and dyes intended to be used to rapidly indicate, through colour change, the concentration of glutaraldehyde in a device disinfectant and/or sterilant solution after preparation to ensure disinfectant/sterilant properties. It is used to prevent diluting the disinfectant/sterilant to a concentration that is lower than the manufacturer's recommended minimum effective concentration (MEC). This is a single-use device.</t>
  </si>
  <si>
    <t>Transseptal access system</t>
  </si>
  <si>
    <t>An assembly of devices used to puncture the interatrial septum during a transseptal catheterization procedure and to create a conduit for the introduction of various cardiovascular catheters into the left side of the heart. It typically includes a guidewire to facilitate the advancement of the assembled device, a sheath as the conduit, a dilator with a curved distal portion to accommodate positioning against the atrial septum, a luminal needle to create the puncture (e.g., for fluid aspiration and injection/infusion, blood sampling, pressure monitoring), and a stylet to support the needle during handling. This is a single-use device.</t>
  </si>
  <si>
    <t>Medical device disinfectant</t>
  </si>
  <si>
    <t>A substance containing a chemical agent(s) intended to destroy harmful microorganisms or inhibit their activity on a medical device (e.g., surgical or dental instrument); it may also contain surfactants/cleaning agents or biological enzymes (e.g. protease, lipase, amylase). The medical device is intended to be exposed to the substance for a specified period of time to achieve disinfection, through bathing, wiping, and/or in combination with a disinfection system/unit; it is not supplied as an aerosol and does not include a wipe.</t>
  </si>
  <si>
    <t>Surgical air pipeline regulator</t>
  </si>
  <si>
    <t>A reduction valve designed to lower high and variable gas pressure in a pipeline intended for surgical applications (e.g., to drive surgical power tools) to a lower and constant working pressure, typically 3 - 12 bar. It consists of a housing containing a single- or dual-stage regulator used to regulate the surgical air, connectors (these may be permanent or quick connectors), and a pressure gauge; it may include an integral filter to remove possible contaminants, sometimes with a glass bowl for the collection of oil deposits and for observation. It is typically made of metal and synthetic polymer materials. This is a reusable device.</t>
  </si>
  <si>
    <t>Femoral artery compression instrument, single-use</t>
  </si>
  <si>
    <t>A non-sterile device intended to provide compression for haemostasis to the puncture site on a patient having undergone femoral artery catheterization. It can be used as an alternative to direct hand pressure. It can have various designs such as an elastomeric or hard ball, dome or roller that is held in place with a bandage, belt or straps secured around the patient's hips/thigh. It is typically used following coronary angiography/ventriculography and percutaneous transluminal coronary angioplasty (PTCA); it may be used on brachial and radial arteries or after venipuncture. This is a single-use device.</t>
  </si>
  <si>
    <t>Sinus balloon catheter</t>
  </si>
  <si>
    <t>A sterile flexible tube with an inflatable balloon at its distal tip designed to gently restructure the nasal passages and dilate obstructed sinus ostia during a surgical procedure (sinuplasty), typically to treat sinusitis. The device typically consists of a single lumen tube with a connector at the proximal end for attachment to an inflation device, most often a hand pump, which allows the operator precision for dilatation of nasal passageways. This is a single-use device.</t>
  </si>
  <si>
    <t>Sinus irrigation catheter</t>
  </si>
  <si>
    <t>A sterile flexible tube designed to introduce fluid (e.g., saline solution) into the sinus cavities to provide irrigation for the flushing and removal of mucus, pus, and blood from the site of intervention. It typically consists of a single lumen tube with end and/or side holes at the distal end; the proximal end is typically connected to a syringe or irrigation fluid pumping system via a Luer-lock. This is a single-use device.</t>
  </si>
  <si>
    <t>Sinus guide-catheter</t>
  </si>
  <si>
    <t>A sterile cannula-like catheter consisting of a tube with a tip designed to facilitate placement of other devices into or near different sinus ostia. It is used to provide a channel to access the sinus space during diagnostic and therapeutic procedures. This is a single-use device.</t>
  </si>
  <si>
    <t>Sinus guide-catheter handle</t>
  </si>
  <si>
    <t>A sterile, hand-held, tubular device designed to create an extension from which the user can stabilize the position of a sinus guide catheter. It typically has a malleable handle and a press-fit connector at the distal end for connection to the guide catheter. This is a single-use device.</t>
  </si>
  <si>
    <t>Sinus-illumination light guide cable</t>
  </si>
  <si>
    <t>A sterile device designed to transmit cold light via a guidewire into the sinus cavities to provide illumination of the operative site during diagnostic and therapeutic procedures in conjunction with other nasal and sinus devices. It is typically a flexible light cable with a fibreoptic core which tapers at the distal end into a long, thin, probe that is capable of being manoeuvred into the various cavities; the proximal end will attach to an appropriate light source. This is a single-use device.</t>
  </si>
  <si>
    <t>Glucose IVD, kit, electrometry</t>
  </si>
  <si>
    <t>A collection of reagents and other associated materials intended to be used for the quantitative measurement of glucose in a clinical specimen, using an electrometry method.</t>
  </si>
  <si>
    <t>Rifabutin IVD, control</t>
  </si>
  <si>
    <t>A material which is used to verify the performance of an assay intended to be used for the qualitative and/or quantitative detection of rifabutin in a clinical specimen.</t>
  </si>
  <si>
    <t>Home-use/point-of-care glucose analyser IVD, battery-powered</t>
  </si>
  <si>
    <t>An exclusively battery-powered instrument intended to be used by a layperson in the home or similar environment, or by health professionals at the point-of-care, for the quantitative in vitro measurement of glucose levels in whole blood. Measured glucose values are used to manage blood glucose levels, primarily by persons with diabetes mellitus. This analyser is typically included in a blood glucose monitoring system.</t>
  </si>
  <si>
    <t>Laboratory fluorescent immunoassay analyser IVD, semi-automated</t>
  </si>
  <si>
    <t>A stationary mains electricity (AC-powered) laboratory instrument intended to be used for the qualitative and/or quantitative in vitro determination of chemical and/or biological markers in a clinical specimen. The instrument detects fluorescent markers that result from an immunological reaction between the reagents and the specimen, and typically includes an autosampler, reagent dispenser, light source, filter or monochromator, a fluorescent detection system (fluorometer or spectrofluorometer), data processing and/or data display software. The device operates with reduced technician involvement and automation of some, but not all, procedural steps.</t>
  </si>
  <si>
    <t>Multiple CD cell marker IVD, kit, enzyme immunohistochemistry</t>
  </si>
  <si>
    <t>A collection of reagents and other associated materials intended to be used for the qualitative and/or quantitative detection of multiple cluster of differentiation (CD) cell markers in a clinical specimen, including associated percentage, calculated scores, and/or enumeration of specific cell populations, using an enzyme immunohistochemistry method. It is used as an aid in the diagnosis/prognosis of conditions associated with different CD cell markers (e.g., colon cancer).</t>
  </si>
  <si>
    <t>Multiple CD cell marker IVD, control</t>
  </si>
  <si>
    <t>A material which is used to verify the performance of an assay intended to be used for the qualitative and/or quantitative detection of multiple cluster of differentiation (CD) cell markers in a clinical specimen, including associated percentage and/or enumeration of specific cell populations.</t>
  </si>
  <si>
    <t>Physiology-monitoring sedation/anaesthesia system cannula</t>
  </si>
  <si>
    <t>A non-sterile, semi-rigid tube designed to sample respiratory gases from and deliver oxygen (O2) and an auditory stimulus (e.g., voice commands) to a patient during a procedure involving sedation or anaesthesia. It is intended to be used in conjunction with a physiology-monitoring sedation or anaesthesia system and is placed on the patient's face between the nose and the mouth and held in place with adhesive tabs or straps. It consists of nasal prongs, an oral horn, and an earpiece that are positioned in the nares, between the lips, and in an ear respectively. This is a single-use device.</t>
  </si>
  <si>
    <t>Specimen processing instrument IVD, automated</t>
  </si>
  <si>
    <t>A mains electricity (AC-powered) instrument or platform intended to be used for the automated pre-analytical preparation of a clinical specimen (excluding specimens for microbial culture), which may include the sampling, diluting, and/or aliquoting of clinical specimens and/or any post-analytical processing required, including labelling, storage and/or location data. The device operates with minimal technician involvement and automation of all procedural steps.</t>
  </si>
  <si>
    <t>Rectal dilator, single-use</t>
  </si>
  <si>
    <t>A sterile surgical instrument designed to dilate the anal sphincter and canal when the size of the anal opening may interfere with its function or the passage of an examining instrument. This is a single-use device.</t>
  </si>
  <si>
    <t>Foot-switch, pneumatic</t>
  </si>
  <si>
    <t>A gas-powered pedal used by an operator of a medical device to regulate the activation and/or intensity of a parent device (e.g. a pneumatic surgical saw, pneumatic wire driver, pneumatic surgical power tool system control unit) to which it is connected typically via one or more hoses and which is dependent upon pressurized gas [e.g., medical air, nitrogen (N2)]. This is a reusable device.</t>
  </si>
  <si>
    <t>Vascular catheter introduction set</t>
  </si>
  <si>
    <t>A collection of sterile, invasive devices intended to provide percutaneous vascular access to enable introduction of a catheter (not included) into the vascular system. It includes a non-steerable introducer sheath with an inner dilator, and typically an additional access device(s) [e.g., guidewire, introducer needle, syringe, additional dilators] which may include a haemostatic valve to control blood loss, usually to enable arterial access. This is a single-use device.</t>
  </si>
  <si>
    <t>Microwave ablation system probe</t>
  </si>
  <si>
    <t>A sterile, hand-held surgical instrument designed to connect to a microwave ablation system generator to deliver microwaves to a targeted operative site for localized soft-tissue ablation, typically to treat tumours and/or hydatid cysts. The probe includes a handle and cooling mechanism. The device is intended to be used in percutaneous, laparoscopic, or open surgery procedures to ablate tissue typically in the liver, lung, pancreas and kidney. This is a single-use device.</t>
  </si>
  <si>
    <t>Microwave ablation system generator</t>
  </si>
  <si>
    <t>A mains electricity (AC-powered) device intended to generate microwave energy for localized non-vascular soft-tissue ablation, typically to treat tumours and/or hydatid cysts. The generator connects via a delivery cable to a probe (not included) for delivery of microwaves to the target tissues. It is intended to be used in percutaneous, laparoscopic, or open surgery procedures to ablate tissue typically in the liver, lung, pancreas and kidney.</t>
  </si>
  <si>
    <t>Intraluminal circular stapler, reusable</t>
  </si>
  <si>
    <t>A hand-held, manual surgical instrument intended to be used during open or laparoscopic surgical procedures of the alimentary tract, to create anastomoses (e.g., end-to-end, end-to-side, or side-to-side) via intraluminal (within the lumen) resection. It is designed to connect two portions of lumen (e.g., colon) with a single or multiple circular rows of staples, and then cut out the tissue within the staple line to create a new channel. This device operates via a manual lever mechanism and may be available in a variety of sizes appropriate to a specific luminal diameter. This is a reusable device intended to be sterilized prior to use.</t>
  </si>
  <si>
    <t>Haemorrhoidal surgical stapler, reusable</t>
  </si>
  <si>
    <t>A surgical instrument designed to apply surgical staples to tissue in the anal canal to treat haemorrhoids, particularly the procedure for prolapse and haemorrhoids (PPH) [repositioning of the anal canal mucosa to reduce blood flow to internal haemorrhoids]. It is typically pistol-like in design with a rounded, cylindrical head loaded with staples at the distal end, and operating levers at the proximal end intended to deliver a circular band(s) of staples, whilst cutting away hemorrhoidal tissue. It may include disposable supportive devices intended to assist the procedure (e.g., rectal dilator, anoscope). This is a reusable device intended to be sterilized prior to use.</t>
  </si>
  <si>
    <t>Open-surgery manual linear cutting stapler, reusable</t>
  </si>
  <si>
    <t>A hand-held, manual surgical instrument intended to be used during open surgery (including abdominal, gynaecological, paediatric, or thoracic surgery) for the expeditious transection/resection of tissues and creation of anastomoses. The device operates by a manual mechanism (e.g., lever, sliding knob) whereby it cuts the tissues (e.g., colon) and simultaneously applies single or multiple linear rows of surgical staples to the resulting ends, eliminating the need for temporary clamping. The staples and cutting blade may be housed in a single-use loading unit (SULU) which may be included. This is a reusable device intended to be sterilized prior to use.</t>
  </si>
  <si>
    <t>Multi-chamber venous compression system garment, reprocessed</t>
  </si>
  <si>
    <t>A non-sterile inflatable device in the form of a stocking, sleeve, or suit intended to be applied to the limbs externally to promote venous blood flow. As part of a compression system, the device applies pressure to the extremities through the sequential inflation of several chambers. The resulting increased venous blood flow may help to treat/prevent oedema, deep vein thrombosis (DVT) and pulmonary embolism (PE) in non-ambulatory patients or patients at risk. This is a previously used single-use device that has been processed for an additional single-use patient application.</t>
  </si>
  <si>
    <t>Electrocardiographic lead, reprocessed</t>
  </si>
  <si>
    <t>A non-sterile device intended to be used to conduct electrical signals from a patient's heart, via an electrode attached to the surface of the chest/limbs, to an electrocardiograph (ECG) machine or a patient monitoring system. It is not designed with radiolucent properties. This is a previously used single-use device that has been processed for an additional single-use patient application.</t>
  </si>
  <si>
    <t>Laparoscopic trocar, reprocessed</t>
  </si>
  <si>
    <t>A sterile, rigid, surgical instrument with a sharp pyramidal or conical point intended to puncture the abdominal wall to facilitate the introduction of a separate laparoscopic sleeve (not included) during laparoscopy. It is intended to fill the lumen of the laparoscopic sleeve, whereby following puncture the trocar is withdrawn to provide a single-lumen access port to the abdominal cavity. This is a previously used single-use device that has been processed for an additional single-use patient application.</t>
  </si>
  <si>
    <t>Endoscopic electrosurgical handpiece/electrode, bipolar, reprocessed</t>
  </si>
  <si>
    <t>A sterile electrosurgical device which consists of a handpiece with mechanical and/or electrical controls, and a bipolar electrode intended to deliver electrosurgical current from a system generator directly to tissues for cutting/coagulation/ablation during endoscopic (including laparoscopic, arthroscopic) surgery; it may in addition be intended for open surgery. It includes a long thin electrode connected to the handpiece, and may include a lumen for suction/irrigation; it is available in a variety of forms (e.g., forceps, rigid probe with controls). This is a previously used single-use device that has been processed for an additional single-use patient application.</t>
  </si>
  <si>
    <t>Suture/needle passer, reprocessed</t>
  </si>
  <si>
    <t>A sterile, hand-held, manual surgical instrument designed for passing (driving) sutures and suture needles through tissues/prosthetic materials to facilitate suturing. A passer, also known as a needle driver, is a long, thin, rod-like device that may be flexible or rigid in design and have hooks, catches, clasps, or forceps-like jaws at the distal end that grip/hold. The distal end will typically terminate as a button, rounded, or acorn tip, while the proximal end will have a handle or lever that is operated by the user. This is a previously used single-use device that has been processed for an additional single-use patient application.</t>
  </si>
  <si>
    <t>Soft-tissue ultrasonic surgical system holder/tip, reprocessed</t>
  </si>
  <si>
    <t>A sterile, hand-held component of an ultrasonic surgical system which includes a holder with controls and a surgical endpiece (tip) intended to be connected to a system transducer (not included) whereby the tip oscillates (vibrates) at high frequency in order to fragment soft-tissue cells for cutting and/or coagulating tissue during surgery. It may be referred to as a handpiece but does not include a transducer; the tip is available in a variety of forms and sizes, and is typically made of metal. This device is utilized in a variety of surgical disciplines. This is a previously used single-use device that has been processed for an additional single-use patient application.</t>
  </si>
  <si>
    <t>Endoscopic electrosurgical electrode, bipolar, single-use</t>
  </si>
  <si>
    <t>A sterile, invasive, distal component of an electrosurgical system intended to deliver electrosurgical current in a bipolar configuration (i.e., without a return electrode) to tissues for cutting/coagulation/ablation during endoscopic (including laparoscopic, arthroscopic) surgery. It is a long thin device available in a variety of forms (e.g., exchangeable electrode for electrosurgical forceps, rigid electrode, flexible endoscopic probe) which may include a lumen for suction/irrigation; it does not include a handpiece with any form of electrical or mechanical controls (e.g., does not include controlling ring-handles). This is a single-use device.</t>
  </si>
  <si>
    <t>Endoscopic electrosurgical electrode, bipolar, reprocessed</t>
  </si>
  <si>
    <t>A sterile, invasive, distal component of an electrosurgical system intended to deliver electrosurgical current in a bipolar configuration (i.e., without a return electrode) to tissues for cutting/coagulation/ablation during endoscopic (including laparoscopic, arthroscopic) surgery. It is a long thin device available in a variety of forms (e.g., exchangeable electrode for electrosurgical forceps) which may include a lumen for suction/irrigation; it does not include a handpiece with any form of electrical or mechanical controls (e.g., does not include controlling ring-handles). This is a previously used single-use device that has been processed for an additional single-use patient application.</t>
  </si>
  <si>
    <t>Endoscopic oesophageal dilator</t>
  </si>
  <si>
    <t>A sterile device intended to be used to dilate oesophageal strictures under endoscopic visualization. It is in the form of a slender hollow tube made of transparent polymer material, through which is passed the endoscope before introduction into the oesophagus; the dilator is advanced through the stricture site with direct visualization through the endoscope. This is a single-use device.</t>
  </si>
  <si>
    <t>Red/blue light phototherapy mask system</t>
  </si>
  <si>
    <t>An assembly of battery-powered devices intended to emit both red and blue light for the treatment of a facial skin condition (e.g., acne, hyperpigmentation) by the patient in the home. It includes a face-worn mask with integral lights and a hand-held controller, which may include a display. It is not intended for use with a photosensitizing agent. This is a single-patient, reusable device.</t>
  </si>
  <si>
    <t>Cervical spine immobilization system, reusable</t>
  </si>
  <si>
    <t>An assembly of orthopaedic devices designed to immobilize the cervical spine (the bones in the neck) after an injury or surgery, to protect the bones from damaging movement during the healing processes. Commonly known as a Halo vest, it typically consists of a ring(s) around the head (the halo) which is attached to the skull with threaded bolts, a special padded vest/harness, four rods with locking mechanisms connecting the head ring to the vest, together with the appropriate instrumentation. This device may be made of ferrous or non-ferromagnetically active materials [to allow magnetic resonance imaging (MRI)], and is available in various sizes. This is a reusable device.</t>
  </si>
  <si>
    <t>Needle stylet</t>
  </si>
  <si>
    <t>A device made of a thin wire or thin flexible rod that is intended to be inserted into the lumen of a needle to render it stiff and maintain the shape or patency of the needle, or to clear the lumen of the needle. It is available in various wire lengths and diameters, and will typically have a plastic knob at the proximal end. This is a single-use device.</t>
  </si>
  <si>
    <t>Shoe cover, non-conductive, non-sterile</t>
  </si>
  <si>
    <t>A non-sterile device made of a non-conductive material intended to be used as a physical barrier on a shoe to prevent cross-contamination between the shoe and the environment. This is a single-use device.</t>
  </si>
  <si>
    <t>Orthopaedic scissors</t>
  </si>
  <si>
    <t>A hand-held manual surgical instrument designed to cut bone or cartilage tissue during orthopaedic surgery. It comprises two sturdy pivoted blades that are usually provided with a finger and thumb ring-handle and which cut with a shearing action (i.e., the blades cut as the sharpened edges pass one another as they are closed). It is typically made of high-grade stainless steel and is available in various designs and sizes. Some types can have carbide inserts along the cutting edges. This is a reusable device.</t>
  </si>
  <si>
    <t>Orthopaedic implant/instrument adaptor, single-use</t>
  </si>
  <si>
    <t>A sterile connecting device designed to join an orthopaedic implant to a surgical instrument, or a surgical instrument to another instrument, typically to create an extension for removal of the implant (e.g., during a percutaneous interspinous distraction procedure for the removal of a distraction sleeve), or to connect two devices with incompatible interfaces. It is typically made from high-grade stainless steel and/or synthetic material and is available in a variety of sizes and lengths. This is a single-use device.</t>
  </si>
  <si>
    <t>Body aspiration needle, single-use</t>
  </si>
  <si>
    <t>A sterile, sharp bevel-edged, hollow tubular metal instrument designed to remove fluid from a body cavity or to obtain a biopsy specimen from a patient through aspiration; it is not dedicated to a particular part of the anatomy. The device is typically longer than a hypodermic needle and usually has a wider hub. This is a single-use device.</t>
  </si>
  <si>
    <t>Ligament reconstruction instrument set</t>
  </si>
  <si>
    <t>A collection of surgical instruments intended to be used to prepare a joint for the reconstruction of damaged or torn ligaments, using a replacement device or tissue graft, during open or arthroscopic orthopaedic surgery. It typically consists of one or more guides, carriages, drills, reamers, burs, pushers, introducers, a staple impactor, and a surgical hammer. The set may be designed for specific joints, such as the shoulder or knee, and may assist in aligning the bone tunnels to allow isometric implantation of the ligament replacement device or graft. This is a reusable device.</t>
  </si>
  <si>
    <t>Polyethylene suture</t>
  </si>
  <si>
    <t>A sterile, multiple-strand (multifilament), synthetic, non-bioabsorbable thread made of polyethylene (PE), intended to join (approximate) the edges of a soft-tissue wound or incision by stitching or to ligate soft tissues; it may include an attached needle intended to be disposed of after single-use. The thread provides temporary wound support until the wound sufficiently heals to withstand normal stress; it can be removed from the tissue once wound healing occurs or allowed to remain in the tissue where it is gradually encapsulated by fibrous connective tissue. This is a single-use device.</t>
  </si>
  <si>
    <t>Suction cannula, single-use</t>
  </si>
  <si>
    <t>A sterile, rigid or semi-rigid, hand-held plastic tube designed as a conduit for the evacuation (suctioning) of blood, fluids, and other tissue debris directly from the surgical site during a surgical procedure (e.g., open- or plastic surgery). Also known as a suction tube, it is typically a general-purpose device to which the suction system tubing is connected proximally; some types may be attached to a dedicated handpiece that typically have a valve. Dedicated cannula specifically intended for a particular procedure (e.g., bronchial, dental, eye, uterine, oral, and liposuction) are also available. This is a single-use device.</t>
  </si>
  <si>
    <r>
      <t xml:space="preserve">A sterile, flat or three-dimensional (3-D), woven/knitted material made of two or more polymers that includes a bioabsorbable polymer [e.g., polyglycolic acid (PGA)] and a non-bioabsorbable polymer [e.g., polyethylene (PE)] intended to be permanently implanted for abdominal hernia (e.g., inguinal, ventral/incisional, umbilical, femoral) and fascial defect repair/reinforcement applications; it is not intended for extra-abdominal applications and not dedicated to diaphragmatic hernia repair. It may also be used as a short-term scaffold for tissue regeneration. Disposable devices associated with implantation (e.g., introducer needles, trocars) may be included. </t>
    </r>
    <r>
      <rPr>
        <b/>
        <sz val="9"/>
        <rFont val="Tahoma"/>
        <family val="2"/>
      </rPr>
      <t xml:space="preserve">See also: </t>
    </r>
    <r>
      <rPr>
        <sz val="9"/>
        <rFont val="Tahoma"/>
        <family val="2"/>
      </rPr>
      <t>Multi-purpose surgical mesh, synthetic polymer, bioabsorbable; Multi-purpose surgical mesh, silk, bioabsorbable; Abdominal hernia surgical mesh, synthetic polymer</t>
    </r>
  </si>
  <si>
    <r>
      <t xml:space="preserve">A hand-held manual surgical instrument designed to insert or extract an implantable orthopaedic device (e.g., a bone nail, spiral blade, or bone fixation plate) into or out of the body. It is a robust instrument that has a mechanism (e.g., a sturdy hook that slots into one of the nail's locking screw holes, or a tapered/straight thread that locks into the inner material/thread of the implant's construct, or a clamp that will attach and/or lock to an exposed part of the implant). It is typically made of stainless steel/synthetic material and the surgeon can make strikes on the proximal end with a surgical hammer or mallet to insert/extract the implant. This is a reusable device. </t>
    </r>
    <r>
      <rPr>
        <b/>
        <sz val="9"/>
        <rFont val="Tahoma"/>
        <family val="2"/>
      </rPr>
      <t xml:space="preserve">See also: </t>
    </r>
    <r>
      <rPr>
        <sz val="9"/>
        <rFont val="Tahoma"/>
        <family val="2"/>
      </rPr>
      <t>Bone nail driver; Orthopaedic implant driver; Hip prosthesis socket pusher; Orthopaedic implant hammering attachment</t>
    </r>
  </si>
  <si>
    <r>
      <t xml:space="preserve">A hand-held surgical instrument intended to be used during implantation of an orthopaedic prosthesis, either manually or as a computer-assisted surgery (CAS) device, to aid in the navigation/placement of the prosthesis or other instruments. It may be used for the following applications: 1) to hold/align/fix bone preparation instruments, prosthesis, or prosthesis component; 2) to provide relative position landmarks; 3) to ascertain correct spatial orientation or limb alignment; and/or 4) as an interface between prosthesis components. This is a reusable device intended to be sterilized prior to use. </t>
    </r>
    <r>
      <rPr>
        <b/>
        <sz val="9"/>
        <rFont val="Tahoma"/>
        <family val="2"/>
      </rPr>
      <t xml:space="preserve">See also: </t>
    </r>
    <r>
      <rPr>
        <sz val="9"/>
        <rFont val="Tahoma"/>
        <family val="2"/>
      </rPr>
      <t>Bone-angle protractor; Surgical depth gauge, reusable; Orthopaedic implant inserter/extractor; Robotic surgical navigation system; Robotic surgical system; Orthopaedic implant aiming arm; Orthopaedic prosthesis implantation instrument, single-use</t>
    </r>
  </si>
  <si>
    <r>
      <t xml:space="preserve">A rigid, surgical instrument with a sharp pyramidal or conical point used to puncture the abdominal wall to facilitate the introduction of a laparoscope in the abdominal cavity. It is typically assembled and used together with a compatible sleeve, filling its lumen, thereby allowing the introduction of this assembly. Following puncture, the trocar is withdrawn providing an access port to the cavity. This is a reusable device. </t>
    </r>
    <r>
      <rPr>
        <b/>
        <sz val="9"/>
        <rFont val="Tahoma"/>
        <family val="2"/>
      </rPr>
      <t xml:space="preserve">See also: </t>
    </r>
    <r>
      <rPr>
        <sz val="9"/>
        <rFont val="Tahoma"/>
        <family val="2"/>
      </rPr>
      <t>Suprapubic trocar; Laparoscopic sleeve; Endotherapy trocar, single-use; Endotherapy trocar, reprocessed</t>
    </r>
  </si>
  <si>
    <r>
      <t xml:space="preserve">A rigid, surgical instrument with a sharp pyramidal or conical point used to percutaneously puncture the abdominal wall providing access to the gallbladder through a catheter or cannula. It is frequently assembled and used together with a compatible cannula or catheter (i.e., filling its lumen), thereby facilitating the introduction of this assembly. The trocar is withdrawn after puncturing, providing a working channel to the gallbladder. This is a reusable device. </t>
    </r>
    <r>
      <rPr>
        <b/>
        <sz val="9"/>
        <rFont val="Tahoma"/>
        <family val="2"/>
      </rPr>
      <t xml:space="preserve">See also: </t>
    </r>
    <r>
      <rPr>
        <sz val="9"/>
        <rFont val="Tahoma"/>
        <family val="2"/>
      </rPr>
      <t>Laparoscopic trocar; Suprapubic trocar; Endotherapy trocar, single-use; Endotherapy trocar, reprocessed</t>
    </r>
  </si>
  <si>
    <r>
      <t xml:space="preserve">A sterile, single-strand (monofilament), natural, non-bioabsorbable wire made of surgical steel (iron-chromium-nickel-molybdenum alloy) intended to join (approximate) the edges of a soft-tissue wound or incision by stitching (e.g., for abdominal wound closure, intestinal anastomosis, hernia repair), or transosseous (through bone) stitching (e.g., sternal closure); it may include an attached needle intended to be disposed of after single use. It is used primarily in orthopaedic, neurosurgical, and thoracic applications and provides temporary wound support until the wound sufficiently heals to withstand normal stress; it may be retained for permanent support. This is a single-use device. </t>
    </r>
    <r>
      <rPr>
        <b/>
        <sz val="9"/>
        <rFont val="Tahoma"/>
        <family val="2"/>
      </rPr>
      <t xml:space="preserve">See also: </t>
    </r>
    <r>
      <rPr>
        <sz val="9"/>
        <rFont val="Tahoma"/>
        <family val="2"/>
      </rPr>
      <t>Orthopaedic bone wire; Orthodontic wire; Wire ligature</t>
    </r>
  </si>
  <si>
    <r>
      <t xml:space="preserve">A length of flexible tube, typically made of synthetic polymer material(s), intended to connect a suction catheter to a collection bottle/canister, a collection canister/bottle to a regulator/suction pump, or to connect a series of collection bottles/canisters to increase to total capacity within a suction system. The device may be provided in rolls from which required lengths are cut, or in predetermined lengths with built-in connectors. This is a single-use device. </t>
    </r>
    <r>
      <rPr>
        <b/>
        <sz val="9"/>
        <rFont val="Tahoma"/>
        <family val="2"/>
      </rPr>
      <t xml:space="preserve">See also: </t>
    </r>
    <r>
      <rPr>
        <sz val="9"/>
        <rFont val="Tahoma"/>
        <family val="2"/>
      </rPr>
      <t>Vacuum tubing, reusable; Vacuum tubing, single-use</t>
    </r>
  </si>
  <si>
    <r>
      <t xml:space="preserve">A sterile device designed to manually inflate and regulate the pressure of a balloon catheter (e.g., by injecting and aspirating fluid or air within the balloon), and to deflate the balloon during a medical procedure. It typically consists of a dedicated syringe/plunger mechanism, a gauge or integral pressure transducer for monitoring pressure within the balloon, a locking mechanism, and a connecting tube. It may also be used to inflate the balloon of an inflatable balloon tamp or an endomicroscopy probe. It is typically used during angiography, angioplasty, gastrointestinal (GI), sinuplasty, or kyphoplasty procedures. This is a single-use device. </t>
    </r>
    <r>
      <rPr>
        <b/>
        <sz val="9"/>
        <rFont val="Tahoma"/>
        <family val="2"/>
      </rPr>
      <t xml:space="preserve">See also: </t>
    </r>
    <r>
      <rPr>
        <sz val="9"/>
        <rFont val="Tahoma"/>
        <family val="2"/>
      </rPr>
      <t>Inflatable bone tamp; Kyphoplasty balloon catheter</t>
    </r>
  </si>
  <si>
    <r>
      <t xml:space="preserve">A manually-operated device intended to be used in combination with a compatible flexible endoscope (e.g., gastroscope, laparoscope) to mechanically approximate the edges of an internal wound or incision with sutures, typically during a gastrointestinal (GI) procedure. It is typically loaded with a needle/suture assembly and attached to the working end, or inserted through the working channel, of the endoscope. The device will also knot and cut the sutures as they are stitched; some types may also carry and/or knot a ligature. This is a reusable device intended to be sterilized prior to use. </t>
    </r>
    <r>
      <rPr>
        <b/>
        <sz val="9"/>
        <rFont val="Tahoma"/>
        <family val="2"/>
      </rPr>
      <t xml:space="preserve">See also: </t>
    </r>
    <r>
      <rPr>
        <sz val="9"/>
        <rFont val="Tahoma"/>
        <family val="2"/>
      </rPr>
      <t>Arthroscopic suturing unit; Endoscopic suturing unit, single-use; Suture knot-tying device</t>
    </r>
  </si>
  <si>
    <r>
      <t xml:space="preserve">A sterile surgical instrument intended to be placed intraoperatively in a surgically-prepared mammary pocket to provide a volume measurement for the appropriate selection of a breast implant (mammary prosthesis). The device is typically a balloon-like elastomer pouch with tubing that is placed in the pocket, filled to an optimal volume, and then removed. This is a single-use device. </t>
    </r>
    <r>
      <rPr>
        <b/>
        <sz val="9"/>
        <rFont val="Tahoma"/>
        <family val="2"/>
      </rPr>
      <t xml:space="preserve">See also: </t>
    </r>
    <r>
      <rPr>
        <sz val="9"/>
        <rFont val="Tahoma"/>
        <family val="2"/>
      </rPr>
      <t>Noninvasive breast implant sizer; Invasive breast implant sizer, reusable</t>
    </r>
  </si>
  <si>
    <r>
      <t xml:space="preserve">A mains electricity (AC-powered) component of an ultrasonic surgical system used to generate a high frequency electrical current that is converted, typically within a handpiece, into an ultrasonic oscillation to fragment soft-tissue cells upon contact with a vibrating tip for cutting and/or coagulating tissue during surgery. The device may also include an integrated suction/aspiration system. This is a reusable device that is utilized in a variety of surgical disciplines (e.g., neurosurgery, general surgery, surgical oncology, gynaecology, and urology). </t>
    </r>
    <r>
      <rPr>
        <b/>
        <sz val="9"/>
        <rFont val="Tahoma"/>
        <family val="2"/>
      </rPr>
      <t xml:space="preserve">See also: </t>
    </r>
    <r>
      <rPr>
        <sz val="9"/>
        <rFont val="Tahoma"/>
        <family val="2"/>
      </rPr>
      <t>Soft-tissue ultrasonic surgical system handpiece tip, single-use; Soft-tissue ultrasonic surgical system handpiece tip, reusable; Soft-tissue ultrasonic surgical system conducting unit, hand-controlled, reusable; Soft-tissue ultrasonic surgical system handpiece, hand-controlled, reusable; Soft-tissue ultrasonic surgical system handpiece, foot-controlled, reusable; Soft-tissue ultrasonic surgical system conducting unit, foot-controlled, reusable; Soft-tissue ultrasonic surgical system; Electrosurgical/ultrasonic surgical system generator; Electrosurgical/ultrasonic surgical system tester interface</t>
    </r>
  </si>
  <si>
    <r>
      <t xml:space="preserve">An assembly of devices used to extract subcutaneous fat from the body during liposuction, a procedure known as a lipectomy, typically performed for body contouring. The system generally consists of an electric-motor suction pump, a cannula, tubing, plastic/glass collection container(s), a vacuum gauge, a vacuum control knob, an overflow trap, and moisture and microbial filters. The pump creates a vacuum in the cannula which is inserted subcutaneously into the fat layer for the removal of adipose tissue (fat) into the collection container. All of the devices in the system that directly contact patient tissue (cannula, tubing, containers, and filters) are single-use. </t>
    </r>
    <r>
      <rPr>
        <b/>
        <sz val="9"/>
        <rFont val="Tahoma"/>
        <family val="2"/>
      </rPr>
      <t xml:space="preserve">See also: </t>
    </r>
    <r>
      <rPr>
        <sz val="9"/>
        <rFont val="Tahoma"/>
        <family val="2"/>
      </rPr>
      <t>Suction system bottle; Suction system canister, single-use; General-purpose suction system, line-powered; General-purpose suction system, pneumatic; General-purpose suction system, vacuum; Suction system canister/bottle holder; Suction system canister, reusable; Suction system canister liner; Radio-frequency fat liquefaction system</t>
    </r>
  </si>
  <si>
    <r>
      <t xml:space="preserve">A device with a pyramidal or conical distal tip used to puncture the body to create a pathway for the insertion of an endoscope and accessory instruments during minimally-invasive surgery, typically abdominal, gynaecological, urological, and thoracic procedures. It is typically a component of an endoscopic/endotherapy assembly or system. It is available in various sizes and may be used with a suitable trocar sleeve (cannula). This is a reusable device. </t>
    </r>
    <r>
      <rPr>
        <b/>
        <sz val="9"/>
        <rFont val="Tahoma"/>
        <family val="2"/>
      </rPr>
      <t xml:space="preserve">See also: </t>
    </r>
    <r>
      <rPr>
        <sz val="9"/>
        <rFont val="Tahoma"/>
        <family val="2"/>
      </rPr>
      <t>Laparoscopic trocar; Gallbladder trocar; Suprapubic trocar; Laparoscopic sleeve</t>
    </r>
  </si>
  <si>
    <r>
      <t xml:space="preserve">A sterile, manually-operated device intended to be used in combination with a compatible flexible endoscope (e.g., gastroscope, laparoscope) to mechanically approximate the edges of an internal wound or incision with sutures, typically during a gastrointestinal (GI) procedure. It is typically loaded with a needle/suture assembly and attached to the working end, or inserted through the working channel, of the endoscope. The device will also knot and cut the sutures as they are stitched; some types may also carry and/or knot a ligature. This is a single-use device. </t>
    </r>
    <r>
      <rPr>
        <b/>
        <sz val="9"/>
        <rFont val="Tahoma"/>
        <family val="2"/>
      </rPr>
      <t xml:space="preserve">See also: </t>
    </r>
    <r>
      <rPr>
        <sz val="9"/>
        <rFont val="Tahoma"/>
        <family val="2"/>
      </rPr>
      <t>Endoscopic suturing unit, reusable; Suture knot-tying device</t>
    </r>
  </si>
  <si>
    <r>
      <t xml:space="preserve">A sterile device used to create a pathway for the insertion of an endoscope and accessory instruments during minimally-invasive surgery, particularly in abdominal, gynaecological, urological, and thoracic procedures. It is typically designed as an integrated assembly, with or without a handle, that includes a bladeless, blunt, or dilating tip that gently moves aside internal viscera. It has a self-sealing port to minimize gas leakage during instrument insertion/withdrawal, and a stopcock valve for gas insufflation. Some types may have a clear optical tip providing visibility of the individual tissue layers during insertion. This is a single-use device. </t>
    </r>
    <r>
      <rPr>
        <b/>
        <sz val="9"/>
        <rFont val="Tahoma"/>
        <family val="2"/>
      </rPr>
      <t xml:space="preserve">See also: </t>
    </r>
    <r>
      <rPr>
        <sz val="9"/>
        <rFont val="Tahoma"/>
        <family val="2"/>
      </rPr>
      <t>Suprapubic trocar; Laparoscopic sleeve</t>
    </r>
  </si>
  <si>
    <r>
      <t xml:space="preserve">A dispensing device (e.g., a horn-shaped cup or holder, an irrigation bottle, or a device shaped like a tea pot with a bulbous tipped spout) used to apply a liquid treatment, usually a saline solution, directly to the nasal cavity via the nares, typically to clear and clean the mucous membrane and the nasal channels. Typically made of plastic or as a crockery vessel, the device may include a lid and separate base. It may be known as a nose horn because of its design or a Neti pot and is intended for home-use. This is a reusable device. </t>
    </r>
    <r>
      <rPr>
        <b/>
        <sz val="9"/>
        <rFont val="Tahoma"/>
        <family val="2"/>
      </rPr>
      <t xml:space="preserve">See also: </t>
    </r>
    <r>
      <rPr>
        <sz val="9"/>
        <rFont val="Tahoma"/>
        <family val="2"/>
      </rPr>
      <t>ENT applicator; ENT powder applicator; Nasal aspirator, manual; Nasal irrigation kit; Nasal aspirator, electric</t>
    </r>
  </si>
  <si>
    <r>
      <t xml:space="preserve">A sterile, non-steerable, flexible tube with an ultrasonic phased-array imaging transducer at its distal tip designed for intracardiac echocardiography to enable intracardiac and/or intraluminal visualization to assess cardiac anatomy and physiology, as well as visualization of other devices in the heart. It is introduced percutaneously and is typically over-the-wire (OTW) guided. It is connected to a compatible ultrasound system for transmission and display of the images. This is a single-use device. </t>
    </r>
    <r>
      <rPr>
        <b/>
        <sz val="9"/>
        <rFont val="Tahoma"/>
        <family val="2"/>
      </rPr>
      <t xml:space="preserve">See also: </t>
    </r>
    <r>
      <rPr>
        <sz val="9"/>
        <rFont val="Tahoma"/>
        <family val="2"/>
      </rPr>
      <t>Intravascular ultrasound imaging transducer, single-use; Peripheral vascular ultrasound catheter, non-steerable</t>
    </r>
  </si>
  <si>
    <r>
      <t xml:space="preserve">A sterile, steerable, flexible tube with an ultrasonic phased-array imaging transducer at its distal tip designed for intracardiac echocardiography to enable intracardiac and/or intraluminal visualization to assess cardiac anatomy and physiology, as well as visualization of other devices in the heart. It is introduced percutaneously with the distal tip actuated by the operator using controls at the proximal end to accommodate manoeuvring in the cardiac anatomy. It is connected to a compatible ultrasound system for transmission and display of the images. This is a single-use device. </t>
    </r>
    <r>
      <rPr>
        <b/>
        <sz val="9"/>
        <rFont val="Tahoma"/>
        <family val="2"/>
      </rPr>
      <t xml:space="preserve">See also: </t>
    </r>
    <r>
      <rPr>
        <sz val="9"/>
        <rFont val="Tahoma"/>
        <family val="2"/>
      </rPr>
      <t>Intravascular ultrasound imaging transducer, single-use; Peripheral vascular ultrasound catheter, steerable</t>
    </r>
  </si>
  <si>
    <r>
      <t xml:space="preserve">A collection of sterile devices and supplies designed to transfer several types of medical fluids (e.g., drugs, vaccines, blood, and solutions) between a first container(s) [e.g., a vial(s)] and a second container [e.g., an intravenous (IV) bag]. It is available in a variety of configurations and typically includes tubes, connectors, spike(s), syringes, and caps. This is a single-use device. </t>
    </r>
    <r>
      <rPr>
        <b/>
        <sz val="9"/>
        <rFont val="Tahoma"/>
        <family val="2"/>
      </rPr>
      <t xml:space="preserve">See also: </t>
    </r>
    <r>
      <rPr>
        <sz val="9"/>
        <rFont val="Tahoma"/>
        <family val="2"/>
      </rPr>
      <t>Continuous ambulatory peritoneal dialysis (CAPD) transfer set; Compounding transfer set; Medication transfer set; Basic intravenous administration set</t>
    </r>
  </si>
  <si>
    <r>
      <t xml:space="preserve">A sterile, flat, or three-dimensional (3-D), woven/knitted or porous implantable device made of a bioabsorbable synthetic polymer [e.g., polyglycolic acid (PGA), polycarbonate (PC), polyglycolide or carbon fibres] intended for multiple defective tissue repair applications at different anatomical zones (e.g., breast, cardiac, abdominal) that includes an extra-abdominal application(s) [e.g., cardiac, plastic surgery, breast reconstruction]. It may also be used as a short-term scaffold for tissue regeneration. Disposable devices associated with implantation may be included. </t>
    </r>
    <r>
      <rPr>
        <b/>
        <sz val="9"/>
        <rFont val="Tahoma"/>
        <family val="2"/>
      </rPr>
      <t xml:space="preserve">See also: </t>
    </r>
    <r>
      <rPr>
        <sz val="9"/>
        <rFont val="Tahoma"/>
        <family val="2"/>
      </rPr>
      <t>Abdominal hernia surgical mesh, composite-polymer; Multi-purpose surgical mesh, silk, bioabsorbable</t>
    </r>
  </si>
  <si>
    <r>
      <t xml:space="preserve">A sterile removable endpiece intended to be attached to an ultrasonic surgical system handpiece, and makes contact with a patient while oscillating (vibrating) at high frequency in order to fragment soft-tissue cells for cutting and/or coagulating tissue during surgery. The device comes in a variety of forms (e.g., blade, cylinder, pincers) and sizes, and is typically made of metal; it is not intended to be held directly (i.e., does not include a holder). This device is utilized in a variety of surgical disciplines (e.g., neurosurgery, general surgery, surgical oncology, gynaecology, and urology). This is a single-use device. </t>
    </r>
    <r>
      <rPr>
        <b/>
        <sz val="9"/>
        <rFont val="Tahoma"/>
        <family val="2"/>
      </rPr>
      <t xml:space="preserve">See also: </t>
    </r>
    <r>
      <rPr>
        <sz val="9"/>
        <rFont val="Tahoma"/>
        <family val="2"/>
      </rPr>
      <t>Ultrasonic surgical system generator; Soft-tissue ultrasonic surgical system handpiece tip, reusable; Soft-tissue ultrasonic surgical system conducting unit, hand-controlled, reusable; Soft-tissue ultrasonic surgical system handpiece, hand-controlled, reusable; Soft-tissue ultrasonic surgical system handpiece, foot-controlled, reusable; Soft-tissue ultrasonic surgical system conducting unit, foot-controlled, reusable</t>
    </r>
  </si>
  <si>
    <r>
      <t xml:space="preserve">A small device intended to reduce the sealing diameter of an existing laparoscopic sleeve seal, so laparoscopic instruments with smaller diameters can be introduced through the parent laparoscopic sleeve whilst maintaining a seal and inhibiting the leakage of insufflation media [e.g., carbon dioxide (CO2) gas]. It is intended to fit within the laparoscopic sleeve seal (fitted at the proximal end of the sleeve) when required throughout the laparoscopic surgical procedure. This is a single-use device. </t>
    </r>
    <r>
      <rPr>
        <b/>
        <sz val="9"/>
        <rFont val="Tahoma"/>
        <family val="2"/>
      </rPr>
      <t xml:space="preserve">See also: </t>
    </r>
    <r>
      <rPr>
        <sz val="9"/>
        <rFont val="Tahoma"/>
        <family val="2"/>
      </rPr>
      <t>Laparoscopic sleeve; Laparoscopic sleeve seal, single-use; Laparoscopic sleeve seal, reusable</t>
    </r>
  </si>
  <si>
    <r>
      <t xml:space="preserve">A non-sterile substance or material intended to be applied to the skin/external mucosa (e.g., lips) to provide a protective moisture barrier to the external environment and/or to soften and sooth the skin. It is typically used for conditions such as dry, itchy, irritated, flaky, cracked, or denuded skin, or herpetic skin lesions. It may be intended for sensitive areas (e.g., areolar, perianal, lips, ears) and/or for extremely dry skin and deep fissures (e.g., on the feet). It is available in a variety of forms including cream, paste, ointment, gel, foam, or aerosol, and may include a disposable applicator. After application, this device cannot be reused. </t>
    </r>
    <r>
      <rPr>
        <b/>
        <sz val="9"/>
        <rFont val="Tahoma"/>
        <family val="2"/>
      </rPr>
      <t xml:space="preserve">See also: </t>
    </r>
    <r>
      <rPr>
        <sz val="9"/>
        <rFont val="Tahoma"/>
        <family val="2"/>
      </rPr>
      <t>Secretion/excreta skin cleanser; Skin osmotic dressing, non-sterile</t>
    </r>
  </si>
  <si>
    <r>
      <t xml:space="preserve">A sterile, steerable, flexible tube containing multiple electrodes that is introduced percutaneously into the heart chambers in order to transmit electrical impulses for electrophysiological diagnostic examinations, e.g., intracardiac sensing, endocardial recording, stimulation, temporary pacing for evaluation of cardiac arrhythmias, cardioversion (CV) of electrical arrhythmias or electrophysiology (EP) mapping of cardiac structures. It is typically made of plastic with embedded electrodes often of platinum (Pt), iridium, or a composite. This is a single-use device. </t>
    </r>
    <r>
      <rPr>
        <b/>
        <sz val="9"/>
        <rFont val="Tahoma"/>
        <family val="2"/>
      </rPr>
      <t xml:space="preserve">See also: </t>
    </r>
    <r>
      <rPr>
        <sz val="9"/>
        <rFont val="Tahoma"/>
        <family val="2"/>
      </rPr>
      <t>Cardiac mapping system workstation; Cardioversion switchbox; Electrocardiographic lead/catheter adaptor; Cardiac mapping/radio-frequency ablation catheter, single-use; Cardiac mapping system; Cardiac mapping catheter, percutaneous, reprocessed; Atrial cardioversion system catheter</t>
    </r>
  </si>
  <si>
    <r>
      <t xml:space="preserve">A sterile, steerable, flexible tube containing multiple electrodes that is introduced percutaneously into the heart chambers in order to transmit electrical impulses for electrophysiological diagnostic examinations, e.g., intracardiac sensing, endocardial recording, stimulation, temporary pacing for evaluation of cardiac arrhythmias and cardioversion (CV), and electrophysiology (EP) mapping. It is typically made of plastic with embedded electrodes often of platinum (Pt), iridium, or a composite. This is a single-use device that has previously been used on a patient and has been subjected to additional processing and manufacturing for an additional single-use patient application. </t>
    </r>
    <r>
      <rPr>
        <b/>
        <sz val="9"/>
        <rFont val="Tahoma"/>
        <family val="2"/>
      </rPr>
      <t xml:space="preserve">See also: </t>
    </r>
    <r>
      <rPr>
        <sz val="9"/>
        <rFont val="Tahoma"/>
        <family val="2"/>
      </rPr>
      <t>Cardiac mapping system workstation; Cardioversion switchbox; Electrocardiographic lead/catheter adaptor; Cardiac mapping/radio-frequency ablation catheter, single-use; Cardiac mapping system; Cardiac mapping catheter, percutaneous, single-use; Atrial cardioversion system catheter</t>
    </r>
  </si>
  <si>
    <r>
      <t xml:space="preserve">A noninvasive, insulated, electrical cord designed to enable an electrical connection between a pair of medical devices (e.g., to connect an electrical catheter to a parent device); it does not contact the patient directly nor does it connect directly to patient-worn electrodes (i.e., it is not a lead). It transmits power and/or signal (data) and includes a connector (plug) at both ends; it does not generate power/signal and is not intended to be used as a mains power cable. It is manufactured to medical grade standards for use in healthcare facilities or the home. This is a single-use device previously used that has been reprocessed for an additional single-use patient application. </t>
    </r>
    <r>
      <rPr>
        <b/>
        <sz val="9"/>
        <rFont val="Tahoma"/>
        <family val="2"/>
      </rPr>
      <t xml:space="preserve">See also: </t>
    </r>
    <r>
      <rPr>
        <sz val="9"/>
        <rFont val="Tahoma"/>
        <family val="2"/>
      </rPr>
      <t>Mechanical atherectomy system catheter, coronary; Cardiac mapping system; Cardiac mapping catheter, percutaneous, single-use; Cardiac mapping catheter, percutaneous, reprocessed</t>
    </r>
  </si>
  <si>
    <r>
      <t xml:space="preserve">A small, hand-held, manually-operated, sterile device designed to assist with the location of the subcutaneous injection port of an implanted tissue expander prior to the insertion of a filling needle into the port in order to fill the tissue expander with, e.g., saline. It is moved over the surface of the skin at the point where the concealed injection site is situated and an indicator, e.g., a small magnet, reacts to the metal material of the port, indicating where it is located. Repetition of this locating process on several axes provides the exact location of the injection site. This is a single-use device. </t>
    </r>
    <r>
      <rPr>
        <b/>
        <sz val="9"/>
        <rFont val="Tahoma"/>
        <family val="2"/>
      </rPr>
      <t xml:space="preserve">See also: </t>
    </r>
    <r>
      <rPr>
        <sz val="9"/>
        <rFont val="Tahoma"/>
        <family val="2"/>
      </rPr>
      <t>Tissue expander; Tissue expander injection port</t>
    </r>
  </si>
  <si>
    <r>
      <t xml:space="preserve">A small, sterile, threaded rod with a slotted head typically used for internal orthopaedic fracture fixation by being screwed into bone to hold plates or nails to bone or to provide direct interfragmentary stabilization of bone, or it may fasten soft tissue to bone; it is made of a material that cannot be chemically degraded or absorbed via natural body processes (includes implant grade metal such as surgical steel, titanium alloy, or carbon fibre). There are a number of kinds available: cortical, cancellous, malleolar, scaphoid, partially-threaded and fully-threaded, self-tapping, and cannulated. A "lag screw" can be any of these used to obtain compression across bone fragments. </t>
    </r>
    <r>
      <rPr>
        <b/>
        <sz val="9"/>
        <rFont val="Tahoma"/>
        <family val="2"/>
      </rPr>
      <t xml:space="preserve">See also: </t>
    </r>
    <r>
      <rPr>
        <sz val="9"/>
        <rFont val="Tahoma"/>
        <family val="2"/>
      </rPr>
      <t>Orthopaedic bone screw starter/notcher; Orthopaedic bone screw, bioabsorbable; Orthopaedic fixation plate, non-bioabsorbable, sterile; Orthopaedic fixation plate kit, non-bioabsorbable, sterile; Cranioplasty plate screw; Spiral blade</t>
    </r>
  </si>
  <si>
    <r>
      <t xml:space="preserve">A rigid, surgical instrument with a sharp pyramidal or conical point designed for percutaneous puncture of the abdominal wall to provide access to the abdominal cavity. It is usually assembled and used together with a compatible cannula or catheter to fill their lumen and provide them with a sharp point, thereby facilitating the introduction of this assembly. The trocar is withdrawn after puncturing, providing a working channel to the abdominal cavity. It is typically available for use with a cannula, catheter, and/or tube to perform a procedure such as the percutaneous drainage of ascites. This is a reusable device. </t>
    </r>
    <r>
      <rPr>
        <b/>
        <sz val="9"/>
        <rFont val="Tahoma"/>
        <family val="2"/>
      </rPr>
      <t xml:space="preserve">See also: </t>
    </r>
    <r>
      <rPr>
        <sz val="9"/>
        <rFont val="Tahoma"/>
        <family val="2"/>
      </rPr>
      <t>Endotherapy trocar, reusable; Laparoscopic trocar; Gallbladder trocar; Suprapubic trocar; Endotherapy trocar, single-use; Endotherapy trocar, reprocessed</t>
    </r>
  </si>
  <si>
    <r>
      <t xml:space="preserve">A substance containing one enzymatic ingredient (e.g., protease) as its active agent to remove organic matter (e.g., blood, mucus, faeces) from reusable medical/surgical instruments (e.g., specula, forceps, endoscopes) or general laboratory equipment during cleaning of the devices prior to sterilization. The substance may be used for manual cleaning, in an ultrasonic water bath, or in an automated instrument washer/reprocessor. After application, this device cannot be reused. </t>
    </r>
    <r>
      <rPr>
        <b/>
        <sz val="9"/>
        <rFont val="Tahoma"/>
        <family val="2"/>
      </rPr>
      <t xml:space="preserve">See also: </t>
    </r>
    <r>
      <rPr>
        <sz val="9"/>
        <rFont val="Tahoma"/>
        <family val="2"/>
      </rPr>
      <t>Ultrasonic water bath detergent; Surgical instrument maintenance lubricant; Instrument cleaning agent; Multiple-enzyme device detergent; Dental instrument cleaning agent; Instrument rinsing agent; Instrument anti-oxidation agent</t>
    </r>
  </si>
  <si>
    <r>
      <t xml:space="preserve">A collection of sterile, flexible, double-bore tubing, and associated items (typically includes clamps, filters, spikes, and connectors), used as twin conduits in a surgical irrigation/aspiration system to deliver irrigation solution to a surgical field through one bore and provide aspiration (suction) through the other during a surgical procedure (e.g., tissue/bone morcellation, ENT, neuro and general surgery). The tubing is made of synthetic material and is of a fixed diameter that may be specific to the requirements of the clinical application for which it is intended. This is a single-use device. </t>
    </r>
    <r>
      <rPr>
        <b/>
        <sz val="9"/>
        <rFont val="Tahoma"/>
        <family val="2"/>
      </rPr>
      <t xml:space="preserve">See also: </t>
    </r>
    <r>
      <rPr>
        <sz val="9"/>
        <rFont val="Tahoma"/>
        <family val="2"/>
      </rPr>
      <t>ENT irrigation/aspiration pump; Surgical irrigation/aspiration system pump; Surgical irrigation/aspiration system; Surgical irrigation/aspiration handpiece, reusable</t>
    </r>
  </si>
  <si>
    <r>
      <t xml:space="preserve">A hand-held surgical tubular device designed to hold (grip) an implant (e.g., an orthopaedic bone screw) and/or facilitate the acceptance of an orthopaedic instrument through it (e.g., a screwdriver or a smaller diameter sleeve). Its function is to rigidly couple an implant to an instrument to guide and stabilize an instrument/implant, and/or to protect the surgeon's gloved hand and patient tissue, while the surgeon performs manipulations (e.g., rotates the screw for fixation with the surgical instrument) during an orthopaedic procedure. It is typically made of high-grade stainless steel and/or synthetic materials and is available in various sizes and lengths. This is a reusable device. </t>
    </r>
    <r>
      <rPr>
        <b/>
        <sz val="9"/>
        <rFont val="Tahoma"/>
        <family val="2"/>
      </rPr>
      <t xml:space="preserve">See also: </t>
    </r>
    <r>
      <rPr>
        <sz val="9"/>
        <rFont val="Tahoma"/>
        <family val="2"/>
      </rPr>
      <t>Surgical drill guide, reusable; Orthopaedic implant aiming/guiding block; Orthopaedic implant aiming arm; Orthopaedic reamer guide</t>
    </r>
  </si>
  <si>
    <r>
      <t xml:space="preserve">A sterile woven/knitted or porous material made of non-bioabsorbable synthetic polymer (e.g., polypropylene) intended to be permanently implanted (via transobturator, transvaginal, retropubic or suprapubic approach) to support the urethra for the treatment of female stress urinary incontinence (SUI), resulting from urethral hypermobility and/or intrinsic sphincter deficiency (ISD). It typically includes an integral adjustment suture which may contain bioabsorbable polymer materials. It may be referred to as a sling, tape, or subfascial hammock, and may be pre-configured or cut to a desired size/shape. Disposable devices associated with implantation (e.g., needles, sheaths) may be included. </t>
    </r>
    <r>
      <rPr>
        <b/>
        <sz val="9"/>
        <rFont val="Tahoma"/>
        <family val="2"/>
      </rPr>
      <t xml:space="preserve">See also: </t>
    </r>
    <r>
      <rPr>
        <sz val="9"/>
        <rFont val="Tahoma"/>
        <family val="2"/>
      </rPr>
      <t>Visceral retainer; Transobturator needle, reusable</t>
    </r>
  </si>
  <si>
    <r>
      <t xml:space="preserve">A compound or solution intended to be topically applied to the surface of a wart for its eventual removal after repeated applications. As an active ingredient it may include acid (e.g., formic acid) for drying warts, or plant extracts (e.g., oils, resins) for wart necrosis; some types may also protect the surrounding skin from further infection during treatment and/or be intended to treat hard skin and corns. It is normally available [non-prescription] over-the-counter (OTC). After application, this device cannot be reused. </t>
    </r>
    <r>
      <rPr>
        <b/>
        <sz val="9"/>
        <rFont val="Tahoma"/>
        <family val="2"/>
      </rPr>
      <t xml:space="preserve">See also: </t>
    </r>
    <r>
      <rPr>
        <sz val="9"/>
        <rFont val="Tahoma"/>
        <family val="2"/>
      </rPr>
      <t>Wart-removal cryogenic kit; Molluscum contagiosum treatment solution</t>
    </r>
  </si>
  <si>
    <r>
      <t xml:space="preserve">A mains electricity-powered (AC-powered) device designed to provide high frequency electrical current to power connected electrosurgical diathermy instruments (create heat within tissues) and ultrasonic surgical instruments (rapidly vibrate tissues), enabling a combination of methods to cut and/or coagulate tissues during open or laparoscopic surgery; the instruments are not included. The device may be used for various types of surgery (e.g., general, gynaecological, plastic); it is typically regulated by the operator with a hand- or foot-switch. </t>
    </r>
    <r>
      <rPr>
        <b/>
        <sz val="9"/>
        <rFont val="Tahoma"/>
        <family val="2"/>
      </rPr>
      <t xml:space="preserve">See also: </t>
    </r>
    <r>
      <rPr>
        <sz val="9"/>
        <rFont val="Tahoma"/>
        <family val="2"/>
      </rPr>
      <t>Electrosurgical system generator; Ultrasonic surgical system generator; Electrosurgical/ultrasonic surgical system tester interface</t>
    </r>
  </si>
  <si>
    <r>
      <t xml:space="preserve">A copy of a final femoral head prosthesis designed to be used for trial reductions during hip arthroplasty to judge the correct size, and to help achieve the desired offset, leg-length, and range of motion of the final prosthesis to be implanted. It is one of a set of hip trial prostheses that match the different anatomical structures of the hip joint, and is used in conjunction with femoral stem trial or final prostheses; some may be used with explantation instruments during removal of implanted acetabulum cups. It is typically made of metal or polymer material and includes trial adapters used with large trial heads. This is a reusable device intended to be sterilized prior to use. </t>
    </r>
    <r>
      <rPr>
        <b/>
        <sz val="9"/>
        <rFont val="Tahoma"/>
        <family val="2"/>
      </rPr>
      <t xml:space="preserve">See also: </t>
    </r>
    <r>
      <rPr>
        <sz val="9"/>
        <rFont val="Tahoma"/>
        <family val="2"/>
      </rPr>
      <t>Acetabulum trial prosthesis, reusable; Femoral stem trial prosthesis</t>
    </r>
  </si>
  <si>
    <r>
      <t xml:space="preserve">A copy of a final acetabular cup prosthesis designed to be used for trial reductions during hip arthroplasty to judge the correct size and position of the final acetabular prosthesis to be implanted. It is one of a set of trial hip prostheses that match the different anatomical structures of the hip joint. It is typically made of metal or polymer material and may be designed in the form of cages, shells or inserts. This is a reusable device intended to be sterilized prior to use. </t>
    </r>
    <r>
      <rPr>
        <b/>
        <sz val="9"/>
        <rFont val="Tahoma"/>
        <family val="2"/>
      </rPr>
      <t xml:space="preserve">See also: </t>
    </r>
    <r>
      <rPr>
        <sz val="9"/>
        <rFont val="Tahoma"/>
        <family val="2"/>
      </rPr>
      <t>Femoral head trial prosthesis; Femoral stem trial prosthesis</t>
    </r>
  </si>
  <si>
    <r>
      <t xml:space="preserve">A sterile surgical instrument intended to be placed intraoperatively in a surgically-prepared mammary pocket to provide a volume measurement for the appropriate selection of a breast implant (mammary prosthesis). The device is typically composed of a silicone rubber shell with a single lumen, filled with a fixed amount of silicone gel, which is placed in the pocket and then removed. The sizer may vary in shape, profile, and volume. This is a reusable device intended to be resterilized between patient applications. </t>
    </r>
    <r>
      <rPr>
        <b/>
        <sz val="9"/>
        <rFont val="Tahoma"/>
        <family val="2"/>
      </rPr>
      <t xml:space="preserve">See also: </t>
    </r>
    <r>
      <rPr>
        <sz val="9"/>
        <rFont val="Tahoma"/>
        <family val="2"/>
      </rPr>
      <t>Invasive breast implant sizer, single-use; Noninvasive breast implant sizer</t>
    </r>
  </si>
  <si>
    <r>
      <t xml:space="preserve">A sterile device designed for temporary subcutaneous implantation and intended to be used to inflate an implanted inflatable tissue expander by percutaneous injection of fluids (e.g., saline) typically over multiple filling sessions. It consists of an auto-sealing port for needle puncture and a tube connector for attachment to the tissue expander. It is available in a variety of designs. This is a single-use device. </t>
    </r>
    <r>
      <rPr>
        <b/>
        <sz val="9"/>
        <rFont val="Tahoma"/>
        <family val="2"/>
      </rPr>
      <t xml:space="preserve">See also: </t>
    </r>
    <r>
      <rPr>
        <sz val="9"/>
        <rFont val="Tahoma"/>
        <family val="2"/>
      </rPr>
      <t>Tissue expander; Tissue expander injection port locator</t>
    </r>
  </si>
  <si>
    <r>
      <t xml:space="preserve">A sterile, flat or three-dimensional (3-D), woven/knitted or porous material made of one or more non-bioabsorbable synthetic polymers [e.g., polypropylene, polyethylene (PE)] intended to be permanently implanted for abdominal hernia (e.g., inguinal, ventral/incisional, umbilical, femoral) and fascial defect repair applications; it is not intended for extra-abdominal applications and not dedicated to diaphragmatic hernia repair. It is typically available with various material attributes and may be pre-configured or cut to a desired size/shape. Disposable devices associated with implantation (e.g., introducer needles, trocars) may be included. </t>
    </r>
    <r>
      <rPr>
        <b/>
        <sz val="9"/>
        <rFont val="Tahoma"/>
        <family val="2"/>
      </rPr>
      <t xml:space="preserve">See also: </t>
    </r>
    <r>
      <rPr>
        <sz val="9"/>
        <rFont val="Tahoma"/>
        <family val="2"/>
      </rPr>
      <t>Abdominal hernia surgical mesh, composite-polymer; Stoma support ring</t>
    </r>
  </si>
  <si>
    <r>
      <t xml:space="preserve">A sterile assembly of implantable devices designed for the stabilization of fractured/surgically-cut bones of the limbs (long bones), their appendages (hands, feet), pelvis, craniomaxillofacial bones, and/or for limb-joint fusion. It typically consists of a set of bone fixation plates, screws, wires, and pins made of materials that cannot be chemically degraded or absorbed via natural body processes (e.g., implant grade metal, surgical steel, titanium alloy, or carbon fibre). It may also include instruments for the attachment of the implants such as screwdrivers or drills. </t>
    </r>
    <r>
      <rPr>
        <b/>
        <sz val="9"/>
        <rFont val="Tahoma"/>
        <family val="2"/>
      </rPr>
      <t xml:space="preserve">See also: </t>
    </r>
    <r>
      <rPr>
        <sz val="9"/>
        <rFont val="Tahoma"/>
        <family val="2"/>
      </rPr>
      <t>Antimicrobial orthopaedic bone pin/wire sleeve; Hip internal fixation system; Orthopaedic bone pin, non-bioabsorbable; External orthopaedic fixation system, reusable; Orthopaedic bone wire; Surgical screwdriver, reusable; Craniofacial bone wire/bar; Internal orthopaedic fixation system, plate/screw, bioabsorbable; Orthopaedic fixation plate, non-bioabsorbable, sterile; Orthopaedic bone screw, non-bioabsorbable, sterile; Craniofacial bone screw, non-bioabsorbable, sterile; Craniofacial fixation plate, non-bioabsorbable; Spinal bone screw, non-bioabsorbable; Spinal fixation plate, non-bioabsorbable; Craniofacial bone tack, non-bioabsorbable</t>
    </r>
  </si>
  <si>
    <r>
      <t xml:space="preserve">A non-sterile assembly of implantable devices designed for the stabilization of fractured/surgically-cut bones of the limbs (long bones), their appendages (hands, feet), pelvis, craniomaxillofacial bones, and/or for limb-joint fusion. It typically consists of a set of bone fixation plates, screws, wires, and pins made of materials that cannot be chemically degraded or absorbed via natural body processes (e.g., implant grade metal, surgical steel, titanium alloy, or carbon fibre). It may also include instruments for the attachment of the implants such as screwdrivers or drills. This device is intended to be sterilized prior to use. </t>
    </r>
    <r>
      <rPr>
        <b/>
        <sz val="9"/>
        <rFont val="Tahoma"/>
        <family val="2"/>
      </rPr>
      <t xml:space="preserve">See also: </t>
    </r>
    <r>
      <rPr>
        <sz val="9"/>
        <rFont val="Tahoma"/>
        <family val="2"/>
      </rPr>
      <t>Antimicrobial orthopaedic bone pin/wire sleeve; Hip internal fixation system; Orthopaedic bone pin, non-bioabsorbable; External orthopaedic fixation system, reusable; Orthopaedic bone wire; Surgical screwdriver, reusable; Craniofacial bone wire/bar; Internal orthopaedic fixation system, plate/screw, bioabsorbable; Orthopaedic fixation plate, non-bioabsorbable, sterile; Orthopaedic bone screw, non-bioabsorbable, sterile; Craniofacial bone screw, non-bioabsorbable, sterile; Craniofacial fixation plate, non-bioabsorbable; Spinal bone screw, non-bioabsorbable; Spinal fixation plate, non-bioabsorbable; Craniofacial bone tack, non-bioabsorbable</t>
    </r>
  </si>
  <si>
    <r>
      <t xml:space="preserve">A sterile, flexible, steerable catheter intended to be used as part of a radio-frequency cardiac ablation system to apply radio-frequency alternating current to ablate areas of the endocardium of a beating heart in the treatment of cardiac arrhythmias; it is typically also intended to transmit electrical pacing stimuli to, and electrical responses from, the heart for electrophysiological (EP) mapping. It is intended to be introduced into the heart via venous access (e.g., femoral vein) and may contain monopolar and/or bipolar ablation electrodes. This is a single-use device. </t>
    </r>
    <r>
      <rPr>
        <b/>
        <sz val="9"/>
        <rFont val="Tahoma"/>
        <family val="2"/>
      </rPr>
      <t xml:space="preserve">See also: </t>
    </r>
    <r>
      <rPr>
        <sz val="9"/>
        <rFont val="Tahoma"/>
        <family val="2"/>
      </rPr>
      <t>Cardiac mapping/endocardial-injection catheter; Cardiac mapping system; Cardiac mapping catheter, percutaneous, single-use; Cardiac radio-frequency ablation system</t>
    </r>
  </si>
  <si>
    <r>
      <t xml:space="preserve">A sterile, powered, rotational, cutting device designed for use in an arthroscopic shaver system handpiece for soft and bone tissue resection during arthroscopic surgery on a joint, e.g., a knee, shoulder, or ankle. It is locked into a handpiece, and typically consists of a small outer tube with a hub and a rotating inner tube with a connector. The inner and outer tubes are typically made of high-grade stainless steel; the hub and connector may be made of stainless steel or a polymer [e.g., polyphenylsulfone (PPSU)]. This is a previously used single-use device that has been processed for an additional single-use patient application. </t>
    </r>
    <r>
      <rPr>
        <b/>
        <sz val="9"/>
        <rFont val="Tahoma"/>
        <family val="2"/>
      </rPr>
      <t xml:space="preserve">See also: </t>
    </r>
    <r>
      <rPr>
        <sz val="9"/>
        <rFont val="Tahoma"/>
        <family val="2"/>
      </rPr>
      <t>Arthroscopic shaver system, line-powered; Arthroscopic shaver system, pneumatic</t>
    </r>
  </si>
  <si>
    <r>
      <t xml:space="preserve">A non-sterile, inflatable device in the form of a stocking, sleeve, or suit intended to be applied to the limbs externally to promote venous blood flow. As part of a compression system, the device applies pressure to the extremities through the intermittent inflation of a single-chamber. The resulting increased venous blood flow may help to treat/prevent oedema, deep vein thrombosis (DVT) and pulmonary embolism (PE) in non-ambulatory patients or patients at risk. This is a previously used single-use device that has been processed for an additional single-use patient application. </t>
    </r>
    <r>
      <rPr>
        <b/>
        <sz val="9"/>
        <rFont val="Tahoma"/>
        <family val="2"/>
      </rPr>
      <t xml:space="preserve">See also: </t>
    </r>
    <r>
      <rPr>
        <sz val="9"/>
        <rFont val="Tahoma"/>
        <family val="2"/>
      </rPr>
      <t>Intermittent venous compression system; Intermittent venous compression system pump</t>
    </r>
  </si>
  <si>
    <r>
      <t xml:space="preserve">A sterile, steerable, flexible tube with an ultrasonic phased-array imaging transducer at its distal tip designed for intracardiac echocardiography to enable intracardiac and/or intraluminal visualization to assess cardiac anatomy and physiology, as well as visualization of other devices in the heart. It is introduced percutaneously with the distal tip actuated by the operator using controls at the proximal end to accommodate manoeuvring in the cardiac anatomy. It is connected to a compatible ultrasound system for transmission and display of the images. This is a previously used single-use device that has been processed for an additional single-use patient application. </t>
    </r>
    <r>
      <rPr>
        <b/>
        <sz val="9"/>
        <rFont val="Tahoma"/>
        <family val="2"/>
      </rPr>
      <t xml:space="preserve">See also: </t>
    </r>
    <r>
      <rPr>
        <sz val="9"/>
        <rFont val="Tahoma"/>
        <family val="2"/>
      </rPr>
      <t>Intravascular ultrasound imaging transducer, single-use; Peripheral vascular ultrasound catheter, steerable</t>
    </r>
  </si>
  <si>
    <t>GMDN MATCH</t>
  </si>
  <si>
    <t>A thin, flexible tube designed to inject a contrast medium into select blood vessels of the cerebral, visceral, or peripheral vasculature during an angiographic procedure in order to facilitate the clear visualization of the vascular system of a targeted organ or area of the body. It is introduced percutaneously, has a radiopaque marker(s) for positioning, and may include disposable devices dedicated to catheter introduction/function [e.g., sheath(s)]. It may also be used for simultaneous pressure measurements to determine the transvalvular, intravascular, and intraventricular pressure gradients. This is a single-use device.</t>
  </si>
  <si>
    <t>A sterile bioabsorbable device made of synthetic material intended to be implanted into the body to provide osteoconductive bone-tissue scaffolds, and sometimes osteovascularization, to replace bone lost through trauma, surgery, or pathological conditions (e.g., osteoporosis). It may be made of ceramics (e.g., tricalcium phosphate or hydroxyapatite), bioactive glasses/minerals/metals (e.g., strontium), or bioabsorbable polymers. It is used to fill cystic defects, repair fractures, and/or extend autogenous bone grafts and is typically provided as cancellous blocks, chips, or granules of varying sizes, or mouldable/fluid materials.</t>
  </si>
  <si>
    <t>A heavy-duty, hand-held manual surgical instrument with sturdy handles and blade-like jaws designed to cut orthopaedic wires, cerclages, and small diameter pins or bolts. It has a scissors-like lever action with straight or curved handles and is made of high-grade stainless steel. It is available in various sizes and the cutting blades (typically short, strong and with obtuse cutting edges) at the working end are activated through a single or double-jointed pivot that transfers the necessary shearing/cutting force. Commonly known as wire cutting pliers the blades can have a side or front cutting action; some may have carbide inserts for greater durability. This is a reusable device.</t>
  </si>
  <si>
    <t>A surgical instrument with specially designed sturdy blades used to grip, tighten and/or twist wires that are being applied to the patient during a surgical intervention. It typically has a scissors-like design with ring handles, is made of high-grade stainless steel and may be self-retaining. It is available in various sizes and the working end can have a variety of jaw designs, e.g., typically short and broad with carbide inserts, but some may be long with side protruding posts around which the loose end of the wire are secured to provide greater grip. The blades/handles are typically strong in profile. This is a reusable device.</t>
  </si>
  <si>
    <t>An implantable device intended to be used for primary or secondary closure/repair of the sternum, typically following sternotomy or fracture of the sternum, to stabilize the sternum and promote fusion. It may consist of a single or multiple component(s) (e.g., plates, pins, clips, cables, and/or locking screws) made of metal [e.g., titanium (Ti), stainless steel, nickel-titanium alloy (Nitinol)]. Dedicated implantation tools may be included.</t>
  </si>
  <si>
    <t>A sterile device designed to replace the entire femoral component of a total hip prosthesis implanted during replacement of the total hip prosthesis typically due to wear. The revision device is composed of two or more separate segments (e.g., femoral head, neck, stem, and extensions) designed to be joined (modular) and is coated with a material (e.g., porous materials, hydroxyapatite) intended to improve fixation and stability by promoting bone ingrowth. The device may be made of metal and/or ceramic materials. Fixation devices for implantation (e.g., screws and bolts) may be included and implantation may be performed with or without bone cement.</t>
  </si>
  <si>
    <t>A hand-held tubular surgical device designed to simultaneously place, angle, and guide a rotating surgical drill on hard tissue (e.g., bone), and to protect the surrounding soft tissue while the drill is in operation. It may have serrations at its distal end to enable firm placement on hard tissue surfaces (it is not bored into the tissue); it can have a handle at its proximal end for holding and manipulation, or it may be held by another device (e.g., orthopaedic jig). The device is typically dedicated to drill size, is made of high-grade stainless steel, and may have graduations along its length; it is not custom-made for a specific patient. This is a reusable device.</t>
  </si>
  <si>
    <t>A wire intended for the fixation of bone fractures that may be implanted or used short-term (e.g., to hold a plate in the correct position during an intervention). It may be used: 1) as a cerclage wire to aid bone fixation; 2) in a loop or figure-of-eight configuration to reattach, e.g., the tip of the elbow (olecranon), tibial tubercle, or greater trochanter; 3) to augment bone screw/plate fixation; or 4) as a Kirschner wire or K-Wire to stiffen (arthrodese) a toe or finger. It is made of metal [e.g., stainless steel, cobalt-chrome (Co-Cr)], and may be malleable or rigid; some types include a nut designed to be attached to the wire to prevent wire migration. This is a single-use device.</t>
  </si>
  <si>
    <t>A metallic surgical instrument for approximating the edges of a wound to facilitate the placement of sutures. This is a single-use device.</t>
  </si>
  <si>
    <t>A sterile container designed to collect bone debris created by sawing, reaming, drilling, or rasping procedures during orthopaedicsurgery. It helps to prevent particulate bone within the joint area as this is likely to result in more hypertrophic bone being formed which could result in loss of movement postoperatively. This is a single-use device.</t>
  </si>
  <si>
    <t>A device used as a component of a lower limb external prosthesis to substitute for some of the functions of the hip joint. This device is used as part of a lower limb prosthetic system.</t>
  </si>
  <si>
    <t>A hand-held manual surgical instrument with blades designed to grasp and manipulate surgical implants/devices during implantation; it is not intended for use on soft tissues. It has a scissors-like, self-retaining design with ring handles, is made of high-grade stainless steel and is available in various sizes. This is a reusable device.</t>
  </si>
  <si>
    <t>A sterile shaft of metal with an obtuse, V-shaped cutting edge designed to be rotated to bore into bone to create a hole of the same dimension as the diameter of the shaft. This device, commonly called a "twist drill", has a cylindrical design with a double-edged cutting head that is formed from two spiralled flutes that extend the length of the insertion part of the drill. At the proximal end, it is mounted into a surgical power tool or a surgical hand drill/brace. It is typically made of high-grade stainless steel and is available in various sizes. This is a single-use device.</t>
  </si>
  <si>
    <t>A hand-held manual surgical instrument with sturdy handles and blade-like jaws designed to distract (force apart) two bone surfaces to enable a surgical procedure, e.g., two vertebrae during a spinal surgical intervention. It has a scissors-like lever action with straight or curved handles and is typically made of high-grade stainless steel. It is available in various sizes with the distraction blades at the working end which are activated through a single or double-jointed pivot that transfers the necessary force to create distraction; the blades are typically short and slender to fit between bone segments or pre-implanted pedicle screws. This is a reusable device.</t>
  </si>
  <si>
    <t>A noninvasive, hand-held, battery-powered unit intended to deliver a low-level electric current to break the connection between a vascular (neurovascular or peripheral) implantable device, and its deployment device (i.e., implant inserter or delivery wire) via an electrolytic reaction. It is intended to connect to the proximal end of an appropriate implant inserter (delivery wire) which conducts the current to the desired electrically unstable detachment point. This is a reusable device.</t>
  </si>
  <si>
    <t>An assembly of non-sterile implantable devices intended to provide immobilization and stabilization of spinal segments in the treatment of various spinal instabilities or deformities, also used as an adjunct to spinal fusion [e.g., for degenerative disc disease (DDD)]. Otherwise known as a pedicle screw instrumentation system, it typically consists of a combination of anchors (e.g., bolts, hooks, pedicle screws or other types), interconnection mechanisms (incorporating nuts, screws, sleeves, or bolts), longitudinal members (e.g., plates, rods, plate/rod combinations), and/or transverse connectors. Non-sterile disposable devices associated with implantation may be included.</t>
  </si>
  <si>
    <t>A copy of a final reverse shoulder prosthesis cup designed to be used before primary or revision implant surgery to validate the proper size of the permanent prosthesis required by the patient and to ensure its proper orientation and positioning. It connects to a reverse shoulder prosthesis body and articulates with a reverse shoulder prosthesis head and is typically made of metal and/or polymer. This is a reusable device intended to be sterilized prior to use.</t>
  </si>
  <si>
    <t>A copy of a final humeral stem prosthesis designed to be used before primary or revision implant surgery to validate the proper size of the permanent prosthesis required by the patient and to ensure its proper orientation and positioning. It is typically made of metal and/or polymer. This is a reusable device intended to be sterilized prior to use.</t>
  </si>
  <si>
    <t>A copy of a final reverse shoulder prosthesis head designed to be used before primary or revision implant surgery to validate the proper size of the permanent prosthesis required by the patient and to ensure its proper orientation and positioning. It is hemisphere-shaped (glenosphere) and typically made of metal and/or polymer. This is a reusable device intended to be sterilized prior to use.</t>
  </si>
  <si>
    <t>An assembly of orthopaedic devices designed to immobilize the cervical spine (the bones in the neck) after an injury or surgery, to protect the bones from damaging movement during the healing processes. Commonly known as a Halo vest, it typically consists of a ring(s) around the head (the halo) which is attached to the skull with threaded bolts, a special padded vest/harness, four rods with locking mechanisms connecting the head ring to the vest, together with the appropriate instrumentation. This device may be made of ferrous or non-ferromagnetically active materials [to allow magnetic resonance imaging (MRI)], and is available in various sizes. This is a single-use device.</t>
  </si>
  <si>
    <t>A sterile implantable component of a reverse shoulder prosthesis that consists of a metal plate [e.g., titanium (Ti), cobalt-chrome (Co-Cr), stainless steel] intended to be firmly attached to the scapula with screws. It is intended to serve as the foundation for the reverse shoulder prosthesis head (glenosphere).</t>
  </si>
  <si>
    <t>A temporary partially-implantable device used as an extension for an implanted or partially-implanted craniofacial distractor allowing connection to the central adjustment thread of the distractor when its location is made difficult to access due to its surgical positioning. It is used to allow the required rotation of the thread in order to distract (force apart) the two bone surfaces of the mandibular body (the lower jawbone) during the adjustment period. It is typically made of high-grade stainless steel and may be rigid or flexible in design.</t>
  </si>
  <si>
    <t>A temporary implantable or partially-implantable device intended to distract (force apart) the two bone surfaces of the mandible (the lower jawbone) or maxilla (the upper jawbone) during craniomaxillofacial (CMF) distraction. It functions as a single-patient bone lengthening/augmentation device for the correction of congenital deficiencies or post-traumatic defects when gradual bone augmentation is required. It typically consists of a metal tube in which a right- and left-hand threaded rod rotates and to which are attached two craniofacial fixation plates that are surgically screwed to either side of the fracture. A small tip guard may be included to protect against inadvertent rotation.</t>
  </si>
  <si>
    <t>A component of a surgical retraction system or surgical retractor designed to function as a parting edge to separate the margins of a wound/incision during an open surgical procedure. It is intended to be attached to the frame (e.g., mounting ring/bar) of a surgical retraction system, or may be fixed onto a retractor handle; it does not include a handle. It is sometimes referred to as a variable or vario retractor blade when assembled with a separate retractor handle because it is available in a variety of lengths and sizes. It is made of high-grade stainless steel. This is a reusable device.</t>
  </si>
  <si>
    <t>A surgical instrument used for grasping and holding a bone during a surgical procedure. It is typically strongly constructed with a scissors-like design, which may or may not be self-retaining, with ring handles or curved shank handles. It is made of high-grade stainless steel and is available in various sizes. The working end can have a wide variety of jaws designs, e.g., curved serrated jaws, straight toothed jaws, or profiled wrench-like jaws with grooves to provide extra grip of the bone. This is a reusable device.</t>
  </si>
  <si>
    <t>A small, implantable sheet of firm material that is attached with screws to fractured craniofacial bone (including the maxilla and/or mandible), to bridge and stabilize the fracture gap, and shield the site from stress as the bone heals; the material cannot be chemically degraded or absorbed by natural body processes [includes implant grade metal such as surgical steel, titanium alloy, or carbon fibre]. The device may also be used for craniofacial reconstructive procedures (e.g., to treat congenital malformations), endobrow fixation, or craniotomy flap fixation.</t>
  </si>
  <si>
    <t>A small, implantable sheet of firm material that is attached with screws to fractured craniofacial bone (including the maxilla and/or mandible), to bridge and stabilize the fracture gap, and shield the site from stress as the bone heals; the material is chemically degraded and typically absorbed by natural body processes (e.g., a degradable polymer). The device may also be used for craniofacial reconstructive procedures (e.g., to treat congenital malformations), endobrow fixation, or craniotomy flap fixation.</t>
  </si>
  <si>
    <t>A small, sterile, threaded rod with a slotted head intended to be implanted or inserted short-term in craniofacial bone (including the maxilla and/or mandible) for fracture fixation by direct interfragmentary stabilization of bone or by screwing plates in place; it may also be intended for transplanted bone fixation. It may be self-drilling/self-tapping and is made of a material that is not chemically degraded or absorbed via natural body processes [e.g., implant grade metal such as titanium (Ti)]. Its uses include repair of orbital fractures and fractures around the cranial sinuses, paediatric reconstructive surgery, craniotomy flap fixation, bone augmentation procedures.</t>
  </si>
  <si>
    <t>An implantable shield designed to repair larger skull defects that is preformed before surgery and typically made of sheets of material [e.g., stainless steel, vitallium, titanium (Ti), plastic resins] that cannot be reshaped at the time of surgery without changing the physical or chemical properties of the material. The device is generally preformed with a central convex curvature matching the curvature of the forehead, side, or rear areas of the human adult skull; it is usually fixed to the intact cranial bones using screws and/or other fasteners. The device is used to repair defects due to injury, surgical intervention for tumour removal, congenital anomaly, or disease.</t>
  </si>
  <si>
    <t>A device comprised of adjustable positioning elements designed to provide a close approximation to a patient's natural lumbar lordosis when lying prone on an operating table during spinal intervention. It will enable correct positioning and immobilization, typically for posterior thoracolumbrosacral surgery or disc decompression, while facilitating reduced abdominal compression. It typically consists of a stainless steel or titanium (Ti) base plate that may facilitate intraoperative x-ray through the insertion of an x-ray cassette, disposable or reusable moveable upright post pads, hip pads and fasteners (e.g., Velcro strips). This is a reusable device</t>
  </si>
  <si>
    <t>A sterile implantable sheet of firm material intended to be attached to fractured long bone fragments with screws to bridge and stabilize the fracture gap, and shield the site from stress as the bone heals; the material is chemically degraded and typically absorbed by natural body processes (e.g., a degradable polymer). The device is typically used for smaller post-traumatic or pathological orthopaedic fractures (e.g., of the hand or wrist). It may also be used to temporarily augment bone following a lengthening procedure, or for arthrodesis (joint fusion).</t>
  </si>
  <si>
    <t>A device used in a clinical setting to establish an accurate measurement of length. It is a smooth-edged strip, typically made of stainless steel or plastic, that is marked in units of length (i.e., inches and/or millimetres) and used to measure anatomy, instruments, or other devices. This is a reusable device.</t>
  </si>
  <si>
    <t>A copy of a final spinal prosthesis, graft, or other implantable spinal device (e.g., may include intervertebral disc prosthesis, spinal cage, spinal hook) used to validate the proper size of the permanent implant required by the patient, to determine its appropriate position, and/or to verify that the implant site has been cut to the proper dimensions. It can be made of metal or plastic. This is a reusable device.</t>
  </si>
  <si>
    <t>A device designed to be implanted into bone for the attachment of soft tissues either directly or via a suture attached to the device; it is not dedicated to ligament anchoring. It is typically used in arthroscopic or open surgical procedures, and functions as an alternative to drilling a tunnel in bone for passing a suture. This device is available in various designs and sizes and is made of a material that can be chemically degraded and typically absorbed via natural body processes (e.g., a copolymer).</t>
  </si>
  <si>
    <t>A device designed to be implanted into bone for the attachment of soft tissues either directly or via a suture attached to the device; it is not dedicated to ligament anchoring. It is typically used in shoulder and some lower-limb operations, and functions as an alternative to drilling a hole in bone for passing a suture. This device is available in various designs and sizes and is made of a material that cannot be chemically degraded or absorbed via natural body processes [e.g., titanium (Ti)].</t>
  </si>
  <si>
    <t>Commodity</t>
  </si>
  <si>
    <t>Segment</t>
  </si>
  <si>
    <t>Segment Title</t>
  </si>
  <si>
    <t>Segment Definition</t>
  </si>
  <si>
    <t>Family</t>
  </si>
  <si>
    <t>Family Title</t>
  </si>
  <si>
    <t>Family Definition</t>
  </si>
  <si>
    <t>Key</t>
  </si>
  <si>
    <t>Class</t>
  </si>
  <si>
    <t>Class Title</t>
  </si>
  <si>
    <t>Class Definition</t>
  </si>
  <si>
    <t>Commodity Title</t>
  </si>
  <si>
    <t>Definition</t>
  </si>
  <si>
    <t>Synonym</t>
  </si>
  <si>
    <t>Acronym</t>
  </si>
  <si>
    <t/>
  </si>
  <si>
    <t>42000000</t>
  </si>
  <si>
    <t>Medical Equipment and Accessories and Supplies</t>
  </si>
  <si>
    <t>This segment includes the tools and machines, accessories and consumable supplies used by physicians or those in the practice of medicine or related fields. This segment also includes assistive and corrective devices for people with disabilities. This segment also includes medical equipment and supplies for animals.</t>
  </si>
  <si>
    <t>42120000</t>
  </si>
  <si>
    <t>Veterinary equipment and supplies</t>
  </si>
  <si>
    <t>In this classification, this family includes medical equipment, components, instruments and appliances as well as accessories used in the medical treatment of animals.</t>
  </si>
  <si>
    <t>42121500</t>
  </si>
  <si>
    <t>Veterinary equipment</t>
  </si>
  <si>
    <t>In this classification, this class includes medical equipment, instruments, and appliances used in the medical treatment of animals.</t>
  </si>
  <si>
    <t>Veterinary blood pressure testers</t>
  </si>
  <si>
    <t>In this classification, this commodity indicates a product that can test blood flow in animals based on pressure.  Most nations, for tariff and trade purposes, schedule these products under HS 901819.</t>
  </si>
  <si>
    <t>Veterinary kymograph tester</t>
  </si>
  <si>
    <t>In this classification, this commodity indicates a product that can test the variations in blood pressure in animals through the use of sound waves.  Most nations, for tariff and trade purposes, schedule these products under HS 606002.</t>
  </si>
  <si>
    <t>Veterinary pyrogenic tester</t>
  </si>
  <si>
    <t>In this classification, this commodity indicates a product that can test for bacterial toxins that cause fevers in animals.  Most nations, for tariff and trade purposes, schedule these products under HS 606002.</t>
  </si>
  <si>
    <t>Veterinary stereotaxic equipment</t>
  </si>
  <si>
    <t>In this classification, this commodity indicates a product that can localize a part of the brain in an animal using coordinates of brain structures.  Most nations, for tariff and trade purposes, schedule these products under HS 842119.</t>
  </si>
  <si>
    <t>Veterinary electrocardiograph ECG</t>
  </si>
  <si>
    <t>In this classification, this commodity indicates a product that can record and measure electronic waves generated from the heart of an animal.  Most nations, for tariff and trade purposes, schedule these products under HS 901811.</t>
  </si>
  <si>
    <t>Veterinary surgical instrument and supply sets</t>
  </si>
  <si>
    <t>In this classification, this commodity indicates a product that contains groups of instruments or supplies used in the medical treatment of animals.  Most nations, for tariff and trade purposes, schedule these products under HS 901811.</t>
  </si>
  <si>
    <t>Veterinary injection or suction units or accessories</t>
  </si>
  <si>
    <t>In this classification, this commodity indicates a product that contains injection or suction units or accessories used in the medical treatment of animals.  Most nations, for tariff and trade purposes, schedule these products under HS 901800.</t>
  </si>
  <si>
    <t>Veterinary bottle sets</t>
  </si>
  <si>
    <t>In this classification, this commodity indicates a product that contains a group of bottles useful in the medical treatment of animals.  Most nations, for tariff and trade purposes, schedule these products under HS 901800.</t>
  </si>
  <si>
    <t>Veterinary clinical thermometers</t>
  </si>
  <si>
    <t>In this classification, this commodity indicates a product that contains thermometers useful in the clinical treatment of animals.  Most nations, for tariff and trade purposes, schedule these products under HS 902511.</t>
  </si>
  <si>
    <t>Veterinary instrument rolls for instruments or accessories</t>
  </si>
  <si>
    <t>In this classification, this commodity indicates a product that contains protective rolls for instruments or accessories used in the medical treatment of animals.  Most nations, for tariff and trade purposes, schedule these products under HS 901819.</t>
  </si>
  <si>
    <t>Veterinary speculums</t>
  </si>
  <si>
    <t>In this classification, this commodity indicates a product that is a tool designed to inspect the orifices of animals.  Most nations, for tariff and trade purposes, schedule these products under HS 901819.</t>
  </si>
  <si>
    <t>Veterinary castration instruments</t>
  </si>
  <si>
    <t>In this classification, this commodity indicates a product that consists of instruments used in the castration of animals.  Most nations, for tariff and trade purposes, schedule these products under HS 901811.</t>
  </si>
  <si>
    <t>Veterinary external fixation kits</t>
  </si>
  <si>
    <t>In this classification, this commodity indicates a prepackaged collection (either custom or standard) of the equipment and supplies used to perform the surgical treatment that stabilizes bone and soft tissues at a distance from the operative or injury focus in animals.  Most nations, for tariff and trade purposes, schedule these products under HS 902110.</t>
  </si>
  <si>
    <t>Veterinary nail trimmers or cutters</t>
  </si>
  <si>
    <t>In this classification, this commodity indicates a product that trims or cuts nails on animals.  Most nations, for tariff and trade purposes, schedule these products under HS 901800.</t>
  </si>
  <si>
    <t>Veterinary hair clipping sets</t>
  </si>
  <si>
    <t>In this classification, this commodity indicates a product that trims or cuts hair on animals.  Most nations, for tariff and trade purposes, schedule these products under HS 960329.</t>
  </si>
  <si>
    <t>Veterinary hoof treatment instrument sets</t>
  </si>
  <si>
    <t>In this classification, this commodity indicates a product that consists of the instruments and supplies that can provide treatment to the hooves of animals.  Most nations, for tariff and trade purposes, schedule these products under HS 960329.</t>
  </si>
  <si>
    <t>Veterinary medical equipment sets</t>
  </si>
  <si>
    <t>In this classification, this commodity indicates a product that consists of sets of medical equipment used in the medical treatment of animals.  Most nations, for tariff and trade purposes, schedule these products under HS 901800.</t>
  </si>
  <si>
    <t>Veterinary injection or suction unit accessories</t>
  </si>
  <si>
    <t>Accessories included with veterinary injection or suction units</t>
  </si>
  <si>
    <t>Veterinary instrument rolls for instruments accessories</t>
  </si>
  <si>
    <t>Accessories included with veterinary instrument rolls for instruments</t>
  </si>
  <si>
    <t>42121600</t>
  </si>
  <si>
    <t>Veterinary products</t>
  </si>
  <si>
    <t>In this classification, this class includes products consumed in various veterinary based medical interactions.</t>
  </si>
  <si>
    <t>Gastrointestinal veterinary products</t>
  </si>
  <si>
    <t>In this classification, this commodity indicates a product that is used in the gastrointestinal medical treatment of animals.  Most nations, for tariff and trade purposes, schedule these products under HS 901800.</t>
  </si>
  <si>
    <t>Blood or blood forming veterinary products</t>
  </si>
  <si>
    <t>In this classification, this commodity indicates a product that is used in the blood or blood forming medical treatment of animals.  Most nations, for tariff and trade purposes, schedule these products under HS 901800.</t>
  </si>
  <si>
    <t>Respiratory system veterinary products</t>
  </si>
  <si>
    <t>In this classification, this commodity indicates a product that is used in the respiratory system based medical treatment of animals.  Most nations, for tariff and trade purposes, schedule these products under HS 291739.</t>
  </si>
  <si>
    <t>Musculo skeletal or nervous system veterinary products</t>
  </si>
  <si>
    <t>In this classification, this commodity indicates a product that is used in the musculo, skeletal, or nervous system based medical treatment of animals.  Most nations, for tariff and trade purposes, schedule these products under HS 291739.</t>
  </si>
  <si>
    <t>Cardiovascular system veterinary products</t>
  </si>
  <si>
    <t>In this classification, this commodity indicates a product that is used in the cardiovascular system based medical treatment of animals.  Most nations, for tariff and trade purposes, schedule these products under HS 291739.</t>
  </si>
  <si>
    <t>Dermatological or antiprotozoa veterinary products</t>
  </si>
  <si>
    <t>In this classification, this commodity indicates a product that is used in the dermatological or antiprotozoal based medical treatment of animals.  Most nations, for tariff and trade purposes, schedule these products under HS 291739.</t>
  </si>
  <si>
    <t>Genito urinary system sex or hormone veterinary products</t>
  </si>
  <si>
    <t>In this classification, this commodity indicates a product that is used in the genito urinary system sex or hormone based medical treatment of animals.  Most nations, for tariff and trade purposes, schedule these products under HS 291739.</t>
  </si>
  <si>
    <t>Dental veterinary products</t>
  </si>
  <si>
    <t>In this classification, this commodity indicates a product that is used in the dental based medical treatment of animals.  Most nations, for tariff and trade purposes, schedule these products under HS 820559.</t>
  </si>
  <si>
    <t>42121700</t>
  </si>
  <si>
    <t>Veterinary clinical furniture</t>
  </si>
  <si>
    <t>In this classification, this class includes furniture utilized in facilitating veterinary clinical interactions.</t>
  </si>
  <si>
    <t>Veterinary surgical tables</t>
  </si>
  <si>
    <t>In this classification, this commodity indicates a product that act as a table in surgical procedures in animals.  Most nations, for tariff and trade purposes, schedule these products under HS 940290.</t>
  </si>
  <si>
    <t>Veterinary storage chests</t>
  </si>
  <si>
    <t>In this classification, this commodity indicates a product that act as a storage chest in surgical procedures in animals.  Most nations, for tariff and trade purposes, schedule these products under HS 901832.</t>
  </si>
  <si>
    <t>42121800</t>
  </si>
  <si>
    <t>Veterinary artificial insemination equipment and supplies</t>
  </si>
  <si>
    <t>In this classification, this class includes equipment, instruments, appliances and supplies involved in artificial insemination procedures involving animals.</t>
  </si>
  <si>
    <t>Veterinary artificial inseminating machine</t>
  </si>
  <si>
    <t>In this classification, this commodity indicates a product that act as an artificial insemination machine for use with animals.  Most nations, for tariff and trade purposes, schedule these products under HS 901832.</t>
  </si>
  <si>
    <t>Veterinary semen collection instruments</t>
  </si>
  <si>
    <t>In this classification, this commodity indicates a product that act as a semen collection instrument for use with animals.  Most nations, for tariff and trade purposes, schedule these products under HS 401699.</t>
  </si>
  <si>
    <t>Veterinary electric ejaculation stimulators</t>
  </si>
  <si>
    <t>In this classification, this commodity indicates a product that act as an electric ejaculation stimulator for use with animals.  Most nations, for tariff and trade purposes, schedule these products under HS 901831.</t>
  </si>
  <si>
    <t>Veterinary semen packaging instruments</t>
  </si>
  <si>
    <t>In this classification, this commodity indicates a product that act as a semen packaging instruments for use with animals.  Most nations, for tariff and trade purposes, schedule these products under HS 401699.</t>
  </si>
  <si>
    <t>42130000</t>
  </si>
  <si>
    <t>Medical apparel and textiles</t>
  </si>
  <si>
    <t>In this classification, this family includes the apparel and textiles used by medical professionals in their professional duties.</t>
  </si>
  <si>
    <t>42131500</t>
  </si>
  <si>
    <t>Patient clothing</t>
  </si>
  <si>
    <t>In this classification, this class includes clothing utilized by patients undergoing medical treatment.</t>
  </si>
  <si>
    <t>Patient bibs</t>
  </si>
  <si>
    <t>In this classification, this commodity indicates a product that is used as a bib by people undergoing medical treatment.  Most nations, for tariff and trade purposes, schedule these products under HS 650400.</t>
  </si>
  <si>
    <t>Patient caps</t>
  </si>
  <si>
    <t>In this classification, this commodity indicates a product that is used as a cap by people undergoing medical treatment.  US FDA regulates Patient caps under 21 CFR 878.4040 and under FDA product code FYF.  Most nations, for tariff and trade purposes, schedule these products under HS 650699.</t>
  </si>
  <si>
    <t>Patient exam capes</t>
  </si>
  <si>
    <t>In this classification, this commodity indicates a product that is used as an exam cape by people undergoing medical treatment.  US FDA regulates Patient exam capes under 21 CFR 880.6265 and under FDA product code FME.  Most nations, for tariff and trade purposes, schedule these products under HS 621133.</t>
  </si>
  <si>
    <t>Patient gowns</t>
  </si>
  <si>
    <t>In this classification, this commodity indicates a product that is used as a down by people undergoing medical treatment.  US FDA regulates Patient gowns under 21 CFR 878.4040 and under FDA product code OEA.  Most nations, for tariff and trade purposes, schedule these products under HS 621132.</t>
  </si>
  <si>
    <t>Patient infant shirts or vests</t>
  </si>
  <si>
    <t>In this classification, this commodity indicates a product that is used as a shirt or vest by infants undergoing medical treatment.  US FDA regulates Patient infant shirts or vests under 21 CFR 878.4040 and under FDA product code FYB.  Most nations, for tariff and trade purposes, schedule these products under HS 610990.</t>
  </si>
  <si>
    <t>Patient jackets</t>
  </si>
  <si>
    <t>In this classification, this commodity indicates a product that is used as a jackets by people undergoing medical treatment.  US FDA regulates Patient jackets under 21 CFR 878.4040 and under FDA product code FYB.  Most nations, for tariff and trade purposes, schedule these products under HS 611211.</t>
  </si>
  <si>
    <t>Patient slippers or socks</t>
  </si>
  <si>
    <t>In this classification, this commodity indicates a product that is used as slippers or socks by people undergoing medical treatment.  Most nations, for tariff and trade purposes, schedule these products under HS 640419.</t>
  </si>
  <si>
    <t>Patient pajamas</t>
  </si>
  <si>
    <t>In this classification, this commodity indicates a product that is used as a set of pajamas by people undergoing medical treatment.  US FDA regulates Patient pajamas under 21 CFR 878.4040 and under FDA product code FYB.  Most nations, for tariff and trade purposes, schedule these products under HS 610721.</t>
  </si>
  <si>
    <t>Hospital robes</t>
  </si>
  <si>
    <t>In this classification, this commodity indicates a product that is used as a robe by patients in a hospital setting.  US FDA regulates Hospital robes under 21 CFR 878.4040 and under FDA product code FYB.  Most nations, for tariff and trade purposes, schedule these products under HS 610791.</t>
  </si>
  <si>
    <t>Patient trousers</t>
  </si>
  <si>
    <t>In this classification, this commodity indicates a product that is used as trousers by people undergoing medical treatment.  US FDA regulates Patient trousers under 21 CFR 878.4040 and under FDA product code FYB.  Most nations, for tariff and trade purposes, schedule these products under HS 610721.</t>
  </si>
  <si>
    <t>Hydrotherapy garments</t>
  </si>
  <si>
    <t>In this classification, this commodity indicates a product that is used as different types of garments worn during a hydrotherapy treatment.  Most nations, for tariff and trade purposes, schedule these products under HS 621010.</t>
  </si>
  <si>
    <t>Patient infant caps or hats or material for infant caps</t>
  </si>
  <si>
    <t>In this classification, this commodity indicates a product that is used as trousers by people undergoing medical treatment.  Most nations, for tariff and trade purposes, schedule these products under HS 650100.</t>
  </si>
  <si>
    <t>Patient shorts</t>
  </si>
  <si>
    <t>In this classification, this commodity indicates a product that is used as short pants by people undergoing medical treatment.  Most nations, for tariff and trade purposes, schedule these products under HS 621017.</t>
  </si>
  <si>
    <t>Patient surgical undergarments</t>
  </si>
  <si>
    <t>In this classification, this commodity indicates a product that is used as undergarments by people undergoing surgery.  Most nations, for tariff and trade purposes, schedule these products under HS 621017.</t>
  </si>
  <si>
    <t>42131600</t>
  </si>
  <si>
    <t>Medical staff clothing and related articles</t>
  </si>
  <si>
    <t>In this classification, this class includes clothing and peripheral separates utilized by medical staff involved in medical treatments.</t>
  </si>
  <si>
    <t>Medical staff aprons or bibs</t>
  </si>
  <si>
    <t>In this classification, this commodity indicates a product that is used as a staff apron or bib by people engaged as medical staff.  US FDA regulates Medical staff aprons or bibs under 21 CFR 878.4040 and under FDA product code FYA.  Most nations, for tariff and trade purposes, schedule these products under HS 611420.</t>
  </si>
  <si>
    <t>Medical staff beard covers</t>
  </si>
  <si>
    <t>In this classification, this commodity indicates a product that is used as a beard cover by people engaged as medical staff.  Most nations, for tariff and trade purposes, schedule these products under HS 650590.</t>
  </si>
  <si>
    <t>Medical staff blouses or smocks</t>
  </si>
  <si>
    <t>In this classification, this commodity indicates a product that is used as a blouse or a smock by people engaged as medical staff.  US FDA regulates Medical staff blouses or smocks under 21 CFR 878.4040 and under FDA product code FYE.  Most nations, for tariff and trade purposes, schedule these products under HS 630790.</t>
  </si>
  <si>
    <t>Medical staff bouffant caps</t>
  </si>
  <si>
    <t>In this classification, this commodity indicates a product that is used as a bouffant cap by people engaged as medical staff.  Most nations, for tariff and trade purposes, schedule these products under HS 650100.</t>
  </si>
  <si>
    <t>Medical staff jackets or coats</t>
  </si>
  <si>
    <t>In this classification, this commodity indicates a product that is used as a staff jacket or coat by people engaged as medical staff.  US FDA regulates Medical staff jackets or coats under 21 CFR 878.4040 and under FDA product code FYB.  Most nations, for tariff and trade purposes, schedule these products under HS 420310.</t>
  </si>
  <si>
    <t>Medical staff scrubs</t>
  </si>
  <si>
    <t>In this classification, this commodity indicates a product that is used as a set of scrubs by people engaged as medical staff.  US FDA regulates Medical staff scrubs under 21 CFR 878.4040 and under FDA product code FYE.  Most nations, for tariff and trade purposes, schedule these products under HS 630790.</t>
  </si>
  <si>
    <t>Medical staff shoe covers</t>
  </si>
  <si>
    <t>In this classification, this commodity indicates a product that is used as shoe covers by people engaged as medical staff.  Most nations, for tariff and trade purposes, schedule these products under HS 640219.</t>
  </si>
  <si>
    <t>Medical staff sleeve protection</t>
  </si>
  <si>
    <t>In this classification, this commodity indicates a product that is used as sleeve protectors by people engaged as medical staff.  Most nations, for tariff and trade purposes, schedule these products under HS 621710.</t>
  </si>
  <si>
    <t>Surgeon caps or hoods</t>
  </si>
  <si>
    <t>In this classification, this commodity indicates a product that is used as caps or hoods by people engaged as medical staff.  Most nations, for tariff and trade purposes, schedule these products under HS 650100.</t>
  </si>
  <si>
    <t>Medical staff isolation or cover gowns</t>
  </si>
  <si>
    <t>In this classification, this commodity indicates a product that is used as an isolation or cover gown by people engaged as medical staff.  US FDA regulates Medical staff isolation or cover gowns under 21 CFR 878.4040 and under FDA product code OEA.  Most nations, for tariff and trade purposes, schedule these products under HS 621010.</t>
  </si>
  <si>
    <t>Medical staff eye shields or visors</t>
  </si>
  <si>
    <t>In this classification, this commodity indicates a product that is used as an eye shield or visor by people engaged as medical staff.  Most nations, for tariff and trade purposes, schedule these products under HS 392490.</t>
  </si>
  <si>
    <t>Medical staff dresses</t>
  </si>
  <si>
    <t>In this classification, this commodity indicates a product that is used as a dress by women engaged as medical staff.  Most nations, for tariff and trade purposes, schedule these products under HS 370110.</t>
  </si>
  <si>
    <t>Chemotherapy personal protective equipment</t>
  </si>
  <si>
    <t>In this classification, this commodity indicates a product that that is used as personal protective equipment in a chemotherapy procedural setting.  Most nations, for tariff and trade purposes, schedule these products under HS 902750.</t>
  </si>
  <si>
    <t>42131700</t>
  </si>
  <si>
    <t>Surgical textiles</t>
  </si>
  <si>
    <t>In this classification, this class includes textile based clothing, furnishings, and peripheral components, involved in a surgical setting.</t>
  </si>
  <si>
    <t>Surgical drapes</t>
  </si>
  <si>
    <t>In this classification, this commodity indicates a product that is used as a drape in a surgical setting.  US FDA regulates surgical drapes under 21 CFR 878.4370 and under FDA product code ERY.  Most nations, for tariff and trade purposes, schedule these products under HS 630790.</t>
  </si>
  <si>
    <t>Surgical gowns</t>
  </si>
  <si>
    <t>In this classification, this commodity indicates a product that is used as a gown in a surgical setting.  US FDA regulates surgical gowns under 21 CFR 878.4040 and under FDA product code FYA.  Most nations, for tariff and trade purposes, schedule these products under HS 630790.</t>
  </si>
  <si>
    <t>Surgical towels</t>
  </si>
  <si>
    <t>In this classification, this commodity indicates a product that is used as a towel in a surgical setting.  US FDA regulates surgical towels under 21 CFR 878.4370 and under FDA product code ERY.  Most nations, for tariff and trade purposes, schedule these products under HS 630790.</t>
  </si>
  <si>
    <t>Surgical jumpsuits and coveralls</t>
  </si>
  <si>
    <t>In this classification, this commodity indicates a product that is used as a jumpsuit or coverall in a surgical setting.  US FDA regulates surgical jumpsuits and coveralls under 21 CFR 878.4040 and under FDA product code FYA.  Most nations, for tariff and trade purposes, schedule these products under HS 630790.</t>
  </si>
  <si>
    <t>Surgical isolation suits or helmets or shields or accessories</t>
  </si>
  <si>
    <t>In this classification, this commodity indicates a product that is used as an in a surgical setting.  US FDA regulates surgical isolation suits or helmets or shields or accessories under 21 CFR 878.4040 and under FDA product code FYA.  Most nations, for tariff and trade purposes, schedule these products under HS 630790.</t>
  </si>
  <si>
    <t>Surgical cleanup or room turnover packs or kits</t>
  </si>
  <si>
    <t>In this classification, this commodity indicates a product that is prepackaged collections (either custom or standard) of the equipment and supplies used to perform surgical cleanups or room turnovers in a medical setting.  Most nations, for tariff and trade purposes, schedule these products under HS 621700.</t>
  </si>
  <si>
    <t>In this classification, this commodity indicates a product that is used as sleeves by medical staff in a surgical setting.  Most nations, for tariff and trade purposes, schedule these products under HS 621710.</t>
  </si>
  <si>
    <t>Surgical dresses</t>
  </si>
  <si>
    <t>In this classification, this commodity indicates a product that is used as dresses by medical staff in a surgical setting.  Most nations, for tariff and trade purposes, schedule these products under HS 621143.</t>
  </si>
  <si>
    <t>Surgical headcovers</t>
  </si>
  <si>
    <t>In this classification, this commodity indicates a product that is used as head covers by medical staff in a surgical setting.  Most nations, for tariff and trade purposes, schedule these products under HS 621710.</t>
  </si>
  <si>
    <t>Surgical isolation or cover gowns</t>
  </si>
  <si>
    <t>In this classification, this commodity indicates a product that is used as an isolation or cover gown by medical staff in a surgical setting.  Most nations, for tariff and trade purposes, schedule these products under HS 621143.</t>
  </si>
  <si>
    <t>Surgical isolation or surgical masks</t>
  </si>
  <si>
    <t>In this classification, this commodity indicates a product that is used as shoe covers by medical staff in a surgical setting.  Most nations, for tariff and trade purposes, schedule these products under HS 621150.</t>
  </si>
  <si>
    <t>Surgical scrub pants</t>
  </si>
  <si>
    <t>In this classification, this commodity indicates a product that is used as scrub pants by medical staff in a surgical setting.  Most nations, for tariff and trade purposes, schedule these products under HS 621010.</t>
  </si>
  <si>
    <t>Surgical scrub tops</t>
  </si>
  <si>
    <t>In this classification, this commodity indicates a product that is used as scrub tops by medical staff in a surgical setting.  Most nations, for tariff and trade purposes, schedule these products under HS 621010.</t>
  </si>
  <si>
    <t>Surgical shoe covers</t>
  </si>
  <si>
    <t>In this classification, this commodity indicates a product that is used as shoe covers by medical staff in a surgical setting.  Most nations, for tariff and trade purposes, schedule these products under HS 640219.</t>
  </si>
  <si>
    <t>Surgical sleeve protection</t>
  </si>
  <si>
    <t>In this classification, this commodity indicates a product that is used as a sleeve protector in a surgical setting.  Most nations, for tariff and trade purposes, schedule these products under HS 621710.</t>
  </si>
  <si>
    <t>Surgical stockinettes</t>
  </si>
  <si>
    <t>In this classification, this commodity indicates a product that is used as stockingettes by medical staff in a surgical setting.  Most nations, for tariff and trade purposes, schedule these products under HS 392690.</t>
  </si>
  <si>
    <t>Surgical surgeon caps or hoods</t>
  </si>
  <si>
    <t>In this classification, this commodity indicates a product that is used as a cap or hood by medical staff in a surgical setting.  Most nations, for tariff and trade purposes, schedule these products under HS 650100.</t>
  </si>
  <si>
    <t>Surgical tents</t>
  </si>
  <si>
    <t>In this classification, this commodity indicates a product that is used as a tent in a surgical setting.  Most nations, for tariff and trade purposes, schedule these products under HS 300910.</t>
  </si>
  <si>
    <t>Surgical instrument pouches</t>
  </si>
  <si>
    <t>In this classification, this commodity indicates a product that is used as an instrument pouch in a surgical setting.  Most nations, for tariff and trade purposes, schedule these products under HS 481730.</t>
  </si>
  <si>
    <t>Surgical isolation suits or helmets or shields accessories</t>
  </si>
  <si>
    <t>Accessories included with surgical isolation suits or helmets or shields</t>
  </si>
  <si>
    <t>42132100</t>
  </si>
  <si>
    <t>Hospital housekeeping textiles</t>
  </si>
  <si>
    <t>In this classification, this class includes textiles, and peripheral components utilized in housekeeping procedures in a hospital setting.</t>
  </si>
  <si>
    <t>Hospital underpads</t>
  </si>
  <si>
    <t>In this classification, this commodity indicates a product that is used as under pad mattress protector in a hospital setting.  US FDA regulates Hospital underpads under 21 CFR 880.6060 and under FDA product code KME.  Most nations, for tariff and trade purposes, schedule these products under HS 630493.</t>
  </si>
  <si>
    <t>Medical stretcher sheets</t>
  </si>
  <si>
    <t>In this classification, this commodity indicates a product that is used as sheets for stretchers deployed in a medical setting.  Most nations, for tariff and trade purposes, schedule these products under HS 630232.</t>
  </si>
  <si>
    <t>Patient barrier drapes</t>
  </si>
  <si>
    <t>In this classification, this commodity indicates a product that is used as barrier drapes and a medical setting.  US FDA regulates Patient barrier drapes under 21 CFR 878.4370 and under FDA product code ERY.  Most nations, for tariff and trade purposes, schedule these products under HS 630790.</t>
  </si>
  <si>
    <t>Hospital pillows</t>
  </si>
  <si>
    <t>In this classification, this commodity indicates a product that is used as pillows in a hospital setting.  Most nations, for tariff and trade purposes, schedule these products under HS 940120.</t>
  </si>
  <si>
    <t>Hospital bed sheets or mattress covers</t>
  </si>
  <si>
    <t>In this classification, this commodity indicates a product that is used as a bed sheet or mattress cover in a hospital setting.  US FDA regulates Hospital bed sheets or mattress covers under 21 CFR 880.6190 and under FDA product code FMW.  Most nations, for tariff and trade purposes, schedule these products under HS 630232.</t>
  </si>
  <si>
    <t>Hospital bedspreads or duvet covers</t>
  </si>
  <si>
    <t>In this classification, this commodity indicates a product that is used as a bedspread or duvet cover in a hospital setting.  US FDA regulatesHospital bedspreads or duvet covers under FDA product code BAT.  Most nations, for tariff and trade purposes, schedule these products under HS 630419.</t>
  </si>
  <si>
    <t>Hospital blankets or duvets or quilts</t>
  </si>
  <si>
    <t>In this classification, this commodity indicates a product that is used as a blanket, duvet, or quilt in a hospital setting.  US FDA regulates Hospital blankets or duvets or quilts under 21 CFR 880. 606 and under FDA product code KME.  Most nations, for tariff and trade purposes, schedule these products under HS 630130.</t>
  </si>
  <si>
    <t>Hospital pillow covers or pillowcases</t>
  </si>
  <si>
    <t>In this classification, this commodity indicates a product that is used as a pillow cover or pillow case in a hospital setting.  Most nations, for tariff and trade purposes, schedule these products under HS 300650.</t>
  </si>
  <si>
    <t>Hospital bath mats</t>
  </si>
  <si>
    <t>In this classification, this commodity indicates a product that is used as a bath mat in a hospital setting.  Most nations, for tariff and trade purposes, schedule these products under HS 630492.</t>
  </si>
  <si>
    <t>Hospital bed skirts or dust ruffles</t>
  </si>
  <si>
    <t>In this classification, this commodity indicates a product that is used as a bed skirt or dust ruffle in a hospital setting.  Most nations, for tariff and trade purposes, schedule these products under HS 630391.</t>
  </si>
  <si>
    <t>Hospital bio-hazard bags</t>
  </si>
  <si>
    <t>In this classification, this commodity indicates a product that is used as a bag for the collection of bio hazard waste in a hospital setting.  Most nations, for tariff and trade purposes, schedule these products under HS 392690.</t>
  </si>
  <si>
    <t>Hospital blockade or hamper or laundry bags</t>
  </si>
  <si>
    <t>In this classification, this commodity indicates a product that is used as a dirty laundry blockade, hamper or laundry bag in a hospital setting.  Most nations, for tariff and trade purposes, schedule these products under HS 630790.</t>
  </si>
  <si>
    <t>Hospital cleanup or room turnover kits</t>
  </si>
  <si>
    <t>In this classification, this commodity indicates a product that is prepackaged collections (either custom or standard) of the equipment and supplies used to perform as a cleanup set for a room or as a room turnover kit in a hospital setting.  Most nations, for tariff and trade purposes, schedule these products under HS 901890.</t>
  </si>
  <si>
    <t>Hospital towels</t>
  </si>
  <si>
    <t>In this classification, this commodity indicates a product that is used as a towel in a hospital setting.  Most nations, for tariff and trade purposes, schedule these products under HS 630260.</t>
  </si>
  <si>
    <t>Hospital wall coverings</t>
  </si>
  <si>
    <t>In this classification, this commodity indicates a product that is used as a wall covering in a hospital setting.  Most nations, for tariff and trade purposes, schedule these products under HS 781490.</t>
  </si>
  <si>
    <t>Hospital window treatments</t>
  </si>
  <si>
    <t>In this classification, this commodity indicates a product that used as a window treatment in a hospital setting.  Most nations, for tariff and trade purposes, schedule these products under HS 630312.</t>
  </si>
  <si>
    <t>Surgical pre-operative or operating pads</t>
  </si>
  <si>
    <t>In this classification, this commodity indicates a product that provides a pre formed padding capability in a surgical or preoperative setting.  Most nations, for tariff and trade purposes, schedule these products under HS 961100.</t>
  </si>
  <si>
    <t>42132200</t>
  </si>
  <si>
    <t>Medical gloves and accessories</t>
  </si>
  <si>
    <t>In this classification, this class includes products that are involved with the comparison of bathophenanthroline sulfonate and ferene as chromogens in colorimetric measurement of low hepatic iron concentration.</t>
  </si>
  <si>
    <t>Bathophenanthroline, Colorimetry, Iron (Non-Heme)</t>
  </si>
  <si>
    <t>In this classification, this commodity indicates a product that.  Most nations, for tariff and trade purposes, schedule these products under HS 854030.</t>
  </si>
  <si>
    <t>Finger cots</t>
  </si>
  <si>
    <t>In this classification, this commodity indicates a product that provides a single digit gloving capability.  US FDA regulates Finger cots under 21 CFR 878.4370 and under FDA product code EY.  Most nations, for tariff and trade purposes, schedule these products under HS 392690.</t>
  </si>
  <si>
    <t>Medical exam or non surgical procedure gloves</t>
  </si>
  <si>
    <t>In this classification, this commodity indicates a product that provides prevention of contamination of the patient during invasive procedures and to protect the hand from exposure to potentially infectious materials during medical examinations.  US FDA regulates Medical exam or non surgical procedure gloves under 21 CFR 880.6250 and under FDA product code FM.  Most nations, for tariff and trade purposes, schedule these products under HS 392620.</t>
  </si>
  <si>
    <t>Medical glove liners</t>
  </si>
  <si>
    <t>In this classification, this commodity indicates a product that is used as an under glove to provide additional protection to glove wearers in a medical setting.  Most nations, for tariff and trade purposes, schedule these products under HS 392600.</t>
  </si>
  <si>
    <t>Surgical gloves</t>
  </si>
  <si>
    <t>In this classification, this commodity indicates a product that provides prevention of contamination of the patient during invasive procedures and to protect the hand from exposure to potentially infectious materials during surgical procedures.  US FDA regulates surgical gloves under 21 CFR 878.4460 and under FDA product code KGO.  Most nations, for tariff and trade purposes, schedule these products under HS 920999.</t>
  </si>
  <si>
    <t>Surgical dusting powders</t>
  </si>
  <si>
    <t>In this classification, this commodity indicates a powder used on the skin or on wounds especially for allaying irritation or absorbing moisture in a surgical setting.  Most nations, for tariff and trade purposes, schedule these products under HS 340220.</t>
  </si>
  <si>
    <t>42140000</t>
  </si>
  <si>
    <t>Patient care and treatment products and supplies</t>
  </si>
  <si>
    <t>In this classification, this family includes the products and supplies used in the portion of medical interactions that focused on patient care and treatment.</t>
  </si>
  <si>
    <t>42141500</t>
  </si>
  <si>
    <t>Applicator swabs and cotton balls</t>
  </si>
  <si>
    <t>In this classification, this class includes applicator products, components and cotton balls, utilized in patient care and treatment procedures.</t>
  </si>
  <si>
    <t>Cotton or fiber balls</t>
  </si>
  <si>
    <t>In this classification, this commodity indicates a ball of soft, absorbent cotton or fiber, often used to remove cosmetics or to cushion fragile objects.  US FDA regulates Cotton or fiber balls under 21 CFR 880.53 and under FDA product code FRL.  Most nations, for tariff and trade purposes, schedule these products under HS 300590.</t>
  </si>
  <si>
    <t>Fiber tipped sticks</t>
  </si>
  <si>
    <t>In this classification, this commodity indicates a stick covered with soft, absorbent cotton or fiber, often used to remove cosmetics or to cushion fragile objects.  US FDA regulates Fiber tipped sticks under 21 CFR 880.6025 and under FDA product code KXF.  Most nations, for tariff and trade purposes, schedule these products under HS 901890.</t>
  </si>
  <si>
    <t>Skin preparation wipes</t>
  </si>
  <si>
    <t>In this classification, this commodity indicates a product that provides a pre formed wipe that can contain various treatments that are used to clean and prepare skin in a medical setting.  US FDA regulates Skin preparation wipes under 21 CFR 880.5090 and under FDA product code NEC.  Most nations, for tariff and trade purposes, schedule these products under HS 560369.</t>
  </si>
  <si>
    <t>Medicated applicators or absorbents</t>
  </si>
  <si>
    <t>In this classification, this commodity indicates a product that provides a pre formed ability that can contain various treatments that are used to clean, prepare or absorb things on the skin in a medical setting.  Most nations, for tariff and trade purposes, schedule these products under HS 560312.</t>
  </si>
  <si>
    <t>Applicator sticks</t>
  </si>
  <si>
    <t>In this classification, this commodity indicates a product that provides a pre formed stick that can contain various treatments that are used to clean and prepare skin in a medical setting.  Most nations, for tariff and trade purposes, schedule these products under HS 560312.</t>
  </si>
  <si>
    <t>Alcohol pumps or dispensers</t>
  </si>
  <si>
    <t>In this classification, this commodity indicates a product that pumps and dispenses isopropyl alcohol for use in a medical setting.  Most nations, for tariff and trade purposes, schedule these products under HS 841370.</t>
  </si>
  <si>
    <t>42141600</t>
  </si>
  <si>
    <t>Basins and bedpans and urinals and admission kits</t>
  </si>
  <si>
    <t>In this classification, this class includes sanitary products including basins, bedpans, urinals and admission kits used in association with medical procedures.</t>
  </si>
  <si>
    <t>Patient care admission kits</t>
  </si>
  <si>
    <t>In this classification, this commodity indicates a product that includes as a kit the required clothing and peripherals for a patient to be properly dresses for a medical setting.  Most nations, for tariff and trade purposes, schedule these products under HS 420292.</t>
  </si>
  <si>
    <t>Bedpans</t>
  </si>
  <si>
    <t>In this classification, this commodity indicates a product that is used for the toileting of a bedridden patient in a medical setting.  US FDA regulates Bedpans under 21 CFR 880.6730 and under FDA product code FNP.  Most nations, for tariff and trade purposes, schedule these products under HS 392490.</t>
  </si>
  <si>
    <t>Emesis basins</t>
  </si>
  <si>
    <t>In this classification, this commodity indicates a product that used a basin used by bedridden patients for vomiting.  US FDA regulates Emesis basins under 21 CFR 880.6730 and under FDA product code FNY.  Most nations, for tariff and trade purposes, schedule these products under HS 392490.</t>
  </si>
  <si>
    <t>Medical mixing or solution basins or bowls</t>
  </si>
  <si>
    <t>In this classification, this commodity indicates a product that is either a basin or bowl used for mixing solutions in a medical setting.  US FDA regulates Medical mixing or solution basins or bowls under 21 CFR 880.6730 and under FDA product code FNP.  Most nations, for tariff and trade purposes, schedule these products under HS 392410.</t>
  </si>
  <si>
    <t>Medical multipurpose basins</t>
  </si>
  <si>
    <t>In this classification, this commodity indicates a product that as a basin in various medical settings.  US FDA regulates Medical multipurpose basins under 21 CFR 880.6730 and under FDA product code FNY.  Most nations, for tariff and trade purposes, schedule these products under HS 392410.</t>
  </si>
  <si>
    <t>Patient urinals</t>
  </si>
  <si>
    <t>In this classification, this commodity indicates a bottle that allows bedridden patients to urinate in a medical setting.  US FDA regulates Patient urinals under 21 CFR 880.6730 and under FDA product code FNP.  Most nations, for tariff and trade purposes, schedule these products under HS 392290.</t>
  </si>
  <si>
    <t>Bedpan liners or bags</t>
  </si>
  <si>
    <t>In this classification, this commodity indicates a product that acts as a liner or portable lining for bedpans that provide toileting of a bedridden patient.  Most nations, for tariff and trade purposes, schedule these products under HS 481890.</t>
  </si>
  <si>
    <t>Bedpan covers</t>
  </si>
  <si>
    <t>In this classification, this commodity indicates a product that acts as a cover for bedpans that provide toileting of a bedridden patient.  Most nations, for tariff and trade purposes, schedule these products under HS 481890.</t>
  </si>
  <si>
    <t>Bedpan and urinal drying racks</t>
  </si>
  <si>
    <t>In this classification, this commodity indicates a product that acts as a drying facility for bedpans and urinals that have been cleansed after patient use.  Most nations, for tariff and trade purposes, schedule these products under HS 830250.</t>
  </si>
  <si>
    <t>Patient belonging bags</t>
  </si>
  <si>
    <t>In this classification, this commodity indicates a product that is used as a bag to house the belongings of a patient admitted into a medical facility.  Most nations, for tariff and trade purposes, schedule these products under HS 392321.</t>
  </si>
  <si>
    <t>Bedpan and urinal sets</t>
  </si>
  <si>
    <t>In this classification, this commodity indicates a product that provides the accessories and supplies as well as the covers for either bedpans or urinals.  Most nations, for tariff and trade purposes, schedule these products under HS 392410.</t>
  </si>
  <si>
    <t>42141700</t>
  </si>
  <si>
    <t>Decubitus prevention products</t>
  </si>
  <si>
    <t>In this classification, this class includes products used to prevent sore based maladies associated with medical treatment.</t>
  </si>
  <si>
    <t>Alternating pressure systems</t>
  </si>
  <si>
    <t>In this classification, this commodity indicates a product that provide inflation and deflation in medical facility bedding with the intent to combat skin based afflictions.  Most nations, for tariff and trade purposes, schedule these products under HS 901910.</t>
  </si>
  <si>
    <t>Blanket frames or lifters</t>
  </si>
  <si>
    <t>In this classification, this commodity indicates a product that acts as either a supporting frame or elevation frame whereby blankets are manipulated in a medical setting.  Most nations, for tariff and trade purposes, schedule these products under HS 631330.</t>
  </si>
  <si>
    <t>Extremities cradles</t>
  </si>
  <si>
    <t>In this classification, this commodity indicates a product that provides protection via restricting the function of extremities in a medical setting.  US FDA regulates Extremities cradles under 21 CFR 892.1830 and under FDA product code KXH.  Most nations, for tariff and trade purposes, schedule these products under HS 300590.</t>
  </si>
  <si>
    <t>Mattress overlays</t>
  </si>
  <si>
    <t>In this classification, this commodity indicates a product that provides additional cushioning on top of mattresses.  US FDA regulates Mattress overlays under 21 CFR 880.6190 and under FDA product code FMW.  Most nations, for tariff and trade purposes, schedule these products under HS 940390.</t>
  </si>
  <si>
    <t>Decubitus prevention Patient positioning cushions or pads or pillows</t>
  </si>
  <si>
    <t>In this classification, this commodity indicates a product that through the use of cushions, pads, or pillows restricts the movement of patients in a medical setting. that are lying down.  US FDA regulates Decubitus prevention Patient positioning cushions or pads or pillows under 21 CFR 890.3175 and under FDA product code KI.  Most nations, for tariff and trade purposes, schedule these products under HS 940421.</t>
  </si>
  <si>
    <t>Medical flotation cushions</t>
  </si>
  <si>
    <t>In this classification, this commodity indicates a product that provide flotation assistance to patients in a water based medical setting.  Most nations, for tariff and trade purposes, schedule these products under HS 611030.</t>
  </si>
  <si>
    <t>42141800</t>
  </si>
  <si>
    <t>Electrotherapy equipment</t>
  </si>
  <si>
    <t>In this classification, this class includes equipment, instruments appliances and components, involved in electrical energy based medical treatments.</t>
  </si>
  <si>
    <t>Electrotherapy combination units</t>
  </si>
  <si>
    <t>In this classification, this commodity indicates a product t that is a unit that combines electrotherapy and ultrasound capability for use in a medical setting.  Most nations, for tariff and trade purposes, schedule these products under HS 854370.</t>
  </si>
  <si>
    <t>Electrotherapy electrodes</t>
  </si>
  <si>
    <t>In this classification, this commodity indicates a product provides the electrodes and accessories used by an electrotherapy unit for use in a medical setting.  Most nations, for tariff and trade purposes, schedule these products under HS 901890.</t>
  </si>
  <si>
    <t>Electrotherapy lead wires or cables</t>
  </si>
  <si>
    <t>In this classification, this commodity indicates a product provides the lead wires or cables used by an electrotherapy unit for use in a medical setting.  Most nations, for tariff and trade purposes, schedule these products under HS 854441.</t>
  </si>
  <si>
    <t>Galvanic or faradic stimulators</t>
  </si>
  <si>
    <t>In this classification, this commodity indicates a product that provides stimulation in a medical setting. utilizing either electric current or electric induction.  Most nations, for tariff and trade purposes, schedule these products under HS 854370.</t>
  </si>
  <si>
    <t>Neuromuscular stimulators or kits</t>
  </si>
  <si>
    <t>In this classification, this commodity indicates a product that contains either a unit or a unit and accessories that provides low level electricity to the nerves in order to stimulate muscles.  US FDA regulates Neuromuscular stimulators or kits under 21 CFR 882.5810 and under FDA product code GZI.  Most nations, for tariff and trade purposes, schedule these products under HS 950691.</t>
  </si>
  <si>
    <t>Diathermy units</t>
  </si>
  <si>
    <t>In this classification, this commodity indicates a product that provides a high-frequency electric current is delivered via shortwave, microwave, or ultrasound to generate deep heat in body. Most nations, for tariff and trade purposes, schedule these products under HS 950691.</t>
  </si>
  <si>
    <t>Transcutaneous electric nerve stimulation units</t>
  </si>
  <si>
    <t>In this classification, this commodity indicates a product that contains either a unit or a unit and accessories that provides low level electricity to the nerves in order to relieve pain.  US FDA regulates Transcutaneous electric nerve stimulation units under 21 CFR 882.5890 and under FDA product code GZJ.  Most nations, for tariff and trade purposes, schedule these products under HS 901839.</t>
  </si>
  <si>
    <t>Diathermy electrodes</t>
  </si>
  <si>
    <t>In this classification, this commodity indicates a product provides the electrodes diathermy unit for use in a medical setting.  Most nations, for tariff and trade purposes, schedule these products under HS 901890.</t>
  </si>
  <si>
    <t>Muscle stimulator lead sets</t>
  </si>
  <si>
    <t>In this classification, this commodity indicates a product that contains electrodes for units that provides low level electricity to the nerves in order to stimulate muscles.  Most nations, for tariff and trade purposes, schedule these products under HS 854441.</t>
  </si>
  <si>
    <t>Iontophoresis electrodes</t>
  </si>
  <si>
    <t>In this classification, this commodity indicates a product that provides the electrodes that a technique of introducing ionic medicinal compounds into the body through the skin in a medical setting.  Most nations, for tariff and trade purposes, schedule these products under HS 901890.</t>
  </si>
  <si>
    <t>Extracorporeal shock wave therapy systems</t>
  </si>
  <si>
    <t>In this classification, this commodity indicates a product that is a system that provides shockwaves that are abrupt, high amplitude pulses of mechanical energy shockwaves, similar to soundwaves, generated by an electromagnetic coil or a spark in water.  Most nations, for tariff and trade purposes, schedule these products under HS 901890.</t>
  </si>
  <si>
    <t>Static electricity generators for electric stimulation</t>
  </si>
  <si>
    <t>In this classification, this commodity indicates a product that is an electromechanical generator that produces static electricity, or electricity at high voltage and low continuous current.Static electricity generators for electric stimulation under 21 CFR and under FDA product code NZF.  Most nations, for tariff and trade purposes, schedule these products under HS 850162.</t>
  </si>
  <si>
    <t>Electroconvulsive devices</t>
  </si>
  <si>
    <t>In this classification, this commodity indicates a product that that is used in a psychiatric treatment in which seizures are electrically induced in patients to provide relief from psychiatric illnesses.  US FDA regulates Electroconvulsive devices under 21 CFR 882.5940 and under FDA product code GXC.  Most nations, for tariff and trade purposes, schedule these products under HS 901890.</t>
  </si>
  <si>
    <t>Static electricity stimulators</t>
  </si>
  <si>
    <t>In this classification, this commodity indicates a product provides electrodes used in devices that produces static electricity, or electricity at high voltage and low continuous current.Static electricity stimulators under 21 CFR and under FDA product code NZF.  Most nations, for tariff and trade purposes, schedule these products under HS 981700.</t>
  </si>
  <si>
    <t>High frequency electromagnetic wave stimulators</t>
  </si>
  <si>
    <t>In this classification, this commodity indicates a product that is a unit used to treat disease by applying electromagnetic waves to the body.High frequency electromagnetic wave stimulators under 21 CFR and under FDA product code MBQ.  Most nations, for tariff and trade purposes, schedule these products under HS 981700.</t>
  </si>
  <si>
    <t>Electromagnetic therapy stimulators</t>
  </si>
  <si>
    <t>In this classification, this commodity indicates a product that is a unit used to treat disease by applying electromagnetic radiation to the body.Electromagnetic therapy stimulators under 21 CFR and under FDA product code MBQ.  Most nations, for tariff and trade purposes, schedule these products under HS 854389.</t>
  </si>
  <si>
    <t>Magnetotherapy pulse stimulators</t>
  </si>
  <si>
    <t>In this classification, this commodity indicates a product that is a unit used to treat disease by applying electromagnetic pulses to the body.Magnetotherapy pulse stimulators under 21 CFR and under FDA product code MBQ.  Most nations, for tariff and trade purposes, schedule these products under HS 854389.</t>
  </si>
  <si>
    <t>Aversive conditioning devices</t>
  </si>
  <si>
    <t>In this classification, this commodity indicates a product that is a device that uses something unpleasant, or a punishment, to stop an unwanted behavior.   Most nations, for tariff and trade purposes, schedule these products under HS 854389.</t>
  </si>
  <si>
    <t>Cranial electrotherapy stimulators</t>
  </si>
  <si>
    <t>In this classification, this commodity indicates a product that provides electrotherapy waves to the cranium of a person in a medical setting.  Most nations, for tariff and trade purposes, schedule these products under HS 854370.</t>
  </si>
  <si>
    <t>Electrotherapy applicators or probes</t>
  </si>
  <si>
    <t>In this classification, this commodity indicates a product that consists of the probes or applicators used in electrotherapy procedures.  Most nations, for tariff and trade purposes, schedule these products under HS 854370.</t>
  </si>
  <si>
    <t>Electrotherapy unit accessories</t>
  </si>
  <si>
    <t>In this classification, this commodity indicates a product that consists of the accessories of the unit used in electrotherapy procedures.  Most nations, for tariff and trade purposes, schedule these products under HS 854370.</t>
  </si>
  <si>
    <t>Electrotherapy laser systems</t>
  </si>
  <si>
    <t>In this classification, this commodity indicates a product that provides electrotherapy laser based to a person in a medical setting.  Most nations, for tariff and trade purposes, schedule these products under HS 901320.</t>
  </si>
  <si>
    <t>Electrotherapy vacuum electrode systems</t>
  </si>
  <si>
    <t>In this classification, this commodity indicates a product that provides electrotherapy vacuum based to a person in a medical setting.  Most nations, for tariff and trade purposes, schedule these products under HS 854370.</t>
  </si>
  <si>
    <t>Electrotherapy electrode accessories</t>
  </si>
  <si>
    <t>In this classification, this commodity indicates a product that consists of the accessories used in conjunction with an electrode in an electrotherapy system.  Most nations, for tariff and trade purposes, schedule these products under HS 854370.</t>
  </si>
  <si>
    <t>Electrotherapy units</t>
  </si>
  <si>
    <t>A medical device that helps generate and deliver small pulses of electrical current to the user's skin through adhesive electrode pads.  The device can be be used for temporary relief of pain associated with sore and aching muscles in the shoulders, waist, neck, back, arms, legs, hands and soles of feet due to strain from exercise or normal household and work activities.</t>
  </si>
  <si>
    <t>42141900</t>
  </si>
  <si>
    <t>Enema administration supplies</t>
  </si>
  <si>
    <t>In this classification, this class includes, products, supplies and accessories associated with the execution of a medical enema treatment.</t>
  </si>
  <si>
    <t>Enema kits</t>
  </si>
  <si>
    <t>In this classification, this commodity indicates a product that allows for fluid to be injected into the lower bowel by way of the rectum for medical purposes.  US FDA regulates Enema kits under 21 CFR 876.5210 and under FDA product code FCD.  Most nations, for tariff and trade purposes, schedule these products under HS 392690.</t>
  </si>
  <si>
    <t>Enema accessories</t>
  </si>
  <si>
    <t>In this classification, this commodity indicates the accessories to a product that allows for fluid to be injected into the lower bowel by way of the rectum for medical purposes.  Most nations, for tariff and trade purposes, schedule these products under HS 392690.</t>
  </si>
  <si>
    <t>Enema soaps</t>
  </si>
  <si>
    <t>In this classification, this commodity indicates a product that consists of fluid to be injected into the lower bowel by way of the rectum for medical purposes.  Most nations, for tariff and trade purposes, schedule these products under HS 392690.</t>
  </si>
  <si>
    <t>Epistaxis balloon kits</t>
  </si>
  <si>
    <t>In this classification, this commodity indicates a product that is a kit containing a balloon and closures that are used to suppress bleeding through the provision of pressure by the expansion of the balloon.  Most nations, for tariff and trade purposes, schedule these products under HS 902700.</t>
  </si>
  <si>
    <t>Epistaxis balloons</t>
  </si>
  <si>
    <t>In this classification, this commodity indicates a product that consists of the actual balloon used in epitaxis medical procedures.  Most nations, for tariff and trade purposes, schedule these products under HS 902700.</t>
  </si>
  <si>
    <t>42142100</t>
  </si>
  <si>
    <t>Heat and cold therapy products</t>
  </si>
  <si>
    <t>In this classification, this class includes the systems, products and components included in medical procedures utilizing heat or cold in therapeutic setting.</t>
  </si>
  <si>
    <t>Covers for heat or cold therapy products</t>
  </si>
  <si>
    <t>In this classification, this commodity indicates a product that provides either heat or cold through the covering of a human body part in a medical setting.  Most nations, for tariff and trade purposes, schedule these products under HS 621010.</t>
  </si>
  <si>
    <t>Medical cold storage chilling units</t>
  </si>
  <si>
    <t>In this classification, this commodity indicates a product that provides cold storage and chilling capability in a medical setting.  US FDA regulates Medical cold storage chilling units or accessories under 21 CFR 890.5940 and under FDA product code IMF.  Most nations, for tariff and trade purposes, schedule these products under HS 841850.</t>
  </si>
  <si>
    <t>Medical heat lamps</t>
  </si>
  <si>
    <t>In this classification, this commodity indicates a product that is a heat lamp used in a medical setting.  Most nations, for tariff and trade purposes, schedule these products under HS 851679.</t>
  </si>
  <si>
    <t>Medical hydrocollators</t>
  </si>
  <si>
    <t>In this classification, this commodity indicates a device that consists of thermostatically controlled water bath for placing bentonite-filled cloth heating pads. When the pads are removed from the bath, they are placed in covers and placed on the patient.  Most nations, for tariff and trade purposes, schedule these products under HS 902119.</t>
  </si>
  <si>
    <t>Therapeutic heating or cooling units or systems</t>
  </si>
  <si>
    <t>In this classification, this commodity indicates a unit or system that provides either heat or cold through the covering of a human body part in a medical setting.  US FDA regulates Therapeutic heating or cooling units or systems under 21 CFR 878.4810 and under FDA product code NUV.  Most nations, for tariff and trade purposes, schedule these products under HS 841989.</t>
  </si>
  <si>
    <t>Therapeutic heating or cooling blankets or drapes</t>
  </si>
  <si>
    <t>In this classification, this commodity indicates the blankets that are used to provide either heat or cold through the covering of a human body part in a medical setting.  Most nations, for tariff and trade purposes, schedule these products under HS 630130.</t>
  </si>
  <si>
    <t>Therapeutic cryo compression therapy systems</t>
  </si>
  <si>
    <t>In this classification, this commodity indicates a product that uses therapeutically delivered cold and compression in a medical setting.  Most nations, for tariff and trade purposes, schedule these products under HS 841989.</t>
  </si>
  <si>
    <t>Therapeutic heating or cooling pads or compresses or packs</t>
  </si>
  <si>
    <t>In this classification, this commodity indicates the pads, compresses or packs that are used to provide either heat or cold through the covering of a human body part in a medical setting.  US FDA regulates Therapeutic heating or cooling pads or compresses or packs under 21 CFR 890.5740 and under FDA product code IRT.  Most nations, for tariff and trade purposes, schedule these products under HS 630493.</t>
  </si>
  <si>
    <t>Therapeutic hot or cold therapy mitts</t>
  </si>
  <si>
    <t>In this classification, this commodity indicates the mitts that are used to provide either heat or cold through the covering of a human body part in a medical setting.  Most nations, for tariff and trade purposes, schedule these products under HS 611610.</t>
  </si>
  <si>
    <t>Therapeutic hot or cold water bottles</t>
  </si>
  <si>
    <t>In this classification, this commodity indicates a product that consists of a bottle used to deliver either heat or cold in a medical setting.  US FDA regulates Therapeutic hot or cold water bottles under 21 CFR 880.6085 and under FDA product code FPF.  Most nations, for tariff and trade purposes, schedule these products under HS 701090.</t>
  </si>
  <si>
    <t>Therapeutic ice packs or pillows</t>
  </si>
  <si>
    <t>In this classification, this commodity indicates a product that consists of an ice pack or pillow used to deliver cold in a medical setting.  Most nations, for tariff and trade purposes, schedule these products under HS 382490.</t>
  </si>
  <si>
    <t>Therapeutic paraffin baths</t>
  </si>
  <si>
    <t>In this classification, this commodity indicates a product that is designed to apply heat to the hands or feet through the use of paraffin wax.  US FDA regulates Therapeutic paraffin baths under 21 CFR 890.5110 and under FDA product code IMC.  Most nations, for tariff and trade purposes, schedule these products under HS 691010.</t>
  </si>
  <si>
    <t>Therapeutic sinus masks</t>
  </si>
  <si>
    <t>In this classification, this commodity indicates a product that is a constructed as a mask to overlay the sinuses and provide heat, cold or compression to help relieve sinus pain.  Most nations, for tariff and trade purposes, schedule these products under HS 901920.</t>
  </si>
  <si>
    <t>Therapeutic hot or cold therapy pants</t>
  </si>
  <si>
    <t>In this classification, this commodity indicates a product in the form of pants used to deliver cold in a medical setting.  Most nations, for tariff and trade purposes, schedule these products under HS 621010.</t>
  </si>
  <si>
    <t>Hypothermia apparatus</t>
  </si>
  <si>
    <t>In this classification, this commodity indicates a product that consist of a unit the delivers mi=moistened warmed are to reduce the effects of a person who has been expose to hypothermia.  US FDA regulates Hypothermia apparatus under 21 CFR 870.59 and under FDA product code NZE.  Most nations, for tariff and trade purposes, schedule these products under HS 901811.</t>
  </si>
  <si>
    <t>Therapeutic cryo compression therapy cuffs</t>
  </si>
  <si>
    <t>In this classification, this commodity indicates the cuffs of a product that uses therapeutically delivered cold and compression in a medical setting.  Most nations, for tariff and trade purposes, schedule these products under HS 392600.</t>
  </si>
  <si>
    <t>Moist steam cabinets</t>
  </si>
  <si>
    <t>In this classification, this commodity indicates a product intended for medical purposes that delivers a flow of heated, moisturized air to a patient in an enclosed  unit.  US FDA  regulates moist steam cabinets under 21 CFR 890.5250 and under FDA product code IMB.  Most nations, for tariff and trade purposes, schedule these products under HS 940320.</t>
  </si>
  <si>
    <t>Hyperthermia monitors</t>
  </si>
  <si>
    <t>In this classification, this commodity indicates a product that is a customized computer monitor that displays hyperthermia specific levels.  Most nations, for tariff and trade purposes, schedule these products under HS 852849.</t>
  </si>
  <si>
    <t>Cryotherapeutic dry ice sets</t>
  </si>
  <si>
    <t>In this classification, this commodity indicates a product that consists of dry ice sets used for cryotherapeutic procedures.  Most nations, for tariff and trade purposes, schedule these products under HS 841830.</t>
  </si>
  <si>
    <t>Medical heat lamp accessories</t>
  </si>
  <si>
    <t>In this classification, this commodity indicates a product that consists of accessories used by a heat lamp in a medical setting.  Most nations, for tariff and trade purposes, schedule these products under HS 851679.</t>
  </si>
  <si>
    <t>Medical hydrocollator accessories</t>
  </si>
  <si>
    <t>In this classification, this commodity indicates a product that consists of accessories used by a hyrdocollater in a medical setting.  Most nations, for tariff and trade purposes, schedule these products under HS 691010.</t>
  </si>
  <si>
    <t>Therapeutic heating or cooling unit or system accessories</t>
  </si>
  <si>
    <t>In this classification, this commodity indicates a product that consists of accessories used by therapeutic heating or cooling unit or system in a medical setting.  Most nations, for tariff and trade purposes, schedule these products under HS 841830.</t>
  </si>
  <si>
    <t>Therapeutic cryo compression therapy system accessories</t>
  </si>
  <si>
    <t>Therapeutic paraffin bath accessories</t>
  </si>
  <si>
    <t>In this classification, this commodity indicates a product that consists of accessories used by therapeutic paraffin bath in a medical setting.  Most nations, for tariff and trade purposes, schedule these products under HS 691010.</t>
  </si>
  <si>
    <t>Medical cold storage chilling unit accessories</t>
  </si>
  <si>
    <t>In this classification, this commodity indicates a product that consists of accessories used by a medical cold storage chilling unit in a medical setting.  Most nations, for tariff and trade purposes, schedule these products under HS 841830.</t>
  </si>
  <si>
    <t>Phototherapy lasers</t>
  </si>
  <si>
    <t>In this classification, this commodity indicates a product that provides laser based phototherapy in a medical setting.  Most nations, for tariff and trade purposes, schedule these products under HS 901320.</t>
  </si>
  <si>
    <t>Physical therapy moist heat apparatus</t>
  </si>
  <si>
    <t>In this classification, this commodity indicates a product used for physical therapy involving moist heat in a medical setting.  Most nations, for tariff and trade purposes, schedule these products under HS 821300.</t>
  </si>
  <si>
    <t>42142200</t>
  </si>
  <si>
    <t>Hydrotherapy products</t>
  </si>
  <si>
    <t>In this classification, this class includes the systems, products and components included in medical procedures utilizing water or liquids in therapeutic setting.</t>
  </si>
  <si>
    <t>Extremity hydrotherapy baths or tanks</t>
  </si>
  <si>
    <t>In this classification, this commodity indicates a product that consists of a bath or tank used in association with an extremity hydrotherapy procedure in a medical setting.  Most nations, for tariff and trade purposes, schedule these products under HS 691010.</t>
  </si>
  <si>
    <t>Full body immersion hydrotherapy baths or tanks</t>
  </si>
  <si>
    <t>In this classification, this commodity indicates a product that consists of a bath or tank used in association with a full body hydrotherapy procedure in a medical setting.  Most nations, for tariff and trade purposes, schedule these products under HS 691010.</t>
  </si>
  <si>
    <t>Hydrotherapy bath or tank accessories</t>
  </si>
  <si>
    <t>In this classification, this commodity indicates a product that consists accessories for a bath or tank used in association with an extremity hydrotherapy procedure in a medical setting.  Most nations, for tariff and trade purposes, schedule these products under HS 691010.</t>
  </si>
  <si>
    <t>Hydrotherapy bath chairs</t>
  </si>
  <si>
    <t>In this classification, this commodity indicates a product that consists of a bath chair used in association with an extremity hydrotherapy procedure in a medical setting.  Most nations, for tariff and trade purposes, schedule these products under HS 940200.</t>
  </si>
  <si>
    <t>Hydrotherapy hydromassage beds or tables</t>
  </si>
  <si>
    <t>In this classification, this commodity indicates a product that consists of a beds or tables used in association with an extremity hydrotherapy procedure in a medical setting.  Most nations, for tariff and trade purposes, schedule these products under HS 940200.</t>
  </si>
  <si>
    <t>Hydrotherapy bath or tank disinfection systems</t>
  </si>
  <si>
    <t>In this classification, this commodity indicates a product that consists of disinfectants for a bath or tank used in association with an extremity hydrotherapy procedure in a medical setting.  Most nations, for tariff and trade purposes, schedule these products under HS 691010.</t>
  </si>
  <si>
    <t>42142300</t>
  </si>
  <si>
    <t>Medical documentation products</t>
  </si>
  <si>
    <t>In this classification, this class includes products utilized in documenting medical examinations, procedures and interactions.</t>
  </si>
  <si>
    <t>General use medical labels</t>
  </si>
  <si>
    <t>In this classification, this commodity indicates a product that consists of paper stock used for labeling in a medical setting.  US FDA regulates General use medical labels under 21 CFR 878.48 and under FDA product code LYV.  Most nations, for tariff and trade purposes, schedule these products under HS 482110.</t>
  </si>
  <si>
    <t>Medical paper charting systems</t>
  </si>
  <si>
    <t>In this classification, this commodity indicates a product that provides a system used in the paper or plastic charting of medical records and procedures.  Most nations, for tariff and trade purposes, schedule these products under HS 490500.</t>
  </si>
  <si>
    <t>Patient identification and information products</t>
  </si>
  <si>
    <t>In this classification, this commodity indicates a product that provide pre-configured identification and information records for use in a general medical setting.  Most nations, for tariff and trade purposes, schedule these products under HS 490500.</t>
  </si>
  <si>
    <t>Medical chart papers and forms</t>
  </si>
  <si>
    <t>In this classification, this commodity indicates a product that provide paper used in the charting of medical records and procedures.  Most nations, for tariff and trade purposes, schedule these products under HS 490500.</t>
  </si>
  <si>
    <t>Medical paper charting system accessories</t>
  </si>
  <si>
    <t>In this classification, this commodity indicates a product that provide the accessories to paper used in the charting of medical records and procedures.  Most nations, for tariff and trade purposes, schedule these products under HS 490500.</t>
  </si>
  <si>
    <t>Medical electronic charting systems</t>
  </si>
  <si>
    <t>In this classification, this commodity indicates a product that provides a system used in the electronic charting of medical records and procedures.  Most nations, for tariff and trade purposes, schedule these products under HS 490500.</t>
  </si>
  <si>
    <t>Medical electronic charting system accessories</t>
  </si>
  <si>
    <t>In this classification, this commodity indicates a product that provides the accessories for a system used in the electronic charting of medical records and procedures.  Most nations, for tariff and trade purposes, schedule these products under HS 490500.</t>
  </si>
  <si>
    <t>42142500</t>
  </si>
  <si>
    <t>Injection and aspiration needles and accessories</t>
  </si>
  <si>
    <t>In this classification, this class includes needles and other components utilized in injection or aspiration based medical procedures.</t>
  </si>
  <si>
    <t>Amniocentesis needles</t>
  </si>
  <si>
    <t>In this classification, this commodity indicates a product that is a hollow needle commonly used for rapid delivery or evacuation of liquids in an amniocentesis procedure in a medical setting.  US FDA regulates Amniocentesis needles under 21 CFR 884.1550 and under FDA product code HIO.  Most nations, for tariff and trade purposes, schedule these products under HS 901832.</t>
  </si>
  <si>
    <t>Anesthesia needles</t>
  </si>
  <si>
    <t>In this classification, this commodity indicates a product that is a hollow needle commonly used for rapid delivery or evacuation of liquids in an anesthesia procedure in a medical setting.  US FDA regulates Anesthesia needles under 21 CFR 868.5120 and under FDA product code OFQ.  Most nations, for tariff and trade purposes, schedule these products under HS 901832.</t>
  </si>
  <si>
    <t>Arterial needles</t>
  </si>
  <si>
    <t>In this classification, this commodity indicates a product that is a hollow needle commonly used for rapid delivery or evacuation of liquids in an arterial procedure in a medical setting.  Most nations, for tariff and trade purposes, schedule these products under HS 901832.</t>
  </si>
  <si>
    <t>Biopsy needles</t>
  </si>
  <si>
    <t>In this classification, this commodity indicates a product that is a hollow needle commonly used for rapid delivery or evacuation of liquids in a biopsy procedure in a medical setting.  US FDA regulates Biopsy needles under 21 CFR 876.1075 and under FDA product code DWO.  Most nations, for tariff and trade purposes, schedule these products under HS 901832.</t>
  </si>
  <si>
    <t>Blunt needles</t>
  </si>
  <si>
    <t>In this classification, this commodity indicates a product that is a hollow and blunt needle commonly used for rapid delivery or evacuation of liquids in an in a medical setting.  Most nations, for tariff and trade purposes, schedule these products under HS 901832.</t>
  </si>
  <si>
    <t>Epidural anesthesia kit or tray</t>
  </si>
  <si>
    <t>In this classification, this commodity indicates a product that consist of a kit of goods or a tray utilized in an epidural anesthetic procedure in a medical setting.  US FDA regulates Epidural anesthesia kit or tray under 21 CFR 868.5120 and under FDA product code OFT.  Most nations, for tariff and trade purposes, schedule these products under HS 901832.</t>
  </si>
  <si>
    <t>Filter needles</t>
  </si>
  <si>
    <t>In this classification, this commodity indicates a product that is a hollow needle commonly used for rapid delivery or evacuation of liquids in a filtration based procedure in a medical setting.  US FDA regulates these products under 21 CFR 880.5440 and under FDA product code CAK.  Most nations, for tariff and trade purposes, schedule these products under HS 901832.</t>
  </si>
  <si>
    <t>Needle caps or protection devices</t>
  </si>
  <si>
    <t>In this classification, this commodity indicates a product that is a cap or protective device or accessories focused on needles commonly used for rapid delivery or evacuation of liquids in a medical setting.  US FDA regulates Needle caps or protection devices or accessories under 21 CFR 880.5440 and under FDA product code FMI.  Most nations, for tariff and trade purposes, schedule these products under HS 901839.</t>
  </si>
  <si>
    <t>Fistula needles</t>
  </si>
  <si>
    <t>In this classification, this commodity indicates a product that is a hollow needle commonly used for rapid delivery or evacuation of liquids in a fistula based procedure in a medical setting.  US FDA regulates Fistula needles under 21 CFR 870.1350 and under FDA product code DQP.  Most nations, for tariff and trade purposes, schedule these products under HS 901832.</t>
  </si>
  <si>
    <t>Radiology procedural needles</t>
  </si>
  <si>
    <t>In this classification, this commodity indicates a product that is a hollow needle commonly used for rapid delivery or evacuation of liquids in a radiological based procedure in a medical setting.  US FDA regulates Radiology procedural needles under 21 CFR 870.1350 and under FDA product code DQP.  Most nations, for tariff and trade purposes, schedule these products under HS 901832.</t>
  </si>
  <si>
    <t>Spinal anesthesia kits or trays</t>
  </si>
  <si>
    <t>In this classification, this commodity indicates a product that consist of a kit of goods or a tray utilized in a spinal anesthetic procedure in a medical setting.  US FDA regulates Spinal anesthesia kits or trays under 21 CFR 868.5120 and under FDA product code OFU.  Most nations, for tariff and trade purposes, schedule these products under HS 901839.</t>
  </si>
  <si>
    <t>Vented needles</t>
  </si>
  <si>
    <t>In this classification, this commodity indicates a product that is a vented needle commonly used for rapid delivery or evacuation of liquids in specialized procedures in a medical setting.  US FDA regulates Vented needles under 21 CFR 878.48 and under FDA product code GAA.  Most nations, for tariff and trade purposes, schedule these products under HS 901832.</t>
  </si>
  <si>
    <t>Biopsy aspirator products</t>
  </si>
  <si>
    <t>In this classification, this commodity indicates a product that components and accessories for body aspiration procedures in a medical setting.  Most nations, for tariff and trade purposes, schedule these products under HS 901920.</t>
  </si>
  <si>
    <t>Needle guides</t>
  </si>
  <si>
    <t>In this classification, this commodity indicates a product that acts a s a guide for needle insertion and positioning in a medical setting.  Most nations, for tariff and trade purposes, schedule these products under HS 901839.</t>
  </si>
  <si>
    <t>Dispensing pins or needles</t>
  </si>
  <si>
    <t>In this classification, this commodity indicates a product that is a hollow needle or pins commonly used for rapid delivery or evacuation of liquids in dispensing procedure in a medical setting.  Most nations, for tariff and trade purposes, schedule these products under HS 901832.</t>
  </si>
  <si>
    <t>Blood collection needles</t>
  </si>
  <si>
    <t>In this classification, this commodity indicates a product that is a hollow needle commonly used for rapid delivery or evacuation of liquids in blood collecting procedure in a medical setting.  US FDA regulates Blood collection needles under 21 CFR 862.1675 and under FDA product code GIO.  Most nations, for tariff and trade purposes, schedule these products under HS 901832.</t>
  </si>
  <si>
    <t>Hypodermic needle</t>
  </si>
  <si>
    <t>In this classification, this commodity indicates a product that is a hollow needle commonly used for rapid delivery or evacuation of liquids in a medical setting.  US FDA regulates Hypodermic needle under 21 CFR 880. 557 and under FDA product code FMI.  Most nations, for tariff and trade purposes, schedule these products under HS 901832.</t>
  </si>
  <si>
    <t>Irrigation needles</t>
  </si>
  <si>
    <t>In this classification, this commodity indicates a product that is a hollow needle commonly used for rapid delivery or evacuation of liquids in irrigation procedure in a medical setting.  US FDA regulates Irrigation needles under 21 CFR 878.42 and under FDA product code GCB.  Most nations, for tariff and trade purposes, schedule these products under HS 901832.</t>
  </si>
  <si>
    <t>Needle cleaning wires</t>
  </si>
  <si>
    <t>In this classification, this commodity indicates a product that is wired based and used to clean needles in a medical setting.  Most nations, for tariff and trade purposes, schedule these products under HS 901832.</t>
  </si>
  <si>
    <t>Sternum puncture needles or sets</t>
  </si>
  <si>
    <t>In this classification, this commodity indicates a product that is a hollow needle or set of needles commonly used for the puncturing of the sternum in a medical setting.  US FDA regulates Sternum puncture needles or sets under 21 CFR 880.5440 and under FDA product code FPA.  Most nations, for tariff and trade purposes, schedule these products under HS 901832.</t>
  </si>
  <si>
    <t>Needle trays or holders</t>
  </si>
  <si>
    <t>In this classification, this commodity indicates a product that consists of either a tray or set of holders configured to restraint needles in a medical setting.  US FDA regulates Needle trays or holders under 21 CFR 880.5440 and under FDA product code FPA.  Most nations, for tariff and trade purposes, schedule these products under HS 392410.</t>
  </si>
  <si>
    <t>Diagnostic procedure needles</t>
  </si>
  <si>
    <t>In this classification, this commodity indicates a product that is a hollow needle commonly used for rapid delivery or evacuation of liquids in diagnostic procedure in a medical setting.  US FDA regulates Diagnostic procedure needles under 21 CFR 880.5440 and under FDA product code FPA.  Most nations, for tariff and trade purposes, schedule these products under HS 901832.</t>
  </si>
  <si>
    <t>Needle or blade or sharps disposal containers or carts</t>
  </si>
  <si>
    <t>In this classification, this commodity indicates a product that.  Most nations, for tariff and trade purposes, schedule these products under HS 940290.</t>
  </si>
  <si>
    <t>Pericardiocentesis needles or kits</t>
  </si>
  <si>
    <t>In this classification, this commodity indicates a product that is a hollow needle or set of needles commonly used in a pericardiocentesis in a medical setting.  Most nations, for tariff and trade purposes, schedule these products under HS 901832.</t>
  </si>
  <si>
    <t>Needle for intravenous or arterial administration ports</t>
  </si>
  <si>
    <t>In this classification, this commodity indicates a product that is a hollow needle commonly used for rapid delivery or evacuation of liquids in an intravenous or arterial administration port based procedure in a medical setting.  US FDA regulates Needle for intravenous or arterial administration ports under 21 CFR 880.5440 and under FDA product code FPA.  Most nations, for tariff and trade purposes, schedule these products under HS 901890.</t>
  </si>
  <si>
    <t>Intraosseous needles</t>
  </si>
  <si>
    <t>In this classification, this commodity indicates a product that is a hollow needle commonly used for rapid delivery or evacuation of liquids in intraosseous procedure in a medical setting.  US FDA regulates Intraosseous needles under 21 CFR 880. 557 and under FDA product code MHC.  Most nations, for tariff and trade purposes, schedule these products under HS 901832.</t>
  </si>
  <si>
    <t>Anesthesia nerve block trays or needles</t>
  </si>
  <si>
    <t>In this classification, this commodity indicates a product that consists of a tray with components and accessories or a hollow needle used in a nerve block anesthesia procedure in a medical setting.  US FDA regulates Anesthesia nerve block trays or needles under 21 CFR 868.5120 and under FDA product code BSP.  Most nations, for tariff and trade purposes, schedule these products under HS 901832.</t>
  </si>
  <si>
    <t>Thoracentesis or paracentesis needles and catheters</t>
  </si>
  <si>
    <t>In this classification, this commodity indicates a product that is a catheter or hollow needle commonly used for rapid delivery or evacuation of liquids in a thoracentesis or paracentesis procedure in a medical setting.  US FDA regulates Thoracentesis or paracentesis needles and catheters under 21 CFR 878.48 and under FDA product code GAA.  Most nations, for tariff and trade purposes, schedule these products under HS 901839.</t>
  </si>
  <si>
    <t>Thoracentesis sets or trays</t>
  </si>
  <si>
    <t>In this classification, this commodity indicates a product that consists of a set or tray used in a thoracentesis procedure in a medical setting.  Most nations, for tariff and trade purposes, schedule these products under HS 392410.</t>
  </si>
  <si>
    <t>Paracentesis sets or trays</t>
  </si>
  <si>
    <t>In this classification, this commodity indicates a product that consists of a set or tray used in a paracentesis procedure in a medical setting.  Most nations, for tariff and trade purposes, schedule these products under HS 392410.</t>
  </si>
  <si>
    <t>Dialysis needles</t>
  </si>
  <si>
    <t>In this classification, this commodity indicates a product that is a hollow needle commonly used for rapid delivery or evacuation of liquids in dialysis procedure in a medical setting.  Most nations, for tariff and trade purposes, schedule these products under HS 901832.</t>
  </si>
  <si>
    <t>Implanted intraosseous ports</t>
  </si>
  <si>
    <t>In this classification, this commodity indicates a product that consist of a port that is implanted in an intraosseous procedure in a medical setting.  Most nations, for tariff and trade purposes, schedule these products under HS 901811.</t>
  </si>
  <si>
    <t>Spinal aspiration needles</t>
  </si>
  <si>
    <t>In this classification, this commodity indicates a product that is a hollow needle commonly used for rapid delivery or evacuation of liquids in spinal aspiration procedure in a medical setting.  Most nations, for tariff and trade purposes, schedule these products under HS 901832.</t>
  </si>
  <si>
    <t>Pericardiocentesis needle or kit accessories</t>
  </si>
  <si>
    <t>In this classification, this commodity indicates a product that consists of needle or kit accessories with components and accessories or a hollow needle used in a pericardiocentesis procedure in a medical setting.  Most nations, for tariff and trade purposes, schedule these products under HS 901832.</t>
  </si>
  <si>
    <t>Biopsy aspirator product accessories</t>
  </si>
  <si>
    <t>In this classification, this commodity indicates a product that contains the components or accessories for a biopsy aspirator unit or system.  Most nations, for tariff and trade purposes, schedule these products under HS 901811.</t>
  </si>
  <si>
    <t>Vein stabilization devices</t>
  </si>
  <si>
    <t>In this classification, this commodity indicates a product that contains the device used to stabilize veins in a medical setting.  Most nations, for tariff and trade purposes, schedule these products under HS 901811.</t>
  </si>
  <si>
    <t>Needle cap or protection device accessories</t>
  </si>
  <si>
    <t>Accessories included with needle cap or protection devices</t>
  </si>
  <si>
    <t>42142600</t>
  </si>
  <si>
    <t>Syringes and accessories</t>
  </si>
  <si>
    <t>In this classification, this class includes syringes and syringe components and accessories, utilized in a wide variety of medical interactions.</t>
  </si>
  <si>
    <t>Medical aspiration or irrigation syringes</t>
  </si>
  <si>
    <t>In this classification, this commodity indicates a product that consists of a tube with a nozzle and piston or bulb for sucking in and ejecting liquid in a thin stream used in a medical aspiration or irrigation procedure in a medical setting.  US FDA regulates Medical aspiration or irrigation syringes under 21 CFR 880.6960 and under FDA product code KYZ.  Most nations, for tariff and trade purposes, schedule these products under HS 901831.</t>
  </si>
  <si>
    <t>Medical bulb syringes</t>
  </si>
  <si>
    <t>In this classification, this commodity indicates a product that consists of a tube with a nozzle and a bulb for sucking in and ejecting liquid in a thin stream used in a procedure in a medical setting.  US FDA regulates Medical bulb syringes under 21 CFR 880.6960 and under FDA product code KYZ.  Most nations, for tariff and trade purposes, schedule these products under HS 901831.</t>
  </si>
  <si>
    <t>Medical cartridge syringes</t>
  </si>
  <si>
    <t>In this classification, this commodity indicates a product that consists of a tube with a nozzle and piston or bulb and a cartridge for sucking in and ejecting liquid in a thin stream used in a procedure in a medical setting.  Most nations, for tariff and trade purposes, schedule these products under HS 901831.</t>
  </si>
  <si>
    <t>Medical catheter tip syringes</t>
  </si>
  <si>
    <t>In this classification, this commodity indicates a product that consists of a tube with a nozzle and piston or bulb functioning as the tip of a catheter for sucking in and ejecting liquid in a thin stream used in a procedure in a medical setting.  Most nations, for tariff and trade purposes, schedule these products under HS 901839.</t>
  </si>
  <si>
    <t>Medical ear syringes</t>
  </si>
  <si>
    <t>In this classification, this commodity indicates a product that consists of a tube with a nozzle and piston or bulb for sucking in and ejecting liquid in a thin stream used in an ear based procedure in a medical setting.  US FDA regulates Medical ear syringes under 21 CFR 874.5220 and under FDA product code KCP.  Most nations, for tariff and trade purposes, schedule these products under HS 901831.</t>
  </si>
  <si>
    <t>Medical metered delivery syringes</t>
  </si>
  <si>
    <t>In this classification, this commodity indicates a product that consists of a tube with a nozzle and a bulb for sucking in and ejecting liquid in a thin stream in a measured increment used in a procedure in a medical setting.  US FDA regulates Medical metered delivery syringes under 21 CFR 880. 544 and under FDA product code FPA.  Most nations, for tariff and trade purposes, schedule these products under HS 901831.</t>
  </si>
  <si>
    <t>Medical micro syringes</t>
  </si>
  <si>
    <t>In this classification, this commodity indicates a product that consists of a tube with a nozzle and a bulb for sucking in and ejecting liquid in a thin stream of a small size used in a procedure in a medical setting.  Most nations, for tariff and trade purposes, schedule these products under HS 901831.</t>
  </si>
  <si>
    <t>Medical syringes without needle</t>
  </si>
  <si>
    <t>In this classification, this commodity indicates a product that consists of a tube with a nozzle and a bulb for sucking in and ejecting liquid in a thin stream lacking a needle for use in a general medical procedure in a medical setting.  US FDA regulates Medical syringes without needle under 21 CFR 870.1650 and under FDA product code DQF.  Most nations, for tariff and trade purposes, schedule these products under HS 901831.</t>
  </si>
  <si>
    <t>Medical syringes with needle</t>
  </si>
  <si>
    <t>In this classification, this commodity indicates a product that consists of a tube with a nozzle and a bulb for sucking in and ejecting liquid in a thin stream for use in a general medical procedure in a medical setting.  US FDA regulates Medical syringes with needle under 21 CFR 870.1650 and under FDA product code DQF.  Most nations, for tariff and trade purposes, schedule these products under HS 901831.</t>
  </si>
  <si>
    <t>Oral liquid medication syringes</t>
  </si>
  <si>
    <t>In this classification, this commodity indicates a product that consists of a tube with a nozzle and a bulb for sucking in and ejecting liquid in a thin stream used in an oral medication induction based procedure in a medical setting.  Most nations, for tariff and trade purposes, schedule these products under HS 901831.</t>
  </si>
  <si>
    <t>Tuberculin syringes</t>
  </si>
  <si>
    <t>In this classification, this commodity indicates a product that consists of a tube with a nozzle and a bulb for sucking in and ejecting liquid in a thin stream used in a tuberculin induction based procedure in a medical setting.  Most nations, for tariff and trade purposes, schedule these products under HS 901831.</t>
  </si>
  <si>
    <t>Irrigation syringe sets</t>
  </si>
  <si>
    <t>In this classification, this commodity indicates a product that consists of a tube with a nozzle and a bulb for sucking in and ejecting liquid in a thin stream used in an irrigation procedure in a medical setting.  US FDA regulates Irrigation syringe sets under 21 CFR 872.4565 and under FDA product code EIB.  Most nations, for tariff and trade purposes, schedule these products under HS 901831.</t>
  </si>
  <si>
    <t>Injection guns</t>
  </si>
  <si>
    <t>In this classification, this commodity indicates a product that automates injections in a medical setting by using a device with a gun appearance.  Most nations, for tariff and trade purposes, schedule these products under HS 901811.</t>
  </si>
  <si>
    <t>Hypodermic injection apparatus</t>
  </si>
  <si>
    <t>In this classification, this commodity indicates a product that represents the associated apparatus used in conjunction with a hypodermic injection in a medical setting.  Most nations, for tariff and trade purposes, schedule these products under HS 901831.</t>
  </si>
  <si>
    <t>Syringe accessories</t>
  </si>
  <si>
    <t>In this classification, this commodity indicates a product that provides accessories for a device consisting of a tube with a nozzle and piston or bulb for sucking in and ejecting liquid in a thin stream in a medical setting.  US FDA regulates Syringe accessories under 21 CFR 872.6770 and under FDA product code EJI.  Most nations, for tariff and trade purposes, schedule these products under HS 901831.</t>
  </si>
  <si>
    <t>Blood collection syringes</t>
  </si>
  <si>
    <t>In this classification, this commodity indicates a product consisting  of a tube with a nozzle and piston or bulb for sucking in and ejecting liquid in a thin stream used in a blood collection procedure in a medical setting.  Most nations, for tariff and trade purposes, schedule these products under HS 901831.</t>
  </si>
  <si>
    <t>Fountain syringes</t>
  </si>
  <si>
    <t>In this classification, this commodity indicates a product consisting  of a fluid reservoir with a tube attached to the bottom so that the flow is controlled by gravity, used for vaginal or rectal injections and for irrigating wounds in a medical setting.  Most nations, for tariff and trade purposes, schedule these products under HS 901831.</t>
  </si>
  <si>
    <t>Blood gas analysis syringe kits</t>
  </si>
  <si>
    <t>In this classification, this commodity indicates a product that includes a syringe and associated components and accessories used in a blood gas analysis procedure in a medical setting.  US FDA regulates Blood gas analysis syringe kits under 21 CFR 862.1120 and under FDA product code CHL.  Most nations, for tariff and trade purposes, schedule these products under HS 901831.</t>
  </si>
  <si>
    <t>Prefilled flush syringes</t>
  </si>
  <si>
    <t>In this classification, this commodity indicates a product that provides accessories for a device consisting of a tube with a nozzle and piston or bulb for pre filled with a saline solution used for ejecting liquid in a thin stream in a medical setting.  US FDA regulates Prefilled flush syringes under 21 CFR 880.52 and under FDA product code FOZ.  Most nations, for tariff and trade purposes, schedule these products under HS 901831.</t>
  </si>
  <si>
    <t>Intraosseous needle drivers or injection guns</t>
  </si>
  <si>
    <t>In this classification, this commodity indicates a product that drives a hollow needle commonly used for rapid delivery or evacuation of liquids in intraosseous procedure in a medical setting.  Most nations, for tariff and trade purposes, schedule these products under HS 901832.</t>
  </si>
  <si>
    <t>Aspirating guns</t>
  </si>
  <si>
    <t>In this classification, this commodity indicates a product that can hold and rive multiple times needles and bags for contents used in a biopsy procedure in a medical setting.  Most nations, for tariff and trade purposes, schedule these products under HS 901920.</t>
  </si>
  <si>
    <t>Vein location devices or lights</t>
  </si>
  <si>
    <t>In this classification, this commodity indicates a product that uses lights or resonance to locate veins in a patient in a medical setting, without contacting the patients skin.  Most nations, for tariff and trade purposes, schedule these products under HS 901890.</t>
  </si>
  <si>
    <t>Hypodermic injection apparatus accessories</t>
  </si>
  <si>
    <t>In this classification, this commodity indicates a product that represents the accessories associated with the apparatus used in conjunction with a hypodermic injection in a medical setting.  Most nations, for tariff and trade purposes, schedule these products under HS 901890.</t>
  </si>
  <si>
    <t>Injection pens</t>
  </si>
  <si>
    <t>In this classification, this commodity indicates a product that allows for injections at 90 degrees without having the skin of the patient pinched in a medical setting.  Most nations, for tariff and trade purposes, schedule these products under HS 901890.</t>
  </si>
  <si>
    <t>Injection gun accessories</t>
  </si>
  <si>
    <t>In this classification, this commodity indicates a product that contains accessories associated with an injection gun device used in a medical setting.  Most nations, for tariff and trade purposes, schedule these products under HS 901890.</t>
  </si>
  <si>
    <t>Aspirating gun accessories</t>
  </si>
  <si>
    <t>In this classification, this commodity indicates the accessories associated with a product that can hold and rive multiple times needles and bags for contents used in a biopsy procedure in a medical setting.  Most nations, for tariff and trade purposes, schedule these products under HS 901890.</t>
  </si>
  <si>
    <t>42142700</t>
  </si>
  <si>
    <t>Urological supplies</t>
  </si>
  <si>
    <t>In this classification, this class includes, products, components, accessories, and supplies, utilized in medical procedures focused on the urinary tract.</t>
  </si>
  <si>
    <t>Suprapubic urinary catheters or kits</t>
  </si>
  <si>
    <t>In this classification, this commodity indicates a product consisting of a flexible tube inserted through a narrow opening into the pubic bone.  US FDA regulates suprapubic urinary catheters or kits under 21 CFR 876.5090 and under FDA product code KOB.  Most nations, for tariff and trade purposes, schedule these products under HS 901839.</t>
  </si>
  <si>
    <t>Urethral urinary catheters</t>
  </si>
  <si>
    <t>In this classification, this commodity indicates a product consisting of a flexible tube inserted through a narrow opening into the uterus.  US FDA regulates Urethral urinary catheters under 21 CFR 876.5130 and under FDA product code GBL.  Most nations, for tariff and trade purposes, schedule these products under HS 901839.</t>
  </si>
  <si>
    <t>Urinary catheter plugs or clamps</t>
  </si>
  <si>
    <t>In this classification, this commodity indicates a product or kit including a catheter (a flexible tube inserted through a narrow opening into the uterus).  US FDA regulates Urinary catheter plugs or clamps under 21 CFR 876.5130 and under FDA product code EYK.  Most nations, for tariff and trade purposes, schedule these products under HS 901832.</t>
  </si>
  <si>
    <t>Urinary drainage bags or meters</t>
  </si>
  <si>
    <t>In this classification, this commodity indicates a product that consists of a bag or meter utilized to aid drainage of the urinary tract in a person.  Most nations, for tariff and trade purposes, schedule these products under HS 392690.</t>
  </si>
  <si>
    <t>Urinary drainage bag straps or fasteners</t>
  </si>
  <si>
    <t>In this classification, this commodity indicates a product that consists of the straps or fasteners associated with a bag or meter utilized to aid drainage of the urinary tract in a person.  Most nations, for tariff and trade purposes, schedule these products under HS 901890.</t>
  </si>
  <si>
    <t>Urological procedure trays or packs or kits</t>
  </si>
  <si>
    <t>In this classification, this commodity indicates a product that includes tray, packs or kits that are configured with instruments and accessories used in urological procedures.  US FDA regulates Urological procedure trays or packs or kits under 21 CFR 864.3250 and under FDA product code EXG.  Most nations, for tariff and trade purposes, schedule these products under HS 392410.</t>
  </si>
  <si>
    <t>Urinary irrigation tubings</t>
  </si>
  <si>
    <t>In this classification, this commodity indicates a product that consists of tubing inserted into the urinary tract for the purpose of irrigation.  Most nations, for tariff and trade purposes, schedule these products under HS 901839.</t>
  </si>
  <si>
    <t>Urological instrument adapters</t>
  </si>
  <si>
    <t>In this classification, this commodity indicates a product that are accessories and adapter that customize the utility of instruments used in urological procedures.  Most nations, for tariff and trade purposes, schedule these products under HS 901811.</t>
  </si>
  <si>
    <t>Nephrostomy sets</t>
  </si>
  <si>
    <t>In this classification, this commodity indicates a product that used for percutaneous placement of a pigtail catheter in the renal pelvis for nephrostomy drainage.  US FDA regulates Nephrostomy sets under 21 CFR 878.42 and under FDA product code GBO.  Most nations, for tariff and trade purposes, schedule these products under HS 901839.</t>
  </si>
  <si>
    <t>Urinary drainage tubes</t>
  </si>
  <si>
    <t>In this classification, this commodity indicates a product that consists of tubing inserted into the urinary tract for the purpose of drainage.  Most nations, for tariff and trade purposes, schedule these products under HS 901839.</t>
  </si>
  <si>
    <t>Stone remover sets</t>
  </si>
  <si>
    <t>In this classification, this commodity indicates a product that includes the instruments and accessories required to remove stones and calcium generate by human organs.  US FDA regulates Stone remover sets under 21 CFR 876.5160 and under FDA product code LQR.  Most nations, for tariff and trade purposes, schedule these products under HS 901839.</t>
  </si>
  <si>
    <t>Urological sheaths or sets</t>
  </si>
  <si>
    <t>In this classification, this commodity indicates a product that provides sheaths or sets that assist urological instruments in more effectively navigating the urinary tract during medical procedures.  Most nations, for tariff and trade purposes, schedule these products under HS 902119.</t>
  </si>
  <si>
    <t>Urological percolators</t>
  </si>
  <si>
    <t>In this classification, this commodity indicates a product that uses percolation to aid in urinary tract treatment and stone removal.  Most nations, for tariff and trade purposes, schedule these products under HS 901811.</t>
  </si>
  <si>
    <t>Urinary catheterization kits</t>
  </si>
  <si>
    <t>In this classification, this commodity indicates a product that consists of a catheter inserted into the urinary tract. US FDA regulates Urinary catheterization kits under 21 CFR 876.5130 and under FDA product code EYC.  Most nations, for tariff and trade purposes, schedule these products under HS 901839.</t>
  </si>
  <si>
    <t>Pessary devices</t>
  </si>
  <si>
    <t>In this classification, this commodity indicates a product that consists of a medical device similar to the outer ring of a diaphragm used to support the uterus, vagina, bladder, or rectum.  US FDA regulates Pessary devices under 21 CFR 884.3570 and under FDA product code HHW.  Most nations, for tariff and trade purposes, schedule these products under HS 901811.</t>
  </si>
  <si>
    <t>Nephrostomy catheters or drains</t>
  </si>
  <si>
    <t>In this classification, this commodity indicates a product consisting of a flexible tube inserted through a narrow opening between the skin and kidney.  US FDA regulates Nephrostomy catheters or drains under 21 CFR 878.42 and under FDA product code GBO.  Most nations, for tariff and trade purposes, schedule these products under HS 901839.</t>
  </si>
  <si>
    <t>Penile support and lengthening devices</t>
  </si>
  <si>
    <t>In this classification, this commodity indicates a product that supports and lengthens the penis.  Most nations, for tariff and trade purposes, schedule these products under HS 901811.</t>
  </si>
  <si>
    <t>Urethrotomes</t>
  </si>
  <si>
    <t>In this classification, this commodity indicates an instrument for dividing a stricture of the urethra.  Most nations, for tariff and trade purposes, schedule these products under HS 901811.</t>
  </si>
  <si>
    <t>Male external urinary catheters</t>
  </si>
  <si>
    <t>In this classification, this commodity indicates a product consisting of a flexible tube inserted through a narrow opening into the male urinary tract.  Most nations, for tariff and trade purposes, schedule these products under HS 901839.</t>
  </si>
  <si>
    <t>Urological guidewires or glidewires</t>
  </si>
  <si>
    <t>In this classification, this commodity indicates a product that is designed to facilitate device placement through urological procedures.  Most nations, for tariff and trade purposes, schedule these products under HS 902110.</t>
  </si>
  <si>
    <t>Ureteral stone migration prevention gels</t>
  </si>
  <si>
    <t>In this classification, this commodity indicates a product that is a gel applied inside the urethra to restrict stones from moving during medical procedures.  Most nations, for tariff and trade purposes, schedule these products under HS 300670.</t>
  </si>
  <si>
    <t>Incontinence clamps</t>
  </si>
  <si>
    <t>In this classification, this commodity indicates a device that can help control urinary leakage that occurs when straining, coughing, or lifting things.  Most nations, for tariff and trade purposes, schedule these products under HS 901832.</t>
  </si>
  <si>
    <t>Punch catheter instruments</t>
  </si>
  <si>
    <t>In this classification, this commodity indicates a product that cuts a small hole allowing for the introduction of a catheter.  Most nations, for tariff and trade purposes, schedule these products under HS 901839.</t>
  </si>
  <si>
    <t>External urethral occluders</t>
  </si>
  <si>
    <t>In this classification, this commodity indicates a product that externally encompasses an adjustable device that is surgically placed around the urethra and is used to increase the pressure in this area.  Most nations, for tariff and trade purposes, schedule these products under HS 901811.</t>
  </si>
  <si>
    <t>Ileal conduit catheters</t>
  </si>
  <si>
    <t>In this classification, this commodity indicates a product consisting of a flexible tube inserted through a narrow opening into the small intestine when the urinary bladder has been removed).  Most nations, for tariff and trade purposes, schedule these products under HS 901839.</t>
  </si>
  <si>
    <t>External incontinence stimulators</t>
  </si>
  <si>
    <t>In this classification, this commodity indicates a product that Electrical stimulation is used to treat urinary incontinence by sending a mild electric current to nerves in the lower back or the pelvic muscles that are involved in urination.  Most nations, for tariff and trade purposes, schedule these products under HS 901811.</t>
  </si>
  <si>
    <t>Urological strainers</t>
  </si>
  <si>
    <t>In this classification, this commodity indicates a product that acts as a strainer of urological fluid to aid in the viewing of stones and calcium deposits in urine.  Most nations, for tariff and trade purposes, schedule these products under HS 901811.</t>
  </si>
  <si>
    <t>Nephrostomy set accessories</t>
  </si>
  <si>
    <t>In this classification, this commodity indicates a product that contains the instruments and accessories to perform a nephrostomy (an artificial opening created between the kidney and the skin which allows for the urinary diversion directly from the upper part of the urinary system).  Most nations, for tariff and trade purposes, schedule these products under HS 901811.</t>
  </si>
  <si>
    <t>Urinary drainage tube accessories</t>
  </si>
  <si>
    <t>In this classification, this commodity indicates a product that contains the accessories needed to succefully administer a urinary tube after insertion.  Most nations, for tariff and trade purposes, schedule these products under HS 901839.</t>
  </si>
  <si>
    <t>Stone remover set accessories</t>
  </si>
  <si>
    <t>In this classification, this commodity indicates a product that contains the accessories needed to succefully remove various types of stones developed in the human body.  Most nations, for tariff and trade purposes, schedule these products under HS 901811.</t>
  </si>
  <si>
    <t>Male external urinary catheter accessories</t>
  </si>
  <si>
    <t>In this classification, this commodity indicates a product consisting of a flexible tube inserted through a narrow opening into the small intestine when the urethra has been removed) and assorted accessories to aid in the intubation.  Most nations, for tariff and trade purposes, schedule these products under HS 901839.</t>
  </si>
  <si>
    <t>Ureteral catheter or catheter set</t>
  </si>
  <si>
    <t>In this classification, this commodity indicates a product consisting of a flexible tube inserted into the urethra) and assorted accessories to aid in the intubation.  Most nations, for tariff and trade purposes, schedule these products under HS 901839.</t>
  </si>
  <si>
    <t>Urological evacuators</t>
  </si>
  <si>
    <t>In this classification, this commodity indicates a product that is particularly suited for irrigation and removal of tissue from a body cavity such as the bladder.  Most nations, for tariff and trade purposes, schedule these products under HS 901811.</t>
  </si>
  <si>
    <t>Ureteral catheter accessories</t>
  </si>
  <si>
    <t>In this classification, this commodity indicates a product that consists of various accessories that work in concert to support a urinary catheterization procedure.  Most nations, for tariff and trade purposes, schedule these products under HS 901839.</t>
  </si>
  <si>
    <t>Urological surgical catheters</t>
  </si>
  <si>
    <t>In this classification, this commodity indicates a product that consists of a flexible tube inserted through a narrow opening into the urinary bladder during a medical procedure.  Most nations, for tariff and trade purposes, schedule these products under HS 901839.</t>
  </si>
  <si>
    <t>42142800</t>
  </si>
  <si>
    <t>Vascular and compression therapy equipment and supplies</t>
  </si>
  <si>
    <t>In this classification, this class includes, products, components, accessories, and supplies, utilized in medical procedures focused on vascular and compression therapy.</t>
  </si>
  <si>
    <t>Vascular sequential compression devices or tubing</t>
  </si>
  <si>
    <t>In this classification, this commodity indicates a product that utilizes compression for a body part of a person, and more particularly to a vascular compression system for enhancing flow of bodily fluid in the body part.  Most nations, for tariff and trade purposes, schedule these products under HS 901839.</t>
  </si>
  <si>
    <t>Vascular or compression apparel or support</t>
  </si>
  <si>
    <t>In this classification, this commodity indicates a product that provides the appropriate clothing during a procedure that used compression for a body part of a person, and more particularly to a vascular compression system for enhancing flow of bodily fluid in the body part.  Most nations, for tariff and trade purposes, schedule these products under HS 901839.</t>
  </si>
  <si>
    <t>42142900</t>
  </si>
  <si>
    <t>Vision correction or cosmetic eyewear and related products</t>
  </si>
  <si>
    <t>In this classification, this class includes, products, components, accessories, and supplies, utilized in medical procedures focused envision correction therapy or cosmetic eyewear.</t>
  </si>
  <si>
    <t>Eyeglasses</t>
  </si>
  <si>
    <t>In this classification, this commodity indicates a product the uses a single lens to correct flawed vision in a human.  Most nations, for tariff and trade purposes, schedule these products under HS 900410.</t>
  </si>
  <si>
    <t>Eyeglass lenses</t>
  </si>
  <si>
    <t>In this classification, this commodity indicates the actual lenses of product the uses a single lens to correct flawed vision in a human.  US FDA regulates Eyeglass lenses under 21 CFR 886.5844 and under FDA product code HQG.  Most nations, for tariff and trade purposes, schedule these products under HS 900140.</t>
  </si>
  <si>
    <t>Eyeglass frames</t>
  </si>
  <si>
    <t>In this classification, this commodity indicates the frame of product the uses a single lens to correct flawed vision in a human.  US FDA regulates Eyeglass frames under 21 CFR 886.5842 and under FDA product code HQZ.  Most nations, for tariff and trade purposes, schedule these products under HS 900311.</t>
  </si>
  <si>
    <t>Eyeglass hardware</t>
  </si>
  <si>
    <t>In this classification, this commodity indicates the connective hardware for a product the uses a single lens to correct flawed vision in a human.  Most nations, for tariff and trade purposes, schedule these products under HS 900311.</t>
  </si>
  <si>
    <t>Sunglasses</t>
  </si>
  <si>
    <t>In this classification, this commodity indicates a product the uses a single lens to glasses tinted to protect the eyes from sunlight or glare in a human.  Most nations, for tariff and trade purposes, schedule these products under HS 900410.</t>
  </si>
  <si>
    <t>Eyeglass cases</t>
  </si>
  <si>
    <t>In this classification, this commodity indicates the storage case for a product the uses a single lens to correct flawed vision in a human.  Most nations, for tariff and trade purposes, schedule these products under HS 900311.</t>
  </si>
  <si>
    <t>Eyeglass cleaning cloths</t>
  </si>
  <si>
    <t>In this classification, this commodity indicates the textile patch used to clean the lens for a product the uses a single lens to correct flawed vision in a human.  Most nations, for tariff and trade purposes, schedule these products under HS 900311.</t>
  </si>
  <si>
    <t>Eyeglass cleaning kits</t>
  </si>
  <si>
    <t>In this classification, this commodity indicates the textile patch and cleaning solution used to clean the lens for a product the uses a single lens to correct flawed vision in a human.  Most nations, for tariff and trade purposes, schedule these products under HS 900311.</t>
  </si>
  <si>
    <t>Eyeglass retainers</t>
  </si>
  <si>
    <t>In this classification, this commodity indicates an attachment usually textile that encircles the back of the head and protects from falling a product the uses a single lens to correct flawed vision in a human.  Most nations, for tariff and trade purposes, schedule these products under HS 900311.</t>
  </si>
  <si>
    <t>Contact lens cases</t>
  </si>
  <si>
    <t>In this classification, this commodity indicates the storage case for a product that uses a thin plastic lens placed directly on the surface of the eye to correct visual defects in a human.  US FDA regulates Contact lens cases under 21 CFR 886.5928 and under FDA product code LRX.  Most nations, for tariff and trade purposes, schedule these products under HS 900311.</t>
  </si>
  <si>
    <t>Contact lens inserters or removers</t>
  </si>
  <si>
    <t>In this classification, this commodity indicates the peripheral inserters and removers for a product that uses a thin plastic lens placed directly on the surface of the eye to correct visual defects in a human.  US FDA regulates Contact lens inserters or removers under 21 CFR 886.5420 and under FDA product code KYE.  Most nations, for tariff and trade purposes, schedule these products under HS 901811.</t>
  </si>
  <si>
    <t>Contact lens radius gauges</t>
  </si>
  <si>
    <t>In this classification, this commodity indicates the radius measurement instrument for a product that uses a thin plastic lens placed directly on the surface of the eye to correct visual defects in a human.  US FDA regulates Contact lens radius gauges under 21 CFR 886.1420 and under FDA product code HLN.  Most nations, for tariff and trade purposes, schedule these products under HS 901811.</t>
  </si>
  <si>
    <t>Contact lenses</t>
  </si>
  <si>
    <t>In this classification, this commodity indicates a product that uses a thin plastic lens placed directly on the surface of the eye to correct visual defects in a human.  US FDA regulates Contact lenses under 21 CFR 886.5916 and under FDA product code MUW.  Most nations, for tariff and trade purposes, schedule these products under HS 900130.</t>
  </si>
  <si>
    <t>Contact lens cleaning or moisturizing solutions</t>
  </si>
  <si>
    <t>In this classification, this commodity indicates the cleaning a moisturizing solutions used for a product that uses a thin plastic lens placed directly on the surface of the eye to correct visual defects in a human.  US FDA regulates Contact lens cleaning or moisterizing solutions under 21 CFR 886.5918 and under FDA product code MRC.  Most nations, for tariff and trade purposes, schedule these products under HS 300339.</t>
  </si>
  <si>
    <t>Contact lens maintenance kits</t>
  </si>
  <si>
    <t>In this classification, this commodity indicates a kit that contains the means to maintain a product that uses a thin plastic lens placed directly on the surface of the eye to correct visual defects in a human.  Most nations, for tariff and trade purposes, schedule these products under HS 901811.</t>
  </si>
  <si>
    <t>Ophthalmic lens gauges</t>
  </si>
  <si>
    <t>In this classification, this commodity indicates a product that gauges the size and depth of an ophthalmic lenses.  Most nations, for tariff and trade purposes, schedule these products under HS 901811.</t>
  </si>
  <si>
    <t>Electronic vision aids</t>
  </si>
  <si>
    <t>In this classification, this commodity indicates a product that electronically augments human eyesight.  Most nations, for tariff and trade purposes, schedule these products under HS 901811.</t>
  </si>
  <si>
    <t>Optical vision aids</t>
  </si>
  <si>
    <t>In this classification, this commodity a product used external to the eye to augment human eyesight.  Most nations, for tariff and trade purposes, schedule these products under HS 901811.</t>
  </si>
  <si>
    <t>Thermal soft-lens sterilizers</t>
  </si>
  <si>
    <t>In this classification, this commodity indicates a product that sterilizes and cleanses soft and contact lenses.  Most nations, for tariff and trade purposes, schedule these products under HS 841920.</t>
  </si>
  <si>
    <t>Contact lens disinfection and neutralization disks</t>
  </si>
  <si>
    <t>In this classification, this commodity indicates the cleaning and sterilizing solutions used for a product that uses a thin plastic lens placed directly on the surface of the eye to correct visual defects in a human.  Most nations, for tariff and trade purposes, schedule these products under HS 901811.</t>
  </si>
  <si>
    <t>Eyeglass fitting and adjustment set cases</t>
  </si>
  <si>
    <t>In this classification, this commodity indicates the case for a set that fits and adjusts for the product the uses a single lens to correct flawed vision in a human.  Most nations, for tariff and trade purposes, schedule these products under HS 901811.</t>
  </si>
  <si>
    <t>Eyeglasses guards</t>
  </si>
  <si>
    <t>In this classification, this commodity indicates the guards for the product the uses a single lens to correct flawed vision in a human.  Most nations, for tariff and trade purposes, schedule these products under HS 901811.</t>
  </si>
  <si>
    <t>Hand-held magnifiers</t>
  </si>
  <si>
    <t>In this classification, this commodity indicates a visual magnifier that is hand held for the vision in a human.  Most nations, for tariff and trade purposes, schedule these products under HS 901811.</t>
  </si>
  <si>
    <t>Ophthalmic vision image intensification aids</t>
  </si>
  <si>
    <t>In this classification, this commodity a product used external to the eye to augment human eyesight through intensification.  Most nations, for tariff and trade purposes, schedule these products under HS 901811.</t>
  </si>
  <si>
    <t>Hand-held telescopes</t>
  </si>
  <si>
    <t>In this classification, this commodity indicates a compact telescope that can be held.  Most nations, for tariff and trade purposes, schedule these products under HS 901811.</t>
  </si>
  <si>
    <t>Eyeglass microscopes</t>
  </si>
  <si>
    <t>In this classification, this commodity indicates a microscope attachment to a product for the product that uses a single lens to correct flawed vision in a human.  Most nations, for tariff and trade purposes, schedule these products under HS 903180.</t>
  </si>
  <si>
    <t>Eyeglass telescopes</t>
  </si>
  <si>
    <t>In this classification, this commodity indicates a telescope attachment to a product for the product that uses a single lens to correct flawed vision in a human.  Most nations, for tariff and trade purposes, schedule these products under HS 901811.</t>
  </si>
  <si>
    <t>Eyeglass magnifiers</t>
  </si>
  <si>
    <t>In this classification, this commodity indicates the magnifier of the product the uses a single lens to correct flawed vision in a human.  Most nations, for tariff and trade purposes, schedule these products under HS 901811.</t>
  </si>
  <si>
    <t>Ophthalmic bar readers</t>
  </si>
  <si>
    <t>In this classification, this commodity indicates a product that nostalgically reads bars.  Most nations, for tariff and trade purposes, schedule these products under HS 901811.</t>
  </si>
  <si>
    <t>Eyeglass fronts</t>
  </si>
  <si>
    <t>In this classification, this commodity indicates the front of the product the uses a single lens to correct flawed vision in a human.  Most nations, for tariff and trade purposes, schedule these products under HS 901811.</t>
  </si>
  <si>
    <t>Eyeglass temples</t>
  </si>
  <si>
    <t>In this classification, this commodity indicates the temples of the product the uses a single lens to correct flawed vision in a human.  Most nations, for tariff and trade purposes, schedule these products under HS 901811.</t>
  </si>
  <si>
    <t>Eyeglass frame straps</t>
  </si>
  <si>
    <t>In this classification, this commodity.  Most nations, for tariff and trade purposes, schedule these products under HS 901811.</t>
  </si>
  <si>
    <t>42143100</t>
  </si>
  <si>
    <t>Obstetrical and gynecological equipment and supplies</t>
  </si>
  <si>
    <t>In this classification, this class includes, products, components, accessories, and supplies, utilized in obstetrical or gynecological based medical procedures.</t>
  </si>
  <si>
    <t>Intrauterine catheters or catheterization kits</t>
  </si>
  <si>
    <t>In this classification, this commodity indicates a product or kit including a catheter (a flexible tube inserted through a narrow opening into the uterus).  US FDA regulates Intrauterine catheters or catheterization kits under 21 CFR 884.27 and under FDA product code HGS.  Most nations, for tariff and trade purposes, schedule these products under HS 901839.</t>
  </si>
  <si>
    <t>Uterine devices</t>
  </si>
  <si>
    <t>In this classification, this commodity indicates a product used as a device inserted into the uterus to prevent pregnancy.  US FDA regulates Uterine devices under 21 CFR 884.4530 and under FDA product code HCY.  Most nations, for tariff and trade purposes, schedule these products under HS 901811.</t>
  </si>
  <si>
    <t>Contraceptive devices for female users</t>
  </si>
  <si>
    <t>In this classification, this commodity indicates a product of various forms used to prevent pregnancy.  Most nations, for tariff and trade purposes, schedule these products under HS 901811.</t>
  </si>
  <si>
    <t>Amniocentesis kits</t>
  </si>
  <si>
    <t>In this classification, this commodity indicates a product containing prepackaged collections (either custom or standard) of the equipment and supplies used to perform needed to conduct an amniocentesis.  US FDA regulates Amniocentesis kits under 21 CFR 884.1550 and under FDA product code HIO.  Most nations, for tariff and trade purposes, schedule these products under HS 901839.</t>
  </si>
  <si>
    <t>Obstetrical extraction units</t>
  </si>
  <si>
    <t>In this classification, this commodity indicates a product consisting of the instruments and devices necessary to do an extraction of a fetus in a medical setting.  Most nations, for tariff and trade purposes, schedule these products under HS 901811.</t>
  </si>
  <si>
    <t>Gynecology drainage kits</t>
  </si>
  <si>
    <t>In this classification, this commodity indicates a product consisting prepackaged collections (either custom or standard) of the equipment and supplies used to perform a gynecological drainage procedure in a medical setting.  Most nations, for tariff and trade purposes, schedule these products under HS 901890.</t>
  </si>
  <si>
    <t>Perinometers</t>
  </si>
  <si>
    <t>In this classification, this commodity indicates a product that is used for measuring the strength of voluntary contractions of the pelvic floor muscles of a woman.  US FDA regulates Perinometers under 21 CFR 884.1425 and under FDA product code HIR.  Most nations, for tariff and trade purposes, schedule these products under HS 901890.</t>
  </si>
  <si>
    <t>Abdominal decompression chambers</t>
  </si>
  <si>
    <t>In this classification, this commodity indicates a product that is a hoodlike device used to reduce pressure on the pregnant patient's abdomen for the relief of abdominal pain during pregnancy or labor.  US FDA regulates Abdominal decompression chambers under 21 CFR 884.5225 and under FDA product code HEH.  Most nations, for tariff and trade purposes, schedule these products under HS 901890.</t>
  </si>
  <si>
    <t>Contraceptive device removers</t>
  </si>
  <si>
    <t>In this classification, this commodity indicates a product that is an instrument used to remove contraceptives in a medical setting.  Most nations, for tariff and trade purposes, schedule these products under HS 901890.</t>
  </si>
  <si>
    <t>Perineal heaters</t>
  </si>
  <si>
    <t>In this classification, this commodity indicates a product is used as a device designed to apply heat directly by contact, or indirectly from a radiant source, to the surface of the perineum (the area between the vulva and the anus) and is used to soothe or to help heal the perineum after an episiotomy (incision of the vulvar orifice for obstetrical purposes).  Most nations, for tariff and trade purposes, schedule these products under HS 730441.</t>
  </si>
  <si>
    <t>Fetal blood samplers or collecting kits</t>
  </si>
  <si>
    <t>In this classification, this commodity indicates a product that is prepackaged collections (either custom or standard) of the equipment and supplies used to perform a collection and sampling fetal blood directly from the umbilical cord or fetus.  Most nations, for tariff and trade purposes, schedule these products under HS 901890.</t>
  </si>
  <si>
    <t>Obstetrical vacuum delivery systems</t>
  </si>
  <si>
    <t>In this classification, this commodity indicates a product that is used as a system comprised of the reusable pump and a variety of cup options to assist in the delivery of a baby in a medical setting.  Most nations, for tariff and trade purposes, schedule these products under HS 901890.</t>
  </si>
  <si>
    <t>Obstetric-gynecologic tubal occlusion valves</t>
  </si>
  <si>
    <t>In this classification, this commodity indicates a product that consists of a valve and consumables that are used to expand the fallopian tubes and aid in child birth.  Most nations, for tariff and trade purposes, schedule these products under HS 901890.</t>
  </si>
  <si>
    <t>Obstetrics-gynecology abdominal decompression chambers</t>
  </si>
  <si>
    <t>In this classification, this commodity indicates a product is a hoodlike device used to reduce pressure on the pregnant patient's abdomen for the relief of abdominal pain during pregnancy or labor.  Most nations, for tariff and trade purposes, schedule these products under HS 901890.</t>
  </si>
  <si>
    <t>Uterine manipulators or injectors</t>
  </si>
  <si>
    <t>In this classification, this commodity indicates a product that are devices used in laparoscopic hysterectomy in a medical setting.  Most nations, for tariff and trade purposes, schedule these products under HS 901890.</t>
  </si>
  <si>
    <t>Intrauterine pressure monitoring catheters</t>
  </si>
  <si>
    <t>In this classification, this commodity indicates a product which is a device placed into the amniotic space during labor in order to measure the strength of uterine contractions in a medical setting.  Most nations, for tariff and trade purposes, schedule these products under HS 901839.</t>
  </si>
  <si>
    <t>Uterine device accessories</t>
  </si>
  <si>
    <t>In this classification, this commodity indicates an accessory or consumable used in association with product a device inserted into the uterus to prevent pregnancy.  Most nations, for tariff and trade purposes, schedule these products under HS 901890.</t>
  </si>
  <si>
    <t>Transcervical intrauterine kits</t>
  </si>
  <si>
    <t>In this classification, this commodity indicates a product which consists of a prepackaged collection (either custom or standard) of the equipment and supplies used to perform the measurement intrauterine pressure.  Most nations, for tariff and trade purposes, schedule these products under HS 901811.</t>
  </si>
  <si>
    <t>Contraceptive device accessories for female users</t>
  </si>
  <si>
    <t>In this classification, this commodity indicates a product that is either an accessory or consumable associated with contraceptive devices for female users.  Most nations, for tariff and trade purposes, schedule these products under HS 901890.</t>
  </si>
  <si>
    <t>Acute care fetal or maternal monitoring units</t>
  </si>
  <si>
    <t>In this classification, this commodity indicates a product that is a device used to monitor health conditions for fetuses or newborn babies.  Most nations, for tariff and trade purposes, schedule these products under HS 852849.</t>
  </si>
  <si>
    <t>Fetal scalp electrodes</t>
  </si>
  <si>
    <t>In this classification, this commodity indicates a product that is used to detect actual beat-to-beat electrical signals of the fetal heart.  Most nations, for tariff and trade purposes, schedule these products under HS 901890.</t>
  </si>
  <si>
    <t>Amniocentesis kit accessories</t>
  </si>
  <si>
    <t>In this classification, this commodity indicates a product containing the accessories for the components and supplies needed to conduct an amniocentesis.  Most nations, for tariff and trade purposes, schedule these products under HS 901890.</t>
  </si>
  <si>
    <t>Fetal electroencephalographic monitors</t>
  </si>
  <si>
    <t>Obstetrical extraction unit accessories</t>
  </si>
  <si>
    <t>In this classification, this commodity indicates a product used as accessories for various obstetrical extraction kits.  Most nations, for tariff and trade purposes, schedule these products under HS 901890.</t>
  </si>
  <si>
    <t>Gynecology drainage kit accessories</t>
  </si>
  <si>
    <t>In this classification, this commodity indicates a product consisting of the accessories for the instruments and devices necessary to do a gynecological drainage procedure in a medical setting.  Most nations, for tariff and trade purposes, schedule these products under HS 901890.</t>
  </si>
  <si>
    <t>Obstetrical vacuum delivery system accessories</t>
  </si>
  <si>
    <t>In this classification, this commodity indicates a product that is an accessory for the system used to assist in the delivery of a baby in a medical setting.  Most nations, for tariff and trade purposes, schedule these products under HS 901890.</t>
  </si>
  <si>
    <t>Acute care fetal or maternal monitoring unit accessories</t>
  </si>
  <si>
    <t>In this classification, this commodity indicates a product that are the accessories for a devise used to monitor health conditions for fetuses or newborn babies.  Most nations, for tariff and trade purposes, schedule these products under HS 852849.</t>
  </si>
  <si>
    <t>Fetal acoustic stimulators</t>
  </si>
  <si>
    <t>In this classification, this commodity indicates a product that is used to wake a fetus with sound and vibration during a nonstress test in a medical setting.  Most nations, for tariff and trade purposes, schedule these products under HS 901811.</t>
  </si>
  <si>
    <t>Fetal monitoring transducers</t>
  </si>
  <si>
    <t>In this classification, this commodity indicates a product that is an instrument used outside the body to capture and record electronic waves of a pregnant woman.  Most nations, for tariff and trade purposes, schedule these products under HS 901811.</t>
  </si>
  <si>
    <t>Intrauterine pressure monitoring cables</t>
  </si>
  <si>
    <t>In this classification, this commodity indicates a product that are the cables associated with a n intrauterine pressure catheter (IUPC) in which placed into the amniotic space during labor in order to measure the strength of uterine contractions.  Most nations, for tariff and trade purposes, schedule these products under HS 901890.</t>
  </si>
  <si>
    <t>Intrauterine pressure monitors</t>
  </si>
  <si>
    <t>Intrauterine pressure recorders</t>
  </si>
  <si>
    <t>In this classification, this commodity indicates a product that is the monitor that associated with and displays measured the strength of uterine contractions.  Most nations, for tariff and trade purposes, schedule these products under HS 901890.</t>
  </si>
  <si>
    <t>Intrauterine pressure transducers</t>
  </si>
  <si>
    <t>In this classification, this commodity indicates a product that is an instrument used outside the body to capture and record the contractions of a pregnant woman.  Most nations, for tariff and trade purposes, schedule these products under HS 901890.</t>
  </si>
  <si>
    <t>Culdocentesis kits</t>
  </si>
  <si>
    <t>In this classification, this commodity indicates a product that is a prepackaged collection (either custom or standard) of the equipment and supplies intended for use to perform a culdocentesis procedure.  Most nations, for tariff and trade purposes, schedule these products under HS 901890.</t>
  </si>
  <si>
    <t>Amniocentesis hooks</t>
  </si>
  <si>
    <t>In this classification, this commodity indicates a product that is a long plastic hook designed to rupture the amneotic membrane.  Most nations, for tariff and trade purposes, schedule these products under HS 901890.</t>
  </si>
  <si>
    <t>42143200</t>
  </si>
  <si>
    <t>Fertility and sterility treatment equipment and supplies</t>
  </si>
  <si>
    <t>In this classification, this class includes, products, components, accessories, and supplies, utilized in medical procedures focused on fertility or sterility.</t>
  </si>
  <si>
    <t>Semen preparation kits</t>
  </si>
  <si>
    <t>In this classification, this commodity indicates a product that is a prepackaged collection (either custom or standard) of the equipment and supplies used to perform a semen preparation procedure in a medical setting.  Most nations, for tariff and trade purposes, schedule these products under HS 901890.</t>
  </si>
  <si>
    <t>Artificial insemination catheters</t>
  </si>
  <si>
    <t>In this classification, this commodity indicates a product used as a flexible tube inserted through a narrow opening into a body cavity in an artificial insemination procedure.  Most nations, for tariff and trade purposes, schedule these products under HS 901839.</t>
  </si>
  <si>
    <t>Embryo transfer catheters</t>
  </si>
  <si>
    <t>In this classification, this commodity indicates a product used as a flexible tube inserted through a narrow opening into a body cavity in an embryo transfer procedure.  Most nations, for tariff and trade purposes, schedule these products under HS 901839.</t>
  </si>
  <si>
    <t>Assisted reproduction needles</t>
  </si>
  <si>
    <t>In this classification, this commodity indicates a product that is a hollow needle commonly used with a syringe to inject or extract substances or fluids associated with a procedure.  Most nations, for tariff and trade purposes, schedule these products under HS 901832.</t>
  </si>
  <si>
    <t>Assisted reproduction laser systems</t>
  </si>
  <si>
    <t>In this classification, this commodity indicates a system consisting of products, consumables and accessories that are used to execute an assisted reproduction laser procedure in a medical setting.  Most nations, for tariff and trade purposes, schedule these products under HS 901320.</t>
  </si>
  <si>
    <t>Assisted reproduction sperm selection systems</t>
  </si>
  <si>
    <t>In this classification, this commodity indicates a system consisting of products, consumables and accessories that are used to execute an assisted reproduction sperm selection procedure in a medical setting.  Most nations, for tariff and trade purposes, schedule these products under HS 901890.</t>
  </si>
  <si>
    <t>Intrauterine insemination cannulae</t>
  </si>
  <si>
    <t>In this classification, this commodity indicates a product that is a thin tube inserted into a vein or body cavity to administer medicine, drain off fluid, or insert a surgical instrument associated with a procedure.  Most nations, for tariff and trade purposes, schedule these products under HS 901831.</t>
  </si>
  <si>
    <t>Assisted reproduction accessories</t>
  </si>
  <si>
    <t>In this classification, this commodity indicates a product that is a small spoon or curette, for cleaning out and shaping a carious cavity preparatory to filling.  Most nations, for tariff and trade purposes, schedule these products under HS 901890.</t>
  </si>
  <si>
    <t>Conception-assist kits</t>
  </si>
  <si>
    <t>In this classification, this commodity indicates a product that is prepackaged collections (either custom or standard) of the equipment and supplies used to perform.  Most nations, for tariff and trade purposes, schedule these products under HS 901890.</t>
  </si>
  <si>
    <t>Medical proconception kits</t>
  </si>
  <si>
    <t>In this classification, this commodity indicates a product that is a prepackaged collection (either custom or standard) of the equipment and supplies used to perform a preconception procedure in a medical setting.  Most nations, for tariff and trade purposes, schedule these products under HS 901890.</t>
  </si>
  <si>
    <t>Semen preparation kit accessories</t>
  </si>
  <si>
    <t>In this classification, this commodity indicates a product that is either an accessory or consumable associated with semen preparation procedures.  Most nations, for tariff and trade purposes, schedule these products under HS 901890.</t>
  </si>
  <si>
    <t>Testicular hypothermia devices</t>
  </si>
  <si>
    <t>In this classification, this commodity indicates a product is used as a device that removes moisture from the scrotum, to reduce the temperature of the scrotum and aid in sperm creation.  Most nations, for tariff and trade purposes, schedule these products under HS 901890.</t>
  </si>
  <si>
    <t>42143300</t>
  </si>
  <si>
    <t>Chemotherapy equipment and supplies</t>
  </si>
  <si>
    <t>In this classification, this class includes, products, components, accessories, and supplies, utilized in chemotherapy based medical procedures.</t>
  </si>
  <si>
    <t>Chemotherapy administration sets or kits</t>
  </si>
  <si>
    <t>In this classification, this commodity indicates a product that is a prepackaged collection (either custom or standard) of the equipment and supplies used to perform chemotherapy administration procedures in a medical setting.  US FDA regulates Chemotherapy administration sets or kits under 21 CFR 880.5540 and under FDA product code FPA.  Most nations, for tariff and trade purposes, schedule these products under HS 901890.</t>
  </si>
  <si>
    <t>Chemotherapy prep mats</t>
  </si>
  <si>
    <t>In this classification, this commodity indicates a product used as a preparatory matt for a chemotherapy procedure.  Most nations, for tariff and trade purposes, schedule these products under HS 300590.</t>
  </si>
  <si>
    <t>Chemotherapy transport bags</t>
  </si>
  <si>
    <t>In this classification, this commodity indicates a product used as a transport bag in a chemotherapy procedure.  Most nations, for tariff and trade purposes, schedule these products under HS 392690.</t>
  </si>
  <si>
    <t>Chemotherapy preparation pads</t>
  </si>
  <si>
    <t>In this classification, this commodity indicates a product used as a preparatory pad for a chemotherapy procedure.  Most nations, for tariff and trade purposes, schedule these products under HS 961100.</t>
  </si>
  <si>
    <t>Chemotherapy electrical extension leads</t>
  </si>
  <si>
    <t>In this classification, this commodity indicates a product used as a leads for electrical extensions in a chemotherapy procedure.  Most nations, for tariff and trade purposes, schedule these products under HS 854441.</t>
  </si>
  <si>
    <t>Chemotherapy ambulatory infusion pumps</t>
  </si>
  <si>
    <t>In this classification, this commodity indicates a product used as an ambulatory infusion pump in a chemotherapy procedure.  Most nations, for tariff and trade purposes, schedule these products under HS 841370.</t>
  </si>
  <si>
    <t>Chemotherapy biological safety cabinets</t>
  </si>
  <si>
    <t>In this classification, this commodity indicates a product used as a biological safety cabinet in a chemotherapy procedure.  Most nations, for tariff and trade purposes, schedule these products under HS 940320.</t>
  </si>
  <si>
    <t>Chemotherapy bladder instillation equipment</t>
  </si>
  <si>
    <t>In this classification, this commodity indicates a product used as bladder installation equipment in a chemotherapy procedure.  Most nations, for tariff and trade purposes, schedule these products under HS 901890.</t>
  </si>
  <si>
    <t>Chemotherapy cool boxes</t>
  </si>
  <si>
    <t>In this classification, this commodity indicates a product used as a cool box in a chemotherapy procedure.  Most nations, for tariff and trade purposes, schedule these products under HS 901890.</t>
  </si>
  <si>
    <t>Extravasation packs</t>
  </si>
  <si>
    <t>In this classification, this commodity indicates a product that aides in the reduction of the discharge or escape, as of blood, from a vessel into the tissues.  Most nations, for tariff and trade purposes, schedule these products under HS 901890.</t>
  </si>
  <si>
    <t>Chemotherapy drip stands</t>
  </si>
  <si>
    <t>In this classification, this commodity indicates a product used as a drip stand in a chemotherapy procedure.  Most nations, for tariff and trade purposes, schedule these products under HS 901890.</t>
  </si>
  <si>
    <t>42143400</t>
  </si>
  <si>
    <t>Hyperhidrosis control equipment and supplies</t>
  </si>
  <si>
    <t>In this classification, this class includes, products, components, accessories, and supplies, utilized in hyperhidrosis control based medical procedures.</t>
  </si>
  <si>
    <t>Sweat control equipment</t>
  </si>
  <si>
    <t>In this classification, this commodity indicates a product used to control the sweat of a person in a medical setting.  Most nations, for tariff and trade purposes, schedule these products under HS 901890.</t>
  </si>
  <si>
    <t>Iontophoresis system accessories</t>
  </si>
  <si>
    <t>In this classification, this commodity indicates a product that is either an accessory or consumable associated with iontophoresis systems.  Most nations, for tariff and trade purposes, schedule these products under HS 901890.</t>
  </si>
  <si>
    <t>Iontophoresis systems</t>
  </si>
  <si>
    <t>In this classification, this commodity indicates a product that is either an accessory or consumable associated with sweat control equipment.  Most nations, for tariff and trade purposes, schedule these products under HS 901890.</t>
  </si>
  <si>
    <t>Sweat control equipment accessories</t>
  </si>
  <si>
    <t>42143500</t>
  </si>
  <si>
    <t>Ear nose and throat ENT treatment products and accessories</t>
  </si>
  <si>
    <t>In this classification, this class includes, products, components, accessories, and supplies, utilized in ear, nose and throat based medical procedures.</t>
  </si>
  <si>
    <t>Earmold cleaning aids</t>
  </si>
  <si>
    <t>In this classification, this commodity indicates a product that is either an accessory or consumable associated with ear nose throat Ent examining unit and related products.  Most nations, for tariff and trade purposes, schedule these products under HS 901811.</t>
  </si>
  <si>
    <t>Nasal irrigation devices</t>
  </si>
  <si>
    <t>In this classification, this commodity indicates a product that is either an accessory or consumable associated with ear nose throat Ent examining mirrors.  US FDA regulates Nasal irrigation devices under 21 CFR 874.4420 and under FDA product code KAR.  Most nations, for tariff and trade purposes, schedule these products under HS 901811.</t>
  </si>
  <si>
    <t>Nasal bleeding control devices or balloons</t>
  </si>
  <si>
    <t>In this classification, this commodity indicates a product that is either an accessory or consumable associated with nasal irrigation devices.  Most nations, for tariff and trade purposes, schedule these products under HS 901811.</t>
  </si>
  <si>
    <t>Earmolds or its accessories</t>
  </si>
  <si>
    <t>In this classification, this commodity indicates a product that is either an accessory or consumable associated with earmold.  US FDA regulates Earmolds or its accessories under 21 CFR 874.33 and under FDA product code LDG.  Most nations, for tariff and trade purposes, schedule these products under HS 901811.</t>
  </si>
  <si>
    <t>Earmold repair kits</t>
  </si>
  <si>
    <t>In this classification, this commodity indicates a product that is either an accessory or consumable associated with ear nose throat Ent examining unit and related products.  Most nations, for tariff and trade purposes, schedule these products under HS 901890.</t>
  </si>
  <si>
    <t>Eustachian filiform sets</t>
  </si>
  <si>
    <t>In this classification, this commodity indicates a product that is either an accessory or consumable associated with ear nose throat Ent examining mirrors.  US FDA regulates Eustachian filiform sets under 21 CFR 874.4175 and under FDA product code KBY.  Most nations, for tariff and trade purposes, schedule these products under HS 901811.</t>
  </si>
  <si>
    <t>Medication ear packs</t>
  </si>
  <si>
    <t>Ear windhoods</t>
  </si>
  <si>
    <t>In this classification, this commodity indicates a product that is either an accessory or consumable associated with ontological instruments.  Most nations, for tariff and trade purposes, schedule these products under HS 901811.</t>
  </si>
  <si>
    <t>Earmold glues or cements</t>
  </si>
  <si>
    <t>In this classification, this commodity indicates a product that is either an accessory or consumable associated with earmold.  Most nations, for tariff and trade purposes, schedule these products under HS 300640.</t>
  </si>
  <si>
    <t>Ear windshield screens</t>
  </si>
  <si>
    <t>In this classification, this commodity indicates a product in a patch form used to shield ears from wind and other contaminants in a medical setting.  Most nations, for tariff and trade purposes, schedule these products under HS 901890.</t>
  </si>
  <si>
    <t>Cerumen hooks</t>
  </si>
  <si>
    <t>In this classification, this commodity indicates a product that is a hook shaped tool used to dislodge and remove cerumen from the ear.  Most nations, for tariff and trade purposes, schedule these products under HS 901890.</t>
  </si>
  <si>
    <t>Ear wicks</t>
  </si>
  <si>
    <t>In this classification, this commodity indicates a product that consists of a stick with cotton or other absorbent material that is dipped into a fluid or compound then inserted into the ear as a topical application.  US FDA regulates Ear wicks under 21 CFR 874.5220 and under FDA product code KCN.  Most nations, for tariff and trade purposes, schedule these products under HS 300590.</t>
  </si>
  <si>
    <t>Otological instruments</t>
  </si>
  <si>
    <t>In this classification, this commodity indicates a product used as an instrument in the treatment of diseases of the ear.  US FDA regulates Otological instruments under 21 CFR 874.4490 and under FDA product code LMS.  Most nations, for tariff and trade purposes, schedule these products under HS 901811.</t>
  </si>
  <si>
    <t>Ear wash systems</t>
  </si>
  <si>
    <t>In this classification, this commodity indicates a system consisting of products, consumables and accessories that are used to execute an ear wash procedure in a medical setting.  US FDA regulates Ear wash systems under 21 CFR 880.6960 and under FDA product code OGQ.  Most nations, for tariff and trade purposes, schedule these products under HS 901890.</t>
  </si>
  <si>
    <t>Ear nose throat ENT examining or treatment units</t>
  </si>
  <si>
    <t>In this classification, this commodity indicates a product that is a device used to examine or treat ear nose or throat conditions.  Most nations, for tariff and trade purposes, schedule these products under HS 901811.</t>
  </si>
  <si>
    <t>Ear nose throat ENT examining unit accessories and related products</t>
  </si>
  <si>
    <t>Ear electrodes</t>
  </si>
  <si>
    <t>In this classification, this commodity indicates a product that is either an accessory or consumable associated with ear nose throat Ent examining mirrors.  Most nations, for tariff and trade purposes, schedule these products under HS 901811.</t>
  </si>
  <si>
    <t>Tinnitus maskers</t>
  </si>
  <si>
    <t>Ear dressing kits</t>
  </si>
  <si>
    <t>In this classification, this commodity indicates a product that is either an accessory or consumable associated with otological instruments.  Most nations, for tariff and trade purposes, schedule these products under HS 300510.</t>
  </si>
  <si>
    <t>Ear examination lights</t>
  </si>
  <si>
    <t>In this classification, this commodity indicates a product that is either an accessory or consumable associated with earmold.  Most nations, for tariff and trade purposes, schedule these products under HS 901811.</t>
  </si>
  <si>
    <t>Ear hooks</t>
  </si>
  <si>
    <t>In this classification, this commodity indicates a product that is a hook shaped tool used to dislodge and sediment and wax from the ear.  Most nations, for tariff and trade purposes, schedule these products under HS 901890.</t>
  </si>
  <si>
    <t>Ear nose throat ENT instruments antichoke devices</t>
  </si>
  <si>
    <t>In this classification, this commodity indicates a product used as an antichoke device in an ear, nose or throat, medical procedure.  Most nations, for tariff and trade purposes, schedule these products under HS 901811.</t>
  </si>
  <si>
    <t>Ear plugs</t>
  </si>
  <si>
    <t>In this classification, this commodity indicates a product that incorporates two plugs placed into the ears to protect the ears and reduce sounds.  Most nations, for tariff and trade purposes, schedule these products under HS 901890.</t>
  </si>
  <si>
    <t>Ear plug measuring devices</t>
  </si>
  <si>
    <t>In this classification, this commodity indicates a product that measures the dimension for the custom creation of a product that incorporates two plugs placed into the ears to protect the ears and reduce sounds.  Most nations, for tariff and trade purposes, schedule these products under HS 901890.</t>
  </si>
  <si>
    <t>Nasal septal buttons</t>
  </si>
  <si>
    <t>In this classification, this commodity indicates a product made of silicone in the form of buttons and are used to treat nasal septum perforations.  Most nations, for tariff and trade purposes, schedule these products under HS 901811.</t>
  </si>
  <si>
    <t>Ear nose throat ENT examining mirrors</t>
  </si>
  <si>
    <t>In this classification, this commodity indicates a product consisting of various formed mirrors used during an ear, nose, or throat procedure.  Most nations, for tariff and trade purposes, schedule these products under HS 901890.</t>
  </si>
  <si>
    <t>Ear nose throat ENT examining mirror accessories</t>
  </si>
  <si>
    <t>In this classification, this commodity indicates a product that is either an accessory or consumable associated with ear nose throat Ent examining mirrors.  Most nations, for tariff and trade purposes, schedule these products under HS 901890.</t>
  </si>
  <si>
    <t>Nasal irrigation device accessories</t>
  </si>
  <si>
    <t>In this classification, this commodity indicates a product that is either an accessory or consumable associated with nasal irrigation devices.  Most nations, for tariff and trade purposes, schedule these products under HS 901890.</t>
  </si>
  <si>
    <t>Otological instrument accessories</t>
  </si>
  <si>
    <t>In this classification, this commodity indicates a product that is either an accessory or consumable associated with otological instruments.  Most nations, for tariff and trade purposes, schedule these products under HS 901811.</t>
  </si>
  <si>
    <t>Earmold accessories</t>
  </si>
  <si>
    <t>In this classification, this commodity indicates a product that is either an accessory or consumable associated with earmold.  Most nations, for tariff and trade purposes, schedule these products under HS 901890.</t>
  </si>
  <si>
    <t>Medical air syringe ear tips</t>
  </si>
  <si>
    <t>In this classification, this commodity indicates a product used as a tip for an air syringe used in otological procedure.  Most nations, for tariff and trade purposes, schedule these products under HS 901890.</t>
  </si>
  <si>
    <t>Medical air syringes</t>
  </si>
  <si>
    <t>In this classification, this commodity indicates a product used as an air syringe used in otological procedure.  Most nations, for tariff and trade purposes, schedule these products under HS 901831.</t>
  </si>
  <si>
    <t>Ear nose and throat ENT irrigation or aspiration supplies</t>
  </si>
  <si>
    <t>In this classification, this commodity indicates a product consisting of various supplies used for aspiration or irrigation during an ear, nose, or throat procedure.  Most nations, for tariff and trade purposes, schedule these products under HS 901811.</t>
  </si>
  <si>
    <t>42143600</t>
  </si>
  <si>
    <t>Restraints and accessories</t>
  </si>
  <si>
    <t>In this classification, this class includes products and accessories utilized as restraining components in medical procedures.</t>
  </si>
  <si>
    <t>Restraint vests and jackets</t>
  </si>
  <si>
    <t>In this classification, this commodity indicates a product either a jacket or vest used to restrain patients in a medical setting.  Most nations, for tariff and trade purposes, schedule these products under HS 901811.</t>
  </si>
  <si>
    <t>Torso and belt restraints</t>
  </si>
  <si>
    <t>In this classification, this commodity indicates a product either a torso or belt used to restrain patients in a medical setting.  Most nations, for tariff and trade purposes, schedule these products under HS 901811.</t>
  </si>
  <si>
    <t>Extremity restraints</t>
  </si>
  <si>
    <t>In this classification, this commodity indicates a product used as an extremity restraint for a patient in a medical setting.  Most nations, for tariff and trade purposes, schedule these products under HS 901811.</t>
  </si>
  <si>
    <t>Non EMS head restraints</t>
  </si>
  <si>
    <t>In this classification, this commodity indicates a product used as an non ems head restraint for a patient in a medical setting.  Most nations, for tariff and trade purposes, schedule these products under HS 901811.</t>
  </si>
  <si>
    <t>Restraint straps or buckles or supplies</t>
  </si>
  <si>
    <t>In this classification, this commodity indicates a product either a straps or buckles or peripheral supplies used to restrain patients in a medical setting.  Most nations, for tariff and trade purposes, schedule these products under HS 901811.</t>
  </si>
  <si>
    <t>Full body restraints</t>
  </si>
  <si>
    <t>In this classification, this commodity indicates a product used as a full body restraint for a patient in a medical setting.  Most nations, for tariff and trade purposes, schedule these products under HS 901811.</t>
  </si>
  <si>
    <t>Patient motion sensors or alarms</t>
  </si>
  <si>
    <t>In this classification, this commodity indicates a product used as a motion sensor or alarm applied to a patient in a medical administration setting.  Most nations, for tariff and trade purposes, schedule these products under HS 901890.</t>
  </si>
  <si>
    <t>Patient stabilization or fall prevention devices</t>
  </si>
  <si>
    <t>In this classification, this commodity indicates a product used as a stabilization or fall prevention device applied to a patient in a medical administration setting.  Most nations, for tariff and trade purposes, schedule these products under HS 901890.</t>
  </si>
  <si>
    <t>Patient restraint boards</t>
  </si>
  <si>
    <t>In this classification, this commodity indicates a product used as a restraint board applied to a patient in a medical administration setting.  Most nations, for tariff and trade purposes, schedule these products under HS 901890.</t>
  </si>
  <si>
    <t>Patient motion sensor or alarm accessories</t>
  </si>
  <si>
    <t>In this classification, this commodity indicates a product that is either an accessory or consumable associated with patient motion sensor or alarms.  Most nations, for tariff and trade purposes, schedule these products under HS 901890.</t>
  </si>
  <si>
    <t>Patient stabilization or fall prevention device accessories</t>
  </si>
  <si>
    <t>In this classification, this commodity indicates a product that is either an accessory or consumable associated with patient stabilization or fall prevention devices.  Most nations, for tariff and trade purposes, schedule these products under HS 901890.</t>
  </si>
  <si>
    <t>Patient restraint board accessories</t>
  </si>
  <si>
    <t>In this classification, this commodity indicates a product that is either an accessory or consumable associated with patient restraint boards.  Most nations, for tariff and trade purposes, schedule these products under HS 901890.</t>
  </si>
  <si>
    <t>42143700</t>
  </si>
  <si>
    <t>Phototherapy systems and accessories</t>
  </si>
  <si>
    <t>In this classification, this class includes, products, components, accessories, and supplies, utilized in phototherapy based medical procedures.</t>
  </si>
  <si>
    <t>Phototherapy air circulators</t>
  </si>
  <si>
    <t>In this classification, this commodity indicates a product used as an air circulator in a medical procedure that employs the use of light in the treatment of physical or mental illness.  Most nations, for tariff and trade purposes, schedule these products under HS 901890.</t>
  </si>
  <si>
    <t>Phototherapy blankets</t>
  </si>
  <si>
    <t>In this classification, this commodity indicates a product used as a blanket in a medical procedure that employs the use of light in the treatment of physical or mental illness.  Most nations, for tariff and trade purposes, schedule these products under HS 630130.</t>
  </si>
  <si>
    <t>Phototherapy bulbs</t>
  </si>
  <si>
    <t>In this classification, this commodity indicates a product used as a bulb in a medical procedure that employs the use of light in the treatment of physical or mental illness.  Most nations, for tariff and trade purposes, schedule these products under HS 901811.</t>
  </si>
  <si>
    <t>Phototherapy light mats</t>
  </si>
  <si>
    <t>In this classification, this commodity indicates a product used as a light mat in a medical procedure that employs the use of light in the treatment of physical or mental illness.  Most nations, for tariff and trade purposes, schedule these products under HS 901811.</t>
  </si>
  <si>
    <t>Phototherapy patient protection devices</t>
  </si>
  <si>
    <t>In this classification, this commodity indicates a product used as a patient protection device in a medical procedure that employs the use of light in the treatment of physical or mental illness.  Most nations, for tariff and trade purposes, schedule these products under HS 901811.</t>
  </si>
  <si>
    <t>Phototherapy power units</t>
  </si>
  <si>
    <t>In this classification, this commodity indicates a product that is a device used to power phototherapy procedures in a medical setting.  Most nations, for tariff and trade purposes, schedule these products under HS 901811.</t>
  </si>
  <si>
    <t>Phototherapy warmer beds</t>
  </si>
  <si>
    <t>In this classification, this commodity indicates a product used as a warmer bed in a medical procedure that employs the use of light in the treatment of physical or mental illness.  Most nations, for tariff and trade purposes, schedule these products under HS 901811.</t>
  </si>
  <si>
    <t>Phototherapy vests</t>
  </si>
  <si>
    <t>In this classification, this commodity indicates a product used as a protective vest in a medical procedure that employs the use of light in the treatment of physical or mental illness.  Most nations, for tariff and trade purposes, schedule these products under HS 420310.</t>
  </si>
  <si>
    <t>Visible light radiators</t>
  </si>
  <si>
    <t>In this classification, this commodity indicates a product that radiates visible light in a phototherapy medical procedure.  Most nations, for tariff and trade purposes, schedule these products under HS 901811.</t>
  </si>
  <si>
    <t>Phototherapy dosing alarms and timers</t>
  </si>
  <si>
    <t>In this classification, this commodity indicates a product used as an alarm or time in a medical procedure that employs the use of light in the treatment of physical or mental illness.  Most nations, for tariff and trade purposes, schedule these products under HS 901811.</t>
  </si>
  <si>
    <t>Phototherapy radiometers</t>
  </si>
  <si>
    <t>In this classification, this commodity indicates a product used as a radiometer in a medical procedure that employs the use of light in the treatment of physical or mental illness.  Most nations, for tariff and trade purposes, schedule these products under HS 901811.</t>
  </si>
  <si>
    <t>Phototherapy air circulator accessories</t>
  </si>
  <si>
    <t>In this classification, this commodity indicates a product that is either an accessory or consumable associated with phototherapy air circulators.  Most nations, for tariff and trade purposes, schedule these products under HS 901811.</t>
  </si>
  <si>
    <t>Phototherapy units</t>
  </si>
  <si>
    <t>In this classification, this commodity indicates a product that is a device using a light source and a means of allowing the light to radiate the infant in a medical setting.  Most nations, for tariff and trade purposes, schedule these products under HS 901811.</t>
  </si>
  <si>
    <t>Phototherapy warmer bed accessories</t>
  </si>
  <si>
    <t>In this classification, this commodity indicates a product that is either an accessory or consumable associated with phototherapy warmer beds.  Most nations, for tariff and trade purposes, schedule these products under HS 901811.</t>
  </si>
  <si>
    <t>42143800</t>
  </si>
  <si>
    <t>Urological pressure measurement instruments and supplies and equipment</t>
  </si>
  <si>
    <t>In this classification, this class includes, products, components, accessories, and supplies, utilized in urological pressure based medical procedures.</t>
  </si>
  <si>
    <t>Cystometry systems</t>
  </si>
  <si>
    <t>In this classification, this commodity indicates a system consisting of products, consumables and accessories that are used to execute a cystometry procedure in a medical setting.  Most nations, for tariff and trade purposes, schedule these products under HS 901890.</t>
  </si>
  <si>
    <t>Cystometry transducers</t>
  </si>
  <si>
    <t>In this classification, this commodity indicates a product made of transducers used in a cystometric procedure in a medical setting.  Most nations, for tariff and trade purposes, schedule these products under HS 901890.</t>
  </si>
  <si>
    <t>Urodynamic catheters</t>
  </si>
  <si>
    <t>In this classification, this commodity indicates a product used as a flexible tube inserted through a narrow opening into a body cavity in an artificial insemination procedure.  US FDA regulates Urodynamic catheters under 21 CFR 876.1620 and under FDA product code FEN.  Most nations, for tariff and trade purposes, schedule these products under HS 901839.</t>
  </si>
  <si>
    <t>Cavernosometry sets</t>
  </si>
  <si>
    <t>In this classification, this commodity indicates a product composed of a set of instruments and supplies used in a Cavernosometric procedure in a medical setting.  Most nations, for tariff and trade purposes, schedule these products under HS 901890.</t>
  </si>
  <si>
    <t>Urodynamic electrodes</t>
  </si>
  <si>
    <t>In this classification, this commodity indicates a product made of electrodes used in a urodynamic procedure in a medical setting.  Most nations, for tariff and trade purposes, schedule these products under HS 901890.</t>
  </si>
  <si>
    <t>Urodynamic tubes</t>
  </si>
  <si>
    <t>In this classification, this commodity indicates a product made of tubes used in a urodynamic procedure in a medical setting.  Most nations, for tariff and trade purposes, schedule these products under HS 901839.</t>
  </si>
  <si>
    <t>Urodynamic ground cables</t>
  </si>
  <si>
    <t>In this classification, this commodity indicates a product made of grounding cables used in a urodynamic procedure in a medical setting.  Most nations, for tariff and trade purposes, schedule these products under HS 901890.</t>
  </si>
  <si>
    <t>Cystometry system accessories</t>
  </si>
  <si>
    <t>In this classification, this commodity indicates a product that is either an accessory or consumable associated with cystometry systems.  Most nations, for tariff and trade purposes, schedule these products under HS 901890.</t>
  </si>
  <si>
    <t>Urodynamic catheter accessories</t>
  </si>
  <si>
    <t>In this classification, this commodity indicates a product that is either an accessory or consumable associated with urodynamic catheters.  Most nations, for tariff and trade purposes, schedule these products under HS 901839.</t>
  </si>
  <si>
    <t>Urological pressure measurement catheters</t>
  </si>
  <si>
    <t>42143900</t>
  </si>
  <si>
    <t>Fecal incontinence products</t>
  </si>
  <si>
    <t>In this classification, this class includes, products, components, accessories, and supplies, utilized in fecal incontinence based medical procedures.</t>
  </si>
  <si>
    <t>Fecal incontinence collection bags</t>
  </si>
  <si>
    <t>In this classification, this commodity indicates a product that as a bag collects fecal content associated with an incontinence procedure in a medical setting.  Most nations, for tariff and trade purposes, schedule these products under HS 392690.</t>
  </si>
  <si>
    <t>Fecal management systems or kits</t>
  </si>
  <si>
    <t>In this classification, this commodity indicates a product that is a prepackaged collection (either custom or standard) of the equipment and supplies used to perform a fecal management procedure in a medical setting.Fecal management systems or kits under 21 CFR and under FDA product code MIP.  Most nations, for tariff and trade purposes, schedule these products under HS 901890.</t>
  </si>
  <si>
    <t>Colon catheters or rectal tubes</t>
  </si>
  <si>
    <t>Fecal incontinence anal manometer assessments</t>
  </si>
  <si>
    <t>In this classification, this commodity indicates a product that is a device used to assess anal sphincter muscle pressure capabilities in a medical setting.  Most nations, for tariff and trade purposes, schedule these products under HS 901890.</t>
  </si>
  <si>
    <t>Fecal incontinence collection bag accessories</t>
  </si>
  <si>
    <t>In this classification, this commodity indicates a product that is either an accessory or consumable associated with fecal incontinence collection bags.  Most nations, for tariff and trade purposes, schedule these products under HS 901890.</t>
  </si>
  <si>
    <t>42144000</t>
  </si>
  <si>
    <t>External hearing device parts and accessories</t>
  </si>
  <si>
    <t>In this classification, this class includes, products, components, accessories, and supplies, providing external hearing capabilities.</t>
  </si>
  <si>
    <t>Implanted hearing device external sound processors</t>
  </si>
  <si>
    <t>In this classification, this commodity indicates a product providing external sound processors used in association with implanted hearing devices.  US FDA regulates Implanted hearing device external sound processors under 21 CFR 874.33 and under FDA product code ESD.  Most nations, for tariff and trade purposes, schedule these products under HS 901890.</t>
  </si>
  <si>
    <t>Implanted hearing device external cables</t>
  </si>
  <si>
    <t>In this classification, this commodity indicates a product providing external cables used in association with implanted hearing devices.  Most nations, for tariff and trade purposes, schedule these products under HS 901890.</t>
  </si>
  <si>
    <t>Implanted hearing device external sound processor earphones</t>
  </si>
  <si>
    <t>In this classification, this commodity indicates a product providing external sound processing earphones used in association with implanted hearing devices.  Most nations, for tariff and trade purposes, schedule these products under HS 901890.</t>
  </si>
  <si>
    <t>Implanted hearing device external magnets</t>
  </si>
  <si>
    <t>In this classification, this commodity indicates a product providing external magnets used in association with implanted hearing devices.  Most nations, for tariff and trade purposes, schedule these products under HS 901890.</t>
  </si>
  <si>
    <t>Implanted hearing device external microphones</t>
  </si>
  <si>
    <t>In this classification, this commodity indicates a product providing external microphones used in association with implanted hearing devices.  Most nations, for tariff and trade purposes, schedule these products under HS 901890.</t>
  </si>
  <si>
    <t>Implanted hearing device external accessories</t>
  </si>
  <si>
    <t>In this classification, this commodity indicates a product that is either an accessory or consumable associated with implanted hearing device externals.  Most nations, for tariff and trade purposes, schedule these products under HS 901890.</t>
  </si>
  <si>
    <t>42144100</t>
  </si>
  <si>
    <t>Pleural cavity drain products</t>
  </si>
  <si>
    <t>In this classification, this class includes, products, components, accessories, and supplies, utilized in pleural cavity draining based medical procedures.</t>
  </si>
  <si>
    <t>Pleural cavity drainage units or containers</t>
  </si>
  <si>
    <t>In this classification, this commodity indicates a product that is a device used for pleural cavity drainage or the containment of the drained substances in a medical setting.  US FDA regulates pleural cavity drainage units or containers or accessories under 21 CFR 880.6740 and under FDA product code PAD.  Most nations, for tariff and trade purposes, schedule pleural cavity drainage units or containers under HS 901890.</t>
  </si>
  <si>
    <t>Chest tubes</t>
  </si>
  <si>
    <t>In this classification, this commodity indicates a.  Most nations, for tariff and trade purposes, schedule these products under HS 901839.</t>
  </si>
  <si>
    <t>Chest tube kits</t>
  </si>
  <si>
    <t>In this classification, this commodity indicates a product that is a prepackaged collection (either custom or standard) of the equipment and supplies used to perform a chest intubation procedure in a medical setting.  Most nations, for tariff and trade purposes, schedule these products under HS 901839.</t>
  </si>
  <si>
    <t>Pleural cavity drainage unit or container accessories</t>
  </si>
  <si>
    <t>In this classification, this commodity indicates a product that is either an accessory or consumable associated with pleural cavity drainage unit or containers.  Most nations, for tariff and trade purposes, schedule these products under HS 901890.</t>
  </si>
  <si>
    <t>42144200</t>
  </si>
  <si>
    <t>Acupuncture equipment</t>
  </si>
  <si>
    <t>In this classification, this class includes, products, components, accessories, and supplies, utilized in acupuncture based medical procedures.</t>
  </si>
  <si>
    <t>Acupuncture needles</t>
  </si>
  <si>
    <t>In this classification, this commodity indicates a product that is a hollow needle commonly used with a syringe to inject or extract substances or fluids associated with a procedure.  US FDA regulates Acupuncture needles under 21 CFR 880.5580 and under FDA product code MQX.  Most nations, for tariff and trade purposes, schedule these products under HS 901832.</t>
  </si>
  <si>
    <t>Acupuncture magnet pellets or seeds</t>
  </si>
  <si>
    <t>In this classification, this commodity indicates a product consisting of a magnet, pellet or seed used in association with an acupuncture procedure.  Most nations, for tariff and trade purposes, schedule these products under HS 901819.</t>
  </si>
  <si>
    <t>Acupressure bracelets</t>
  </si>
  <si>
    <t>In this classification, this commodity indicates a product consisting of a bracelet used in association with an acupuncture procedure.Acupressure bracelets under 21 CFR and under FDA product code MVV.  Most nations, for tariff and trade purposes, schedule these products under HS 901819.</t>
  </si>
  <si>
    <t>Acupressure massage rods</t>
  </si>
  <si>
    <t>In this classification, this commodity indicates a product consisting of a massage rod used in association with an acupuncture procedure.  Most nations, for tariff and trade purposes, schedule these products under HS 901819.</t>
  </si>
  <si>
    <t>Acupuncture cupping sets</t>
  </si>
  <si>
    <t>In this classification, this commodity indicates a product consisting of a set of cups used in association with an acupuncture procedure.  Most nations, for tariff and trade purposes, schedule these products under HS 901819.</t>
  </si>
  <si>
    <t>Acupuncture machines or units</t>
  </si>
  <si>
    <t>In this classification, this commodity indicates a product that is a device used in acupuncture procedures in a medical setting.  Most nations, for tariff and trade purposes, schedule these products under HS 901819.</t>
  </si>
  <si>
    <t>Acupuncture machine or unit accessories</t>
  </si>
  <si>
    <t>In this classification, this commodity indicates a product that is either an accessory or consumable associated with acupuncture machine or units.  Most nations, for tariff and trade purposes, schedule these products under HS 901819.</t>
  </si>
  <si>
    <t>Acupuncture accessories</t>
  </si>
  <si>
    <t>In this classification, this commodity indicates a product that is either an accessory or consumable associated with acupunctures.  Most nations, for tariff and trade purposes, schedule these products under HS 901819.</t>
  </si>
  <si>
    <t>Acupuncture cupping set accessories</t>
  </si>
  <si>
    <t>In this classification, this commodity indicates a product that is either an accessory or consumable associated with acupuncture cupping sets.  Most nations, for tariff and trade purposes, schedule these products under HS 901819.</t>
  </si>
  <si>
    <t>42144300</t>
  </si>
  <si>
    <t>External counterpulsation ECP products</t>
  </si>
  <si>
    <t>In this classification, this class includes, products, components, accessories, and supplies, providing external counter pulsation capabilities.</t>
  </si>
  <si>
    <t>External counterpulsation ECP systems</t>
  </si>
  <si>
    <t>In this classification, this commodity indicates a system consisting of products, consumables and accessories that are used to execute an external counterpulsation ECP procedure in a medical setting.  Most nations, for tariff and trade purposes, schedule these products under HS 901819.</t>
  </si>
  <si>
    <t>External counterpulsation ECP cuff or pants</t>
  </si>
  <si>
    <t>In this classification, this commodity indicates a product consisting of either pants or cuffs used in an external counterpulsation procedure in a medical setting.  Most nations, for tariff and trade purposes, schedule these products under HS 621010.</t>
  </si>
  <si>
    <t>42144400</t>
  </si>
  <si>
    <t>Nonsurgical suction products</t>
  </si>
  <si>
    <t>In this classification, this class includes, products, components, accessories, and supplies, utilized in non-surgical suction based medical procedures.</t>
  </si>
  <si>
    <t>Tracheostomy and nasal suctioning kits</t>
  </si>
  <si>
    <t>In this classification, this commodity indicates a product that is a prepackaged collection (either custom or standard) of the equipment and supplies used to perform tracheostomy or nasal suctioning procedure in a medical setting.  Most nations, for tariff and trade purposes, schedule these products under HS 841370.</t>
  </si>
  <si>
    <t>Artificial airway suction kits</t>
  </si>
  <si>
    <t>In this classification, this commodity indicates a product that is a prepackaged collection (either custom or standard) of the equipment and supplies used to perform artificial airway suctioning procedure in a medical setting.  Most nations, for tariff and trade purposes, schedule these products under HS 841370.</t>
  </si>
  <si>
    <t>Artificial airway tube suction catheters</t>
  </si>
  <si>
    <t>In this classification, this commodity indicates a product used as a flexible tube inserted through a narrow opening into a body cavity in an artificial insemination procedure.  Most nations, for tariff and trade purposes, schedule these products under HS 901820.</t>
  </si>
  <si>
    <t>Non-bronchoscope bronchoalveolar lavage catheters</t>
  </si>
  <si>
    <t>Suction catheter accessories</t>
  </si>
  <si>
    <t>In this classification, this commodity indicates a product that is either an accessory or consumable associated with suction catheters.  Most nations, for tariff and trade purposes, schedule these products under HS 901839.</t>
  </si>
  <si>
    <t>Suction catheters</t>
  </si>
  <si>
    <t>Tracheal suction sets</t>
  </si>
  <si>
    <t>In this classification, this commodity indicates a product composed of a set of parts and supplies used for suction in a tracheal procedure in a medical setting.  Most nations, for tariff and trade purposes, schedule these products under HS 901839.</t>
  </si>
  <si>
    <t>Tracheobronchial suction catheter kits</t>
  </si>
  <si>
    <t>In this classification, this commodity indicates a product that is a prepackaged collection (either custom or standard) of the equipment and supplies used to perform tracheobronchial suction catherization procedure in a medical setting.  Most nations, for tariff and trade purposes, schedule these products under HS 901839.</t>
  </si>
  <si>
    <t>Tracheobronchial suction catheters</t>
  </si>
  <si>
    <t>42144500</t>
  </si>
  <si>
    <t>Impotence and sexual disorder devices and supplies</t>
  </si>
  <si>
    <t>In this classification, this class includes, products, components, accessories, and supplies, utilized in cosmetic dentistry based medical procedures.</t>
  </si>
  <si>
    <t>Clitoral engorgement devices</t>
  </si>
  <si>
    <t>In this classification, this commodity indicates a product that is a device used to stimulate a clitoris with the intent to engorge it and release sexual energy.  Most nations, for tariff and trade purposes, schedule these products under HS 901890.</t>
  </si>
  <si>
    <t>Impotence treatment products or kits</t>
  </si>
  <si>
    <t>In this classification, this commodity indicates a product that is a prepackaged collection (either custom or standard) of the equipment and supplies used to perform impotence treatment procedure in a medical setting.  Most nations, for tariff and trade purposes, schedule these products under HS 901890.</t>
  </si>
  <si>
    <t>Impotence treatment product or kit accessories</t>
  </si>
  <si>
    <t>In this classification, this commodity indicates a product that is either an accessory or consumable associated with impotence treatment product or kits.  Most nations, for tariff and trade purposes, schedule these products under HS 901890.</t>
  </si>
  <si>
    <t>Male impotence ring confidence sets</t>
  </si>
  <si>
    <t>In this classification, this commodity indicates a latex or silicon ring worn at the base of the penis that works by constricting the blood flow out of the penis to help maintain erections.  Most nations, for tariff and trade purposes, schedule these products under HS 901890.</t>
  </si>
  <si>
    <t>Mechanical/hydraulic impotence devices</t>
  </si>
  <si>
    <t>In this classification, this commodity indicates a product that is either a mechanical or hydraulic device used to overcome male impotence.  Most nations, for tariff and trade purposes, schedule these products under HS 901890.</t>
  </si>
  <si>
    <t>Penile erection device kits</t>
  </si>
  <si>
    <t>In this classification, this commodity indicates a product that is a prepackaged collection (either custom or standard) of the equipment and supplies used to perform penile erection restoration procedure in a medical setting.  Most nations, for tariff and trade purposes, schedule these products under HS 901890.</t>
  </si>
  <si>
    <t>Penile erection inducer systems</t>
  </si>
  <si>
    <t>In this classification, this commodity indicates a system consisting of products, consumables and accessories that are used to execute a penile erection inducer procedure in a medical setting.  Most nations, for tariff and trade purposes, schedule these products under HS 901890.</t>
  </si>
  <si>
    <t>42150000</t>
  </si>
  <si>
    <t>Dental equipment and supplies</t>
  </si>
  <si>
    <t>In this classification, this family includes medical equipment, components, instruments and appliances as well as accessories used in dental based medical procedures.</t>
  </si>
  <si>
    <t>42151500</t>
  </si>
  <si>
    <t>Cosmetic dentistry equipment and supplies</t>
  </si>
  <si>
    <t>In this classification, this class includes, products, components, accessories, and consumable supplies, utilized in cosmetic dentistry based medical procedures</t>
  </si>
  <si>
    <t>Cosmetic dentistry curing lights</t>
  </si>
  <si>
    <t>In this classification, this commodity indicates a product that is a lighting devise used to cure dental investments.  Most nations, for tariff and trade purposes, schedule these products under HS 901811.</t>
  </si>
  <si>
    <t>Cosmetic dentistry mixing wells</t>
  </si>
  <si>
    <t>In this classification, this commodity indicates a product that provides a series of small wells used to mix small amounts of materials be mixed or held for use on a patient.  Most nations, for tariff and trade purposes, schedule these products under HS 901811.</t>
  </si>
  <si>
    <t>Crowns or crown forms</t>
  </si>
  <si>
    <t>In this classification, this commodity indicates a product that is custom configured and intended to provide damage abatement and functional restoration to single teeth that are damaged or malformed.  US FDA regulates Crowns or crown forms under 21 CFR 872.3330 and under FDA product code ELZ.  Most nations, for tariff and trade purposes, schedule these products under HS 611420.</t>
  </si>
  <si>
    <t>Dental veneers</t>
  </si>
  <si>
    <t>In this classification, this commodity indicates a product that are thin veneers applied over teeth in a cosmetic dental procedure.  Most nations, for tariff and trade purposes, schedule these products under HS 901839.</t>
  </si>
  <si>
    <t>Tooth etching supplies</t>
  </si>
  <si>
    <t>In this classification, this commodity indicates a product that provides the supplies used in a dental etching procedure.  Most nations, for tariff and trade purposes, schedule these products under HS 901811.</t>
  </si>
  <si>
    <t>Tooth whitening or bleaching supplies</t>
  </si>
  <si>
    <t>In this classification, this commodity indicates a product that are the consumables in a teeth bleaching or whitening procedure.  US FDA regulates Tooth whitening or bleaching supplies under 21 CFR 872.6475 and under FDA product code EEG.  Most nations, for tariff and trade purposes, schedule these products under HS 901811.</t>
  </si>
  <si>
    <t>Dental shades</t>
  </si>
  <si>
    <t>In this classification, this commodity indicates a product that specifies different shades of tooth color to be matched by impressions, casting, moldings or investments.  Most nations, for tariff and trade purposes, schedule these products under HS 901839.</t>
  </si>
  <si>
    <t>Cement dissolving solutions</t>
  </si>
  <si>
    <t>In this classification, this commodity indicates a product that dissolves cement using a liquid in a dental procedure.  Most nations, for tariff and trade purposes, schedule these products under HS 300339.</t>
  </si>
  <si>
    <t>Dental shade guides</t>
  </si>
  <si>
    <t>In this classification, this commodity indicates a product that provide the guides for the placement of dental guides.  Most nations, for tariff and trade purposes, schedule these products under HS 901839.</t>
  </si>
  <si>
    <t>Cosmetic dentistry curing light accessories</t>
  </si>
  <si>
    <t>In this classification, this commodity indicates a product that provides the consumable and accessories used by a dental curing light.  Most nations, for tariff and trade purposes, schedule these products under HS 650400.</t>
  </si>
  <si>
    <t>Bridges components or accessories</t>
  </si>
  <si>
    <t>In this classification, this commodity indicates a product that provides the component or parts for a custom configured and intended to provide damage abatement and functional restoration to multiple teeth that are damaged or malformed.  Most nations, for tariff and trade purposes, schedule these products under HS 611420.</t>
  </si>
  <si>
    <t>Bridges or bridge forms</t>
  </si>
  <si>
    <t>In this classification, this commodity indicates a product that is custom configured and intended to provide damage abatement and functional restoration to multiple teeth that are damaged or malformed.  Most nations, for tariff and trade purposes, schedule these products under HS 611211.</t>
  </si>
  <si>
    <t>42151600</t>
  </si>
  <si>
    <t>Dental and subspecialty instruments and devices</t>
  </si>
  <si>
    <t>In this classification, this class includes, products, components, accessories, and supplies, utilized in basic dentistry and subspecialty based medical procedures.</t>
  </si>
  <si>
    <t>Calcium hydroxide placement tools</t>
  </si>
  <si>
    <t>In this classification, this commodity indicates a product that applies calcium hydroxide in dental procedures.  Most nations, for tariff and trade purposes, schedule these products under HS 611211.</t>
  </si>
  <si>
    <t>Composite placement tools</t>
  </si>
  <si>
    <t>In this classification, this commodity indicates a product that applies composite materials in dental procedures.  Most nations, for tariff and trade purposes, schedule these products under HS 640419.</t>
  </si>
  <si>
    <t>Crown or bridge removers</t>
  </si>
  <si>
    <t>In this classification, this commodity indicates a product that acts to remove crowns or bridges.  Most nations, for tariff and trade purposes, schedule these products under HS 611211.</t>
  </si>
  <si>
    <t>Dental carvers</t>
  </si>
  <si>
    <t>In this classification, this commodity indicates a product that is a hand instrument, available in a wide variety of end shapes, used for forming and contouring wax, filling materials in a dental procedure.  Most nations, for tariff and trade purposes, schedule these products under HS 901839.</t>
  </si>
  <si>
    <t>Dental nippers</t>
  </si>
  <si>
    <t>In this classification, this commodity indicates a product that nips gingival tissue in a dental procedure.  Most nations, for tariff and trade purposes, schedule these products under HS 901839.</t>
  </si>
  <si>
    <t>Dental operative brushes</t>
  </si>
  <si>
    <t>In this classification, this commodity indicates a product that is a brush used for cleaning of teeth in a dental procedure.  Most nations, for tariff and trade purposes, schedule these products under HS 650400.</t>
  </si>
  <si>
    <t>Dental retractors</t>
  </si>
  <si>
    <t>In this classification, this commodity indicates a product that is an instrument that's used to move the cheek, lips, and tongue out of the way during a dental procedure.  US FDA regulates Dental retractors under 21 CFR 872.4565 and under FDA product code EIF.  Most nations, for tariff and trade purposes, schedule these products under HS 901890.</t>
  </si>
  <si>
    <t>Dental burnishers</t>
  </si>
  <si>
    <t>In this classification, this commodity indicates a product that is a hand held dental instrument that is used to make the filling of a tooth shinier.  US FDA regulates Dental burnishers under 21 CFR 872.4565 and under FDA product code EKJ.  Most nations, for tariff and trade purposes, schedule these products under HS 901849.</t>
  </si>
  <si>
    <t>Dental burs</t>
  </si>
  <si>
    <t>In this classification, this commodity indicates a product that hand held dental tool used for cutting hard tissues - tooth or bone.  Most nations, for tariff and trade purposes, schedule these products under HS 901841.</t>
  </si>
  <si>
    <t>Dental cryosurgical units</t>
  </si>
  <si>
    <t>In this classification, this commodity indicates a product that is used as a cryosurgical unit in dental procedures.  US FDA regulates Dental cryosurgical units under 21 CFR 878.4350 and under FDA product code FAZ.  Most nations, for tariff and trade purposes, schedule these products under HS 901890.</t>
  </si>
  <si>
    <t>Dental depth gauges</t>
  </si>
  <si>
    <t>In this classification, this commodity indicates a product that measures the depth need for drilling in a dental procedure.  Most nations, for tariff and trade purposes, schedule these products under HS 901849.</t>
  </si>
  <si>
    <t>Dental drills</t>
  </si>
  <si>
    <t>In this classification, this commodity indicates a product that and powered instrument used to drill cavities and contamination of teeth in a dental procedure.  Most nations, for tariff and trade purposes, schedule these products under HS 901841.</t>
  </si>
  <si>
    <t>Dental elevators</t>
  </si>
  <si>
    <t>In this classification, this commodity indicates an instrument for prying up a sunken part, such as the depressed fragment of bone in fracture of the skull, or for elevating tissues from their attachment to bone in a dental procedure.  Most nations, for tariff and trade purposes, schedule these products under HS 901849.</t>
  </si>
  <si>
    <t>Dental excavators</t>
  </si>
  <si>
    <t>In this classification, this commodity indicates a product that is a small spoon or curette, for cleaning out and shaping a carious cavity preparatory to filling.  US FDA regulates Dental excavators under 21 CFR 872.4565 and under FDA product code EKC.  Most nations, for tariff and trade purposes, schedule these products under HS 901849.</t>
  </si>
  <si>
    <t>Dental files or rasps</t>
  </si>
  <si>
    <t>In this classification, this commodity indicates a product that are files or rasps shaped to be useful in dental procedures.  US FDA regulates Dental files or rasps under 21 CFR 872.4565 and under FDA product code EKS.  Most nations, for tariff and trade purposes, schedule these products under HS 901849.</t>
  </si>
  <si>
    <t>Dental filler contouring instruments</t>
  </si>
  <si>
    <t>In this classification, this commodity indicates a product that are filler contouring instruments shaped to be useful in dental procedures.  Most nations, for tariff and trade purposes, schedule these products under HS 901811.</t>
  </si>
  <si>
    <t>Dental forceps</t>
  </si>
  <si>
    <t>In this classification, this commodity indicates a product that are forceps shaped to be useful in dental procedures.  US FDA regulates Dental forceps under 21 CFR 872.4565 and under FDA product code EF.  Most nations, for tariff and trade purposes, schedule these products under HS 901890.</t>
  </si>
  <si>
    <t>Dental handpieces</t>
  </si>
  <si>
    <t>In this classification, this commodity indicates a product that consist of handpieces and handles that are used in dental procedures.  US FDA regulates Dental handpieces under 21 CFR 872.4120 and under FDA product code KMW.  Most nations, for tariff and trade purposes, schedule these products under HS 901849.</t>
  </si>
  <si>
    <t>Dental hygiene instruments</t>
  </si>
  <si>
    <t>In this classification, this commodity indicates a product that consists of various instruments use to create and maintain hygienic conditions during dental procedures.  Most nations, for tariff and trade purposes, schedule these products under HS 901839.</t>
  </si>
  <si>
    <t>Dental mirrors or mirror handles</t>
  </si>
  <si>
    <t>In this classification, this commodity indicates a product that are mirrors or their handles shaped to be useful in dental procedures.  US FDA regulates Dental mirrors or mirror handles under 21 CFR 872.4565 and under FDA product code EAX.  Most nations, for tariff and trade purposes, schedule these products under HS 901849.</t>
  </si>
  <si>
    <t>Dental mixing slabs</t>
  </si>
  <si>
    <t>In this classification, this commodity indicates a product that are mixing slabs shaped to be useful in dental procedures.  Most nations, for tariff and trade purposes, schedule these products under HS 901839.</t>
  </si>
  <si>
    <t>Dental organizers</t>
  </si>
  <si>
    <t>In this classification, this commodity indicates a product that is used as an organizing and storage apparatus for dental hygiene equipment.  Most nations, for tariff and trade purposes, schedule these products under HS 442090.</t>
  </si>
  <si>
    <t>Dental placement instruments</t>
  </si>
  <si>
    <t>In this classification, this commodity indicates a product that is a dental instrument for working with composite resin. The tool is heated and or vibrationally driven, and used to engage and work dental composite resin.  Most nations, for tariff and trade purposes, schedule these products under HS 901849.</t>
  </si>
  <si>
    <t>Dental probes or explorers</t>
  </si>
  <si>
    <t>In this classification, this commodity indicates a product that are probes or explorers shaped to be useful in dental procedures.  US FDA regulates Dental probes or explorers under 21 CFR 872.4565 and under FDA product code EIX.  Most nations, for tariff and trade purposes, schedule these products under HS 901849.</t>
  </si>
  <si>
    <t>Dental reamers</t>
  </si>
  <si>
    <t>In this classification, this commodity indicates a product that are reamers shaped to be useful in dental procedures.  US FDA regulates Dental reamers under 21 CFR 872.4565 and under FDA product code EKP.  Most nations, for tariff and trade purposes, schedule these products under HS 901890.</t>
  </si>
  <si>
    <t>Dental retraction cord packing instruments</t>
  </si>
  <si>
    <t>In this classification, this commodity indicates a product that is an instrument used to place cord packing in dental procedures.  Most nations, for tariff and trade purposes, schedule these products under HS 901839.</t>
  </si>
  <si>
    <t>Dental root tip picks</t>
  </si>
  <si>
    <t>In this classification, this commodity indicates a product that is used as an extraction device and method for extracting some or all of a tooth from a patient.  Most nations, for tariff and trade purposes, schedule these products under HS 901839.</t>
  </si>
  <si>
    <t>Dental saliva ejectors or oral suction devices</t>
  </si>
  <si>
    <t>In this classification, this commodity indicates a product that evacuates saliva during dental procedures.  US FDA regulates Dental saliva ejectors or oral suction devices under 21 CFR 872.6640 and under FDA product code DYN.  Most nations, for tariff and trade purposes, schedule these products under HS 901839.</t>
  </si>
  <si>
    <t>Dental scalers</t>
  </si>
  <si>
    <t>In this classification, this commodity indicates a product that are spatulas shaped to be useful in dental procedures.  US FDA regulates Dental scalers under 21 CFR 872.4840 and under FDA product code ELB.  Most nations, for tariff and trade purposes, schedule these products under HS 901849.</t>
  </si>
  <si>
    <t>Dental scales</t>
  </si>
  <si>
    <t>In this classification, this commodity indicates a product that are scales shaped to be useful in dental procedures.  Most nations, for tariff and trade purposes, schedule these products under HS 901811.</t>
  </si>
  <si>
    <t>Dental scissors</t>
  </si>
  <si>
    <t>In this classification, this commodity indicates a product that are scissors shaped to be useful in dental procedures.  US FDA regulates Dental scissors under 21 CFR 872.4565 and under FDA product code EGN.  Most nations, for tariff and trade purposes, schedule these products under HS 901890.</t>
  </si>
  <si>
    <t>Dental spatulas</t>
  </si>
  <si>
    <t>In this classification, this commodity indicates a product that are spatulas shaped to be useful in dental procedures.  US FDA regulates Dental spatulas under 21 CFR 872.4565 and under FDA product code DZN.  Most nations, for tariff and trade purposes, schedule these products under HS 901890.</t>
  </si>
  <si>
    <t>Dental tweezers</t>
  </si>
  <si>
    <t>In this classification, this commodity indicates a product that is an elongated pair of tweezer that are used in dental procedures.  US FDA regulates Dental tweezers under 21 CFR 872.4565 and under FDA product code EFL.  Most nations, for tariff and trade purposes, schedule these products under HS 901890.</t>
  </si>
  <si>
    <t>Dental wax carvers</t>
  </si>
  <si>
    <t>In this classification, this commodity indicates a product that is used to cut wax associated with dental impressions.  Most nations, for tariff and trade purposes, schedule these products under HS 901839.</t>
  </si>
  <si>
    <t>Gingivectomy knives</t>
  </si>
  <si>
    <t>In this classification, this commodity indicates a product that cuts gingival tissue.  US FDA regulates Gingivectomy knives under 21 CFR 872.4565 and under FDA product code EMO.  Most nations, for tariff and trade purposes, schedule these products under HS 901890.</t>
  </si>
  <si>
    <t>Dental margin trimmers</t>
  </si>
  <si>
    <t>In this classification, this commodity indicates a product that trims gingival tissue.  US FDA regulates Dental margin trimmers under 21 CFR 872.4565 and under FDA product code EJZ.  Most nations, for tariff and trade purposes, schedule these products under HS 901890.</t>
  </si>
  <si>
    <t>Dental mouth props</t>
  </si>
  <si>
    <t>In this classification, this commodity indicates a product that is a rigging that can hold mouths open to accommodate access in dental procedures.  Most nations, for tariff and trade purposes, schedule these products under HS 901811.</t>
  </si>
  <si>
    <t>Protective devices for teeth</t>
  </si>
  <si>
    <t>In this classification, this commodity indicates a product that are apparatus used to protect the patient's teeth and surgical instruments which are inserted into the mouth during surgery.  Most nations, for tariff and trade purposes, schedule these products under HS 630130.</t>
  </si>
  <si>
    <t>Dental absorbent holders</t>
  </si>
  <si>
    <t>In this classification, this commodity indicates a product that is used to hold rolls of cotton in position to absorb saliva during operations within the oral cavity.  Most nations, for tariff and trade purposes, schedule these products under HS 901811.</t>
  </si>
  <si>
    <t>Dental calipers</t>
  </si>
  <si>
    <t>In this classification, this commodity indicates a product that measures various aspects of teeth in either a mechanical or electronic method.  US FDA regulates Dental calipers under 21 CFR 878.48 and under FDA product code FTY.  Most nations, for tariff and trade purposes, schedule these products under HS 901730.</t>
  </si>
  <si>
    <t>Dental fracture detecting tools</t>
  </si>
  <si>
    <t>In this classification, this commodity indicates a product that an instrument used to detect non visible tooth fractures and cracks.  Most nations, for tariff and trade purposes, schedule these products under HS 901839.</t>
  </si>
  <si>
    <t>Dental tooth separators</t>
  </si>
  <si>
    <t>In this classification, this commodity indicates a product that is used to separate teeth before placing orthodontic molar bands.  Most nations, for tariff and trade purposes, schedule these products under HS 901839.</t>
  </si>
  <si>
    <t>Dental pin drivers</t>
  </si>
  <si>
    <t>In this classification, this commodity indicates a product that is a device used to drive stabilizing pins used in dental procedures.  Most nations, for tariff and trade purposes, schedule these products under HS 901839.</t>
  </si>
  <si>
    <t>Dental pin benders</t>
  </si>
  <si>
    <t>In this classification, this commodity indicates a product that is a device used to bend stabilizing pins used in dental procedures.  Most nations, for tariff and trade purposes, schedule these products under HS 630130.</t>
  </si>
  <si>
    <t>Dental guides</t>
  </si>
  <si>
    <t>In this classification, this commodity indicates a product that is used to design templates for dental implant procedures.  Most nations, for tariff and trade purposes, schedule these products under HS 901839.</t>
  </si>
  <si>
    <t>Dental pulp or vitality testers</t>
  </si>
  <si>
    <t>In this classification, this commodity indicates a product that is a device that electronically ascertains the vitality of a tooth.  US FDA regulates Dental pulp or vitality testers under 21 CFR 872.1730 and under FDA product code EAS.  Most nations, for tariff and trade purposes, schedule these products under HS 901849.</t>
  </si>
  <si>
    <t>Dental spreaders</t>
  </si>
  <si>
    <t>In this classification, this commodity indicates a product that is used for the compacting of root canal filling materials during lateral condensation.  Most nations, for tariff and trade purposes, schedule these products under HS 901839.</t>
  </si>
  <si>
    <t>Dental floss threaders</t>
  </si>
  <si>
    <t>In this classification, this commodity indicates a product that are designed to thread dental floss under orthodontic braces, fixed bridges and dental implant.  Most nations, for tariff and trade purposes, schedule these products under HS 901839.</t>
  </si>
  <si>
    <t>Dental applicators or absorbents</t>
  </si>
  <si>
    <t>In this classification, this commodity indicates a product that are assorted applicators and absorbent material used during a dental procedure.  Most nations, for tariff and trade purposes, schedule these products under HS 901839.</t>
  </si>
  <si>
    <t>Dental instrument cases or bags</t>
  </si>
  <si>
    <t>In this classification, this commodity indicates a product that is used to protect dental instrument.  Most nations, for tariff and trade purposes, schedule these products under HS 392690.</t>
  </si>
  <si>
    <t>Dental gages</t>
  </si>
  <si>
    <t>In this classification, this commodity indicates a product that are a number of gages or accessories used in a dental procedure.  Most nations, for tariff and trade purposes, schedule these products under HS 901839.</t>
  </si>
  <si>
    <t>Dental dehydrators</t>
  </si>
  <si>
    <t>In this classification, this commodity indicates a product that removes water through the application of warm air in dental procedures.  Most nations, for tariff and trade purposes, schedule these products under HS 901839.</t>
  </si>
  <si>
    <t>Dental heat carriers</t>
  </si>
  <si>
    <t>In this classification, this commodity indicates a product that is used an appliance that are designed exclusively for the use in the warm vertical gutta percha procedures.  Most nations, for tariff and trade purposes, schedule these products under HS 901839.</t>
  </si>
  <si>
    <t>Dental expanders</t>
  </si>
  <si>
    <t>In this classification, this commodity indicates a product that is an appliance that is used to widen the upper jaw (maxilla) so that the bottom and upper teeth will fit together better.  Most nations, for tariff and trade purposes, schedule these products under HS 901839.</t>
  </si>
  <si>
    <t>Dental mallets</t>
  </si>
  <si>
    <t>In this classification, this commodity indicates a product that is used as a mallet in dental intraoral procedures.  Most nations, for tariff and trade purposes, schedule these products under HS 392690.</t>
  </si>
  <si>
    <t>Dental knives</t>
  </si>
  <si>
    <t>In this classification, this commodity indicates a product that are used as knives in dental procedures.  US FDA regulates Dental knives under 21 CFR 872.4565 and under FDA product code DZN.  Most nations, for tariff and trade purposes, schedule these products under HS 901890.</t>
  </si>
  <si>
    <t>Endodontic broaches</t>
  </si>
  <si>
    <t>In this classification, this commodity indicates a product that are endodontic instruments used to remove pulp tissue during root canal procedures.  Most nations, for tariff and trade purposes, schedule these products under HS 901839.</t>
  </si>
  <si>
    <t>Facebows</t>
  </si>
  <si>
    <t>In this classification, this commodity indicates a product that is a is a dental instrument that is used in the field of prosthodontics. Its purpose is to transfer functional and aesthetic components from patient's mouth to the dental articulator.  Most nations, for tariff and trade purposes, schedule these products under HS 901839.</t>
  </si>
  <si>
    <t>Dental filler carriers</t>
  </si>
  <si>
    <t>In this classification, this commodity indicates a product that are dental instruments with consistently spaced spirals used to evenly distribute sealer or cement throughout even the most curved root canals.  Most nations, for tariff and trade purposes, schedule these products under HS 901839.</t>
  </si>
  <si>
    <t>Dental hemostats</t>
  </si>
  <si>
    <t>In this classification, this commodity indicates a product that is a surgical tool used in many surgical procedures to control bleeding in a dental procedure.  Most nations, for tariff and trade purposes, schedule these products under HS 300590.</t>
  </si>
  <si>
    <t>Dental instrument sets</t>
  </si>
  <si>
    <t>In this classification, this commodity indicates a product that an assortment instruments used in a dental procedure.  Most nations, for tariff and trade purposes, schedule these products under HS 901890.</t>
  </si>
  <si>
    <t>Dental insulating pens</t>
  </si>
  <si>
    <t>In this classification, this commodity indicates a product that is a dental instrument that effectively separates plaster or epoxy from veneering composites.  Most nations, for tariff and trade purposes, schedule these products under HS 901839.</t>
  </si>
  <si>
    <t>Dental osteotomes</t>
  </si>
  <si>
    <t>In this classification, this commodity indicates a product that are surgical instruments that can be used effectively to enhance the placement of dental implants.  Most nations, for tariff and trade purposes, schedule these products under HS 901839.</t>
  </si>
  <si>
    <t>Dental punches</t>
  </si>
  <si>
    <t>In this classification, this commodity indicates a product that is an instrument for making a hole or indentation in some solid material or for driving out a foreign body in such material in a dental procedure.  Most nations, for tariff and trade purposes, schedule these products under HS 901839.</t>
  </si>
  <si>
    <t>Dental tongue scrapers</t>
  </si>
  <si>
    <t>In this classification, this commodity indicates a product that is a tool used to help clean your tongue.  Most nations, for tariff and trade purposes, schedule these products under HS 901839.</t>
  </si>
  <si>
    <t>Endodontic apex locators</t>
  </si>
  <si>
    <t>In this classification, this commodity indicates a product that is an electronic device used in endodontics determine the position of the apical constriction and thus determine the length of the root canal space.  Most nations, for tariff and trade purposes, schedule these products under HS 901839.</t>
  </si>
  <si>
    <t>Endodontic root canal guns</t>
  </si>
  <si>
    <t>In this classification, this commodity indicates a product that an instrument used when placing a root canal sealant restoration such as amalgam or mineral trioxide aggregate (MTA) in a retrograde root filling procedure.  Most nations, for tariff and trade purposes, schedule these products under HS 901839.</t>
  </si>
  <si>
    <t>Endodontic root canal preparers</t>
  </si>
  <si>
    <t>In this classification, this commodity indicates a product that is a dental hand instrument intended to perform various tasks in general dentistry and oral surgery procedures.  Most nations, for tariff and trade purposes, schedule these products under HS 901839.</t>
  </si>
  <si>
    <t>Gingival fluid measurers</t>
  </si>
  <si>
    <t>In this classification, this commodity indicates a product that devices that measure the among of gingival fluid dispensed during a dental procedure.  Most nations, for tariff and trade purposes, schedule these products under HS 901839.</t>
  </si>
  <si>
    <t>Hydrokinetic dental systems</t>
  </si>
  <si>
    <t>In this classification, this commodity indicates a product that is a laser based system that is used for the cutting of dental hard tissues.  Most nations, for tariff and trade purposes, schedule these products under HS 901890.</t>
  </si>
  <si>
    <t>Jet injector guns or systems</t>
  </si>
  <si>
    <t>In this classification, this commodity indicates a product that is used as an air-powered medical injector devices designed to administer vaccinations.  Most nations, for tariff and trade purposes, schedule these products under HS 901890.</t>
  </si>
  <si>
    <t>Dental gage accessories</t>
  </si>
  <si>
    <t>Accessories included with dental gages</t>
  </si>
  <si>
    <t>42151700</t>
  </si>
  <si>
    <t>Dental clinical furniture</t>
  </si>
  <si>
    <t>In this classification, this class includes, products, components, utilized as clinical furniture in a dental setting.</t>
  </si>
  <si>
    <t>Dental examination chairs</t>
  </si>
  <si>
    <t>In this classification, this commodity indicates a product that is used as a dental examination chair.  US FDA regulates dental examination chairs or related parts under 21 CFR 872.6250 and under FDA product code EIA.  Most nations, for tariff and trade purposes, schedule dental examination chairs under HS 940290.</t>
  </si>
  <si>
    <t>Dental stools</t>
  </si>
  <si>
    <t>In this classification, this commodity indicates a product that is used as a stool used in a dental procedure.  US FDA regulates Dental stools under 21 CFR 878.4950 and under FDA product code FZM.  Most nations, for tariff and trade purposes, schedule these products under HS 940290.</t>
  </si>
  <si>
    <t>Dental cabinets</t>
  </si>
  <si>
    <t>In this classification, this commodity indicates a product that is used as a cabinet used in a dental procedure.  Most nations, for tariff and trade purposes, schedule these products under HS 940320.</t>
  </si>
  <si>
    <t>Dental tables</t>
  </si>
  <si>
    <t>In this classification, this commodity indicates a product that is used as a table used in a dental procedure.  Most nations, for tariff and trade purposes, schedule these products under HS 940290.</t>
  </si>
  <si>
    <t>Dental procedure combination furniture or sets</t>
  </si>
  <si>
    <t>In this classification, this commodity indicates a product that combines various configuration of dental furniture or instrument sets.  Most nations, for tariff and trade purposes, schedule these products under HS 853710.</t>
  </si>
  <si>
    <t>Dental examination chair related parts or accessories</t>
  </si>
  <si>
    <t>In this classification, this commodity indicates a product that is used as component parts or related accessories to a dental examination chair.  US FDA regulates related parts to dental examination chairs under 21 CFR 872.6250 and under FDA product code EIA. Most nations, for tariff and trade purposes, schedule dental examination chair related parts or accessories under HS 940290.</t>
  </si>
  <si>
    <t>Dental cabinet accessories</t>
  </si>
  <si>
    <t>In this classification, this commodity indicates a product that is used an accessory for the tools or instruments generally stored in a cabinet when bot being used in a dental procedure.  Most nations, for tariff and trade purposes, schedule these products under HS 940320.</t>
  </si>
  <si>
    <t>Dental table accessories</t>
  </si>
  <si>
    <t>In this classification, this commodity indicates a product that is used an accessory for the tools or instruments generally used in a dental procedure.  Most nations, for tariff and trade purposes, schedule these products under HS 940290.</t>
  </si>
  <si>
    <t>Dental procedure combination furniture or set accessories</t>
  </si>
  <si>
    <t>In this classification, this commodity indicates a product that are components or accessories for dental furniture or sets.  Most nations, for tariff and trade purposes, schedule these products under HS 853710.</t>
  </si>
  <si>
    <t>42151800</t>
  </si>
  <si>
    <t>Dental fillers and finishing and polishing supplies</t>
  </si>
  <si>
    <t>In this classification, this class includes, products, components, accessories, and supplies, utilized in filling, finishing or polishing based dental procedures.</t>
  </si>
  <si>
    <t>Dental material pluggers or tips</t>
  </si>
  <si>
    <t>In this classification, this commodity indicates a product that acts as a plugger or forming tip for the instruments that compact and shape material used in dental carie procedures.  US FDA regulates Dental material pluggers or tips under 21 CFR 872.4565 and under FDA product code EKR.  Most nations, for tariff and trade purposes, schedule these products under HS 901839.</t>
  </si>
  <si>
    <t>Dental amalgam capsules</t>
  </si>
  <si>
    <t>In this classification, this commodity indicates a product that contains in a capsule containing amalgam used to fill caries in a dental setting.  US FDA regulates Dental amalgam capsules under 21 CFR 872.3110 and under FDA product code DZS.  Most nations, for tariff and trade purposes, schedule these products under HS 901839.</t>
  </si>
  <si>
    <t>Dental cord packers</t>
  </si>
  <si>
    <t>In this classification, this commodity indicates a product that is a cord used to pack between teeth and cheek or gum in a dental procedure.  Most nations, for tariff and trade purposes, schedule these products under HS 901839.</t>
  </si>
  <si>
    <t>Dental finishing or polishing discs</t>
  </si>
  <si>
    <t>In this classification, this commodity indicates a product that are disks shaped and used in a dental finishing or polishing procedure.  US FDA regulates Dental finishing or polishing discs under 21 CFR 872.6010 and under FDA product code EJQ.  Most nations, for tariff and trade purposes, schedule these products under HS 901839.</t>
  </si>
  <si>
    <t>Dental finishing or polishing strips</t>
  </si>
  <si>
    <t>In this classification, this commodity indicates a product that are strips shaped and used in a dental finishing or polishing procedure.  US FDA regulates Dental finishing or polishing strips under 21 CFR 872.6010 and under FDA product code EHM.  Most nations, for tariff and trade purposes, schedule these products under HS 901839.</t>
  </si>
  <si>
    <t>Dental finishing or polishing tips</t>
  </si>
  <si>
    <t>In this classification, this commodity indicates a product that are tips shaped and used in a dental finishing or polishing procedure.  US FDA regulates Dental finishing or polishing tips under 21 CFR 872.6010 and under FDA product code EHL.  Most nations, for tariff and trade purposes, schedule these products under HS 901839.</t>
  </si>
  <si>
    <t>Dental burnishing compounds</t>
  </si>
  <si>
    <t>In this classification, this commodity indicates a product that are the compounds used to facilitate a dental burnishing procedure.  US FDA regulates Dental burnishing compounds under 21 CFR 872.6030 and under FDA product code EJR.  Most nations, for tariff and trade purposes, schedule these products under HS 901811.</t>
  </si>
  <si>
    <t>Dental squeeze cloths</t>
  </si>
  <si>
    <t>In this classification, this commodity indicates a product that is a closely-woven unbleached, unprocessed cotton offers maximum filtering for dental filling preparation.  Most nations, for tariff and trade purposes, schedule these products under HS 420310.</t>
  </si>
  <si>
    <t>Dental finishing or polishing kits</t>
  </si>
  <si>
    <t>In this classification, this commodity indicates a product that are kits containing the components and accessories used in a dental finishing or polishing procedure.  Most nations, for tariff and trade purposes, schedule these products under HS 901839.</t>
  </si>
  <si>
    <t>Dental polishing cups or sets</t>
  </si>
  <si>
    <t>In this classification, this commodity indicates a product that acts as the working end of a powered rotary tooth-polishing tool.  Most nations, for tariff and trade purposes, schedule these products under HS 901839.</t>
  </si>
  <si>
    <t>Springs for dental grinding or polishing machines</t>
  </si>
  <si>
    <t>In this classification, this commodity indicates a product that is a consumable spring for either a dental grinding or polishing machine.  Most nations, for tariff and trade purposes, schedule these products under HS 901890.</t>
  </si>
  <si>
    <t>Dental filling tubes</t>
  </si>
  <si>
    <t>In this classification, this commodity indicates a product that a tube that applies dental fillings or materials.  Most nations, for tariff and trade purposes, schedule these products under HS 901839.</t>
  </si>
  <si>
    <t>Chuck adapters for dental grinding or polishing machines</t>
  </si>
  <si>
    <t>In this classification, this commodity indicates a product that acts as a chuck to tighten dental drills.  Most nations, for tariff and trade purposes, schedule these products under HS 901839.</t>
  </si>
  <si>
    <t>Cones for dental grinding or polishing machines</t>
  </si>
  <si>
    <t>In this classification, this commodity indicates a product that is cone shaped and used as a tip in a dental grinding or cleaning procedure.  Most nations, for tariff and trade purposes, schedule these products under HS 901839.</t>
  </si>
  <si>
    <t>Dental material plugger or tip accessories</t>
  </si>
  <si>
    <t>In this classification, this commodity indicates a product that provides materials or replacement tips to a dental condenser or plugger.  Most nations, for tariff and trade purposes, schedule these products under HS 901839.</t>
  </si>
  <si>
    <t>Dental condensers</t>
  </si>
  <si>
    <t>In this classification, this commodity indicates a dental instrument with flat working ends designed to pack restorative material into cavity preparations.  Most nations, for tariff and trade purposes, schedule these products under HS 901839.</t>
  </si>
  <si>
    <t>42151900</t>
  </si>
  <si>
    <t>Dental hygiene and preventive care equipment and supplies</t>
  </si>
  <si>
    <t>In this classification, this class includes, equipment, products, components, accessories, and supplies, utilized in hygiene and preventative card based dental procedures.</t>
  </si>
  <si>
    <t>Dental plate or denture brushes</t>
  </si>
  <si>
    <t>In this classification, this commodity indicates a product that is a brush used to complete dental plates or dentures.  Most nations, for tariff and trade purposes, schedule these products under HS 901839.</t>
  </si>
  <si>
    <t>Dental prophylaxis kits</t>
  </si>
  <si>
    <t>In this classification, this commodity indicates a product that contains the components used in a dental tissue conditioning procedure.  Most nations, for tariff and trade purposes, schedule these products under HS 901839.</t>
  </si>
  <si>
    <t>Denture cups or containers</t>
  </si>
  <si>
    <t>In this classification, this commodity indicates a product that in either cup or container form stores dentures.  Most nations, for tariff and trade purposes, schedule these products under HS 901839.</t>
  </si>
  <si>
    <t>Disclosing solutions or tablets</t>
  </si>
  <si>
    <t>In this classification, this commodity indicates a product that in either a solution or tablet form discloses the parts of plaque or food residue missed by flossing.  US FDA regulates Disclosing solutions or tablets under 21 CFR 872.1740 and under FDA product code NYH.  Most nations, for tariff and trade purposes, schedule these products under HS 300339.</t>
  </si>
  <si>
    <t>Fluoride gels or rinses</t>
  </si>
  <si>
    <t>In this classification, this commodity indicates a product that is provides fluoride for dental application I either a gel or liquid form.  US FDA regulates Fluoride gels or rinses under 21 CFR 872.3260 and under FDA product code PHR.  Most nations, for tariff and trade purposes, schedule these products under HS 392690.</t>
  </si>
  <si>
    <t>Fluoride tablets or drops</t>
  </si>
  <si>
    <t>In this classification, this commodity indicates a product that is provides fluoride for dental application I either a tablet or drop form.  Most nations, for tariff and trade purposes, schedule these products under HS 901839.</t>
  </si>
  <si>
    <t>Dental prophylaxis tanks</t>
  </si>
  <si>
    <t>In this classification, this commodity indicates a product that.  Most nations, for tariff and trade purposes, schedule these products under HS 901839.</t>
  </si>
  <si>
    <t>Denture flasks or sets</t>
  </si>
  <si>
    <t>In this classification, this commodity indicates a product that as either a flask or set of components is used in a teeth cleansing procedure.  Most nations, for tariff and trade purposes, schedule these products under HS 701090.</t>
  </si>
  <si>
    <t>Preventive dentistry pastes or kits</t>
  </si>
  <si>
    <t>In this classification, this commodity indicates a product that consist of pastes or kits of different components used to provide a preventative coating to teeth.  Most nations, for tariff and trade purposes, schedule these products under HS 901811.</t>
  </si>
  <si>
    <t>Teeth cleaning devices</t>
  </si>
  <si>
    <t>In this classification, this commodity indicates a product that actively cleans teeth in a mechanical or electronic method.  Most nations, for tariff and trade purposes, schedule these products under HS 901839.</t>
  </si>
  <si>
    <t>Dental tissue conditioner sets</t>
  </si>
  <si>
    <t>In this classification, this commodity indicates a product that is a set containing the components and accessories for dental tissue conditioning.  Most nations, for tariff and trade purposes, schedule these products under HS 901839.</t>
  </si>
  <si>
    <t>Endodontic sprays</t>
  </si>
  <si>
    <t>In this classification, this commodity indicates a product that when applied to a gum or tooth exposes sensitivity to the cold.  Most nations, for tariff and trade purposes, schedule these products under HS 901811.</t>
  </si>
  <si>
    <t>Dental fluoride trays</t>
  </si>
  <si>
    <t>In this classification, this commodity indicates a product that acts as a tray that holds dental fluoride applications.  Most nations, for tariff and trade purposes, schedule these products under HS 392410.</t>
  </si>
  <si>
    <t>Teeth cleaning device accessories</t>
  </si>
  <si>
    <t>In this classification, this commodity indicates a product that provides accessories for a teeth cleaning device.  Most nations, for tariff and trade purposes, schedule these products under HS 901839.</t>
  </si>
  <si>
    <t>42152000</t>
  </si>
  <si>
    <t>Dental imaging equipment and supplies</t>
  </si>
  <si>
    <t>In this classification, this class includes, equipment, products, components, accessories, and supplies, utilized in imaging based dental procedures.</t>
  </si>
  <si>
    <t>Bite wing holders</t>
  </si>
  <si>
    <t>In this classification, this commodity indicates a product that holds a dental film for X-raying the crowns of upper and lower teeth simultaneously and that is held in place by a tab between the teeth.  Most nations, for tariff and trade purposes, schedule these products under HS 901839.</t>
  </si>
  <si>
    <t>Dental bite blocks or wings or tabs</t>
  </si>
  <si>
    <t>In this classification, this commodity indicates a product that wither in block, wing or tab form provides an impression of a dental bite.  US FDA regulates Dental bite blocks or wings or tabs under 21 CFR 876.15 and under FDA product code MNK.  Most nations, for tariff and trade purposes, schedule these products under HS 901839.</t>
  </si>
  <si>
    <t>Dental film processors</t>
  </si>
  <si>
    <t>In this classification, this commodity indicates a product that processes dental films.  US FDA regulates Dental film processors under 21 CFR 892.19 and under FDA product code EGY.  Most nations, for tariff and trade purposes, schedule these products under HS 901010.</t>
  </si>
  <si>
    <t>Dental radiology film hangers</t>
  </si>
  <si>
    <t>In this classification, this commodity indicates a product that acts as hangers for dental radiology film.  Most nations, for tariff and trade purposes, schedule these products under HS 901010.</t>
  </si>
  <si>
    <t>Dental radiology film holders</t>
  </si>
  <si>
    <t>In this classification, this commodity indicates a product that holds dental radiology film.  US FDA regulates Dental radiology film holders under 21 CFR 872.1905 and under FDA product code EGZ.  Most nations, for tariff and trade purposes, schedule these products under HS 901839.</t>
  </si>
  <si>
    <t>Dental radiology film mounts</t>
  </si>
  <si>
    <t>In this classification, this commodity indicates a product that mounts dental radiology film.  Most nations, for tariff and trade purposes, schedule these products under HS 901839.</t>
  </si>
  <si>
    <t>Dental x ray duplicators</t>
  </si>
  <si>
    <t>In this classification, this commodity indicates a product that duplicates dental x ray films.  Most nations, for tariff and trade purposes, schedule these products under HS 481710.</t>
  </si>
  <si>
    <t>Dental x ray units</t>
  </si>
  <si>
    <t>In this classification, this commodity indicates a product that films through x ray dental issues.  US FDA regulates Dental x ray units under 21 CFR 872.18 and under FDA product code EAP.  Most nations, for tariff and trade purposes, schedule these products under HS 902213.</t>
  </si>
  <si>
    <t>Dental x ray viewers</t>
  </si>
  <si>
    <t>In this classification, this commodity indicates a product that acts as a viewer of dental x ray films.  Most nations, for tariff and trade purposes, schedule these products under HS 901839.</t>
  </si>
  <si>
    <t>Dental radiology films</t>
  </si>
  <si>
    <t>In this classification, this commodity indicates a product that is the film used in a dental radiology machine.  US FDA regulates Dental radiology films under 21 CFR 892. 184 and under FDA product code IWZ.  Most nations, for tariff and trade purposes, schedule these products under HS 370200.</t>
  </si>
  <si>
    <t>Dental x ray film adapters</t>
  </si>
  <si>
    <t>In this classification, this commodity indicates a product that acts as an adapter for film used by a dental x ray unit.  Most nations, for tariff and trade purposes, schedule these products under HS 901839.</t>
  </si>
  <si>
    <t>Dental x ray apparatus parts or kits or accessories</t>
  </si>
  <si>
    <t>In this classification, this commodity indicates a product that consist of the parts, kit or accessories for a dental x ray unit.  Most nations, for tariff and trade purposes, schedule these products under HS 901839.</t>
  </si>
  <si>
    <t>Dental radiography film analyzers</t>
  </si>
  <si>
    <t>In this classification, this commodity indicates a product that visualizes radio film used in a dental procedure.  Most nations, for tariff and trade purposes, schedule these products under HS 902213.</t>
  </si>
  <si>
    <t>Dental radioactive tracers</t>
  </si>
  <si>
    <t>In this classification, this commodity indicates a product that uses radioactive isotopes to measure dental caries.  Most nations, for tariff and trade purposes, schedule these products under HS 901839.</t>
  </si>
  <si>
    <t>Dental shade scanners</t>
  </si>
  <si>
    <t>In this classification, this commodity indicates a product that scans and records the different shades of each tooth in a dental setting.  Most nations, for tariff and trade purposes, schedule these products under HS 901839.</t>
  </si>
  <si>
    <t>Dental x ray viewer accessories</t>
  </si>
  <si>
    <t>In this classification, this commodity indicates a product that is an accessory to x ray viewers in a dental setting.  Most nations, for tariff and trade purposes, schedule these products under HS 901839.</t>
  </si>
  <si>
    <t>Dental cone beams</t>
  </si>
  <si>
    <t>In this classification, this commodity indicates a product that provides computed tomography in a dental setting.  Most nations, for tariff and trade purposes, schedule these products under HS 901839.</t>
  </si>
  <si>
    <t>Caries electrical detection devices</t>
  </si>
  <si>
    <t>In this classification, this commodity indicates a product that through electrical means determine plaque existing on teeth.  Most nations, for tariff and trade purposes, schedule these products under HS 901839.</t>
  </si>
  <si>
    <t>42152100</t>
  </si>
  <si>
    <t>Dental impression and forming equipment and supplies</t>
  </si>
  <si>
    <t>In this classification, this class includes, equipment, products, components, accessories, and supplies, utilized in impressioning and forming based dental procedures.</t>
  </si>
  <si>
    <t>Dental casting rings or related supplies</t>
  </si>
  <si>
    <t>In this classification, this commodity indicates a product that acts as an external containment field used in dental restorations.  Most nations, for tariff and trade purposes, schedule these products under HS 901839.</t>
  </si>
  <si>
    <t>Dental formers</t>
  </si>
  <si>
    <t>In this classification, this commodity indicates a product that is used to form bases and models in a dental setting.  Most nations, for tariff and trade purposes, schedule these products under HS 901849.</t>
  </si>
  <si>
    <t>Dental impression tray adhesives</t>
  </si>
  <si>
    <t>In this classification, this commodity indicates a product that consists of adhesives for the components and materials used to create a dental impression.  Most nations, for tariff and trade purposes, schedule these products under HS 300610.</t>
  </si>
  <si>
    <t>Dental impression tray cleaners</t>
  </si>
  <si>
    <t>In this classification, this commodity indicates a product that consists of cleaners for the components and materials used to create a dental impression.  Most nations, for tariff and trade purposes, schedule these products under HS 420310.</t>
  </si>
  <si>
    <t>Dental impression trays</t>
  </si>
  <si>
    <t>In this classification, this commodity indicates a product that consists of the components and materials used to create a dental impression.  US FDA regulates Dental impression trays under 21 CFR 872.6880 and under FDA product code EHY.  Most nations, for tariff and trade purposes, schedule these products under HS 392410.</t>
  </si>
  <si>
    <t>Dental plaster knives</t>
  </si>
  <si>
    <t>In this classification, this commodity indicates a product that cuts plaster involved with dental casts.  US FDA regulates Dental plaster knives under 21 CFR 872.4565 and under FDA product code EJZ.  Most nations, for tariff and trade purposes, schedule these products under HS 901890.</t>
  </si>
  <si>
    <t>Dental waxing instruments</t>
  </si>
  <si>
    <t>In this classification, this commodity indicates a product that applies wax to the materials used to create dental impressions, castings, models and investments.  US FDA regulates Dental waxing instruments under 21 CFR 872.3060 and under FDA product code EIT.  Most nations, for tariff and trade purposes, schedule these products under HS 901811.</t>
  </si>
  <si>
    <t>Dental impression material syringes</t>
  </si>
  <si>
    <t>In this classification, this commodity indicates a product that delivers through a syringe the materials used to create dental impressions, castings, models and investments.  US FDA regulates Dental impression material syringes under 21 CFR 872.4565 and under FDA product code EID.  Most nations, for tariff and trade purposes, schedule these products under HS 901831.</t>
  </si>
  <si>
    <t>Dental impression material water baths</t>
  </si>
  <si>
    <t>In this classification, this commodity indicates a product that consists of a water bath which is used to incubate samples in water at a constant temperature over a long period of time.  Most nations, for tariff and trade purposes, schedule these products under HS 691010.</t>
  </si>
  <si>
    <t>Dental marking devices</t>
  </si>
  <si>
    <t>In this classification, this commodity indicates a product that marks imperfections in dental impressions, castings, models and investments.  Most nations, for tariff and trade purposes, schedule these products under HS 901811.</t>
  </si>
  <si>
    <t>Dental impression material hardeners</t>
  </si>
  <si>
    <t>In this classification, this commodity indicates a product that hardens the materials used to create dental impressions, castings, models and investments.  Most nations, for tariff and trade purposes, schedule these products under HS 901811.</t>
  </si>
  <si>
    <t>Dental drying instruments</t>
  </si>
  <si>
    <t>In this classification, this commodity indicates a product that dries dental impressions, castings, models and investments.  Most nations, for tariff and trade purposes, schedule these products under HS 901811.</t>
  </si>
  <si>
    <t>Denture base forming kits</t>
  </si>
  <si>
    <t>In this classification, this commodity indicates a product that use amalgams that form the base of a dental impression, mold, casting or investment.  Most nations, for tariff and trade purposes, schedule these products under HS 901839.</t>
  </si>
  <si>
    <t>Dental impression materials delivery kits</t>
  </si>
  <si>
    <t>In this classification, this commodity indicates a product that contains a grouping of materials used in dental impression, castings, molds and investments.  Most nations, for tariff and trade purposes, schedule these products under HS 901832.</t>
  </si>
  <si>
    <t>Dental impression baskets or bins</t>
  </si>
  <si>
    <t>In this classification, this commodity indicates a product that provides and enclosure for the storing of a dental impression, mold, casting or investment.  Most nations, for tariff and trade purposes, schedule these products under HS 901832.</t>
  </si>
  <si>
    <t>Dental burnout casting posts</t>
  </si>
  <si>
    <t>In this classification, this commodity indicates a product that collects the extra or waste was from a dental casting or impression.  Most nations, for tariff and trade purposes, schedule these products under HS 901832.</t>
  </si>
  <si>
    <t>Denture ruga patterns</t>
  </si>
  <si>
    <t>In this classification, this commodity indicates a product that patterns the palatal rugae in a dental setting.  Most nations, for tariff and trade purposes, schedule these products under HS 901832.</t>
  </si>
  <si>
    <t>Dental drying instrument accessories</t>
  </si>
  <si>
    <t>In this classification, this commodity indicates a product that consists of the accessories to a drying instruments used in a dental procedure.  Most nations, for tariff and trade purposes, schedule these products under HS 901832.</t>
  </si>
  <si>
    <t>Dental impression material syringe accessories</t>
  </si>
  <si>
    <t>In this classification, this commodity indicates a product that consists of the accessories to a syringe used in a dental procedure.  Most nations, for tariff and trade purposes, schedule these products under HS 901819.</t>
  </si>
  <si>
    <t>Dental impression material water bath accessories</t>
  </si>
  <si>
    <t>In this classification, this commodity indicates a product that consists of the accessories to a water bath which is used to incubate samples in water at a constant temperature over a long period of time.  Most nations, for tariff and trade purposes, schedule these products under HS 691010.</t>
  </si>
  <si>
    <t>42152200</t>
  </si>
  <si>
    <t>Dental laboratory and sterilization equipment and supplies</t>
  </si>
  <si>
    <t>In this classification, this class includes, equipment, products, components, accessories, and supplies, utilized in laboratory and sterilization based dental procedures.</t>
  </si>
  <si>
    <t>Dental foils</t>
  </si>
  <si>
    <t>In this classification, this commodity indicates a product that is foil based used for dental restoration.  US FDA regulates Dental foils under 21 CFR 874.3620 and under FDA product code KHJ.  Most nations, for tariff and trade purposes, schedule these products under HS 901832.</t>
  </si>
  <si>
    <t>Dental laboratory air abrasion units</t>
  </si>
  <si>
    <t>In this classification, this commodity indicates a product that through forced air abrasion is used to trim and finish dental impressions, casting, models and investments.  Most nations, for tariff and trade purposes, schedule these products under HS 901839.</t>
  </si>
  <si>
    <t>Dental laboratory burners or torches</t>
  </si>
  <si>
    <t>In this classification, this commodity indicates a product that either a torch or burner is used to trim and finish dental impressions, casting, models and investments.  Most nations, for tariff and trade purposes, schedule these products under HS 901832.</t>
  </si>
  <si>
    <t>Dental laboratory casting machines</t>
  </si>
  <si>
    <t>In this classification, this commodity indicates a product that is used to create dental castings and impressions.  Most nations, for tariff and trade purposes, schedule these products under HS 901839.</t>
  </si>
  <si>
    <t>Dental laboratory curing units</t>
  </si>
  <si>
    <t>In this classification, this commodity indicates a product that heats and dries dental impressions, molds, castings and investments.Dental laboratory curing units under 21 CFR and under FDA product code RGO.  Most nations, for tariff and trade purposes, schedule these products under HS 901819.</t>
  </si>
  <si>
    <t>Dental laboratory dies</t>
  </si>
  <si>
    <t>In this classification, this commodity indicates a product that provides detailed cutting of dental impressions, molds, castings and investments.  Most nations, for tariff and trade purposes, schedule these products under HS 901832.</t>
  </si>
  <si>
    <t>Dental laboratory dust collectors</t>
  </si>
  <si>
    <t>In this classification, this commodity indicates a product that collects dust areas involved in a dental procedure.  Most nations, for tariff and trade purposes, schedule these products under HS 901832.</t>
  </si>
  <si>
    <t>Dental laboratory engines</t>
  </si>
  <si>
    <t>In this classification, this commodity indicates a product that powers the machinery that formulates dental impressions, molds, castings and investments.  Most nations, for tariff and trade purposes, schedule these products under HS 901832.</t>
  </si>
  <si>
    <t>Dental laboratory furnaces</t>
  </si>
  <si>
    <t>In this classification, this commodity indicates a product that provides heat to formulate dental impressions, molds, castings and investments.  Most nations, for tariff and trade purposes, schedule these products under HS 901819.</t>
  </si>
  <si>
    <t>Dental laboratory gold platers</t>
  </si>
  <si>
    <t>In this classification, this commodity indicates a product that provides a thin application layer of gold to dental impressions, molds, castings and investments.  Most nations, for tariff and trade purposes, schedule these products under HS 901832.</t>
  </si>
  <si>
    <t>Dental laboratory lathes</t>
  </si>
  <si>
    <t>In this classification, this commodity indicates a product that cuts excesses from dental impressions, molds, castings and investments.  Most nations, for tariff and trade purposes, schedule these products under HS 901849.</t>
  </si>
  <si>
    <t>Dental laboratory model trimmers</t>
  </si>
  <si>
    <t>In this classification, this commodity indicates a product that trims dental impressions, molds, castings and investments.  Most nations, for tariff and trade purposes, schedule these products under HS 901849.</t>
  </si>
  <si>
    <t>Dental laboratory models</t>
  </si>
  <si>
    <t>In this classification, this commodity indicates a product that models teeth, implants gums and jaws for educational purposes.  Most nations, for tariff and trade purposes, schedule these products under HS 901832.</t>
  </si>
  <si>
    <t>Dental laboratory plaster traps</t>
  </si>
  <si>
    <t>In this classification, this commodity indicates a product that collects plaster debris created in dental laboratory operation.  Most nations, for tariff and trade purposes, schedule these products under HS 901832.</t>
  </si>
  <si>
    <t>Dental laboratory sandblasters</t>
  </si>
  <si>
    <t>In this classification, this commodity indicates a product that sandblasts dental impressions and investments created in dental laboratory operation.  Most nations, for tariff and trade purposes, schedule these products under HS 901832.</t>
  </si>
  <si>
    <t>Dental laboratory soldering machines</t>
  </si>
  <si>
    <t>In this classification, this commodity indicates a product that solders dental impressions and investments created in dental laboratory operation.  Most nations, for tariff and trade purposes, schedule these products under HS 901832.</t>
  </si>
  <si>
    <t>Dental laboratory vacuum units</t>
  </si>
  <si>
    <t>In this classification, this commodity indicates a product that vacuums areas involved in a dental procedure.  Most nations, for tariff and trade purposes, schedule these products under HS 901832.</t>
  </si>
  <si>
    <t>Dental laboratory vibrators</t>
  </si>
  <si>
    <t>In this classification, this commodity indicates a product that vibrates isolates areas involved in a dental procedure.  Most nations, for tariff and trade purposes, schedule these products under HS 901849.</t>
  </si>
  <si>
    <t>Dental laboratory waxing units</t>
  </si>
  <si>
    <t>In this classification, this commodity indicates a product that waxes dental impressions and investments created in dental laboratory operation.  Most nations, for tariff and trade purposes, schedule these products under HS 901819.</t>
  </si>
  <si>
    <t>Dental stones</t>
  </si>
  <si>
    <t>In this classification, this commodity indicates a product that base materials used in the creation of dental impression.  Most nations, for tariff and trade purposes, schedule these products under HS 901839.</t>
  </si>
  <si>
    <t>Dental laboratory model protectors or cases</t>
  </si>
  <si>
    <t>In this classification, this commodity indicates a product that provides external enclosure s to protect dental models and impressions.  Most nations, for tariff and trade purposes, schedule these products under HS 901819.</t>
  </si>
  <si>
    <t>Crucibles for dental casting machines</t>
  </si>
  <si>
    <t>In this classification, this commodity indicates a product that is the machinery that processes material and mixtures to create dental castings.  Most nations, for tariff and trade purposes, schedule these products under HS 901819.</t>
  </si>
  <si>
    <t>Dental resins processing units</t>
  </si>
  <si>
    <t>In this classification, this commodity indicates a product that processes the resins so they are usable in an impression, casting. molding or investment creation dental procedure.  Most nations, for tariff and trade purposes, schedule these products under HS 901819.</t>
  </si>
  <si>
    <t>Dental laboratory flasks</t>
  </si>
  <si>
    <t>In this classification, this commodity indicates a product that is used to hold liquids, mixtures or compounds in a dental setting.  Most nations, for tariff and trade purposes, schedule these products under HS 701090.</t>
  </si>
  <si>
    <t>Dental casting fluxes</t>
  </si>
  <si>
    <t>In this classification, this commodity indicates a product that is used in the soldering of gold or silver into dental investments and casting.  Most nations, for tariff and trade purposes, schedule these products under HS 901831.</t>
  </si>
  <si>
    <t>Dental casting mixers</t>
  </si>
  <si>
    <t>In this classification, this commodity indicates a product that mixed the components for the creation of a dental casting.  Most nations, for tariff and trade purposes, schedule these products under HS 901831.</t>
  </si>
  <si>
    <t>Dental laboratory air abrasion unit accessories</t>
  </si>
  <si>
    <t>In this classification, this commodity indicates a product that contains consumable supplies used by laboratory air abrasion units in a dental setting.  Most nations, for tariff and trade purposes, schedule these products under HS 901831.</t>
  </si>
  <si>
    <t>Dental laboratory bench blocks</t>
  </si>
  <si>
    <t>In this classification, this commodity indicates a product that supports the punching out of pins and rivets that position impression, castings mold and investments as they are being developed.  Most nations, for tariff and trade purposes, schedule these products under HS 901831.</t>
  </si>
  <si>
    <t>Dental laboratory ejectors</t>
  </si>
  <si>
    <t>In this classification, this commodity indicates a product that is devised to separate impression, molds, casting and investments from their developmental casing.  Most nations, for tariff and trade purposes, schedule these products under HS 901831.</t>
  </si>
  <si>
    <t>Denture grinding and polishing machines</t>
  </si>
  <si>
    <t>In this classification, this commodity indicates a product that grinds and polishes dental impressions, castings, molds and investments.  Most nations, for tariff and trade purposes, schedule these products under HS 901831.</t>
  </si>
  <si>
    <t>Denture grinding and polishing machine accessories</t>
  </si>
  <si>
    <t>In this classification, this commodity indicates a product that contains consumable supplies used by laboratory grinding and polishing machines in a dental setting.  Most nations, for tariff and trade purposes, schedule these products under HS 901831.</t>
  </si>
  <si>
    <t>Dental laboratory soldering blowpipes</t>
  </si>
  <si>
    <t>In this classification, this commodity indicates a product that forms and delivers solder to specific points of small parts being soldered together in a dental procedure.  Most nations, for tariff and trade purposes, schedule these products under HS 901831.</t>
  </si>
  <si>
    <t>Dental laboratory model trimmer accessories</t>
  </si>
  <si>
    <t>In this classification, this commodity indicates a product that contains consumable supplies used by laboratory model trimmer machines in a dental setting.  Most nations, for tariff and trade purposes, schedule these products under HS 901831.</t>
  </si>
  <si>
    <t>Dental airbrushes</t>
  </si>
  <si>
    <t>In this classification, this commodity indicates a product that is attached to a dental unit that flows air to clean a tooth or gingival location during a dental procedure.  Most nations, for tariff and trade purposes, schedule these products under HS 901831.</t>
  </si>
  <si>
    <t>Dental laboratory casting machine accessories</t>
  </si>
  <si>
    <t>In this classification, this commodity indicates a product that contains consumable supplies used by casting machines in a dental setting.  Most nations, for tariff and trade purposes, schedule these products under HS 901831.</t>
  </si>
  <si>
    <t>Dental laboratory sandblaster supplies</t>
  </si>
  <si>
    <t>In this classification, this commodity indicates a product that contains consumable supplies used by laboratory sandblasters in a dental setting.  Most nations, for tariff and trade purposes, schedule these products under HS 901839.</t>
  </si>
  <si>
    <t>Dental laboratory soldering machine supplies</t>
  </si>
  <si>
    <t>In this classification, this commodity indicates a product that contains consumable supplies used by laboratory soldering machine in a dental setting.  Most nations, for tariff and trade purposes, schedule these products under HS 901839.</t>
  </si>
  <si>
    <t>Dental laboratory vacuum unit supplies</t>
  </si>
  <si>
    <t>In this classification, this commodity indicates a product that contains consumable supplies used by laboratory vacuums in a dental setting.  Most nations, for tariff and trade purposes, schedule these products under HS 901831.</t>
  </si>
  <si>
    <t>Dental laboratory engine accessories</t>
  </si>
  <si>
    <t>In this classification, this commodity indicates a product that contains consumable supplies used by laboratory engines in a dental setting.  Most nations, for tariff and trade purposes, schedule these products under HS 901831.</t>
  </si>
  <si>
    <t>Dental resins processing unit accessories</t>
  </si>
  <si>
    <t>In this classification, this commodity indicates a product that contains consumable supplies used by laboratory resin processing machine in a dental setting.  Most nations, for tariff and trade purposes, schedule these products under HS 901831.</t>
  </si>
  <si>
    <t>Dental laboratory lathe accessories</t>
  </si>
  <si>
    <t>In this classification, this commodity indicates a product that are accessories used in the lathing of an impression molding or appliance curing process in a dental setting.  Most nations, for tariff and trade purposes, schedule these products under HS 901831.</t>
  </si>
  <si>
    <t>Dental laboratory curing unit accessories</t>
  </si>
  <si>
    <t>In this classification, this commodity indicates a product that are accessories used in an impression molding or appliance curing process in a dental setting.  Most nations, for tariff and trade purposes, schedule these products under HS 901819.</t>
  </si>
  <si>
    <t>42152300</t>
  </si>
  <si>
    <t>Dental lasers and illumination and fiber optic equipment and supplies</t>
  </si>
  <si>
    <t>In this classification, this class includes, equipment, products, components, accessories, and supplies, utilized in laser and illumination based dental procedures.</t>
  </si>
  <si>
    <t>Dental lasers</t>
  </si>
  <si>
    <t>In this classification, this commodity indicates a product that low level laser instruments used for dental tissue resection.  US FDA regulates Dental lasers under 21 CFR 878.4810 and under FDA product code NVK.  Most nations, for tariff and trade purposes, schedule these products under HS 901320.</t>
  </si>
  <si>
    <t>Dentoscopes</t>
  </si>
  <si>
    <t>In this classification, this commodity indicates a product that a specialized radiography scope used to capture the normal relationship of the occlusional inclined planes of teeth when the jaws are in the closed position.  Most nations, for tariff and trade purposes, schedule these products under HS 900630.</t>
  </si>
  <si>
    <t>General dental lights</t>
  </si>
  <si>
    <t>In this classification, this commodity indicates a product that is a non-specific generic light used in dental procedures.  US FDA regulates General dental lights under 21 CFR 872.4620 and under FDA product code EAY.  Most nations, for tariff and trade purposes, schedule these products under HS 901819.</t>
  </si>
  <si>
    <t>Intraoral lights</t>
  </si>
  <si>
    <t>In this classification, this commodity indicates a product that a light using light wave forms that optimize shadow reduction inside a patient's mouth.  Most nations, for tariff and trade purposes, schedule these products under HS 901819.</t>
  </si>
  <si>
    <t>Dental ultraviolet detectors</t>
  </si>
  <si>
    <t>In this classification, this commodity indicates a product that provides a source of ultraviolet light which is used to identify otherwise invisible material, such as dental plaque, present in or on teeth.  Most nations, for tariff and trade purposes, schedule these products under HS 901819.</t>
  </si>
  <si>
    <t>Caries detection devices</t>
  </si>
  <si>
    <t>In this classification, this commodity indicates a product that detects plaque on a tooth.  Most nations, for tariff and trade purposes, schedule these products under HS 901839.</t>
  </si>
  <si>
    <t>General dental light accessories</t>
  </si>
  <si>
    <t>In this classification, this commodity indicates a product that acts as accessories to various dental lighting systems.  Most nations, for tariff and trade purposes, schedule these products under HS 901839.</t>
  </si>
  <si>
    <t>Caries detection device accessories</t>
  </si>
  <si>
    <t>In this classification, this commodity indicates accessories to a product that detects plaque on a tooth.  Most nations, for tariff and trade purposes, schedule these products under HS 901839.</t>
  </si>
  <si>
    <t>42152400</t>
  </si>
  <si>
    <t>Dental materials</t>
  </si>
  <si>
    <t>In this classification, this class includes, materials components, and accessories, used in dental based procedures.</t>
  </si>
  <si>
    <t>Athletic mouth protector materials</t>
  </si>
  <si>
    <t>In this classification, this commodity indicates a product that consists of the materials used to formulate mouth protectors for people engaging in athletic activities.  Most nations, for tariff and trade purposes, schedule these products under HS 902129.</t>
  </si>
  <si>
    <t>Crown or bridge plastics</t>
  </si>
  <si>
    <t>In this classification, this commodity indicates a product that consists of the plastic compounds to be used in the creation of a crown or bridge.Crown or bridge plastics under 21 CFR and under FDA product code NSN.  Most nations, for tariff and trade purposes, schedule these products under HS 902121.</t>
  </si>
  <si>
    <t>Dental baseplate or casting waxes or shellacs</t>
  </si>
  <si>
    <t>In this classification, this commodity indicates a product that is used in the construction of metal dental castings. These are divided into wax or shellac based preparations.  US FDA regulates Dental baseplate or casting waxes or shellacs under 21 CFR 872.6890 and under FDA product code EGD.  Most nations, for tariff and trade purposes, schedule these products under HS 901839.</t>
  </si>
  <si>
    <t>Dental ceramics</t>
  </si>
  <si>
    <t>In this classification, this commodity indicates a product that consists of the ceramics to be used in the creation of a denture.  Most nations, for tariff and trade purposes, schedule these products under HS 300640.</t>
  </si>
  <si>
    <t>Dental gypsum products</t>
  </si>
  <si>
    <t>In this classification, this commodity indicates a product that is either laboratory plaster or a dental stone, both used in the casting of dental appliances.  Most nations, for tariff and trade purposes, schedule these products under HS 300640.</t>
  </si>
  <si>
    <t>Dental pit or fissure sealants</t>
  </si>
  <si>
    <t>In this classification, this commodity indicates a product that consists of the compounds to be used in the sealing of a pit or fissure in a tooth or gum line.  US FDA regulates Dental pit or fissure sealants under 21 CFR 872.3765 and under FDA product code EBC.  Most nations, for tariff and trade purposes, schedule these products under HS 901819.</t>
  </si>
  <si>
    <t>Dental cements</t>
  </si>
  <si>
    <t>In this classification, this commodity indicates a product that consists of the cements to be used in the creation of a denture.  US FDA regulates Dental cements under 21 CFR 872.3275 and under FDA product code EMA.  Most nations, for tariff and trade purposes, schedule these products under HS 300640.</t>
  </si>
  <si>
    <t>Denture resins</t>
  </si>
  <si>
    <t>In this classification, this commodity indicates a product that consists of the resins to be used in the creation of a denture.Denture resins under 21 CFR FDA does and under FDA product code NSM.  Most nations, for tariff and trade purposes, schedule these products under HS 300640.</t>
  </si>
  <si>
    <t>Dental amalgamators</t>
  </si>
  <si>
    <t>In this classification, this commodity indicates a product that are the instruments used to create amalgams used in dental impression molding and installation procedures.  US FDA regulates Dental amalgamators under 21 CFR 872.31 and under FDA product code EFD.  Most nations, for tariff and trade purposes, schedule these products under HS 901839.</t>
  </si>
  <si>
    <t>Orthodontic elastomeric materials</t>
  </si>
  <si>
    <t>In this classification, this commodity indicates a product that provides the elastomeric compounds used in orthodontic castings and impressions as well as procedures.  Most nations, for tariff and trade purposes, schedule these products under HS 300640.</t>
  </si>
  <si>
    <t>Refractory die materials</t>
  </si>
  <si>
    <t>In this classification, this commodity indicates a product that provides the materials external to a dental casting or molding which ultimately is discarded after the curing process.  Most nations, for tariff and trade purposes, schedule these products under HS 901839.</t>
  </si>
  <si>
    <t>Gingival retraction liquids</t>
  </si>
  <si>
    <t>In this classification, this commodity indicates a product that is liquid based and applied to gingival tissues to move them away from the focused area in a dental restoration procedure.Gingival retraction liquids under 21 CFR and under FDA product code NYF.  Most nations, for tariff and trade purposes, schedule these products under HS 300640.</t>
  </si>
  <si>
    <t>Tooth facing or backing sets</t>
  </si>
  <si>
    <t>In this classification, this commodity indicates a product that provides for the restoration of frontal or back facing teeth.  US FDA regulates Tooth facing or backing sets under 21 CFR 872.3910 and under FDA product code ELK.  Most nations, for tariff and trade purposes, schedule these products under HS 901819.</t>
  </si>
  <si>
    <t>Dental cavities lining or thinner materials or sets</t>
  </si>
  <si>
    <t>In this classification, this commodity indicates a product that is material applied to the inside of the walls of a cavity or container for protection or insulation.  US FDA regulates Dental cavities lining or thinner materials or sets under 21 CFR 872.3250 and under FDA product code EJK.  Most nations, for tariff and trade purposes, schedule these products under HS 300640.</t>
  </si>
  <si>
    <t>Dental stains or supplies</t>
  </si>
  <si>
    <t>In this classification, this commodity indicates a product and associated consumables that work to remove discoloration accumulating on the surface of teeth, dentures, or denture base material,.  Most nations, for tariff and trade purposes, schedule these products under HS 300640.</t>
  </si>
  <si>
    <t>Dental impression material catalysts</t>
  </si>
  <si>
    <t>In this classification, this commodity indicates a product that catalysts for the creation of impressions or molds used in a dental procedure.  Most nations, for tariff and trade purposes, schedule these products under HS 300640.</t>
  </si>
  <si>
    <t>Dental pressure indicating compounds</t>
  </si>
  <si>
    <t>In this classification, this commodity indicates a product that consists of a semisolid preparation containing one or more drug substances, for topical application used to gauge pressure in a mouth.  Most nations, for tariff and trade purposes, schedule these products under HS 300640.</t>
  </si>
  <si>
    <t>Dental paste kits</t>
  </si>
  <si>
    <t>In this classification, this commodity indicates a product that contains dental paste toothbrushes and accessories.  Most nations, for tariff and trade purposes, schedule these products under HS 300640.</t>
  </si>
  <si>
    <t>Dental restorative compounds</t>
  </si>
  <si>
    <t>In this classification, this commodity indicates a product that are either a plastic or ceramic compound used in the filling of damaged teeth.Dental restorative compounds under 21 CFR and under FDA product code NSM.  Most nations, for tariff and trade purposes, schedule these products under HS 300640.</t>
  </si>
  <si>
    <t>Dental pulp protectors</t>
  </si>
  <si>
    <t>In this classification, this commodity indicates a product that is either a base or a liner applied beneath a permanent teeth restoration to provide mechanical, chemical and thermal protection to the underlying area.  US FDA regulates Dental pulp protectors under 21 CFR 872.3250 and under FDA product code EJK.  Most nations, for tariff and trade purposes, schedule these products under HS 300640.</t>
  </si>
  <si>
    <t>Dental masking agents</t>
  </si>
  <si>
    <t>In this classification, this commodity indicates a product that is deployed to facilitate the use of veneers in the covering of damaged or misformed teeth.  Most nations, for tariff and trade purposes, schedule these products under HS 300339.</t>
  </si>
  <si>
    <t>Dental cementing kits</t>
  </si>
  <si>
    <t>In this classification, this commodity indicates a product that consists of a prearranged grouping of dental cement and or products that normally would be used in a specific dental cementation procedure.  Most nations, for tariff and trade purposes, schedule these products under HS 300640.</t>
  </si>
  <si>
    <t>Dental die spacers</t>
  </si>
  <si>
    <t>In this classification, this commodity indicates a product that is a colored, paint-on material applied to dies that adds a desired dimension to the surface of the die to function as a spacer and add additional space between the restoration and natural surface of a tooth.  US FDA regulates Dental die spacers under 21 CFR 872.3310 and under FDA product code EBD.  Most nations, for tariff and trade purposes, schedule these products under HS 901819.</t>
  </si>
  <si>
    <t>Denture coating compounds</t>
  </si>
  <si>
    <t>In this classification, this commodity indicates a product that provides a coating for the proper installation and maintenance of dentures.  US FDA regulates Denture coating compounds under 21 CFR 872.33 and under FDA product code EBE.  Most nations, for tariff and trade purposes, schedule these products under HS 300640.</t>
  </si>
  <si>
    <t>Coating compounds for dental models</t>
  </si>
  <si>
    <t>In this classification, this commodity indicates a product that provides the compounds for dental models, impressions and molds.  Most nations, for tariff and trade purposes, schedule these products under HS 901811.</t>
  </si>
  <si>
    <t>Denture reliner kits</t>
  </si>
  <si>
    <t>In this classification, this commodity indicates a product that provides the reapplication of the lining and adhesion for dentures and either the roof or the floor of a person's mouth.  US FDA regulates Denture reliner kits under 21 CFR 872.3560 and under FDA product code EBP.  Most nations, for tariff and trade purposes, schedule these products under HS 901819.</t>
  </si>
  <si>
    <t>Dental wax solvents</t>
  </si>
  <si>
    <t>In this classification, this commodity indicates a product that is used as a solvent for waxed based component used in a dental procedure.  Most nations, for tariff and trade purposes, schedule these products under HS 901811.</t>
  </si>
  <si>
    <t>Dental implant kits</t>
  </si>
  <si>
    <t>In this classification, this commodity indicates a product that consists of a prearranged grouping of implants, components and accessories that normally would be used in a specific over dental implant procedure.  US FDA regulates Dental implant kits under 21 CFR 872.3980 and under FDA product code OFY.  Most nations, for tariff and trade purposes, schedule these products under HS 901819.</t>
  </si>
  <si>
    <t>Dental lubricants</t>
  </si>
  <si>
    <t>In this classification, this commodity indicates a product that facilitate the application of a dental appliance or prosthetic and tries to ensure long product lifespan and optimal performance.  US FDA regulates Dental lubricants under 21 CFR 880.6375 and under FDA product code ONK.  Most nations, for tariff and trade purposes, schedule these products under HS 300640.</t>
  </si>
  <si>
    <t>Material fit checkers</t>
  </si>
  <si>
    <t>In this classification, this commodity indicates a product that that form a tough, micro thin film to allow detection of high spots and pressure points in dental appliances and forms.  Most nations, for tariff and trade purposes, schedule these products under HS 901819.</t>
  </si>
  <si>
    <t>Dental impression material mixers</t>
  </si>
  <si>
    <t>In this classification, this commodity indicates a product that mixes the materials used to create a dental impression or mold.  Most nations, for tariff and trade purposes, schedule these products under HS 901839.</t>
  </si>
  <si>
    <t>Orthodontic appliance resins</t>
  </si>
  <si>
    <t>In this classification, this commodity indicates a product that can be formed into a dental appliance and is ether soft or hard resin based.  Most nations, for tariff and trade purposes, schedule these products under HS 300640.</t>
  </si>
  <si>
    <t>Dental casting pattern wetting agents</t>
  </si>
  <si>
    <t>In this classification, this commodity indicates a product that reduces contact angle between liquid and wax surface and any oily film left on wax pattern used as a dental mold.  Most nations, for tariff and trade purposes, schedule these products under HS 300339.</t>
  </si>
  <si>
    <t>Dental implant overdenture kits</t>
  </si>
  <si>
    <t>In this classification, this commodity indicates a product that consists of a prearranged grouping of implant of denture instruments and or products that normally would be used in a specific over denture implant procedure.  Most nations, for tariff and trade purposes, schedule these products under HS 901819.</t>
  </si>
  <si>
    <t>Dental porcelain bonding ceramic primers</t>
  </si>
  <si>
    <t>In this classification, this commodity indicates a product that primes the bonding capability of ceramic cements used in a dental procedure.  Most nations, for tariff and trade purposes, schedule these products under HS 300640.</t>
  </si>
  <si>
    <t>Dental porcelain bonding luting materials</t>
  </si>
  <si>
    <t>In this classification, this commodity indicates a product that provides either visible (bonding) or invisible (luting) adhesion for dental prosthetics.  Most nations, for tariff and trade purposes, schedule these products under HS 300640.</t>
  </si>
  <si>
    <t>Dental porcelain release agents</t>
  </si>
  <si>
    <t>In this classification, this commodity indicates a product that is designed to be used wherever porcelain comes into contact with stone, acrylic, or metal model material.  Most nations, for tariff and trade purposes, schedule these products under HS 300339.</t>
  </si>
  <si>
    <t>Endodontic kits</t>
  </si>
  <si>
    <t>In this classification, this commodity indicates a product that consists of a prearranged grouping of endodontic instrument and or products that normally would be used in a specific endodontic procedure.  Most nations, for tariff and trade purposes, schedule these products under HS 901819.</t>
  </si>
  <si>
    <t>Gutta percha</t>
  </si>
  <si>
    <t>In this classification, this commodity indicates a product that consists of the rigid natural latex produced from the sap of the Palaquium trees.  Most nations, for tariff and trade purposes, schedule these products under HS 901819.</t>
  </si>
  <si>
    <t>Denture liners</t>
  </si>
  <si>
    <t>In this classification, this commodity indicates a product that provides the lining and adhesion for dentures and either the roof or the floor of a person's mouth.  Most nations, for tariff and trade purposes, schedule these products under HS 901819.</t>
  </si>
  <si>
    <t>Dental alloys</t>
  </si>
  <si>
    <t>In this classification, this commodity indicates a product consisting  of specific chemical compounds used to create teeth prosthetics and implants.  Most nations, for tariff and trade purposes, schedule these products under HS 901819.</t>
  </si>
  <si>
    <t>Dental impression materials</t>
  </si>
  <si>
    <t>In this classification, this commodity indicates a product that provides the materials use for making impression that guide the size and positioning on teeth replacement or implantation structure.  Most nations, for tariff and trade purposes, schedule these products under HS 300640.</t>
  </si>
  <si>
    <t>Dental abrasive pastes and powders</t>
  </si>
  <si>
    <t>In this classification, this commodity indicates a product that is powder or paste formulated and utilized in the polishing of teeth as a dental procedure.  Most nations, for tariff and trade purposes, schedule these products under HS 300640.</t>
  </si>
  <si>
    <t>Dental investments</t>
  </si>
  <si>
    <t>In this classification, this commodity indicates a product that used is a material in which a denture, tooth, crown, or model for a dental restoration is enclosed for curing, soldering, or casting.  Most nations, for tariff and trade purposes, schedule these products under HS 901819.</t>
  </si>
  <si>
    <t>Dental points</t>
  </si>
  <si>
    <t>In this classification, this commodity indicates a product that provides the calculation of a proximate number of healthy gums and teeth (14).  Most nations, for tariff and trade purposes, schedule these products under HS 901819.</t>
  </si>
  <si>
    <t>Preformed teeth</t>
  </si>
  <si>
    <t>In this classification, this commodity indicates a product that is preconfigured and intended to provide damage abatement and functional restoration to teeth that ae damaged or malformed.  Most nations, for tariff and trade purposes, schedule these products under HS 901819.</t>
  </si>
  <si>
    <t>Denture adhesives</t>
  </si>
  <si>
    <t>In this classification, this commodity indicates a product that provides adhesion between artifacts in a dental procedure.  Most nations, for tariff and trade purposes, schedule these products under HS 300610.</t>
  </si>
  <si>
    <t>42152500</t>
  </si>
  <si>
    <t>General dental supplies</t>
  </si>
  <si>
    <t>In this classification, this class includes, supplies, used in dental based procedures.</t>
  </si>
  <si>
    <t>Dental preassembled disposable kits or trays</t>
  </si>
  <si>
    <t>In this classification, this commodity indicates a product that consists of a prearranged grouping of dental instrument and or products that normally would be used in a specific dental procedure.  US FDA regulates Dental preassembled disposable kits or trays under 21 CFR 872.3980 and under FDA product code OFX.  Most nations, for tariff and trade purposes, schedule these products under HS 901849.</t>
  </si>
  <si>
    <t>Dental bibs</t>
  </si>
  <si>
    <t>In this classification, this commodity indicates a product in the shape of a bib intended to provide a preliminary barrier against contamination of a dental service provide and a dental patient.  Most nations, for tariff and trade purposes, schedule these products under HS 620920.</t>
  </si>
  <si>
    <t>Dental dam supplies</t>
  </si>
  <si>
    <t>In this classification, this commodity indicates a product that is a thin square of latex that can be used to prevent contamination during dental procedures.  US FDA regulates Dental dam supplies under 21 CFR 872.63 and under FDA product code EEF.  Most nations, for tariff and trade purposes, schedule these products under HS 401699.</t>
  </si>
  <si>
    <t>Dental dressings</t>
  </si>
  <si>
    <t>In this classification, this commodity indicates a product that covers tissue surfaces after a dental procedure to forestall infection or contamination.Dental dressings under 21 CFR and under FDA product code LPG.  Most nations, for tariff and trade purposes, schedule these products under HS 300510.</t>
  </si>
  <si>
    <t>Dental examination chair headrest covers</t>
  </si>
  <si>
    <t>In this classification, this commodity indicates a product that acts as a cover for dental examination chair headrests with the intent to maintain cleanliness between patients.  Most nations, for tariff and trade purposes, schedule these products under HS 621010.</t>
  </si>
  <si>
    <t>Dental absorbent pellets</t>
  </si>
  <si>
    <t>In this classification, this commodity indicates a product that is a pellet cotton or other fiber based that absorbs liquids or provides spacing in the mouths of people undergoing dental procedures.  Most nations, for tariff and trade purposes, schedule these products under HS 300510.</t>
  </si>
  <si>
    <t>Dental rolls</t>
  </si>
  <si>
    <t>In this classification, this commodity indicates a product that is a roll cotton or other fiber based that absorbs liquids or provides spacing in the mouths of people undergoing dental procedures.  US FDA regulates Dental rolls under 21 CFR 872.42 and under FDA product code EBW.  Most nations, for tariff and trade purposes, schedule these products under HS 300510.</t>
  </si>
  <si>
    <t>Dental syringes or needles or syringes with needles</t>
  </si>
  <si>
    <t>In this classification, this commodity indicates a product that consists of a tube with a nozzle and a bulb for sucking in and ejecting liquid or a product that is a hollow needle commonly used for rapid delivery or evacuation of liquids or a combination of both. These are utilized in a dental procedure.  US FDA regulates Dental syringes or needles or syringes with needles under 21 CFR 872.4565 and under FDA product code ECP.  Most nations, for tariff and trade purposes, schedule these products under HS 901832.</t>
  </si>
  <si>
    <t>Disposable dental tray covers</t>
  </si>
  <si>
    <t>In this classification, this commodity indicates a product that acts as a cover for trays of instruments used in a dental procedure.  Most nations, for tariff and trade purposes, schedule these products under HS 901819.</t>
  </si>
  <si>
    <t>Dental dishes</t>
  </si>
  <si>
    <t>In this classification, this commodity indicates a product that acts as a dish and are used for mixing and holding very small quantities of liquids or solids associated with dental procedures.  Most nations, for tariff and trade purposes, schedule these products under HS 901819.</t>
  </si>
  <si>
    <t>Dental tongs</t>
  </si>
  <si>
    <t>operates as tongs to grab and hold dental instruments and appliances while maintaining a sterilized condition.  Most nations, for tariff and trade purposes, schedule these products under HS 901819.</t>
  </si>
  <si>
    <t>Dental measuring cups</t>
  </si>
  <si>
    <t>In this classification, this commodity indicates a product that acts as a cup with quantity markings proving measurement for the dispensing of various compounds used in dental procedures.  Most nations, for tariff and trade purposes, schedule these products under HS 901839.</t>
  </si>
  <si>
    <t>Dental mixing bowls</t>
  </si>
  <si>
    <t>In this classification, this commodity indicates a product that acts as a bowl for the mixing of various compounds used in dental procedures.  Most nations, for tariff and trade purposes, schedule these products under HS 901819.</t>
  </si>
  <si>
    <t>Dental napkin holders or dispensers</t>
  </si>
  <si>
    <t>In this classification, this commodity indicates a product that holds and dispenses napkins intended for dental procedures.  Most nations, for tariff and trade purposes, schedule these products under HS 901819.</t>
  </si>
  <si>
    <t>Dental materials dispensers</t>
  </si>
  <si>
    <t>In this classification, this commodity indicates a product that dispenses temporary crown or bridge materials often using a disposable tip.  US FDA regulates Dental materials dispensers under 21 CFR 872.3080 and under FDA product code EHE.  Most nations, for tariff and trade purposes, schedule these products under HS 901819.</t>
  </si>
  <si>
    <t>Dental syringe accessory kits</t>
  </si>
  <si>
    <t>In this classification, this commodity indicates a product that provides the accessories uses in conjunction with a syringe in dental procedures.  US FDA regulates Dental syringe accessory kits under 21 CFR EIB, KYZ and under FDA product code 872.  Most nations, for tariff and trade purposes, schedule these products under HS 901831.</t>
  </si>
  <si>
    <t>Dental cuspidors</t>
  </si>
  <si>
    <t>In this classification, this commodity indicates a product that is a fixture provided on some dental operating units into which patients can expectorate.  US FDA regulates Dental cuspidors under 21 CFR 872.6640 and under FDA product code NRD.  Most nations, for tariff and trade purposes, schedule these products under HS 901819.</t>
  </si>
  <si>
    <t>Pantographs</t>
  </si>
  <si>
    <t>In this classification, this commodity indicates a product that is an instrument used to record mandibular border movements that may be transferred to make equivalent settings on an articulator.  US FDA regulates Pantographs under 21 CFR 872.3730 and under FDA product code KCS.  Most nations, for tariff and trade purposes, schedule these products under HS 901849.</t>
  </si>
  <si>
    <t>Over the counter denture repair kits</t>
  </si>
  <si>
    <t>In this classification, this commodity indicates a product that repairs dentures and can be bought in a retail environment.  Most nations, for tariff and trade purposes, schedule these products under HS 901819.</t>
  </si>
  <si>
    <t>42152600</t>
  </si>
  <si>
    <t>Dental operatory specific supplies</t>
  </si>
  <si>
    <t>In this classification, this class includes, supplies, used in dental based operatory procedures.</t>
  </si>
  <si>
    <t>Dental operatory articulating papers or related products</t>
  </si>
  <si>
    <t>In this classification, this commodity indicates a product that paper based used by dentists to make occlusal adjustment to teeth.  US FDA regulates Dental operatory articulating papers or related products under 21 CFR 872.6140 and under FDA product code EFH.  Most nations, for tariff and trade purposes, schedule these products under HS 340700.</t>
  </si>
  <si>
    <t>Dental operatory infection control barriers</t>
  </si>
  <si>
    <t>In this classification, this commodity indicates a product that is designed to are designed to prevent the spread of microbes by providing barriers that avoid transferring contamination to the patient or dental worker.  US FDA regulates Dental operatory infection control barriers under 21 CFR 878.4370 and under FDA product code PEM.  Most nations, for tariff and trade purposes, schedule these products under HS 630790.</t>
  </si>
  <si>
    <t>Dental operatory retention pins or related products</t>
  </si>
  <si>
    <t>In this classification, this commodity indicates a product that consist of a pin or related hardware used placed in a patients mouth to further secure and strengthen any type of dental restoration.  US FDA regulates Dental operatory retention pins or related products under 21 CFR 872.3740 and under FDA product code EBL.  Most nations, for tariff and trade purposes, schedule these products under HS 901890.</t>
  </si>
  <si>
    <t>Dental operatory retraction cords</t>
  </si>
  <si>
    <t>In this classification, this commodity indicates a product that is a sanitized cord used to separate the gum from the root of the tooth so as to foster gingival procedures.Dental operatory retraction cords under 21 CFR FDA does and under FDA product code NYF.  Most nations, for tariff and trade purposes, schedule these products under HS 340700.</t>
  </si>
  <si>
    <t>Dental sialography sets</t>
  </si>
  <si>
    <t>In this classification, this commodity indicates a product that is used in the conduction of a radiographic examination of the salivary glands.  US FDA regulates Dental sialography sets under 21 CFR 892.1650 and under FDA product code OIK.  Most nations, for tariff and trade purposes, schedule these products under HS 901839.</t>
  </si>
  <si>
    <t>Dental splints or sets</t>
  </si>
  <si>
    <t>In this classification, this commodity indicates a product that creates a plastic splint or setting that reinforces and limits the location of teeth.  US FDA regulates Dental splints or sets under 21 CFR 872.3740 and under FDA product code EBL.  Most nations, for tariff and trade purposes, schedule these products under HS 901819.</t>
  </si>
  <si>
    <t>Dental instruments rings</t>
  </si>
  <si>
    <t>In this classification, this commodity indicates a product that consists of formed rings applied to dental instruments for the purpose of sizing and identification.  Most nations, for tariff and trade purposes, schedule these products under HS 901811.</t>
  </si>
  <si>
    <t>Orthodontic ligature cartridges</t>
  </si>
  <si>
    <t>In this classification, this commodity indicates a product that dispenses ligature which are a small elastic band that is used to affix the archwire to the bracket in a dental procedure.  US FDA regulates Orthodontic ligature cartridges under 21 CFR 872.4565 and under FDA product code ECP.  Most nations, for tariff and trade purposes, schedule these products under HS 901819.</t>
  </si>
  <si>
    <t>Dental grooved pins</t>
  </si>
  <si>
    <t>In this classification, this commodity indicates a device that allows for the creation of an item, grooved at regular intervals, and designed for insertion into a drilled hole to reinforce and anchor the restorative material to a patient's tooth.  Most nations, for tariff and trade purposes, schedule these products under HS 901819.</t>
  </si>
  <si>
    <t>Dental thread-forming pin kits</t>
  </si>
  <si>
    <t>In this classification, this commodity indicates a kit that allows for the creation of a thread-forming item designed for insertion into a drilled and untapped hole to reinforce and anchor the restorative material to a patient's tooth.  Most nations, for tariff and trade purposes, schedule these products under HS 901819.</t>
  </si>
  <si>
    <t>42152700</t>
  </si>
  <si>
    <t>Orthodontic and prosthodontic equipment and supplies</t>
  </si>
  <si>
    <t>In this classification, this class includes, equipment, products, components, accessories, and supplies, utilized in orthodontic and prosthodontic based dental procedures.</t>
  </si>
  <si>
    <t>Dental articulators</t>
  </si>
  <si>
    <t>In this classification, this commodity indicates a device used in dentistry to which casts of the maxillary (upper) and mandibular (lower) teeth are fixed, reproducing recorded positions of the mandible in relation to the maxilla.  US FDA regulates Dental articulators under 21 CFR 872.3150 and under FDA product code EJP.  Most nations, for tariff and trade purposes, schedule these products under HS 901849.</t>
  </si>
  <si>
    <t>Dental retainers</t>
  </si>
  <si>
    <t>In this classification, this commodity indicates a product that is constructed with the intent to retain teeth in a fixed position.  US FDA regulates Dental retainers under 21 CFR 872.4565 and under FDA product code JEP.  Most nations, for tariff and trade purposes, schedule these products under HS 901819.</t>
  </si>
  <si>
    <t>Orthodontic appliance clasps</t>
  </si>
  <si>
    <t>In this classification, this commodity indicates a product used as an appliance clasp used during an orthodontic dental procedure in a medical setting.  US FDA regulates Orthodontic appliance clasps under 21 CFR 872.3285 and under FDA product code EHP.  Most nations, for tariff and trade purposes, schedule these products under HS 901819.</t>
  </si>
  <si>
    <t>Orthodontic brackets</t>
  </si>
  <si>
    <t>In this classification, this commodity indicates a product used as a bracket used during an orthodontic dental procedure in a medical setting.  US FDA regulates Orthodontic brackets under 21 CFR 872.3750 and under FDA product code DYH.  Most nations, for tariff and trade purposes, schedule these products under HS 902129.</t>
  </si>
  <si>
    <t>Orthodontic buccal tubes</t>
  </si>
  <si>
    <t>In this classification, this commodity indicates a product used as a buccal tube used during an orthodontic dental procedure in a medical setting.  Most nations, for tariff and trade purposes, schedule these products under HS 901819.</t>
  </si>
  <si>
    <t>Orthodontic coil springs</t>
  </si>
  <si>
    <t>In this classification, this commodity indicates a product used as a coil spring used during an orthodontic dental procedure in a medical setting.  US FDA regulates Orthodontic coil springs under 21 CFR 872.5410 and under FDA product code ECO.  Most nations, for tariff and trade purposes, schedule these products under HS 901819.</t>
  </si>
  <si>
    <t>Orthodontic elastics</t>
  </si>
  <si>
    <t>In this classification, this commodity indicates a product used as an elastic form used during an orthodontic dental procedure in a medical setting.  US FDA regulates Orthodontic elastics under 21 CFR 872.5410 and under FDA product code ECI.  Most nations, for tariff and trade purposes, schedule these products under HS 300610.</t>
  </si>
  <si>
    <t>Orthodontic elastomerics</t>
  </si>
  <si>
    <t>In this classification, this commodity indicates a product used as an elastomeric form used during an orthodontic dental procedure in a medical setting.  Most nations, for tariff and trade purposes, schedule these products under HS 300610.</t>
  </si>
  <si>
    <t>Orthodontic expansion screws</t>
  </si>
  <si>
    <t>In this classification, this commodity indicates a product used as a molar screws used during an orthodontic dental procedure in a medical setting.  US FDA regulates Orthodontic expansion screws under 21 CFR 872.5410 and under FDA product code DYJ.  Most nations, for tariff and trade purposes, schedule these products under HS 902129.</t>
  </si>
  <si>
    <t>Orthodontic molar bands</t>
  </si>
  <si>
    <t>In this classification, this commodity indicates a product used as a molar band used during an orthodontic dental procedure in a medical setting.  US FDA regulates Orthodontic molar bands under 21 CFR 872.4565 and under FDA product code ECS.  Most nations, for tariff and trade purposes, schedule these products under HS 901819.</t>
  </si>
  <si>
    <t>Orthodontic pliers</t>
  </si>
  <si>
    <t>In this classification, this commodity indicates a product used as a pair of pliers used during an orthodontic dental procedure in a medical setting.  US FDA regulates Orthodontic pliers under 21 CFR 872.4565 and under FDA product code EJY.  Most nations, for tariff and trade purposes, schedule these products under HS 901890.</t>
  </si>
  <si>
    <t>Orthodontic retainer cases</t>
  </si>
  <si>
    <t>In this classification, this commodity indicates a product used as a band driver, pusher or setter used during an orthodontic dental procedure in a medical setting.  Most nations, for tariff and trade purposes, schedule these products under HS 901819.</t>
  </si>
  <si>
    <t>Orthodontic setter bands</t>
  </si>
  <si>
    <t>In this classification, this commodity indicates a product used as a band driver, pusher or setter used during an orthodontic dental procedure in a medical setting.  US FDA regulates Orthodontic setter bands under 21 CFR 872.4565 and under FDA product code ECR.  Most nations, for tariff and trade purposes, schedule these products under HS 901819.</t>
  </si>
  <si>
    <t>Orthodontic stops or locks</t>
  </si>
  <si>
    <t>In this classification, this commodity indicates a product used as stops or locks used during an orthodontic dental procedure in a medical setting.  US FDA regulates Orthodontic stops or locks under 21 CFR 872.46 and under FDA product code DYX.  Most nations, for tariff and trade purposes, schedule these products under HS 901839.</t>
  </si>
  <si>
    <t>Orthodontic wires</t>
  </si>
  <si>
    <t>In this classification, this commodity indicates a product used as a band driver, pusher or setter used during an orthodontic dental procedure in a medical setting.  US FDA regulates Orthodontic wires under 21 CFR 872.5410 and under FDA product code DZC.  Most nations, for tariff and trade purposes, schedule these products under HS 902110.</t>
  </si>
  <si>
    <t>Orthodontic archwires</t>
  </si>
  <si>
    <t>In this classification, this commodity indicates a product used as a band driver, pusher or setter used during an orthodontic dental procedure in a medical setting.  Most nations, for tariff and trade purposes, schedule these products under HS 902110.</t>
  </si>
  <si>
    <t>Dental coil springs</t>
  </si>
  <si>
    <t>In this classification, this commodity indicates a product used as a coil spring used during a general dental procedure in a medical setting.  Most nations, for tariff and trade purposes, schedule these products under HS 901819.</t>
  </si>
  <si>
    <t>Dental ligature bands</t>
  </si>
  <si>
    <t>In this classification, this commodity indicates a product used as a ligature band used during a general dental procedure in a medical setting.  Most nations, for tariff and trade purposes, schedule these products under HS 901819.</t>
  </si>
  <si>
    <t>Dental lingual bars</t>
  </si>
  <si>
    <t>In this classification, this commodity indicates a product used as a lingual bar used during a general dental procedure in a medical setting.  Most nations, for tariff and trade purposes, schedule these products under HS 901819.</t>
  </si>
  <si>
    <t>Orthodontic band drivers or pushers or setters</t>
  </si>
  <si>
    <t>Dental articulator accessories</t>
  </si>
  <si>
    <t>In this classification, this commodity indicates a product that is either an accessory or consumable associated with dental articulators.  Most nations, for tariff and trade purposes, schedule these products under HS 901819.</t>
  </si>
  <si>
    <t>42152800</t>
  </si>
  <si>
    <t>Periodontal equipment and supplies</t>
  </si>
  <si>
    <t>In this classification, this class includes, equipment, products, components, accessories, and supplies, utilized in periodontal based dental procedures.</t>
  </si>
  <si>
    <t>Periodontal chisels</t>
  </si>
  <si>
    <t>In this classification, this commodity indicates a product used as a chisel used during a periodontal procedure in a medical setting.  US FDA regulates Periodontal chisels under 21 CFR 872.4565 and under FDA product code EML.  Most nations, for tariff and trade purposes, schedule these products under HS 901890.</t>
  </si>
  <si>
    <t>Periodontal files</t>
  </si>
  <si>
    <t>In this classification, this commodity indicates a product used as a file used during a periodontal procedure in a medical setting.  US FDA regulates Periodontal files under 21 CFR 872.4565 and under FDA product code EMR.  Most nations, for tariff and trade purposes, schedule these products under HS 901849.</t>
  </si>
  <si>
    <t>Periodontal hoes</t>
  </si>
  <si>
    <t>In this classification, this commodity indicates a product used as a hoe in a periodontal procedure in a medical setting.  US FDA regulates Periodontal hoes under 21 CFR 872.4565 and under FDA product code EMQ.  Most nations, for tariff and trade purposes, schedule these products under HS 901849.</t>
  </si>
  <si>
    <t>Periodontal implant to bone interface testing instruments</t>
  </si>
  <si>
    <t>In this classification, this commodity indicates a product used as an instrument that teste the implant to bone interface in a periodontal procedure in a medical setting.  Most nations, for tariff and trade purposes, schedule these products under HS 901811.</t>
  </si>
  <si>
    <t>Periodontium control instruments</t>
  </si>
  <si>
    <t>In this classification, this commodity indicates a product used as an instrument to control the periodontium in a periodontal procedure in a medical setting.  Most nations, for tariff and trade purposes, schedule these products under HS 901811.</t>
  </si>
  <si>
    <t>Periodontal tissue dissectors</t>
  </si>
  <si>
    <t>In this classification, this commodity indicates a product used as an in a periodontal procedure in a medical setting.  US FDA regulates Periodontal tissue dissectors under 21 CFR 872.4565 and under FDA product code EGN.  Most nations, for tariff and trade purposes, schedule these products under HS 901819.</t>
  </si>
  <si>
    <t>Periodontal protective pastes</t>
  </si>
  <si>
    <t>In this classification, this commodity indicates a product used as an in a periodontal procedure in a medical setting.  Most nations, for tariff and trade purposes, schedule these products under HS 300610.</t>
  </si>
  <si>
    <t>Periodontal curettes</t>
  </si>
  <si>
    <t>In this classification, this commodity indicates a product used as a curette used during a periodontal procedure in a medical setting.  US FDA regulates Periodontal curettes under 21 CFR 872.4565 and under FDA product code EKE.  Most nations, for tariff and trade purposes, schedule these products under HS 901849.</t>
  </si>
  <si>
    <t>Periodontal knives</t>
  </si>
  <si>
    <t>In this classification, this commodity indicates a product used as a knife used during a periodontal procedure in a medical setting.  US FDA regulates Periodontal knives under 21 CFR 872.4565 and under FDA product code EMO.  Most nations, for tariff and trade purposes, schedule these products under HS 901890.</t>
  </si>
  <si>
    <t>Periodontal membranes</t>
  </si>
  <si>
    <t>In this classification, this commodity indicates a product used as membranes used for protection during a periodontal procedure in a medical setting.  Most nations, for tariff and trade purposes, schedule these products under HS 901819.</t>
  </si>
  <si>
    <t>Periodontal acrylic testing rods</t>
  </si>
  <si>
    <t>In this classification, this commodity indicates a product used as testing rods made of acrylic in a periodontal procedure in a medical setting.  Most nations, for tariff and trade purposes, schedule these products under HS 901819.</t>
  </si>
  <si>
    <t>42152900</t>
  </si>
  <si>
    <t>Dental and subspecialty instrument and device accessories</t>
  </si>
  <si>
    <t>In this classification, this class includes the accessories of instruments, devices and components utilized in specialized dental based procedures.</t>
  </si>
  <si>
    <t>Attachments or replacement parts for dental instruments</t>
  </si>
  <si>
    <t>In this classification, this commodity indicates a product used as attachments or replacement parts used during a dental procedure.  Most nations, for tariff and trade purposes, schedule these products under HS 901811.</t>
  </si>
  <si>
    <t>Bands for dental matrix</t>
  </si>
  <si>
    <t>In this classification, this commodity indicates a product used as bands associated with the strengthens and forming of a matrix in a dental procedure.  Most nations, for tariff and trade purposes, schedule these products under HS 901819.</t>
  </si>
  <si>
    <t>Dental anesthesia accessories</t>
  </si>
  <si>
    <t>In this classification, this commodity indicates a product that is either an accessory or consumable associated with dental anesthesia's.  Most nations, for tariff and trade purposes, schedule these products under HS 902129.</t>
  </si>
  <si>
    <t>Dental anesthesia electrodes or refills</t>
  </si>
  <si>
    <t>In this classification, this commodity indicates a product used as an electrode or a refill during a dental anesthesia procedure.  Most nations, for tariff and trade purposes, schedule these products under HS 901890.</t>
  </si>
  <si>
    <t>Dental buccal holders</t>
  </si>
  <si>
    <t>In this classification, this commodity indicates a product used as a holder for dental buccal.  US FDA regulates Dental buccal holders under 21 CFR 872.4565 and under FDA product code EJB.  Most nations, for tariff and trade purposes, schedule these products under HS 902129.</t>
  </si>
  <si>
    <t>Dental bur holders</t>
  </si>
  <si>
    <t>In this classification, this commodity indicates a product used as a holder for dental burs.  US FDA regulates Dental bur holders under 21 CFR 872.4565 and under FDA product code EIF.  Most nations, for tariff and trade purposes, schedule these products under HS 901819.</t>
  </si>
  <si>
    <t>Dental cutting or separating discs</t>
  </si>
  <si>
    <t>In this classification, this commodity indicates a product used as a cutting or separating dis during a dental procedure.  Most nations, for tariff and trade purposes, schedule these products under HS 901890.</t>
  </si>
  <si>
    <t>Dental drill bits</t>
  </si>
  <si>
    <t>In this classification, this commodity indicates a product used as a drill bit during a dental procedure.  Most nations, for tariff and trade purposes, schedule these products under HS 901819.</t>
  </si>
  <si>
    <t>Dental finger protectors</t>
  </si>
  <si>
    <t>In this classification, this commodity indicates a product used as a finger protector for dental personnel during a dental procedure.  Most nations, for tariff and trade purposes, schedule these products under HS 901819.</t>
  </si>
  <si>
    <t>Dental handpiece accessories</t>
  </si>
  <si>
    <t>In this classification, this commodity indicates a product that is either an accessory or consumable associated with dental handpieces.  Most nations, for tariff and trade purposes, schedule these products under HS 901819.</t>
  </si>
  <si>
    <t>Dental instrument cassettes</t>
  </si>
  <si>
    <t>In this classification, this commodity indicates a product used as an openable and closeable case for dental instruments, devices, and supplies used during a dental procedure.  Most nations, for tariff and trade purposes, schedule these products under HS 901811.</t>
  </si>
  <si>
    <t>Dental instrument sharpening accessories</t>
  </si>
  <si>
    <t>In this classification, this commodity indicates a product that is either an accessory or consumable associated with dental instrument sharpening.  Most nations, for tariff and trade purposes, schedule these products under HS 901811.</t>
  </si>
  <si>
    <t>Dental instrument trays or tubs</t>
  </si>
  <si>
    <t>In this classification, this commodity indicates a product used as a tray for dental instruments, devices, and supplies used during a dental procedure.  Most nations, for tariff and trade purposes, schedule these products under HS 392410.</t>
  </si>
  <si>
    <t>Dental instrument mats</t>
  </si>
  <si>
    <t>In this classification, this commodity indicates a product used as a tray for dental instruments, devices, and supplies used during a dental procedure.  Most nations, for tariff and trade purposes, schedule these products under HS 300590.</t>
  </si>
  <si>
    <t>Dental mirror or mirror handle accessories</t>
  </si>
  <si>
    <t>In this classification, this commodity indicates a product that is either an accessory or consumable associated with dental mirror or mirror handles.  Most nations, for tariff and trade purposes, schedule these products under HS 901819.</t>
  </si>
  <si>
    <t>Dental mixing bags</t>
  </si>
  <si>
    <t>In this classification, this commodity indicates a product that is either an accessory or consumable associated with dental saliva ejector or oral suction devices.  Most nations, for tariff and trade purposes, schedule these products under HS 392690.</t>
  </si>
  <si>
    <t>Dental saliva ejector or oral suction device accessories</t>
  </si>
  <si>
    <t>In this classification, this commodity indicates a product that is either an accessory or consumable associated with dental saliva ejector or oral suction devices.  Most nations, for tariff and trade purposes, schedule these products under HS 901819.</t>
  </si>
  <si>
    <t>Dental scaler accessories</t>
  </si>
  <si>
    <t>In this classification, this commodity indicates a product that is either an accessory or consumable associated with dental scalers.  Most nations, for tariff and trade purposes, schedule these products under HS 901819.</t>
  </si>
  <si>
    <t>Dental tubing</t>
  </si>
  <si>
    <t>In this classification, this commodity indicates a product that is either an accessory or consumable associated with dental tubing.  Most nations, for tariff and trade purposes, schedule these products under HS 901839.</t>
  </si>
  <si>
    <t>Dental wire holders</t>
  </si>
  <si>
    <t>In this classification, this commodity indicates a product used as wire holders during a dental procedure.  Most nations, for tariff and trade purposes, schedule these products under HS 901819.</t>
  </si>
  <si>
    <t>Disk guards</t>
  </si>
  <si>
    <t>In this classification, this commodity indicates a product used as a guard for a dental instrument disk.  Most nations, for tariff and trade purposes, schedule these products under HS 901819.</t>
  </si>
  <si>
    <t>Electrode gel for pulp testers</t>
  </si>
  <si>
    <t>In this classification, this commodity indicates a product used as electrode gel for pulp testing dental procedures.  Most nations, for tariff and trade purposes, schedule these products under HS 901819.</t>
  </si>
  <si>
    <t>Endodontic root canal gun accessories</t>
  </si>
  <si>
    <t>In this classification, this commodity indicates a product that is either an accessory or consumable associated with endodontic root canal guns.  Most nations, for tariff and trade purposes, schedule these products under HS 901819.</t>
  </si>
  <si>
    <t>Endodontic stops</t>
  </si>
  <si>
    <t>In this classification, this commodity indicates a product that is either an accessory or consumable associated with endodontic stops.  Most nations, for tariff and trade purposes, schedule these products under HS 901819.</t>
  </si>
  <si>
    <t>Holders for mixing pads or slabs</t>
  </si>
  <si>
    <t>In this classification, this commodity indicates a product used as a holder for a mixing pad or slab used in a dental procedure.  Most nations, for tariff and trade purposes, schedule these products under HS 901819.</t>
  </si>
  <si>
    <t>Hydrokinetic dental system accessories</t>
  </si>
  <si>
    <t>In this classification, this commodity indicates a product that is either an accessory or consumable associated with hydrokinetic dental systems.  Most nations, for tariff and trade purposes, schedule these products under HS 901819.</t>
  </si>
  <si>
    <t>Instrument rolls for dental instruments or accessories</t>
  </si>
  <si>
    <t>In this classification, this commodity indicates a product that is either an accessory or consumable associated with instrument rolls for dental instruments.  Most nations, for tariff and trade purposes, schedule these products under HS 901811.</t>
  </si>
  <si>
    <t>Orthodontic vibration device accessories</t>
  </si>
  <si>
    <t>In this classification, this commodity indicates a product that is either an accessory or consumable associated with orthodontic vibratory.  Most nations, for tariff and trade purposes, schedule these products under HS 901819.</t>
  </si>
  <si>
    <t>Refills or refill kits for dental post systems</t>
  </si>
  <si>
    <t>In this classification, this commodity indicates a product that is a prepackaged collection (either custom or standard) of the equipment and supplies used to perform a dental refilling procedure in a medical setting.  Most nations, for tariff and trade purposes, schedule these products under HS 901890.</t>
  </si>
  <si>
    <t>Dental tubing accessories</t>
  </si>
  <si>
    <t>Accessories included with dental tubing</t>
  </si>
  <si>
    <t>Endodontic stop accessories</t>
  </si>
  <si>
    <t>Accessories included with endodontic stops</t>
  </si>
  <si>
    <t>Orthodontic vibration device</t>
  </si>
  <si>
    <t>A removable device patients with braces wear for a period of time daily to speed up tooth movement.</t>
  </si>
  <si>
    <t>42153000</t>
  </si>
  <si>
    <t>Dental and subspecialty instrument and device sets</t>
  </si>
  <si>
    <t>In this classification, this class includes the sets of accessories for instruments, sets of  devices and sets of components utilized in specialized dental based procedures.</t>
  </si>
  <si>
    <t>Dental anesthesia sets</t>
  </si>
  <si>
    <t>In this classification, this commodity indicates a product used as a set of anesthesia products and accessories used in a dental procedure.  US FDA regulates Dental anesthesia sets under 21 CFR 872.4730 and under FDA product code DZM.  Most nations, for tariff and trade purposes, schedule these products under HS 901839.</t>
  </si>
  <si>
    <t>Dental matrices or sets</t>
  </si>
  <si>
    <t>In this classification, this commodity indicates a product used as a matrice to form the interproximal surfaces when fabricating a direct restoration in a dental procedure.  Most nations, for tariff and trade purposes, schedule these products under HS 901811.</t>
  </si>
  <si>
    <t>Dental operative kits or trays</t>
  </si>
  <si>
    <t>In this classification, this commodity indicates a product that is a prepackaged collection (either custom or standard) of the equipment and supplies used to perform a dental operational procedure in a medical setting.  Most nations, for tariff and trade purposes, schedule these products under HS 901811.</t>
  </si>
  <si>
    <t>Dental pressure indicating kits</t>
  </si>
  <si>
    <t>In this classification, this commodity indicates a product that is a prepackaged collection (either custom or standard) of the equipment and supplies used to perform a dental pressure indication procedure in a medical setting.  Most nations, for tariff and trade purposes, schedule these products under HS 901811.</t>
  </si>
  <si>
    <t>Dental restorative kits</t>
  </si>
  <si>
    <t>In this classification, this commodity indicates a product that is a prepackaged collection (either custom or standard) of the equipment and supplies used to perform a dental restoration procedure in a medical setting.  Most nations, for tariff and trade purposes, schedule these products under HS 901811.</t>
  </si>
  <si>
    <t>Dental wedges or sets</t>
  </si>
  <si>
    <t>In this classification, this commodity indicates a product used as a wedge and accessories used in a dental procedure.  Most nations, for tariff and trade purposes, schedule these products under HS 901811.</t>
  </si>
  <si>
    <t>Gingivectomy surgical instrument sets</t>
  </si>
  <si>
    <t>In this classification, this commodity indicates a product used as a set of surgical instruments specifically conformed to a gigevectomy surgical procedure.  Most nations, for tariff and trade purposes, schedule these products under HS 901811.</t>
  </si>
  <si>
    <t>Glossectomy surgical instrument sets</t>
  </si>
  <si>
    <t>In this classification, this commodity indicates a product used as a set of surgical instruments specifically conformed to a glossectomy surgical procedure.  Most nations, for tariff and trade purposes, schedule these products under HS 901811.</t>
  </si>
  <si>
    <t>Pulpectomy surgical instrument sets</t>
  </si>
  <si>
    <t>In this classification, this commodity indicates a product used as a set of surgical instruments specifically conformed to a pulpectomy surgical procedure.  Most nations, for tariff and trade purposes, schedule these products under HS 901811.</t>
  </si>
  <si>
    <t>Pulpotomy surgical instrument sets</t>
  </si>
  <si>
    <t>In this classification, this commodity indicates a product used as a set of surgical instruments specifically conformed to a pulpotomy surgical procedure.  Most nations, for tariff and trade purposes, schedule these products under HS 901811.</t>
  </si>
  <si>
    <t>Ripping tooth parts kits</t>
  </si>
  <si>
    <t>In this classification, this commodity indicates a product that is a prepackaged collection (either custom or standard) of the equipment and supplies used to perform a tooth ripping procedure in a medical setting.  Most nations, for tariff and trade purposes, schedule these products under HS 901819.</t>
  </si>
  <si>
    <t>42160000</t>
  </si>
  <si>
    <t>Dialysis equipment and supplies</t>
  </si>
  <si>
    <t>In this classification, this family includes medical equipment, components, instruments and appliances as well as accessories used in the dialysis.</t>
  </si>
  <si>
    <t>42161500</t>
  </si>
  <si>
    <t>Peritoneal and equilibrium dialysis equipment and supplies</t>
  </si>
  <si>
    <t>In this classification, this class includes the equipment and supplies utilized in peritoneal and equilibrium dialysis procedures.</t>
  </si>
  <si>
    <t>Continuous ambulatory peritoneal dialysis CAPD transfer sets</t>
  </si>
  <si>
    <t>In this classification, this commodity indicates a product that is used as a transfer set for continuous ambulatory peritoneal dialysis.  Most nations, for tariff and trade purposes, schedule these products under HS 901819.</t>
  </si>
  <si>
    <t>Peritoneal dialysate warmers</t>
  </si>
  <si>
    <t>In this classification, this commodity indicates a product is used as a warmer for dialysate in a peritoneal procedure.  US FDA regulates Peritoneal dialysate warmers under 21 CFR 876.5630 and under FDA product code MLW.  Most nations, for tariff and trade purposes, schedule these products under HS 901819.</t>
  </si>
  <si>
    <t>Peritoneal dialysis administration sets</t>
  </si>
  <si>
    <t>In this classification, this commodity indicates a product that is used as an administration set for peritoneal dialysis.  US FDA regulates Peritoneal dialysis administration sets under 21 CFR 876.5630 and under FDA product code KDJ.  Most nations, for tariff and trade purposes, schedule these products under HS 901819.</t>
  </si>
  <si>
    <t>Peritoneal dialysis catheter adapters or clamps or connectors</t>
  </si>
  <si>
    <t>In this classification, this commodity indicates a product used as a flexible tube inserted through a narrow opening into the peritoneal cavity (along with the associated adapters and clamps) in a peritoneal procedure.  US FDA regulates Peritoneal dialysis catheter adapters or clamps or connectors under 21 CFR 876.5630 and under FDA product code FKO.  Most nations, for tariff and trade purposes, schedule these products under HS 901832.</t>
  </si>
  <si>
    <t>Peritoneal dialysis drainage bags or containers</t>
  </si>
  <si>
    <t>In this classification, this commodity indicates a product that is used as a drainage bag or container for peritoneal dialysis.  Most nations, for tariff and trade purposes, schedule these products under HS 392690.</t>
  </si>
  <si>
    <t>Peritoneal dialysis catheters or indwelling access devices</t>
  </si>
  <si>
    <t>In this classification, this commodity indicates a product used as the indwelling access devices for a flexible tube inserted through a narrow opening into the peritoneal cavity in a peritoneal procedure.  US FDA regulates Peritoneal dialysis catheters or indwelling access devices under 21 CFR 878.42 and under FDA product code GBW.  Most nations, for tariff and trade purposes, schedule these products under HS 901819.</t>
  </si>
  <si>
    <t>Peritoneal dialysis solutions</t>
  </si>
  <si>
    <t>In this classification, this commodity indicates a product used as the solution associated with the insertion of a flexible tube inserted through a narrow opening into the peritoneal cavity in a peritoneal procedure.  Most nations, for tariff and trade purposes, schedule these products under HS 300339.</t>
  </si>
  <si>
    <t>Peritoneal dialysis unit straps or harnesses</t>
  </si>
  <si>
    <t>In this classification, this commodity indicates a product used as the unit straps or harnesses for a flexible tube inserted through a narrow opening into the peritoneal cavity in a peritoneal procedure.  Most nations, for tariff and trade purposes, schedule these products under HS 901819.</t>
  </si>
  <si>
    <t>Peritoneal dialysis units or cyclers</t>
  </si>
  <si>
    <t>In this classification, this commodity indicates a product that is a device used in peritoneal dialysis procedures in a medical setting.  Most nations, for tariff and trade purposes, schedule these products under HS 901819.</t>
  </si>
  <si>
    <t>Peritoneal lavage kits</t>
  </si>
  <si>
    <t>In this classification, this commodity indicates a product that is a prepackaged collection (either custom or standard) of the equipment and supplies used to perform a peritoneal lavage procedure in a medical setting.  Most nations, for tariff and trade purposes, schedule these products under HS 901819.</t>
  </si>
  <si>
    <t>Acute peritoneal dialysis procedural sets</t>
  </si>
  <si>
    <t>In this classification, this commodity indicates a product that is used as a procedural set for peritoneal dialysis.  Most nations, for tariff and trade purposes, schedule these products under HS 901819.</t>
  </si>
  <si>
    <t>Peritoneal dialysis catheter extensions</t>
  </si>
  <si>
    <t>In this classification, this commodity indicates a product that is used as catheter extension for peritoneal dialysis.  Most nations, for tariff and trade purposes, schedule these products under HS 901839.</t>
  </si>
  <si>
    <t>Peritoneal dialysate filters</t>
  </si>
  <si>
    <t>In this classification, this commodity indicates a product is used as a filter for dialysate in a peritoneal procedure.  Most nations, for tariff and trade purposes, schedule these products under HS 901890.</t>
  </si>
  <si>
    <t>Peritoneal semi-automatic dialysate delivery systems</t>
  </si>
  <si>
    <t>In this classification, this commodity indicates a system consisting of products, consumables and accessories that are used to execute a peritoneal semi-automatic dialysate delivery procedure in a medical setting.  Most nations, for tariff and trade purposes, schedule these products under HS 901890.</t>
  </si>
  <si>
    <t>Peritoneal shunt adaptors</t>
  </si>
  <si>
    <t>In this classification, this commodity indicates a product that is used as shunt adapters for peritoneal dialysis.  Most nations, for tariff and trade purposes, schedule these products under HS 901890.</t>
  </si>
  <si>
    <t>Peritoneal dialysis catheter storage garments</t>
  </si>
  <si>
    <t>In this classification, this commodity indicates a product used as the unit straps or harnesses for a flexible tube inserted through a narrow opening into the peritoneal cavity in a peritoneal procedure.  Most nations, for tariff and trade purposes, schedule these products under HS 902110.</t>
  </si>
  <si>
    <t>Peritoneal dialysis cassettes</t>
  </si>
  <si>
    <t>In this classification, this commodity indicates a product that is used as instrument and supply cassettes for peritoneal dialysis.  Most nations, for tariff and trade purposes, schedule these products under HS 901839.</t>
  </si>
  <si>
    <t>Peritoneal dialysis disconnect caps</t>
  </si>
  <si>
    <t>In this classification, this commodity indicates a product that is used as disconnect caps for peritoneal dialysis.  Most nations, for tariff and trade purposes, schedule these products under HS 901890.</t>
  </si>
  <si>
    <t>Peritoneal dialysis catheter caps</t>
  </si>
  <si>
    <t>In this classification, this commodity indicates a product used as the caps for a flexible tube inserted through a narrow opening into the peritoneal cavity in a peritoneal procedure.  Most nations, for tariff and trade purposes, schedule these products under HS 901839.</t>
  </si>
  <si>
    <t>Peritoneal dialysis solutions with manual exchange tubing</t>
  </si>
  <si>
    <t>In this classification, this commodity indicates a product that is used as solutions with manual exchange tubing for peritoneal dialysis.  Most nations, for tariff and trade purposes, schedule these products under HS 901839.</t>
  </si>
  <si>
    <t>42161600</t>
  </si>
  <si>
    <t>Extracorporeal hemodialysis equipment and supplies</t>
  </si>
  <si>
    <t>In this classification, this class includes, the equipment and supplies utilized in Extracorporeal hemodialysis based medical procedures.</t>
  </si>
  <si>
    <t>Hemodialysis administration kits or sets</t>
  </si>
  <si>
    <t>In this classification, this commodity indicates a product that is a prepackaged collection (either custom or standard) of the equipment and supplies used to perform a hemodialysis administration procedure in a medical setting.  Most nations, for tariff and trade purposes, schedule these products under HS 901890.</t>
  </si>
  <si>
    <t>Hemodialysis blood bag samplers</t>
  </si>
  <si>
    <t>In this classification, this commodity indicates a product used as a blood bag sampler in a hemodialysis procedure in a medical setting.  Most nations, for tariff and trade purposes, schedule these products under HS 901890.</t>
  </si>
  <si>
    <t>Hemodialysis blood oxygen demand apparatus</t>
  </si>
  <si>
    <t>In this classification, this commodity indicates a product used as a blood oxygen demand apparatus in a hemodialysis procedure in a medical setting.  Most nations, for tariff and trade purposes, schedule these products under HS 901890.</t>
  </si>
  <si>
    <t>Hemodialysis chairs</t>
  </si>
  <si>
    <t>In this classification, this commodity indicates a product used as a chairs in a hemodialysis procedure in a medical setting.  Most nations, for tariff and trade purposes, schedule these products under HS 940290.</t>
  </si>
  <si>
    <t>Hemodialysis dialysate conductivity meters</t>
  </si>
  <si>
    <t>In this classification, this commodity indicates a product used as a dialysate conductivity meter in a hemodialysis procedure in a medical setting.  Most nations, for tariff and trade purposes, schedule these products under HS 901839.</t>
  </si>
  <si>
    <t>Hemodialysis dialysate level detectors</t>
  </si>
  <si>
    <t>In this classification, this commodity indicates a product used as a dialysate level detector in a hemodialysis procedure in a medical setting.  Most nations, for tariff and trade purposes, schedule these products under HS 901890.</t>
  </si>
  <si>
    <t>Hemodialysis dialysate pressure pumps</t>
  </si>
  <si>
    <t>In this classification, this commodity indicates a product used as a dialysate pressure pump in a hemodialysis procedure in a medical setting.  Most nations, for tariff and trade purposes, schedule these products under HS 841370.</t>
  </si>
  <si>
    <t>Hemodialysis dialysate solutions</t>
  </si>
  <si>
    <t>In this classification, this commodity indicates a product used as a dialysate solution meter in a hemodialysis procedure in a medical setting.  US FDA regulates Hemodialysis dialysate solutions under 21 CFR 876.5820 and under FDA product code KPO.  Most nations, for tariff and trade purposes, schedule these products under HS 901890.</t>
  </si>
  <si>
    <t>Hemodialysis dialysate tanks</t>
  </si>
  <si>
    <t>In this classification, this commodity indicates a product used as a dialysate solution tank in a hemodialysis procedure in a medical setting.  Most nations, for tariff and trade purposes, schedule these products under HS 901890.</t>
  </si>
  <si>
    <t>Hemodialysis dialysate tubing</t>
  </si>
  <si>
    <t>In this classification, this commodity indicates a product used as a dialysate solution tubing in a hemodialysis procedure in a medical setting.  Most nations, for tariff and trade purposes, schedule these products under HS 901839.</t>
  </si>
  <si>
    <t>Hemodialysis dialysate warming baths</t>
  </si>
  <si>
    <t>In this classification, this commodity indicates a product used as a dialysate warming bath in a hemodialysis procedure in a medical setting.  Most nations, for tariff and trade purposes, schedule these products under HS 691010.</t>
  </si>
  <si>
    <t>Hemodialysis dialyzer celluloid filters</t>
  </si>
  <si>
    <t>In this classification, this commodity indicates a product used as a celluloid filter for dailyzer in a hemodialysis procedure in a medical setting.  Most nations, for tariff and trade purposes, schedule these products under HS 901890.</t>
  </si>
  <si>
    <t>Hemodialysis dialyzer collodion filters</t>
  </si>
  <si>
    <t>In this classification, this commodity indicates a product used as a collodion filter for dailyzer in a hemodialysis procedure in a medical setting.  Most nations, for tariff and trade purposes, schedule these products under HS 901890.</t>
  </si>
  <si>
    <t>Hemodialysis dialyzer hollow filament filters</t>
  </si>
  <si>
    <t>In this classification, this commodity indicates a product used as a hollow filament filter for dailyzer in a hemodialysis procedure in a medical setting.  Most nations, for tariff and trade purposes, schedule these products under HS 901890.</t>
  </si>
  <si>
    <t>Hemodialysis dialyzer reprocessing systems</t>
  </si>
  <si>
    <t>In this classification, this commodity indicates a system consisting of products, consumables and accessories that are used to execute a hemodialysis dialyzer reprocessing procedure in a medical setting.  Most nations, for tariff and trade purposes, schedule these products under HS 901890.</t>
  </si>
  <si>
    <t>Hemodialysis unit air bubble or foam or clot detectors or traps or alarms</t>
  </si>
  <si>
    <t>In this classification, this commodity indicates a product used as an air bubble or foam or clot detectors or traps or alarm for a hemodialysis  unit.  US FDA  regulates Hemodialysis unit air bubble or foam or clot detectors or traps or alarms under 21 CFR 876.5820 and under FDA product code MQS.  Most nations, for tariff and trade purposes, schedule these products under HS 901890.</t>
  </si>
  <si>
    <t>Hemodialysis unit arterial pressure monitors</t>
  </si>
  <si>
    <t>In this classification, this commodity indicates a product that is a customized computer monitor that displays electroencephalographic specific levels.  Most nations, for tariff and trade purposes, schedule these products under HS 852849.</t>
  </si>
  <si>
    <t>Hemodialysis unit blood line clamps</t>
  </si>
  <si>
    <t>In this classification, this commodity indicates a product used as a blood line clamp used with a hemodialysis unit used in a hemodialysis procedure in a medical setting.  Most nations, for tariff and trade purposes, schedule these products under HS 901832.</t>
  </si>
  <si>
    <t>Hemodialysis unit blood port caps</t>
  </si>
  <si>
    <t>In this classification, this commodity indicates a product used as a cap for a blood port used in a hemodialysis procedure in a medical setting.  Most nations, for tariff and trade purposes, schedule these products under HS 901890.</t>
  </si>
  <si>
    <t>Hemodialysis unit blood pumps</t>
  </si>
  <si>
    <t>In this classification, this commodity indicates a product used as a blood pump unit used in a hemodialysis procedure in a medical setting.  Most nations, for tariff and trade purposes, schedule these products under HS 841370.</t>
  </si>
  <si>
    <t>Hemodialysis unit dialysate port caps</t>
  </si>
  <si>
    <t>In this classification, this commodity indicates a product used as a cap for a dialysate port used in a hemodialysis procedure in a medical setting.  Most nations, for tariff and trade purposes, schedule these products under HS 901890.</t>
  </si>
  <si>
    <t>Hemodialysis unit disinfectants or cleansers</t>
  </si>
  <si>
    <t>In this classification, this commodity indicates a product used as a disinfectant or cleanser for a hemodialysis unit in a hemodialysis procedure in a medical setting.  Most nations, for tariff and trade purposes, schedule these products under HS 841920.</t>
  </si>
  <si>
    <t>Hemodialysis unit heparin infusion pumps</t>
  </si>
  <si>
    <t>In this classification, this commodity indicates a product used as a heparin infusion pump unit used in a hemodialysis procedure in a medical setting.  Most nations, for tariff and trade purposes, schedule these products under HS 901890.</t>
  </si>
  <si>
    <t>Hemodialysis unit single needle controllers</t>
  </si>
  <si>
    <t>In this classification, this commodity indicates a product used as a controller for single needles in a hemodialysis procedure in a medical setting.  Most nations, for tariff and trade purposes, schedule these products under HS 901890.</t>
  </si>
  <si>
    <t>Hemodialysis unit single pass converters</t>
  </si>
  <si>
    <t>In this classification, this commodity indicates a product used as the single pass converter for a hemodialysis unit in a hemodialysis procedure in a medical setting.  Most nations, for tariff and trade purposes, schedule these products under HS 901890.</t>
  </si>
  <si>
    <t>Hemodialysis unit temperature monitors</t>
  </si>
  <si>
    <t>In this classification, this commodity indicates a product that is a customized computer monitor that displays hemodialysis arterial pressure specific levels.  Most nations, for tariff and trade purposes, schedule these products under HS 852849.</t>
  </si>
  <si>
    <t>Hemodialysis unit test equipment</t>
  </si>
  <si>
    <t>In this classification, this commodity indicates a product used as the test equipment for a hemodialysis unit in a hemodialysis procedure in a medical setting.  Most nations, for tariff and trade purposes, schedule these products under HS 901890.</t>
  </si>
  <si>
    <t>Hemodialysis unit transducer filters</t>
  </si>
  <si>
    <t>In this classification, this commodity indicates a product used as the transducer filters for a hemodialysis unit in a hemodialysis procedure in a medical setting.  Most nations, for tariff and trade purposes, schedule these products under HS 901890.</t>
  </si>
  <si>
    <t>Hemodialysis unit transducer protectors</t>
  </si>
  <si>
    <t>In this classification, this commodity indicates a product used as the transducer protectors for a hemodialysis unit in a hemodialysis procedure in a medical setting.  Most nations, for tariff and trade purposes, schedule these products under HS 901890.</t>
  </si>
  <si>
    <t>Hemodialysis unit water purification systems</t>
  </si>
  <si>
    <t>In this classification, this commodity indicates a system consisting of products, consumables and accessories that are used to execute a hemodialysis unit water purification procedure in a medical setting.  Most nations, for tariff and trade purposes, schedule these products under HS 901890.</t>
  </si>
  <si>
    <t>Hemodialysis units</t>
  </si>
  <si>
    <t>In this classification, this commodity indicates a product that is a device used in hemodialysis procedures in a medical setting.  Most nations, for tariff and trade purposes, schedule these products under HS 901890.</t>
  </si>
  <si>
    <t>Hemodialysis apparatus dialyzer membranes</t>
  </si>
  <si>
    <t>In this classification, this commodity indicates a product used as the dialyzer membranes for a hemodialysis apparatus in a hemodialysis procedure in a medical setting.  Most nations, for tariff and trade purposes, schedule these products under HS 901890.</t>
  </si>
  <si>
    <t>Hemodialysis procedure trays</t>
  </si>
  <si>
    <t>In this classification, this commodity indicates a product that is either an accessory or consumable associated with hemodialysis procedure trays.  US FDA regulates Hemodialysis procedure trays or accessories under 21 CFR 876.5540 and under FDA product code NFK.  Most nations, for tariff and trade purposes, schedule these products under HS 392410.</t>
  </si>
  <si>
    <t>Hemodialysis apparatus cartridges</t>
  </si>
  <si>
    <t>In this classification, this commodity indicates a product used as the cartridges for a hemodialysis apparatus in a hemodialysis procedure in a medical setting.  Most nations, for tariff and trade purposes, schedule these products under HS 901890.</t>
  </si>
  <si>
    <t>Blood leak detectors</t>
  </si>
  <si>
    <t>In this classification, this commodity indicates a product used as a blood leak detector in a dental setting.  Most nations, for tariff and trade purposes, schedule these products under HS 901890.</t>
  </si>
  <si>
    <t>Blood pump inserts</t>
  </si>
  <si>
    <t>In this classification, this commodity indicates a product used as a blood pump insert in a dental setting.  Most nations, for tariff and trade purposes, schedule these products under HS 901890.</t>
  </si>
  <si>
    <t>Central multiple patient dialysate delivery systems</t>
  </si>
  <si>
    <t>In this classification, this commodity indicates a system consisting of products, consumables and accessories that are used to execute a central multiple patient dialysate delivery procedure in a medical setting.  Most nations, for tariff and trade purposes, schedule these products under HS 901890.</t>
  </si>
  <si>
    <t>Dialysate delivery system disinfectants</t>
  </si>
  <si>
    <t>In this classification, this commodity indicates a product used as delivery system disinfectants for dialysate in a hemodialysis procedure in a medical setting.  Most nations, for tariff and trade purposes, schedule these products under HS 380894.</t>
  </si>
  <si>
    <t>Dialysate reagent test strips for disinfectant residuals</t>
  </si>
  <si>
    <t>In this classification, this commodity indicates a product used as reagent test strips for disinfectant residuals for dialysate in a hemodialysis procedure in a medical setting.  Most nations, for tariff and trade purposes, schedule these products under HS 380894.</t>
  </si>
  <si>
    <t>Dialysis standard solution conductivity test kits</t>
  </si>
  <si>
    <t>In this classification, this commodity indicates a product that is a prepackaged collection (either custom or standard) of the equipment and supplies used to perform a dialysis solution conductivity procedure in a medical setting.  Most nations, for tariff and trade purposes, schedule these products under HS 300339.</t>
  </si>
  <si>
    <t>Dialysis ties</t>
  </si>
  <si>
    <t>In this classification, this commodity indicates a product used as ties for dialysate in a hemodialysis procedure in a medical setting.  Most nations, for tariff and trade purposes, schedule these products under HS 901890.</t>
  </si>
  <si>
    <t>Dialyzer holder sets</t>
  </si>
  <si>
    <t>In this classification, this commodity indicates a product used as holder sets for a dialyzer in a hemodialysis procedure in a medical setting.  Most nations, for tariff and trade purposes, schedule these products under HS 901890.</t>
  </si>
  <si>
    <t>Hemodialysis infusion or syringe pumps</t>
  </si>
  <si>
    <t>In this classification, this commodity indicates a product used as an infusion or syringe pump in a hemodialysis procedure in a medical setting.  Most nations, for tariff and trade purposes, schedule these products under HS 901890.</t>
  </si>
  <si>
    <t>Hemodialysis catheter cannula connectors</t>
  </si>
  <si>
    <t>In this classification, this commodity indicates a product used as the cannula connecter for a flexible tube inserted through a narrow opening into the kidney for a hemodialysis procedure.  Most nations, for tariff and trade purposes, schedule these products under HS 901831.</t>
  </si>
  <si>
    <t>Hemodialysis declotting trays</t>
  </si>
  <si>
    <t>In this classification, this commodity indicates a product used as an declotting tray in a hemodialysis procedure in a medical setting.  Most nations, for tariff and trade purposes, schedule these products under HS 392410.</t>
  </si>
  <si>
    <t>Hemodialysis dialysate coil canisters</t>
  </si>
  <si>
    <t>In this classification, this commodity indicates a product used as a dialysate coil canister in a hemodialysis procedure in a medical setting.  Most nations, for tariff and trade purposes, schedule these products under HS 901890.</t>
  </si>
  <si>
    <t>Hemodialysis positioning aids</t>
  </si>
  <si>
    <t>In this classification, this commodity indicates a product used as a positioning aid in a hemodialysis procedure in a medical setting.  Most nations, for tariff and trade purposes, schedule these products under HS 901890.</t>
  </si>
  <si>
    <t>Hemodialysis system remote accessories</t>
  </si>
  <si>
    <t>In this classification, this commodity indicates a product that is either an accessory or consumable associated with hemodialysis system remotes.  Most nations, for tariff and trade purposes, schedule these products under HS 901890.</t>
  </si>
  <si>
    <t>Hemodialysis systems for home use</t>
  </si>
  <si>
    <t>In this classification, this commodity indicates a system consisting of products, consumables and accessories that are used to execute a hemodialysis for home use procedure in a medical setting.  Most nations, for tariff and trade purposes, schedule these products under HS 901890.</t>
  </si>
  <si>
    <t>Hemodialysis unit single needle pump sets</t>
  </si>
  <si>
    <t>In this classification, this commodity indicates a product used as a unit single needle pump set in a hemodialysis procedure in a medical setting.  Most nations, for tariff and trade purposes, schedule these products under HS 901890.</t>
  </si>
  <si>
    <t>Hemodialysis water manometers</t>
  </si>
  <si>
    <t>In this classification, this commodity indicates a product used as a water manometer in a hemodialysis procedure in a medical setting.  Most nations, for tariff and trade purposes, schedule these products under HS 901890.</t>
  </si>
  <si>
    <t>Negative-pressure dialysis control stations</t>
  </si>
  <si>
    <t>In this classification, this commodity indicates a product used as negative-pressure dialysis control station in a hemodialysis procedure in a medical setting.  Most nations, for tariff and trade purposes, schedule these products under HS 901890.</t>
  </si>
  <si>
    <t>Hemodialysis parallel flow dialyzers</t>
  </si>
  <si>
    <t>In this classification, this commodity indicates a product used as a parallel flow dialyzer in a hemodialysis procedure in a medical setting.  Most nations, for tariff and trade purposes, schedule these products under HS 902610.</t>
  </si>
  <si>
    <t>Physiological pressure transducer protectors</t>
  </si>
  <si>
    <t>In this classification, this commodity indicates a product used as a physiological pressure transducer protector used in an intravenous pressure procedure in a medical setting.  Most nations, for tariff and trade purposes, schedule these products under HS 901890.</t>
  </si>
  <si>
    <t>Hemodialysis proportioning subsystems</t>
  </si>
  <si>
    <t>In this classification, this commodity indicates a system consisting of products, consumables and accessories that are used to execute a hemodialysis proportioning sub procedure in a medical setting.  Most nations, for tariff and trade purposes, schedule these products under HS 901890.</t>
  </si>
  <si>
    <t>Remote hemodialysis system accessories</t>
  </si>
  <si>
    <t>In this classification, this commodity indicates a product that is either an accessory or consumable associated with remote hemodialysis systems.  Most nations, for tariff and trade purposes, schedule these products under HS 901890.</t>
  </si>
  <si>
    <t>Dialysis tie guns</t>
  </si>
  <si>
    <t>In this classification, this commodity indicates a product used as tie gun for dialysate in a hemodialysis procedure in a medical setting.  Most nations, for tariff and trade purposes, schedule these products under HS 901890.</t>
  </si>
  <si>
    <t>Hemodialysis catheters</t>
  </si>
  <si>
    <t>In this classification, this commodity indicates a product used as a flexible tube inserted through a narrow opening into the kidney for a hemodialysis procedure.  Most nations, for tariff and trade purposes, schedule these products under HS 901839.</t>
  </si>
  <si>
    <t>Hemodialysis procedure tray accessories</t>
  </si>
  <si>
    <t>Accessories included with hemodialysis procedure trays</t>
  </si>
  <si>
    <t>42161700</t>
  </si>
  <si>
    <t>Hemofiltration equipment and supplies</t>
  </si>
  <si>
    <t>In this classification, this class includes, the equipment and supplies utilized in hemofiltration based medical procedures.</t>
  </si>
  <si>
    <t>Hemofilters</t>
  </si>
  <si>
    <t>In this classification, this commodity indicates a product used as a hemofilter in a is a renal replacement therapy procedure in a medical setting.  Most nations, for tariff and trade purposes, schedule these products under HS 901890.</t>
  </si>
  <si>
    <t>Hemofiltrate collection bags</t>
  </si>
  <si>
    <t>In this classification, this commodity indicates a product used as a hemofiltrate in a renal replacement therapy procedure in a medical setting.  Most nations, for tariff and trade purposes, schedule these products under HS 392690.</t>
  </si>
  <si>
    <t>Hemofiltration infusion ports</t>
  </si>
  <si>
    <t>In this classification, this commodity indicates a product used as a hemofiltration infusion port in a renal replacement therapy procedure in a medical setting.  Most nations, for tariff and trade purposes, schedule these products under HS 901890.</t>
  </si>
  <si>
    <t>Hemofiltration sampling ports</t>
  </si>
  <si>
    <t>In this classification, this commodity indicates a product used as a hemofiltration sampling port in a renal replacement therapy procedure in a medical setting.  Most nations, for tariff and trade purposes, schedule these products under HS 901890.</t>
  </si>
  <si>
    <t>42161800</t>
  </si>
  <si>
    <t>Continuous renal replacement therapy CRRT equipment and supplies</t>
  </si>
  <si>
    <t>In this classification, this class includes, the equipment and supplies utilized in continuous renal replacement therapy based medical procedures.</t>
  </si>
  <si>
    <t>Continuous arteriovenous dialysis CAVHD units or related products</t>
  </si>
  <si>
    <t>In this classification, this commodity indicates a product that is a device used in continuous arteriovenous dialysis procedures in a medical setting.  Most nations, for tariff and trade purposes, schedule these products under HS 901890.</t>
  </si>
  <si>
    <t>Continuous arteriovenous hemofiltration CAVH units or related products</t>
  </si>
  <si>
    <t>In this classification, this commodity indicates a product that is a device used in Continuous arteriovenous hemofiltration procedures in a medical setting.  Most nations, for tariff and trade purposes, schedule these products under HS 901890.</t>
  </si>
  <si>
    <t>Continuous venovenous hemofiltration or hemodialysis units or related products</t>
  </si>
  <si>
    <t>In this classification, this commodity indicates a product that is a device used in Continuous venous hemofiltration or hemodialysis procedures in a medical setting.  Most nations, for tariff and trade purposes, schedule these products under HS 901890.</t>
  </si>
  <si>
    <t>Slow continuous ultrafiltration SCUF units or related products</t>
  </si>
  <si>
    <t>In this classification, this commodity indicates a product that is a device used in Slow continuous ultrafiltration procedures in a medical setting.  Most nations, for tariff and trade purposes, schedule these products under HS 901890.</t>
  </si>
  <si>
    <t>Gastroenterology-urology vessel dilators</t>
  </si>
  <si>
    <t>In this classification, this commodity indicates a product used as a gastroenterology urology vessel dilator in a gastreoneteological procedure in a medical setting.  Most nations, for tariff and trade purposes, schedule these products under HS 901890.</t>
  </si>
  <si>
    <t>Sorbent hemoperfusion apparatus</t>
  </si>
  <si>
    <t>In this classification, this commodity indicates a product used as a gastroenterology urology vessel dilator in a Sorbent hemoperfusion apparatus in a medical setting.  Most nations, for tariff and trade purposes, schedule these products under HS 901890.</t>
  </si>
  <si>
    <t>42161900</t>
  </si>
  <si>
    <t>Therapeutic apheresis equipment and supplies</t>
  </si>
  <si>
    <t>In this classification, this class includes, the equipment and supplies utilized in therapeutic apheresis based medical procedures.</t>
  </si>
  <si>
    <t>Therapeutic apheresis procedure kits</t>
  </si>
  <si>
    <t>In this classification, this commodity indicates a product that is a prepackaged collection (either custom or standard) of the equipment and supplies used to perform therapeutic apheresis procedure in a medical setting.  Most nations, for tariff and trade purposes, schedule these products under HS 901890.</t>
  </si>
  <si>
    <t>Therapeutic apheresis anti-stick needles</t>
  </si>
  <si>
    <t>Therapeutic apheresis concentration monitors</t>
  </si>
  <si>
    <t>In this classification, this commodity indicates a product that is a customized computer monitor that displays hemodialysis unit temperature specific levels.  Most nations, for tariff and trade purposes, schedule these products under HS 852849.</t>
  </si>
  <si>
    <t>Therapeutic apheresis machine bearing holders</t>
  </si>
  <si>
    <t>In this classification, this commodity indicates a product used as a bearing holder for therapeutic apheresis machine.  Most nations, for tariff and trade purposes, schedule these products under HS 901890.</t>
  </si>
  <si>
    <t>Therapeutic apheresis machine blood bags</t>
  </si>
  <si>
    <t>In this classification, this commodity indicates a product used as a blood bag for therapeutic apheresis machine.  Most nations, for tariff and trade purposes, schedule these products under HS 392690.</t>
  </si>
  <si>
    <t>Therapeutic apheresis machine centrifuge collars</t>
  </si>
  <si>
    <t>In this classification, this commodity indicates a product used as a centrifuge collar for therapeutic apheresis machine.  Most nations, for tariff and trade purposes, schedule these products under HS 901890.</t>
  </si>
  <si>
    <t>Therapeutic apheresis machine centrifuge latching pins</t>
  </si>
  <si>
    <t>In this classification, this commodity indicates a product used as a centrifuge latching pin for therapeutic apheresis machine.  Most nations, for tariff and trade purposes, schedule these products under HS 901890.</t>
  </si>
  <si>
    <t>Therapeutic apheresis machine centrifuge tubes</t>
  </si>
  <si>
    <t>In this classification, this commodity indicates a product used as a centrifuge tube for therapeutic apheresis machine.  Most nations, for tariff and trade purposes, schedule these products under HS 901839.</t>
  </si>
  <si>
    <t>Therapeutic apheresis machine filters</t>
  </si>
  <si>
    <t>In this classification, this commodity indicates a product used as a filter for therapeutic apheresis machine.  Most nations, for tariff and trade purposes, schedule these products under HS 901890.</t>
  </si>
  <si>
    <t>Therapeutic apheresis machine pump cartridges</t>
  </si>
  <si>
    <t>In this classification, this commodity indicates a product used as a pump cartridge for therapeutic apheresis machine.  Most nations, for tariff and trade purposes, schedule these products under HS 901890.</t>
  </si>
  <si>
    <t>Therapeutic apheresis machine return chamber air detectors</t>
  </si>
  <si>
    <t>In this classification, this commodity indicates a product used as a return chamber air detector for therapeutic apheresis machine.  Most nations, for tariff and trade purposes, schedule these products under HS 901890.</t>
  </si>
  <si>
    <t>Therapeutic apheresis machine return chambers</t>
  </si>
  <si>
    <t>In this classification, this commodity indicates a product used as a return chamber for therapeutic apheresis machine.  Most nations, for tariff and trade purposes, schedule these products under HS 901890.</t>
  </si>
  <si>
    <t>Therapeutic apheresis machine tubing</t>
  </si>
  <si>
    <t>In this classification, this commodity indicates a product used as a tubing for therapeutic apheresis machine.  Most nations, for tariff and trade purposes, schedule these products under HS 901839.</t>
  </si>
  <si>
    <t>Therapeutic apheresis machine valves</t>
  </si>
  <si>
    <t>In this classification, this commodity indicates a product used as a valve for therapeutic apheresis machine.  Most nations, for tariff and trade purposes, schedule these products under HS 901890.</t>
  </si>
  <si>
    <t>Therapeutic apheresis machine waste divert lines</t>
  </si>
  <si>
    <t>In this classification, this commodity indicates a product used as a waste divert line for therapeutic apheresis machine.  Most nations, for tariff and trade purposes, schedule these products under HS 901890.</t>
  </si>
  <si>
    <t>Therapeutic apheresis machines</t>
  </si>
  <si>
    <t>In this classification, this commodity indicates a product used as therapeutic apheresis machine.  Most nations, for tariff and trade purposes, schedule these products under HS 901890.</t>
  </si>
  <si>
    <t>42170000</t>
  </si>
  <si>
    <t>Mobile medical services products</t>
  </si>
  <si>
    <t>In this classification, this family includes the products and supplies used in the portion of medical interactions that conducted in a mobile or in transit environment.</t>
  </si>
  <si>
    <t>42171500</t>
  </si>
  <si>
    <t>Mobile medical services disaster management products and mobile medical services supplies</t>
  </si>
  <si>
    <t>In this classification, this class includes, products, components, accessories, and supplies, utilized in mobile medical disaster management based medical procedures.</t>
  </si>
  <si>
    <t>Mobile medical services disaster body pouches</t>
  </si>
  <si>
    <t>In this classification, this commodity indicates a product used as a disaster body pouch during a mobile medical services procedure.  US FDA regulates Mobile medical services disaster body pouches under 21 CFR 878.4040 and under FDA product code OKF.  Most nations, for tariff and trade purposes, schedule these products under HS 482110.</t>
  </si>
  <si>
    <t>Mobile medical services triage tags</t>
  </si>
  <si>
    <t>In this classification, this commodity indicates a product used as a triage tag during a mobile medical services procedure.  Most nations, for tariff and trade purposes, schedule these products under HS 901890.</t>
  </si>
  <si>
    <t>Patient holding or evacuation system heater units</t>
  </si>
  <si>
    <t>In this classification, this commodity indicates a product that is a device used in Patient holding or evacuation system heating procedures in a medical setting.  Most nations, for tariff and trade purposes, schedule these products under HS 730441.</t>
  </si>
  <si>
    <t>Patient holding or evacuation system heater unit accessories</t>
  </si>
  <si>
    <t>In this classification, this commodity indicates a product that is either an accessory or consumable associated with patient holding or evacuation system heater units.  Most nations, for tariff and trade purposes, schedule these products under HS 730441.</t>
  </si>
  <si>
    <t>Waveform capnography time and volumetric monitors</t>
  </si>
  <si>
    <t>In this classification, this commodity indicates a product that is a customized computer monitor that displays apheresis concentration specific levels.  Most nations, for tariff and trade purposes, schedule these products under HS 852849.</t>
  </si>
  <si>
    <t>42171600</t>
  </si>
  <si>
    <t>Mobile medical services extricating and immobilizing and transporting products</t>
  </si>
  <si>
    <t>In this classification, this class includes, products, components, accessories, and supplies, utilized in Mobile extricating and immobilizing and transporting based medical procedures.</t>
  </si>
  <si>
    <t>Mobile medical services air evacuation stretchers</t>
  </si>
  <si>
    <t>In this classification, this commodity indicates a product that is either an accessory or consumable associated with mobile medical services air evacuation stretchers.  Most nations, for tariff and trade purposes, schedule these products under HS 940290.</t>
  </si>
  <si>
    <t>Mobile medical services ambulance cots</t>
  </si>
  <si>
    <t>In this classification, this commodity indicates a product that is either an accessory or consumable associated with mobile medical services ambulance cots.  Most nations, for tariff and trade purposes, schedule these products under HS 940290.</t>
  </si>
  <si>
    <t>Mobile medical service anti shock garments</t>
  </si>
  <si>
    <t>In this classification, this commodity indicates a product used as an anti shock garment during a mobile medical services procedure.Mobile medical service anti shock garments under 21 CFR and under FDA product code LHX.  Most nations, for tariff and trade purposes, schedule these products under HS 420310.</t>
  </si>
  <si>
    <t>Mobile medical services basket stretchers</t>
  </si>
  <si>
    <t>In this classification, this commodity indicates a product that is either an accessory or consumable associated with mobile medical services basket stretchers.  Most nations, for tariff and trade purposes, schedule these products under HS 940290.</t>
  </si>
  <si>
    <t>Mobile medical services cinch rescue loops</t>
  </si>
  <si>
    <t>In this classification, this commodity indicates a product used as a cinch rescue loop during a mobile medical services procedure.  Most nations, for tariff and trade purposes, schedule these products under HS 901811.</t>
  </si>
  <si>
    <t>Mobile medical services air splints</t>
  </si>
  <si>
    <t>In this classification, this commodity indicates a product used as an air splint during a mobile medical services procedure.  US FDA regulates Mobile medical services air splints under 21 CFR 878.39 and under FDA product code FZF.  Most nations, for tariff and trade purposes, schedule these products under HS 901811.</t>
  </si>
  <si>
    <t>Mobile medical services cervical or extrication collars</t>
  </si>
  <si>
    <t>In this classification, this commodity indicates a product used as a cervical or extrication collar during a mobile medical services procedure.  Most nations, for tariff and trade purposes, schedule these products under HS 901811.</t>
  </si>
  <si>
    <t>Mobile medical services head immobilizers</t>
  </si>
  <si>
    <t>In this classification, this commodity indicates a product used as a head immobilizer during a mobile medical services procedure.  Most nations, for tariff and trade purposes, schedule these products under HS 901811.</t>
  </si>
  <si>
    <t>Mobile medical services restraint or spine board straps</t>
  </si>
  <si>
    <t>In this classification, this commodity indicates a product used as a restraint or spine board strap during a mobile medical services procedure.  US FDA regulates Mobile medical services restraint or spine board straps under 21 CFR 880.69 and under FDA product code NZD.  Most nations, for tariff and trade purposes, schedule these products under HS 901811.</t>
  </si>
  <si>
    <t>Mobile medical services torso immobilizers</t>
  </si>
  <si>
    <t>In this classification, this commodity indicates a product used as a torso immobilizer during a mobile medical services procedure.  Most nations, for tariff and trade purposes, schedule these products under HS 901811.</t>
  </si>
  <si>
    <t>Mobile response litters</t>
  </si>
  <si>
    <t>In this classification, this commodity indicates a product that is either an accessory or consumable associated with mobile response litters or stretchers.  US FDA regulates Mobile response litters or stretchers or accessories under 21 CFR 880.69 and under FDA product code FPP.  Most nations, for tariff and trade purposes, schedule these products under HS 940290.</t>
  </si>
  <si>
    <t>Mobile medical services scoop stretchers</t>
  </si>
  <si>
    <t>In this classification, this commodity indicates a product that is either an accessory or consumable associated with mobile medical services scoop stretchers.  Most nations, for tariff and trade purposes, schedule these products under HS 940290.</t>
  </si>
  <si>
    <t>Mobile medical services spine boards</t>
  </si>
  <si>
    <t>In this classification, this commodity indicates a product used as a spine board during a mobile medical services procedure.  Most nations, for tariff and trade purposes, schedule these products under HS 901811.</t>
  </si>
  <si>
    <t>Mobile medical services water rescue tubes or cans</t>
  </si>
  <si>
    <t>In this classification, this commodity indicates a product used as a water rescue tubes or can during a mobile medical services procedure.  Most nations, for tariff and trade purposes, schedule these products under HS 901839.</t>
  </si>
  <si>
    <t>Mobile medical services air evacuation stretcher accessories</t>
  </si>
  <si>
    <t>Accessories included with mobile medical service air evacuation stretchers</t>
  </si>
  <si>
    <t>Mobile medical services ambulance cot accessories</t>
  </si>
  <si>
    <t>Accessories included with mobile medical service ambulance cots</t>
  </si>
  <si>
    <t>Mobile medical services basket stretcher accessories</t>
  </si>
  <si>
    <t>Accessories included with mobile medical service basket stretchers</t>
  </si>
  <si>
    <t>Mobile response litter accessories</t>
  </si>
  <si>
    <t>Accessories included with mobile response litters</t>
  </si>
  <si>
    <t>Mobile medical services scoop stretcher accessories</t>
  </si>
  <si>
    <t>Accessories included with mobile medical service scoop stretchers</t>
  </si>
  <si>
    <t>42171700</t>
  </si>
  <si>
    <t>Mobile medical services blankets</t>
  </si>
  <si>
    <t>In this classification, this class includes, products consisting of blankets utilized in mobile medical procedures.</t>
  </si>
  <si>
    <t>Mobile or rescue blankets</t>
  </si>
  <si>
    <t>In this classification, this commodity indicates a product used as a blanket during a mobile medical services procedure.  Most nations, for tariff and trade purposes, schedule these products under HS 630130.</t>
  </si>
  <si>
    <t>Mobile medical services first aid blankets</t>
  </si>
  <si>
    <t>In this classification, this commodity indicates a product used as a first aid blanket during a mobile medical services procedure.  Most nations, for tariff and trade purposes, schedule these products under HS 630130.</t>
  </si>
  <si>
    <t>Mobile medical services heat shielding wraps or blankets</t>
  </si>
  <si>
    <t>In this classification, this commodity indicates a product used as a heat shielding wraps or blanket during a mobile medical services procedure. Mobile medical services heat shielding wraps or blankets under 21 CFR and under FDA product code LDI.  Most nations, for tariff and trade purposes, schedule these products under HS 630130.</t>
  </si>
  <si>
    <t>Mobile medical services infant swaddlers or buntings</t>
  </si>
  <si>
    <t>In this classification, this commodity indicates a product used as an infant swaddlers or bunting during a mobile medical services procedure.  Most nations, for tariff and trade purposes, schedule these products under HS 420310.</t>
  </si>
  <si>
    <t>42171800</t>
  </si>
  <si>
    <t>Mobile medical services airway management equipment</t>
  </si>
  <si>
    <t>In this classification, this class includes, the equipment and supplies utilized in mobile airway management based medical procedures.</t>
  </si>
  <si>
    <t>Mobile medical services anesthesiology oropharyngeal airways</t>
  </si>
  <si>
    <t>In this classification, this commodity indicates a product used as an anesthesiology oropharyngeal airway during a mobile medical services procedure.  Most nations, for tariff and trade purposes, schedule these products under HS 901811.</t>
  </si>
  <si>
    <t>Jaw spreaders</t>
  </si>
  <si>
    <t>In this classification, this commodity indicates a product used as a jaw spreader during a mobile medical services procedure.  US FDA regulates Jaw spreaders under 21 CFR 874.4420 and under FDA product code KBW.  Most nations, for tariff and trade purposes, schedule these products under HS 901811.</t>
  </si>
  <si>
    <t>Mobile medical services heimlich maneuver assist devices</t>
  </si>
  <si>
    <t>In this classification, this commodity indicates a product used as a heimlich maneuver assist device during a mobile medical services procedure.  Most nations, for tariff and trade purposes, schedule these products under HS 901811.</t>
  </si>
  <si>
    <t>Mobile medical services non-suction antichoke devices</t>
  </si>
  <si>
    <t>In this classification, this commodity indicates a product used as a non-suction antichoke device during a mobile medical services procedure.  Most nations, for tariff and trade purposes, schedule these products under HS 901849.</t>
  </si>
  <si>
    <t>Mobile medical services suction antichoke devices</t>
  </si>
  <si>
    <t>In this classification, this commodity indicates a product used as a during a mobile medical services procedure.  Most nations, for tariff and trade purposes, schedule these products under HS 940290.</t>
  </si>
  <si>
    <t>Mobile medical services oxygen generators</t>
  </si>
  <si>
    <t>In this classification, this commodity indicates a product used as an oxygen generator during a mobile medical services procedure.  Most nations, for tariff and trade purposes, schedule these products under HS 940290.</t>
  </si>
  <si>
    <t>42171900</t>
  </si>
  <si>
    <t>Medical equipment bags and cases and carriers and related products</t>
  </si>
  <si>
    <t>In this classification, this class includes, bags, cases, carriers and related products for equipment, products, components, accessories, and supplies, utilized in medical procedures.</t>
  </si>
  <si>
    <t>Case for medical instrument sets</t>
  </si>
  <si>
    <t>In this classification, this commodity indicates a product that is either an accessory or consumable associated with cases for medical instrument sets.  Most nations, for tariff and trade purposes, schedule these products under HS 901811.</t>
  </si>
  <si>
    <t>Cases for splints</t>
  </si>
  <si>
    <t>In this classification, this commodity indicates a product used as cases for splints during a mobile medical services procedure.  Most nations, for tariff and trade purposes, schedule these products under HS 901811.</t>
  </si>
  <si>
    <t>Case for medical clothing</t>
  </si>
  <si>
    <t>In this classification, this commodity indicates a product used as a protective case for the storage of medical clothing used  in a medical setting.</t>
  </si>
  <si>
    <t>Case for medical instrument set accessories</t>
  </si>
  <si>
    <t>Accessories included with case for medical instrument set.</t>
  </si>
  <si>
    <t>42172000</t>
  </si>
  <si>
    <t>Mobile medical services kits</t>
  </si>
  <si>
    <t>In this classification, this class includes, products, components, accessories, and supplies bundled as kits and utilized in mobile based medical procedures.</t>
  </si>
  <si>
    <t>Mobile medical services first aid kits</t>
  </si>
  <si>
    <t>In this classification, this commodity indicates a product that is a prepackaged collection (either custom or standard) of the equipment and supplies used to perform medical first aid procedure in a medical setting.  US FDA regulates Mobile medical services first aid kits under 21 CFR 878.4104 and under FDA product code LRR.  Most nations, for tariff and trade purposes, schedule these products under HS 300650.</t>
  </si>
  <si>
    <t>Mobile medical services first response kits</t>
  </si>
  <si>
    <t>In this classification, this commodity indicates a product that is a prepackaged collection (either custom or standard) of the equipment and supplies used to perform first response procedures by mobile medical personnel in a medical setting.  Most nations, for tariff and trade purposes, schedule these products under HS 901890.</t>
  </si>
  <si>
    <t>Mobile medical service intravenous IV kits</t>
  </si>
  <si>
    <t>In this classification, this commodity indicates a product that is a prepackaged collection (either custom or standard) of the equipment and supplies used to perform intravenous iv procedures by mobile medical personnel in a medical setting.  Most nations, for tariff and trade purposes, schedule these products under HS 901890.</t>
  </si>
  <si>
    <t>Mobile medical services life support kits</t>
  </si>
  <si>
    <t>In this classification, this commodity indicates a product that is a prepackaged collection (either custom or standard) of the equipment and supplies used to perform life support procedures by mobile medical personnel in a medical setting.  Most nations, for tariff and trade purposes, schedule these products under HS 901890.</t>
  </si>
  <si>
    <t>Mobile medical services long distance response LDR trauma kits</t>
  </si>
  <si>
    <t>In this classification, this commodity indicates a product in this classification, this commodity indicates a product that is a prepackaged collection (either custom or standard) of the equipment and supplies used to perform long distance response procedures by mobile medical personnel in a medical setting.  Most nations, for tariff and trade purposes, schedule these products under HS 901890.</t>
  </si>
  <si>
    <t>Mobile medical services obstetrics kits</t>
  </si>
  <si>
    <t>In this classification, this commodity indicates a product that is a prepackaged collection (either custom or standard) of the equipment and supplies used to perform obstetric procedures by mobile medical personnel in a medical setting.  Most nations, for tariff and trade purposes, schedule these products under HS 901890.</t>
  </si>
  <si>
    <t>Mobile medical services rappel kits</t>
  </si>
  <si>
    <t>In this classification, this commodity indicates a product that is a prepackaged collection (either custom or standard) of the equipment and supplies used to perform rappelling procedures by mobile medical personnel in a medical setting.  Most nations, for tariff and trade purposes, schedule these products under HS 901890.</t>
  </si>
  <si>
    <t>Mobile medical services search and rescue kits</t>
  </si>
  <si>
    <t>In this classification, this commodity indicates a product that is a prepackaged collection (either custom or standard) of the equipment and supplies used to perform search and rescue procedures by mobile medical personnel in a medical setting.  US FDA regulates Mobile medical services search and rescue kits under 21 CFR 878.4104 and under FDA product code OEV.  Most nations, for tariff and trade purposes, schedule these products under HS 300650.</t>
  </si>
  <si>
    <t>Mobile medical services trauma kits</t>
  </si>
  <si>
    <t>In this classification, this commodity indicates a product that is a prepackaged collection (either custom or standard) of the equipment and supplies used to perform trauma procedures by mobile medical personnel in a medical setting.  US FDA regulates Mobile medical services trauma kits under 21 CFR 868.5915 and under FDA product code OEV.  Most nations, for tariff and trade purposes, schedule these products under HS 300650.</t>
  </si>
  <si>
    <t>Mobile medical technician EMT kits</t>
  </si>
  <si>
    <t>In this classification, this commodity indicates a product that is a prepackaged collection (either custom or standard) of the equipment and supplies used to perform medical technician procedures by mobile medical personnel in a medical setting.  Most nations, for tariff and trade purposes, schedule these products under HS 901890.</t>
  </si>
  <si>
    <t>Mobile medical services patient transport kits or supplies</t>
  </si>
  <si>
    <t>In this classification, this commodity indicates a product that is a prepackaged collection (either custom or standard) of the equipment and supplies used to perform patient transport procedures by mobile medical personnel in a medical setting.  Most nations, for tariff and trade purposes, schedule these products under HS 901890.</t>
  </si>
  <si>
    <t>Mobile medical services dental treatment kits</t>
  </si>
  <si>
    <t>In this classification, this commodity indicates a production this classification, this commodity indicates a product that is a prepackaged collection (either custom or standard) of the equipment and supplies used to perform dental procedures by mobile medical personnel in a medical setting.  Most nations, for tariff and trade purposes, schedule these products under HS 901890.</t>
  </si>
  <si>
    <t>Mobile medical services fracture kits</t>
  </si>
  <si>
    <t>In this classification, this commodity indicates a product that is a prepackaged collection (either custom or standard) of the equipment and supplies used to perform fracture related procedures by mobile medical personnel in a medical setting.  Most nations, for tariff and trade purposes, schedule these products under HS 902110.</t>
  </si>
  <si>
    <t>Mobile medical services field medical or laboratory medical equipment kits or related products</t>
  </si>
  <si>
    <t>In this classification, this commodity indicates a product that is a prepackaged collection (either custom or standard) of the equipment and supplies used to perform field medical or laboratory procedures by mobile medical personnel in a medical setting.  US FDA regulates Mobile medical services field medical or laboratory medical equipment kits or related products under 21 CFR 872.3570 and under FDA product code EBO.  Most nations, for tariff and trade purposes, schedule these products under HS 901890.</t>
  </si>
  <si>
    <t>42172100</t>
  </si>
  <si>
    <t>Mobile medical services resuscitation products</t>
  </si>
  <si>
    <t>In this classification, this class includes, products, components, accessories, and supplies, providing external resuscitation capabilities utilized in mobile based medical procedures.</t>
  </si>
  <si>
    <t>Mobile medical services automated external defibrillators AED or hard paddles</t>
  </si>
  <si>
    <t>In this classification, this commodity indicates a product used as an automated external defibrillators AED or hard paddles during a mobile medical services procedure.  US FDA regulates Mobile medical services automated external defibrillators AED or hard paddles under 21 CFR 870.5310 and under FDA product code DRK.  Most nations, for tariff and trade purposes, schedule these products under HS 901890.</t>
  </si>
  <si>
    <t>Mobile resuscitator or aspirator kits</t>
  </si>
  <si>
    <t>In this classification, this commodity indicates a product that is a prepackaged collection (either custom or standard) of the equipment and supplies used to perform resuscitation or aspiration procedures by mobile medical personnel in a medical setting.  US FDA regulates Mobile resuscitator or aspirator kits under 21 CFR 868.5915 and under FDA product code BT.  Most nations, for tariff and trade purposes, schedule these products under HS 901890.</t>
  </si>
  <si>
    <t>Mobile medical services cardio pulmonary resuscitation CPR boards</t>
  </si>
  <si>
    <t>In this classification, this commodity indicates a product used as a pulmonary resuscitation CPR board during a mobile medical services procedure.Mobile medical services cardio pulmonary resuscitation CPR boards under 21 CFR and under FDA product code LYM.  Most nations, for tariff and trade purposes, schedule these products under HS 901890.</t>
  </si>
  <si>
    <t>Mobile medical service automated external defibrillator AED accessories</t>
  </si>
  <si>
    <t>In this classification, this commodity indicates a product that is either an accessory or consumable associated with mobile medical service automated external defibrillator procedures.  US FDA regulates Mobile medical service automated external defibrillator AED accessories under 21 CFR 870.53 8 and under FDA product code DRK.  Most nations, for tariff and trade purposes, schedule these products under HS 901890.</t>
  </si>
  <si>
    <t>Mobile medical services manual resuscitators or ventilators</t>
  </si>
  <si>
    <t>In this classification, this commodity indicates a product used as a manual resuscitator or ventilator during a mobile medical services procedure.  Most nations, for tariff and trade purposes, schedule these products under HS 901890.</t>
  </si>
  <si>
    <t>Mobile medical services powered resuscitators or ventilators</t>
  </si>
  <si>
    <t>In this classification, this commodity indicates a product used as a powered resuscitator or ventilator during a mobile medical services procedure.  Most nations, for tariff and trade purposes, schedule these products under HS 330690.</t>
  </si>
  <si>
    <t>42180000</t>
  </si>
  <si>
    <t>Patient exam and monitoring products</t>
  </si>
  <si>
    <t>In this classification, this family includes medical equipment, components, instruments and appliances as well as accessories used in the medical treatment that is examinatory and or maintenance in nature.</t>
  </si>
  <si>
    <t>42181500</t>
  </si>
  <si>
    <t>Diagnostic assessment and exam products for general use</t>
  </si>
  <si>
    <t>In this classification, this class includes, products, components, accessories, and supplies, utilized in diagnostic assessment based medical procedures.</t>
  </si>
  <si>
    <t>Tongue depressors or blades or sticks</t>
  </si>
  <si>
    <t>In this classification, this commodity indicates a product used as a tongue depressor, blade or stick in a medical setting.  US FDA regulates Tongue depressors or blades or sticks under 21 CFR 880.6230 and under FDA product code FMA.  Most nations, for tariff and trade purposes, schedule these products under HS 300590.</t>
  </si>
  <si>
    <t>Medical exam transilluminators</t>
  </si>
  <si>
    <t>In this classification, this commodity indicates a product used as a transilluminator for a medical exam in a medical setting.  US FDA regulates Medical exam transilluminators under 21 CFR 886.1945 and under FDA product code HJM.  Most nations, for tariff and trade purposes, schedule these products under HS 901890.</t>
  </si>
  <si>
    <t>Exam or personal lubricants or jellies</t>
  </si>
  <si>
    <t>In this classification, this commodity indicates a product used as a jelly or lubricant used for and examination or personal procedure in a medical setting.  US FDA regulates Exam or personal lubricants or jellies under 21 CFR 876.15 and under FDA product code FHX.  Most nations, for tariff and trade purposes, schedule these products under HS 901890.</t>
  </si>
  <si>
    <t>Hemacytometer sets</t>
  </si>
  <si>
    <t>In this classification, this commodity indicates a product used as a set of supplies for an instrument for visual counting of the number of cells in a blood sample or other fluid under a microscope. in a medical setting.  US FDA regulates Hemacytometer sets under 21 CFR 864.6160 and under FDA product code GHO.  Most nations, for tariff and trade purposes, schedule these products under HS 902780.</t>
  </si>
  <si>
    <t>Endometrial cell sampler sets</t>
  </si>
  <si>
    <t>In this classification, this commodity indicates a product that is either an accessory or consumable associated with endometrial cell sampler sets.  US FDA regulates Endometrial cell sampler sets or accessories under 21 CFR 884.1060 and under FDA product code HFF.  Most nations, for tariff and trade purposes, schedule these products under HS 901890.</t>
  </si>
  <si>
    <t>Sexual assault determination kits</t>
  </si>
  <si>
    <t>In this classification, this commodity indicates a product that is a prepackaged collection (either custom or standard) of the equipment and supplies used to perform assault determination procedures l in a medical setting.  US FDA regulates Sexual assault determination kits under 21 CFR 884.1630 and under FDA product code OHE.  Most nations, for tariff and trade purposes, schedule these products under HS 901811.</t>
  </si>
  <si>
    <t>Medical examining mirror headbands</t>
  </si>
  <si>
    <t>In this classification, this commodity indicates a product used as a headband for an examination mirror in a medical setting.  US FDA regulates Medical examining mirror headbands under 21 CFR 886.15 and under FDA product code FTX.  Most nations, for tariff and trade purposes, schedule these products under HS 611780.</t>
  </si>
  <si>
    <t>Cleaning wipes for diagnostic equipment</t>
  </si>
  <si>
    <t>In this classification, this commodity indicates a product used as a wipe to clean diagnostic equipment in a medical setting.Cleaning wipes for diagnostic equipment under 21 CFR FDA does and under FDA product code LKB.  Most nations, for tariff and trade purposes, schedule these products under HS 380894.</t>
  </si>
  <si>
    <t>Flight surgeon physical examination sets</t>
  </si>
  <si>
    <t>In this classification, this commodity indicates a product used as a physical examination set used by flight surgeons in a medical setting.  Most nations, for tariff and trade purposes, schedule these products under HS 901811.</t>
  </si>
  <si>
    <t>Transcuteanous jandice measures</t>
  </si>
  <si>
    <t>In this classification, this commodity indicates a product used as a measure for transcutaneous jaundice in a medical setting.Transcutaneous jaundice meters under 21 CFR and under FDA product code LMX.  Most nations, for tariff and trade purposes, schedule these products under HS 901010.</t>
  </si>
  <si>
    <t>Male impotence gages</t>
  </si>
  <si>
    <t>In this classification, this commodity indicates a product used as a gage for male impotence in a medical setting.  US FDA regulates Male impotence gages under 21 CFR 876.3350 and under FDA product code FHW.  Most nations, for tariff and trade purposes, schedule these products under HS 901010.</t>
  </si>
  <si>
    <t>Typhoid carrier examination spoons</t>
  </si>
  <si>
    <t>In this classification, this commodity indicates a product used as a spoon for the examination to determine a typhoid carrier in a medical setting.  Most nations, for tariff and trade purposes, schedule these products under HS 901010.</t>
  </si>
  <si>
    <t>Sinus irrigation kits</t>
  </si>
  <si>
    <t>that is a prepackaged collection (either custom or standard) of the equipment and supplies used to perform a sinus irrigation procedure in a medical setting.  US FDA regulates Sinus irrigation kits under 21 CFR 874.4420 and under FDA product code KAR.  Most nations, for tariff and trade purposes, schedule these products under HS 481710.</t>
  </si>
  <si>
    <t>Hemoglobin photometers</t>
  </si>
  <si>
    <t>In this classification, this commodity indicates a product used as a photometer to measure the amount of hemoglobin in a specimen in a medical setting.  US FDA regulates Hemoglobin photometers under 21 CFR 864.5620 and under FDA product code PHP.  Most nations, for tariff and trade purposes, schedule these products under HS 901890.</t>
  </si>
  <si>
    <t>Exam procedure trays</t>
  </si>
  <si>
    <t>In this classification, this commodity indicates a product used as a tray holding instruments and consumable used in a medical procedure.  US FDA regulates Exam procedure trays under 21 CFR 874.53 and under FDA product code ETF.  Most nations, for tariff and trade purposes, schedule these products under HS 902213.</t>
  </si>
  <si>
    <t>Electromyography EMG units</t>
  </si>
  <si>
    <t>In this classification, this commodity indicates a product that is a device used in the recording of the electrical activity of muscle tissue, or its representation as a visual display or audible signal procedure in a medical setting.  US FDA regulates Electromyography EMG units under 21 CFR 890.1375 and under FDA product code OAL.  Most nations, for tariff and trade purposes, schedule these products under HS 901819.</t>
  </si>
  <si>
    <t>Intrathoracic pressure meters</t>
  </si>
  <si>
    <t>In this classification, this commodity indicates a product used as a to measure the amount of pressure in the lungs when inflated.  Most nations, for tariff and trade purposes, schedule these products under HS 901890.</t>
  </si>
  <si>
    <t>Spinal fluid pressure monitors</t>
  </si>
  <si>
    <t>In this classification, this commodity indicates a product that is a customized computer monitor that displays hemodialysis arterial pressure specific levels.  US FDA regulates Spinal fluid pressure monitors under 21 CFR 880.2460 and under FDA product code CAR.  Most nations, for tariff and trade purposes, schedule these products under HS 852849.</t>
  </si>
  <si>
    <t>Gait analysis apparatus</t>
  </si>
  <si>
    <t>In this classification, this commodity indicates a product used as a device to measure a person's gait in a medical setting.  Most nations, for tariff and trade purposes, schedule these products under HS 902213.</t>
  </si>
  <si>
    <t>Isokinetic testing and evaluation systems</t>
  </si>
  <si>
    <t>In this classification, this commodity indicates a system consisting of products, consumables and accessories that are used to execute an isokinetic testing and evaluation procedure in a medical setting.  US FDA regulates Isokinetic testing and evaluation systems under 21 CFR 890.1925 and under FDA product code IKK.  Most nations, for tariff and trade purposes, schedule these products under HS 901890.</t>
  </si>
  <si>
    <t>Rigidity analyzers</t>
  </si>
  <si>
    <t>In this classification, this commodity indicates a product used as a device for quantifying the extent of the rigidity of a patient's limb to determine the effectiveness of drugs or other treatments in a medical setting.  US FDA regulates Rigidity analyzers under 21 CFR 882.1020 and under FDA product code GZM.  Most nations, for tariff and trade purposes, schedule these products under HS 903020.</t>
  </si>
  <si>
    <t>Ataxiagraphs</t>
  </si>
  <si>
    <t>In this classification, this commodity indicates a product used as an instrument for measuring the degree and direction of the swaying of the body and head in static ataxia in a medical setting.  US FDA regulates Ataxiagraphs under 21 CFR 882.1030 and under FDA product code GWW.  Most nations, for tariff and trade purposes, schedule these products under HS 901890.</t>
  </si>
  <si>
    <t>Medical dynamometers</t>
  </si>
  <si>
    <t>In this classification, this commodity indicates a product used as an instrument for measuring the force of muscular contraction in a medical setting.  US FDA regulates Medical dynamometers under 21 CFR 888.1240 and under FDA product code HRB.  Most nations, for tariff and trade purposes, schedule these products under HS 901849.</t>
  </si>
  <si>
    <t>Skin electrical resistance measuring devices</t>
  </si>
  <si>
    <t>In this classification, this commodity indicates a product used as a device to measure the amount of electrical resistance in the skin of a patient in a medical setting.  US FDA regulates Skin electrical resistance measuring devices under 21 CFR 882.1540 and under FDA product code LMY.  Most nations, for tariff and trade purposes, schedule these products under HS 901849.</t>
  </si>
  <si>
    <t>Esthesiometers</t>
  </si>
  <si>
    <t>In this classification, this commodity indicates a product used as a device for measuring the tactile sensitivity of the skin in a medical setting.  Most nations, for tariff and trade purposes, schedule these products under HS 901849.</t>
  </si>
  <si>
    <t>Iontophoresis sweat induction systems</t>
  </si>
  <si>
    <t>In this classification, this commodity indicates a system consisting of products, consumables and accessories that are used to execute an iontophoresis sweat induction procedure in a medical setting.  US FDA regulates Iontophoresis sweat induction systems under 21 CFR 890.5525 and under FDA product code EGJ.  Most nations, for tariff and trade purposes, schedule these products under HS 901849.</t>
  </si>
  <si>
    <t>Nerve conduction velocity measurement devices</t>
  </si>
  <si>
    <t>In this classification, this commodity indicates a product used as a derived to measure the nerve conduction velocity in a medical setting.  US FDA regulates Nerve conduction velocity measurement devices under 21 CFR 882.1550 and under FDA product code JXE.  Most nations, for tariff and trade purposes, schedule these products under HS 901890.</t>
  </si>
  <si>
    <t>Electroglottographs</t>
  </si>
  <si>
    <t>In this classification, this commodity indicates a product used as a device for measuring how much electricity flows across the larynx in a medical setting.  US FDA regulates Electroglottographs under 21 CFR 874.1325 and under FDA product code KLX.  Most nations, for tariff and trade purposes, schedule these products under HS 901819.</t>
  </si>
  <si>
    <t>Physiological electronic signal conditioners</t>
  </si>
  <si>
    <t>In this classification, this commodity indicates a product used as a conditioner for physiological electronic sensoring devices used in a medical setting.  US FDA regulates Physiological electronic signal conditioners under 21 CFR 882.1845 and under FDA product code GWK.  Most nations, for tariff and trade purposes, schedule these products under HS 901849.</t>
  </si>
  <si>
    <t>Obstetric-gynecologic uterine electromyographic monitors</t>
  </si>
  <si>
    <t>In this classification, this commodity indicates a product that is a customized computer monitor that displays electromyographic specific levels.  Most nations, for tariff and trade purposes, schedule these products under HS 852849.</t>
  </si>
  <si>
    <t>Body plethysmographs</t>
  </si>
  <si>
    <t>In this classification, this commodity indicates a product used as a devise to measure residual volume, functional residual capacity, and total lung capacity in a medical setting.  Most nations, for tariff and trade purposes, schedule these products under HS 901890.</t>
  </si>
  <si>
    <t>Electromyograph electrodes or sets</t>
  </si>
  <si>
    <t>In this classification, this commodity indicates a product used as an electrode or consumables set used by an electrodiagnostic medicine technique for evaluating and recording the electrical activity produced by skeletal muscles in a medical setting.  Most nations, for tariff and trade purposes, schedule these products under HS 901831.</t>
  </si>
  <si>
    <t>Electromyography EMG unit accessories</t>
  </si>
  <si>
    <t>In this classification, this commodity indicates a product that is either an accessory or consumable associated with electromyography emg units.  Most nations, for tariff and trade purposes, schedule these products under HS 901890.</t>
  </si>
  <si>
    <t>Medical examining mirror headband accessories</t>
  </si>
  <si>
    <t>In this classification, this commodity indicates a product that is either an accessory or consumable associated with medical examining mirror headbands.</t>
  </si>
  <si>
    <t>Gustometers</t>
  </si>
  <si>
    <t>In this classification, this commodity indicates a product used as a device that can be used to measure unconditioned licking behavior to stimuli presented for short durations in a medical setting.  Most nations, for tariff and trade purposes, schedule these products under HS 901890.</t>
  </si>
  <si>
    <t>Endometrial cell sampler set accessories</t>
  </si>
  <si>
    <t>Accessories included with endometrial cell sampler sets</t>
  </si>
  <si>
    <t>42181600</t>
  </si>
  <si>
    <t>Blood pressure units and related products</t>
  </si>
  <si>
    <t>In this classification, this class includes, products, components, accessories, and supplies, utilized in blood pressure based medical procedures.</t>
  </si>
  <si>
    <t>Aneroid blood pressure units</t>
  </si>
  <si>
    <t>In this classification, this commodity indicates a product that is a device used in electronic blood pressure measuring procedures in a medical setting.  US FDA regulates Aneroid blood pressure units under 21 CFR 870.1120 and under FDA product code KRK.  Most nations, for tariff and trade purposes, schedule these products under HS 901890.</t>
  </si>
  <si>
    <t>Electronic blood pressure units</t>
  </si>
  <si>
    <t>In this classification, this commodity indicates a product that is a device used in mercury based blood pressure measuring procedures in a medical setting.  US FDA regulates Electronic blood pressure units under 21 CFR 870.1110 and under FDA product code DSK.  Most nations, for tariff and trade purposes, schedule these products under HS 901890.</t>
  </si>
  <si>
    <t>Mercury blood pressure units</t>
  </si>
  <si>
    <t>In this classification, this commodity indicates a product that is a device used in recording of blood pressure procedures in a medical setting.  Most nations, for tariff and trade purposes, schedule these products under HS 901890.</t>
  </si>
  <si>
    <t>Blood pressure air release valves or inflation bulbs</t>
  </si>
  <si>
    <t>In this classification, this commodity indicates a product used as an air release valve or inflation bulb by a blood pressure machine being used in a medical setting.  Most nations, for tariff and trade purposes, schedule these products under HS 901890.</t>
  </si>
  <si>
    <t>Blood pressure cuffs or bladders</t>
  </si>
  <si>
    <t>In this classification, this commodity indicates a product used as a cuff or bladder portion of a blood pressure machine used in a medical setting.  US FDA regulates Blood pressure cuffs or bladders under 21 CFR 870.1120 and under FDA product code DXQ.  Most nations, for tariff and trade purposes, schedule these products under HS 901890.</t>
  </si>
  <si>
    <t>Blood pressure inflation hoses or pneumatic hoses or adapters</t>
  </si>
  <si>
    <t>In this classification, this commodity indicates a product used as an in a medical setting.  Most nations, for tariff and trade purposes, schedule these products under HS 901890.</t>
  </si>
  <si>
    <t>Blood pressure recording units</t>
  </si>
  <si>
    <t>In this classification, this commodity indicates a product that is a device used in manual blood pressure measuring procedures in a medical setting.  US FDA regulates Blood pressure recording units under 21 CFR 870.11 and under FDA product code DSJ.  Most nations, for tariff and trade purposes, schedule these products under HS 901890.</t>
  </si>
  <si>
    <t>Blood pressure measuring instruments accessories</t>
  </si>
  <si>
    <t>In this classification, this commodity indicates a product that is either an accessory or consumable associated with blood pressure measuring instruments.  US FDA regulates Blood pressure measuring instruments accessories under 21 CFR 870.1110 and under FDA product code DSK.  Most nations, for tariff and trade purposes, schedule these products under HS 901890.</t>
  </si>
  <si>
    <t>Blood pressure monitor dome kits</t>
  </si>
  <si>
    <t>that is a prepackaged collection (either custom or standard) of the equipment and supplies used to enable a blood pressure monitoring dome in a medical setting.  Most nations, for tariff and trade purposes, schedule these products under HS 852849.</t>
  </si>
  <si>
    <t>Blood pressure cuff kits</t>
  </si>
  <si>
    <t>that is a prepackaged collection (either custom or standard) of the equipment and supplies used to enable blood pressure cuffs in a medical setting.  US FDA regulates Blood pressure cuff kits under 21 CFR 870.1120 and under FDA product code DXQ.  Most nations, for tariff and trade purposes, schedule these products under HS 901890.</t>
  </si>
  <si>
    <t>Central venous pressure CVP manometers</t>
  </si>
  <si>
    <t>In this classification, this commodity indicates a product used as a manometer measuring central venous pressure in a medical setting.  US FDA regulates Central venous pressure CVP manometers under 21 CFR 870.1140 and under FDA product code KRK.  Most nations, for tariff and trade purposes, schedule these products under HS 901819.</t>
  </si>
  <si>
    <t>42181700</t>
  </si>
  <si>
    <t>Electrocardiography EKG units and related products</t>
  </si>
  <si>
    <t>In this classification, this class includes, products, components, accessories, and supplies, utilized in Electrocardiography based medical procedures.</t>
  </si>
  <si>
    <t>Electrocardiography EKG units</t>
  </si>
  <si>
    <t>In this classification, this commodity indicates a product that can record and measure electronic waves generated from the heart of an animal.  US FDA regulates Electrocardiography EKG units under 21 CFR 870.2340 and under FDA product code DPS.  Most nations, for tariff and trade purposes, schedule these products under HS 842139.</t>
  </si>
  <si>
    <t>Electrocardiography EKG adapters or cables or leads</t>
  </si>
  <si>
    <t>In this classification, this commodity indicates the peripheral adapters, cables, or leads for a product that can record and measure electronic waves generated from the heart of a human.  US FDA regulates Electrocardiography EKG adapters or cables or leads under 21 CFR 870.2340 and under FDA product code DPS.  Most nations, for tariff and trade purposes, schedule these products under HS 842139.</t>
  </si>
  <si>
    <t>Electrocardiography EKG cable or lead or unit testers</t>
  </si>
  <si>
    <t>In this classification, this commodity indicates the peripheral cables, leads or unit tester for a product that can record and measure electronic waves generated from the heart of a human.  US FDA regulates Electrocardiography EKG cable or lead or unit testers under 21 CFR 870.2340 and under FDA product code DPS.  Most nations, for tariff and trade purposes, schedule these products under HS 842139.</t>
  </si>
  <si>
    <t>Electrocardiography EKG calipers or rulers</t>
  </si>
  <si>
    <t>In this classification, this commodity indicates the peripheral calipers or rulers for a product that can record and measure electronic waves generated from the heart of a human.  Most nations, for tariff and trade purposes, schedule these products under HS 901890.</t>
  </si>
  <si>
    <t>Electrocardiography EKG graphic recorders</t>
  </si>
  <si>
    <t>In this classification, this commodity indicates the peripheral graphic recorders for a product that can record and measure electronic waves generated from the heart of a human.  US FDA regulates Electrocardiography EKG graphic recorders under 21 CFR 870.2340 and under FDA product code DPS.  Most nations, for tariff and trade purposes, schedule these products under HS 901849.</t>
  </si>
  <si>
    <t>Electrocardiography EKG monitor screens</t>
  </si>
  <si>
    <t>In this classification, this commodity indicates the peripheral monitor screens for a product that can record and measure electronic waves generated from the heart of a human.  Most nations, for tariff and trade purposes, schedule these products under HS 852849.</t>
  </si>
  <si>
    <t>Electrocardiography EKG neonatal strap or ring electrodes</t>
  </si>
  <si>
    <t>In this classification, this commodity indicates the peripheral neonatal straps or ring electrodes for a product that can record and measure electronic waves generated from the heart of a human.  US FDA regulates Electrocardiography EKG neonatal strap or ring electrodes under 21 CFR 870.2360 and under FDA product code DRX.  Most nations, for tariff and trade purposes, schedule these products under HS 901811.</t>
  </si>
  <si>
    <t>Electrocardiography EKG electrode patches</t>
  </si>
  <si>
    <t>In this classification, this commodity indicates the peripheral patches used to complete electrode capabilities for a product that can record and measure electronic waves generated from the heart of a human.  US FDA regulates Electrocardiography EKG electrode patches under 21 CFR 870.2360 and under FDA product code DRX.  Most nations, for tariff and trade purposes, schedule these products under HS 901811.</t>
  </si>
  <si>
    <t>Electrocardiography EKG surface electrode testers</t>
  </si>
  <si>
    <t>In this classification, this commodity indicates the peripheral unit that can test the electrodes for a product that can record and measure electronic waves generated from the heart of a human.  US FDA regulates Electrocardiography EKG surface electrode testers under 21 CFR 870.2370 and under FDA product code KRC.  Most nations, for tariff and trade purposes, schedule these products under HS 901890.</t>
  </si>
  <si>
    <t>Electrocardiography EKG telephony transmitter or receiver systems</t>
  </si>
  <si>
    <t>In this classification, this commodity indicates the peripheral telephony transmitting and receiving unit for a product that can record and measure electronic waves generated from the heart of a human.  Most nations, for tariff and trade purposes, schedule these products under HS 901890.</t>
  </si>
  <si>
    <t>Electrocardiography EKG unit analyzers</t>
  </si>
  <si>
    <t>In this classification, this commodity indicates the analyzer unit for a product that can record and measure electronic waves generated from the heart of a human.  US FDA regulates Electrocardiography EKG unit analyzers under 21 CFR 870.28 and under FDA product code MLO.  Most nations, for tariff and trade purposes, schedule these products under HS 901849.</t>
  </si>
  <si>
    <t>Long term continuous electrocardiography EKG or holter monitoring systems</t>
  </si>
  <si>
    <t>In this classification, this commodity indicates a product that can record and measure electronic waves generated from the heart of a human for long protracted d periods of time.  US FDA regulates Long term continuous electrocardiography EKG or holter monitoring systems under 21 CFR 870.28 and under FDA product code MXC.  Most nations, for tariff and trade purposes, schedule these products under HS 852849.</t>
  </si>
  <si>
    <t>Electrode solutions or creams</t>
  </si>
  <si>
    <t>In this classification, this commodity indicates the solutions or creams used in association with a product that can record and measure electronic waves generated from the heart of a human.  Most nations, for tariff and trade purposes, schedule these products under HS 300339.</t>
  </si>
  <si>
    <t>Electrocardiography EKG accessories</t>
  </si>
  <si>
    <t>In this classification, this commodity indicates the accessories for a product that can record and measure electronic waves generated from the heart of a human.  US FDA regulates Electrocardiography EKG accessories under 21 CFR 870.2340 and under FDA product code DPS.  Most nations, for tariff and trade purposes, schedule these products under HS 901811.</t>
  </si>
  <si>
    <t>Electrocardiography EKG electrode bulbs</t>
  </si>
  <si>
    <t>In this classification, this commodity indicates the peripheral calipers or rulers for a product that can record and measure electronic waves generated from the heart of a human.  US FDA regulates Electrocardiography EKG electrode bulbs under 21 CFR 870.2360 and under FDA product code DRX.  Most nations, for tariff and trade purposes, schedule these products under HS 901890.</t>
  </si>
  <si>
    <t>Electrocardiography EKG recording pens</t>
  </si>
  <si>
    <t>In this classification, this commodity indicates the peripheral calipers or rulers for a product that can record and measure electronic waves generated from the heart of a human.  US FDA regulates Electrocardiography EKG recording pens under 21 CFR 870.2340 and under FDA product code DPS.  Most nations, for tariff and trade purposes, schedule these products under HS 901890.</t>
  </si>
  <si>
    <t>Electrocardiography EKG transmitters or telemetry devices</t>
  </si>
  <si>
    <t>In this classification, this commodity indicates the peripheral transmitters or telemetry devices for a product that can record and measure electronic waves generated from the heart of a human.  Most nations, for tariff and trade purposes, schedule these products under HS 901890.</t>
  </si>
  <si>
    <t>Stress exercise monitoring systems</t>
  </si>
  <si>
    <t>In this classification, this commodity indicates a product that can perform stress exercise monitoring in humans.  Most nations, for tariff and trade purposes, schedule these products under HS 852849.</t>
  </si>
  <si>
    <t>Sphygmographs</t>
  </si>
  <si>
    <t>In this classification, this commodity indicates a product that graphs lines recording the strength of a pulse in a human.  Most nations, for tariff and trade purposes, schedule these products under HS 901890.</t>
  </si>
  <si>
    <t>Pulse wave analyzers</t>
  </si>
  <si>
    <t>In this classification, this commodity indicates a product that records pulse waves in a human.  US FDA regulates Pulse wave analyzers under 21 CFR 870.3630 and under FDA product code DTC.  Most nations, for tariff and trade purposes, schedule these products under HS 903020.</t>
  </si>
  <si>
    <t>Electrocardiography EKG recording papers</t>
  </si>
  <si>
    <t>In this classification, this commodity indicates the peripheral recording papers for a product that can record and measure electronic waves generated from the heart of a human.  Most nations, for tariff and trade purposes, schedule these products under HS 901890.</t>
  </si>
  <si>
    <t>Electrocardiography EKG transmitter or telemetry accessories</t>
  </si>
  <si>
    <t>In this classification, this commodity indicates the peripheral transmitter or telemetry accessories for a product that can record and measure electronic waves generated from the heart of a human.  Most nations, for tariff and trade purposes, schedule these products under HS 901890.</t>
  </si>
  <si>
    <t>42181800</t>
  </si>
  <si>
    <t>Pulse oximeters</t>
  </si>
  <si>
    <t>In this classification, this class includes, products, components, accessories, and supplies, utilized in pulse oximeter based medical procedures.</t>
  </si>
  <si>
    <t>Pulse oximeter units</t>
  </si>
  <si>
    <t>In this classification, this commodity indicates a product that records the level of oxygen saturation in a human.  US FDA regulates Pulse oximeter units under 21 CFR 864. 750 and under FDA product code DPZ.  Most nations, for tariff and trade purposes, schedule these products under HS 901819.</t>
  </si>
  <si>
    <t>Pulse oximeter cables</t>
  </si>
  <si>
    <t>In this classification, this commodity indicates the cables used in association with a product that records the level of oxygen saturation in a human.  US FDA regulates Pulse oximeter cables under 21 CFR 864.75 and under FDA product code DPZ.  Most nations, for tariff and trade purposes, schedule these products under HS 901819.</t>
  </si>
  <si>
    <t>Pulse oximeter probes or sensors</t>
  </si>
  <si>
    <t>In this classification, this commodity indicates the probes or sensors used in association with a product that records the level of oxygen saturation in a human.  US FDA regulates Pulse oximeter probes or sensors under 21 CFR 864.75 and under FDA product code DPZ.  Most nations, for tariff and trade purposes, schedule these products under HS 901819.</t>
  </si>
  <si>
    <t>Pulse oximeter probe or sensor accessories</t>
  </si>
  <si>
    <t>In this classification, this commodity indicates the probe or sensor accessories used in association with a product that records the level of oxygen saturation in a human.  US FDA regulates Pulse oximeter probe or sensor accessories under 21 CFR 864.75 and under FDA product code DPZ.  Most nations, for tariff and trade purposes, schedule these products under HS 901819.</t>
  </si>
  <si>
    <t>Pulse oximeter unit accessories</t>
  </si>
  <si>
    <t>In this classification, this commodity indicates the accessories for a product that records the level of oxygen saturation in a human.  US FDA regulates Pulse oximeter unit accessories under 21 CFR 864.75 and under FDA product code DPZ.  Most nations, for tariff and trade purposes, schedule these products under HS 901819.</t>
  </si>
  <si>
    <t>42181900</t>
  </si>
  <si>
    <t>Acute care monitoring units and related products</t>
  </si>
  <si>
    <t>In this classification, this class includes, products, components, accessories, and supplies, utilized in acute care monitoring based medical procedures.</t>
  </si>
  <si>
    <t>Intracranial pressure ICP monitoring units</t>
  </si>
  <si>
    <t>In this classification, this commodity indicates a product that is a device used in intracranial pressure measuring and monitoring procedures in a medical setting.  US FDA regulates Intracranial pressure ICP monitoring units under 21 CFR 882.1620 and under FDA product code GWM.  Most nations, for tariff and trade purposes, schedule these products under HS 852849.</t>
  </si>
  <si>
    <t>Cardiac output CO monitoring units</t>
  </si>
  <si>
    <t>In this classification, this commodity indicates a product that is a device used in cardiac output procedures in a medical setting.  Most nations, for tariff and trade purposes, schedule these products under HS 852849.</t>
  </si>
  <si>
    <t>Multiparameter vital sign units</t>
  </si>
  <si>
    <t>in this classification, this commodity indicates a product that is a device used in a multiparameter vital sign procedures in a medical setting.  US FDA regulates Multiparameter vital sign units under 21 CFR 870.23 and under FDA product code PLB.  Most nations, for tariff and trade purposes, schedule these products under HS 901890.</t>
  </si>
  <si>
    <t>Medical transducer monitor cables</t>
  </si>
  <si>
    <t>In this classification, this commodity indicates a product used as a cable for medical transducers monitor in a medical setting.  US FDA regulates Medical transducer monitor cables under 21 CFR 870.29 and under FDA product code DSA.  Most nations, for tariff and trade purposes, schedule these products under HS 901890.</t>
  </si>
  <si>
    <t>Basal metabolism apparatus</t>
  </si>
  <si>
    <t>In this classification, this commodity indicates a product used as an apparatus measuring basal metabolism in a medical setting.  Most nations, for tariff and trade purposes, schedule these products under HS 901890.</t>
  </si>
  <si>
    <t>Intracompartmental pressure monitoring sets</t>
  </si>
  <si>
    <t>In this classification, this commodity indicates a product used as a monitoring set for intracompartmental pressure devices in a medical setting.Intracompartmental pressure monitoring sets under 21 CFR and under FDA product code LXC.  Most nations, for tariff and trade purposes, schedule these products under HS 852849.</t>
  </si>
  <si>
    <t>Central venous glucose concentration monitors</t>
  </si>
  <si>
    <t>Tonometric gastric perfusion monitoring systems</t>
  </si>
  <si>
    <t>In this classification, this commodity indicates a system consisting of products, consumables and accessories that are used to execute a tonometric gastric perfusion monitoring procedure in a medical setting.  Most nations, for tariff and trade purposes, schedule these products under HS 852849.</t>
  </si>
  <si>
    <t>Trans-cranial doppler (TCD) microemboli monitors</t>
  </si>
  <si>
    <t>In this classification, this commodity indicates a product that is a customized computer monitor that displays Trans-cranial doppler (microemboli specific levels.  Most nations, for tariff and trade purposes, schedule these products under HS 852849.</t>
  </si>
  <si>
    <t>Intracompartmental pressure monitoring set accessories</t>
  </si>
  <si>
    <t>In this classification, this commodity indicates a product that is either an accessory or consumable associated with intracompartmental pressure monitoring sets.  Most nations, for tariff and trade purposes, schedule these products under HS 852849.</t>
  </si>
  <si>
    <t>Cerebral oximeters</t>
  </si>
  <si>
    <t>In this classification, this commodity indicates a product used as a device that obtains continuous, noninvasive cerebral oxygenation values using near-infrared spectroscopy in a medical setting.  Most nations, for tariff and trade purposes, schedule these products under HS 901890.</t>
  </si>
  <si>
    <t>Cerebral oximeter accessories</t>
  </si>
  <si>
    <t>In this classification, this commodity indicates a product that is either an accessory or consumable associated with cerebral oximeters.  Most nations, for tariff and trade purposes, schedule these products under HS 901890.</t>
  </si>
  <si>
    <t>Multiparameter vital sign unit accessories</t>
  </si>
  <si>
    <t>In this classification, this commodity indicates a product that is either an accessory or consumable associated with multiparameter vital sign units.  Most nations, for tariff and trade purposes, schedule these products under HS 901811.</t>
  </si>
  <si>
    <t>Intracranial pressure ICP monitoring unit accessories</t>
  </si>
  <si>
    <t>In this classification, this commodity.  Most nations, for tariff and trade purposes, schedule these products under HS 852849.</t>
  </si>
  <si>
    <t>Cardiac output CO monitoring unit accessories</t>
  </si>
  <si>
    <t>In this classification, this commodity indicates a product that is either an accessory or consumable associated with cardiac output co monitoring units.  Most nations, for tariff and trade purposes, schedule these products under HS 852849.</t>
  </si>
  <si>
    <t>Electrode recording or probe electrode recording catheters</t>
  </si>
  <si>
    <t>In this classification, this commodity indicates a product used as a flexible tube inserted through a narrow opening into a body cavity record or probe for recordable events in a medical procedure.  Most nations, for tariff and trade purposes, schedule these products under HS 901839.</t>
  </si>
  <si>
    <t>Impedance phlebographs</t>
  </si>
  <si>
    <t>In this classification, this commodity indicates a product used as an Impedance phlebographs device in a medical setting.  Most nations, for tariff and trade purposes, schedule these products under HS 901890.</t>
  </si>
  <si>
    <t>Photoplethysmography multi-parameter sensors</t>
  </si>
  <si>
    <t>In this classification, this commodity indicates a product used as a Photoplethysmography multi-parameter sensor device in a medical setting.  Most nations, for tariff and trade purposes, schedule these products under HS 901890.</t>
  </si>
  <si>
    <t>Photoplethysmography multi-parameter monitors</t>
  </si>
  <si>
    <t>In this classification, this commodity indicates a product that is a customized computer monitor that displays photoplethysmography multi-parameter specific levels.  Most nations, for tariff and trade purposes, schedule these products under HS 852849.</t>
  </si>
  <si>
    <t>42182000</t>
  </si>
  <si>
    <t>Scopes and specula and accessories for medical exam diagnostic use</t>
  </si>
  <si>
    <t>In this classification, this class includes, products, components, accessories, and supplies, utilized in diagnostic examination based medical procedures.</t>
  </si>
  <si>
    <t>Anal or rectal exam speculas</t>
  </si>
  <si>
    <t>In this classification, this commodity indicates a product that is a tool designed to inspect the anus or rectums in humans.  US FDA regulates Anal or rectal exam speculas under 21 CFR 876.4730 and under FDA product code FXF.  Most nations, for tariff and trade purposes, schedule these products under HS 901890.</t>
  </si>
  <si>
    <t>Colposcopes or vaginoscopes</t>
  </si>
  <si>
    <t>In this classification, this commodity indicates a product used as an instrument for examining the vulva, vagina, and cervix by means of a magnifying lens and a bright light, used to identify abnormal epithelium that warrants biopsy and to evaluate the cervix following a pap smear in a medical setting.  US FDA regulates Colposcopes or vaginoscopes under 21 CFR 884.1630 and under FDA product code MOK.  Most nations, for tariff and trade purposes, schedule these products under HS 900630.</t>
  </si>
  <si>
    <t>Dermatoscopes</t>
  </si>
  <si>
    <t>In this classification, this commodity indicates a product used as a device used to examine the skin at low (e.g., 10X) magnification in a medical setting.  Most nations, for tariff and trade purposes, schedule these products under HS 900630.</t>
  </si>
  <si>
    <t>Ophthalmoscopes or otoscopes or scope sets</t>
  </si>
  <si>
    <t>In this classification, this commodity indicates a product used as a is used to inspect the fundus of the eye or its associated consumables in a medical setting.  US FDA regulates Ophthalmoscopes or otoscopes or scope sets under 21 CFR 876.15 8 and under FDA product code KYH.  Most nations, for tariff and trade purposes, schedule these products under HS 900630.</t>
  </si>
  <si>
    <t>Laryngeal or oropharyngeal exam speculas</t>
  </si>
  <si>
    <t>In this classification, this commodity indicates a product that is a tool designed to inspect the larynx or oropharynx in humans.  Most nations, for tariff and trade purposes, schedule these products under HS 901890.</t>
  </si>
  <si>
    <t>Medical exam scope bulbs or lamps</t>
  </si>
  <si>
    <t>In this classification, this commodity indicates a product used as a bulbs or lamps associated with medical exam scopes in a medical setting.  Most nations, for tariff and trade purposes, schedule these products under HS 901890.</t>
  </si>
  <si>
    <t>Medical exam scope handles</t>
  </si>
  <si>
    <t>In this classification, this commodity indicates a product used as the handles associated with medical exam scopes in a medical setting.  Most nations, for tariff and trade purposes, schedule these products under HS 901890.</t>
  </si>
  <si>
    <t>Medical exam scope specula tips or specula tip dispensers</t>
  </si>
  <si>
    <t>In this classification, this commodity indicates a product used as the specula tips or specula tip dispensers associated with medical exam scopes in a medical setting.  Most nations, for tariff and trade purposes, schedule these products under HS 901890.</t>
  </si>
  <si>
    <t>Medical exam specula holders or stands</t>
  </si>
  <si>
    <t>In this classification, this commodity indicates a product used as a specula holders or stands associated with medical exam scopes in a medical setting.  Most nations, for tariff and trade purposes, schedule these products under HS 901890.</t>
  </si>
  <si>
    <t>Medical exam specula or dilator tips or tip dispensers</t>
  </si>
  <si>
    <t>In this classification, this commodity indicates a product used as a dilator tips or tip dispenser associated with medical exam scopes in a medical setting.  Most nations, for tariff and trade purposes, schedule these products under HS 300640.</t>
  </si>
  <si>
    <t>Nasal exam specula or dilators</t>
  </si>
  <si>
    <t>In this classification, this commodity indicates a product used as a specula or dilator tips associated with nasal exam scopes in a medical setting.  US FDA regulates Nasal exam specula or dilators under 21 CFR 878.18 and under FDA product code FXE.  Most nations, for tariff and trade purposes, schedule these products under HS 901890.</t>
  </si>
  <si>
    <t>Vaginal exam speculas</t>
  </si>
  <si>
    <t>In this classification, this commodity indicates a product that is a tool designed to inspect the anus or rectums in humans.  US FDA regulates Vaginal exam speculas under 21 CFR 884.4520 and under FDA product code HDF.  Most nations, for tariff and trade purposes, schedule these products under HS 901890.</t>
  </si>
  <si>
    <t>Otoscope speculums</t>
  </si>
  <si>
    <t>In this classification, this commodity indicates a product that is a tool designed be used in association with an Otoscope to inspect the orifices of humans.  US FDA regulates Otoscope speculums under 21 CFR 886.4350 and under FDA product code HNC.  Most nations, for tariff and trade purposes, schedule these products under HS 300640.</t>
  </si>
  <si>
    <t>Ear specula sets</t>
  </si>
  <si>
    <t>In this classification, this commodity indicates a product used as a set of medical tool for investigating the ear orifice in a medical setting.  US FDA regulates Ear specula sets under 21 CFR 878.18 and under FDA product code JYK.  Most nations, for tariff and trade purposes, schedule these products under HS 901890.</t>
  </si>
  <si>
    <t>Medical exam protective caps or covers</t>
  </si>
  <si>
    <t>In this classification, this commodity indicates a product used as a protective cap or cover during a medical examination in a medical setting.  Most nations, for tariff and trade purposes, schedule these products under HS 420310.</t>
  </si>
  <si>
    <t>Medical exam slit caps</t>
  </si>
  <si>
    <t>In this classification, this commodity indicates a product used as a slit caps for examinations in a medical setting.  Most nations, for tariff and trade purposes, schedule these products under HS 901890.</t>
  </si>
  <si>
    <t>Medical exam scope or specula charging bases or stands</t>
  </si>
  <si>
    <t>In this classification, this commodity indicates a product used as a charging base or stand for an exam scope or specula used in a medical setting.  Most nations, for tariff and trade purposes, schedule these products under HS 901890.</t>
  </si>
  <si>
    <t>Medical exam scope or specula transformers</t>
  </si>
  <si>
    <t>In this classification, this commodity indicates a product used as a transformer for an exam scope or specula used in a medical setting.  Most nations, for tariff and trade purposes, schedule these products under HS 901890.</t>
  </si>
  <si>
    <t>Dermatoscopy oils</t>
  </si>
  <si>
    <t>In this classification, this commodity indicates a product used as the oils involved in a dermatoscopy procedure in a medical setting.  Most nations, for tariff and trade purposes, schedule these products under HS 901890.</t>
  </si>
  <si>
    <t>42182100</t>
  </si>
  <si>
    <t>Stethoscopes and related products</t>
  </si>
  <si>
    <t>In this classification, this class includes, products, components, accessories, and supplies, utilized as stethoscopes and accessories utilized in medical procedures.</t>
  </si>
  <si>
    <t>Electronic stethoscopes</t>
  </si>
  <si>
    <t>In this classification, this commodity indicates a product used as an instrument used for listening to sounds produced within the body in a medical setting.  US FDA regulates Electronic stethoscopes under 21 CFR 868.1920 and under FDA product code BZT.  Most nations, for tariff and trade purposes, schedule these products under HS 901819.</t>
  </si>
  <si>
    <t>Hand held dopplers</t>
  </si>
  <si>
    <t>In this classification, this commodity indicates a product used as a device used to provide live audio of blood flow in a medical setting.  US FDA regulates Hand held dopplers under 21 CFR 884.2660 and under FDA product code LXE.  Most nations, for tariff and trade purposes, schedule these products under HS 901890.</t>
  </si>
  <si>
    <t>Medical acoustic stethoscopes</t>
  </si>
  <si>
    <t>In this classification, this commodity indicates a product that is either an accessory or consumable associated with medical acoustic stethoscopes.  US FDA regulates medical acoustic stethoscopes or accessories under 21 CFR 870.1875 and under FDA product code LDE.  Most nations, for tariff and trade purposes, schedule these products under HS 901890.</t>
  </si>
  <si>
    <t>Stethoscope head</t>
  </si>
  <si>
    <t>In this classification, this commodity indicates a product that is the head portion of a stethoscope used in a medical setting.  US FDA regulates Stethoscope head under 21 CFR 868.1930 and under FDA product code BZS.  Most nations, for tariff and trade purposes, schedule these products under HS 901890.</t>
  </si>
  <si>
    <t>Stethoscope head covers</t>
  </si>
  <si>
    <t>In this classification, this commodity indicates a product that covers the head portion of a stethoscope used in a medical setting.  Most nations, for tariff and trade purposes, schedule these products under HS 901890.</t>
  </si>
  <si>
    <t>Stethoscopic phonocardiographs</t>
  </si>
  <si>
    <t>In this classification, this commodity indicates a product that is a phonocardiograph that records all sound vibrations, audible and inaudible, conveyed by the stethoscope used in a medical setting.  Most nations, for tariff and trade purposes, schedule these products under HS 901890.</t>
  </si>
  <si>
    <t>Stethoscope headsets</t>
  </si>
  <si>
    <t>In this classification, this commodity indicates a product that is the headset connected to a stethoscope used in a medical setting.  US FDA regulates Stethoscope headsets under 21 CFR 868.1930 and under FDA product code BZS.  Most nations, for tariff and trade purposes, schedule these products under HS 901890.</t>
  </si>
  <si>
    <t>Stethoscope head diaphragms</t>
  </si>
  <si>
    <t>In this classification, this commodity indicates a product that is the diaphragm inside the head portion of a stethoscope used in a medical setting.  Most nations, for tariff and trade purposes, schedule these products under HS 901890.</t>
  </si>
  <si>
    <t>Stethoscope ear tips</t>
  </si>
  <si>
    <t>In this classification, this commodity indicates a product that is the ear tip portion of a stethoscope used in a medical setting.  Most nations, for tariff and trade purposes, schedule these products under HS 901890.</t>
  </si>
  <si>
    <t>Stethoscope earpieces</t>
  </si>
  <si>
    <t>In this classification, this commodity indicates a product that is the earpieces portion of a stethoscope used in a medical setting.  Most nations, for tariff and trade purposes, schedule these products under HS 901890.</t>
  </si>
  <si>
    <t>Stethoscope earpiece-tubings</t>
  </si>
  <si>
    <t>In this classification, this commodity indicates a product that is the earpieces tubing portion of a stethoscope used in a medical setting.  Most nations, for tariff and trade purposes, schedule these products under HS 901839.</t>
  </si>
  <si>
    <t>Stethoscope covers</t>
  </si>
  <si>
    <t>In this classification, this commodity indicates a product that is the cover for a stethoscope used in a medical setting.  Most nations, for tariff and trade purposes, schedule these products under HS 901890.</t>
  </si>
  <si>
    <t>Stethoscope identification tags or devices</t>
  </si>
  <si>
    <t>In this classification, this commodity indicates a product that is the identification tag or device used with a stethoscope used in a medical setting.  Most nations, for tariff and trade purposes, schedule these products under HS 901890.</t>
  </si>
  <si>
    <t>42182200</t>
  </si>
  <si>
    <t>Medical thermometers and accessories</t>
  </si>
  <si>
    <t>In this classification, this class includes, products, components, accessories, and supplies, utilized as thermometers in medical procedures.</t>
  </si>
  <si>
    <t>Electronic medical thermometers</t>
  </si>
  <si>
    <t>In this classification, this commodity indicates a product used as an electronic medical thermometer in a medical setting.  US FDA regulates Electronic medical thermometers under 21 CFR 880.29 and under FDA product code FLK.  Most nations, for tariff and trade purposes, schedule these products under HS 902511.</t>
  </si>
  <si>
    <t>Fiberoptic medical thermometers</t>
  </si>
  <si>
    <t>In this classification, this commodity indicates a product used as an fiberoptic medical thermometer in a medical setting.  US FDA regulates Fiberoptic medical thermometers under 21 CFR 880.29 and under FDA product code FLK.  Most nations, for tariff and trade purposes, schedule these products under HS 902511.</t>
  </si>
  <si>
    <t>Medical thermometer carrying cases or covers</t>
  </si>
  <si>
    <t>In this classification, this commodity indicates a product used as a carrying case or cover for an electronic medical thermometer in a medical setting.  US FDA regulates Medical thermometer carrying cases or covers under 21 CFR 880.29 and under FDA product code FLK.  Most nations, for tariff and trade purposes, schedule these products under HS 401699.</t>
  </si>
  <si>
    <t>Medical thermometer racks</t>
  </si>
  <si>
    <t>In this classification, this commodity indicates a product used as a storage rack for an electronic medical thermometer in a medical setting.  US FDA regulates Medical thermometer racks under 21 CFR 880.2910 and under FDA product code FLL.  Most nations, for tariff and trade purposes, schedule these products under HS 392690.</t>
  </si>
  <si>
    <t>Medical thermometer tip or probe covers</t>
  </si>
  <si>
    <t>In this classification, this commodity indicates a product used as a tip or probe cover for thermometer in a medical setting.  US FDA regulates Medical thermometer tip or probe covers under 21 CFR 880.2920 and under FDA product code FLK.  Most nations, for tariff and trade purposes, schedule these products under HS 392350.</t>
  </si>
  <si>
    <t>Mercury medical thermometers</t>
  </si>
  <si>
    <t>In this classification, this commodity indicates a product used as a mercury medical thermometer in a medical setting.  US FDA regulates Mercury medical thermometers under 21 CFR 880.29 and under FDA product code FQZ.  Most nations, for tariff and trade purposes, schedule these products under HS 902511.</t>
  </si>
  <si>
    <t>Patient temperature continuous or trend monitors</t>
  </si>
  <si>
    <t>In this classification, this commodity indicates a product used as a patient temperature continuous or trend monitor in a medical setting.  Most nations, for tariff and trade purposes, schedule these products under HS 852849.</t>
  </si>
  <si>
    <t>Patient temperature strips</t>
  </si>
  <si>
    <t>In this classification, this commodity indicates a product used as a strip used to take a patient's temperature in a medical setting.  US FDA regulates Patient temperature strips under 21 CFR 882.1750 and under FDA product code GWY.  Most nations, for tariff and trade purposes, schedule these products under HS 901831.</t>
  </si>
  <si>
    <t>Thermometer probes</t>
  </si>
  <si>
    <t>In this classification, this commodity indicates a product used as a probe portion of thermometer in a medical setting.  Most nations, for tariff and trade purposes, schedule these products under HS 901890.</t>
  </si>
  <si>
    <t>Non mercury glass medical thermometers</t>
  </si>
  <si>
    <t>In this classification, this commodity indicates a product used as a non-mercury glass thermometer in a medical setting.  Most nations, for tariff and trade purposes, schedule these products under HS 902511.</t>
  </si>
  <si>
    <t>Infrared thermography systems</t>
  </si>
  <si>
    <t>In this classification, this commodity indicates a system consisting of products, consumables and accessories that are used to execute an infrared thermography procedure in a medical setting.  US FDA regulates Infrared thermography systems under 21 CFR 884.2980 and under FDA product code IYM.  Most nations, for tariff and trade purposes, schedule these products under HS 901890.</t>
  </si>
  <si>
    <t>Exhaled breath thermometers</t>
  </si>
  <si>
    <t>In this classification, this commodity indicates a product used as thermometer that relies on exhaled breath of a patient in a medical setting.  Most nations, for tariff and trade purposes, schedule these products under HS 902511.</t>
  </si>
  <si>
    <t>42182300</t>
  </si>
  <si>
    <t>Neurological exam products</t>
  </si>
  <si>
    <t>In this classification, this class includes, products, components, accessories, and supplies, utilized in neurological examination based medical procedures.</t>
  </si>
  <si>
    <t>Medical diagnostic pinwheels</t>
  </si>
  <si>
    <t>In this classification, this commodity indicates a product used as thermometer in a medical setting.  US FDA regulates Medical diagnostic pinwheels under 21 CFR 882.1750 and under FDA product code GWY.  Most nations, for tariff and trade purposes, schedule these products under HS 392690.</t>
  </si>
  <si>
    <t>Reflex hammers or mallets</t>
  </si>
  <si>
    <t>In this classification, this commodity indicates a product used as a Reflex hammers or mallet in a medical setting.  US FDA regulates Reflex hammers or mallets under 21 CFR 882.17 and under FDA product code GWZ.  Most nations, for tariff and trade purposes, schedule these products under HS 901811.</t>
  </si>
  <si>
    <t>Neuropsychiatry exam cards</t>
  </si>
  <si>
    <t>In this classification, this commodity indicates a product used as a Neuropsychiatry exam card in a medical setting.  Most nations, for tariff and trade purposes, schedule these products under HS 401699.</t>
  </si>
  <si>
    <t>Psychological examination medical equipment sets</t>
  </si>
  <si>
    <t>In this classification, this commodity indicates a product used as a Psychological examination medical equipment and its associated sets, in a medical setting.  Most nations, for tariff and trade purposes, schedule these products under HS 901849.</t>
  </si>
  <si>
    <t>Neurological discriminators</t>
  </si>
  <si>
    <t>In this classification, this commodity indicates a product used as a Neurological discriminator in a medical setting.  Most nations, for tariff and trade purposes, schedule these products under HS 901811.</t>
  </si>
  <si>
    <t>Neurological pins</t>
  </si>
  <si>
    <t>In this classification, this commodity indicates a product used as a Neurological pin in a medical setting.  Most nations, for tariff and trade purposes, schedule these products under HS 340700.</t>
  </si>
  <si>
    <t>Electroencephalograph EEGs</t>
  </si>
  <si>
    <t>In this classification, this commodity indicates a product used as a machine using electrophysiological monitoring method to record electrical activity of the brain in a medical setting.  US FDA regulates Electroencephalograph EEGs under 21 CFR 882.14 and under FDA product code GWQ.  Most nations, for tariff and trade purposes, schedule these products under HS 630790.</t>
  </si>
  <si>
    <t>Neurologic sensors</t>
  </si>
  <si>
    <t>In this classification, this commodity indicates a product used as a device used as a neurologic sensor in a medical setting.  Most nations, for tariff and trade purposes, schedule these products under HS 901890.</t>
  </si>
  <si>
    <t>Neurological diagnostic sets</t>
  </si>
  <si>
    <t>In this classification, this commodity indicates a product used as a neurological diagnostic set in a medical setting.  Most nations, for tariff and trade purposes, schedule these products under HS 340700.</t>
  </si>
  <si>
    <t>Biofeedback devices</t>
  </si>
  <si>
    <t>In this classification, this commodity indicates a product used as a device that delivers biofeedback in a medical setting.  US FDA regulates Biofeedback devices under 21 CFR 882.5050 and under FDA product code HCC.  Most nations, for tariff and trade purposes, schedule these products under HS 901839.</t>
  </si>
  <si>
    <t>Electroencephalographic spectrum analysers</t>
  </si>
  <si>
    <t>In this classification, this commodity indicates a product used as an electroencephalographic spectrum analyzer in a medical setting.  US FDA regulates Electroencephalographic spectrum analysers under 21 CFR 882.14 and under FDA product code OLW.  Most nations, for tariff and trade purposes, schedule these products under HS 901811.</t>
  </si>
  <si>
    <t>Evoked response detectors</t>
  </si>
  <si>
    <t>In this classification, this commodity indicates a product used as an Evoked response detector in a medical setting.  US FDA regulates Evoked response detectors under 21 CFR 882.187, and under FDA product code NTU.  Most nations, for tariff and trade purposes, schedule these products under HS 901811.</t>
  </si>
  <si>
    <t>Alpha wave monitors</t>
  </si>
  <si>
    <t>Cortical electrodes</t>
  </si>
  <si>
    <t>In this classification, this commodity indicates a product used as a cortical electrode in a medical setting.  Most nations, for tariff and trade purposes, schedule these products under HS 901890.</t>
  </si>
  <si>
    <t>Electroencephalograph EEG electrodes</t>
  </si>
  <si>
    <t>In this classification, this commodity indicates a product used as at the electrodes for a machine using electrophysiological monitoring method to record electrical activity of the brain in a medical setting.  Most nations, for tariff and trade purposes, schedule these products under HS 901849.</t>
  </si>
  <si>
    <t>Encephalogram telemetry systems</t>
  </si>
  <si>
    <t>In this classification, this commodity indicates a system consisting of products, consumables and accessories that are used to execute an encephalogram telemetry procedure in a medical setting.  Most nations, for tariff and trade purposes, schedule these products under HS 901890.</t>
  </si>
  <si>
    <t>Evoked response stimulators</t>
  </si>
  <si>
    <t>In this classification, this commodity indicates a product used as a device used to deliver an electrical, visual, or auditory stimulus and record the evoked response in the patient via electrodes attached to the patient's skin in a medical setting.  Most nations, for tariff and trade purposes, schedule these products under HS 901811.</t>
  </si>
  <si>
    <t>Brain hematoma detectors</t>
  </si>
  <si>
    <t>In this classification, this commodity indicates a product used as a device to measure is a collection of blood outside the brain in a medical setting.  Most nations, for tariff and trade purposes, schedule these products under HS 902129.</t>
  </si>
  <si>
    <t>Neurology tremor transducers</t>
  </si>
  <si>
    <t>In this classification, this commodity indicates a product used as a device used to measure the degree of tremor caused by certain neurological diseases in a medical setting.  Most nations, for tariff and trade purposes, schedule these products under HS 901811.</t>
  </si>
  <si>
    <t>Physiological signal amplifiers indicates a product used as    in a medical setting</t>
  </si>
  <si>
    <t>In this classification, this commodity indicates a product used as a device used to electrically amplify signals derived from various physiological sources in a medical setting.  Most nations, for tariff and trade purposes, schedule these products under HS 901811.</t>
  </si>
  <si>
    <t>Physiological signal conditioners</t>
  </si>
  <si>
    <t>In this classification, this commodity indicates a product used as in a medical setting.  Most nations, for tariff and trade purposes, schedule these products under HS 901811.</t>
  </si>
  <si>
    <t>Electroencephalograph EEG accessories</t>
  </si>
  <si>
    <t>In this classification, this commodity indicates a product that is either an accessory or consumable associated with electroencephalograph eeg procedure.  Most nations, for tariff and trade purposes, schedule these products under HS 901890.</t>
  </si>
  <si>
    <t>Thesiometers</t>
  </si>
  <si>
    <t>In this classification, this commodity indicates a product used as an instrument designed to measure simply and accurately the threshold of appreciation of vibration in humans in a medical setting.  Most nations, for tariff and trade purposes, schedule these products under HS 901811.</t>
  </si>
  <si>
    <t>42182400</t>
  </si>
  <si>
    <t>Hearing testing products</t>
  </si>
  <si>
    <t>In this classification, this class includes, products, components, accessories, and supplies, utilized in hearing capability based medical procedures.</t>
  </si>
  <si>
    <t>Audiometers</t>
  </si>
  <si>
    <t>In this classification, this commodity indicates a product used as a device used for evaluating hearing acuity in a medical setting.  US FDA regulates Audiometers under 21 CFR 874.1050 and under FDA product code EWO.  Most nations, for tariff and trade purposes, schedule these products under HS 901819.</t>
  </si>
  <si>
    <t>Audiometric bone vibrators or middle ear analyzers</t>
  </si>
  <si>
    <t>In this classification, this commodity indicates a product used as a device using vibrations to measure the efficiency of the middle ear in a medical setting.  Most nations, for tariff and trade purposes, schedule these products under HS 903020.</t>
  </si>
  <si>
    <t>Audiometric booths or acoustic hearing test chambers</t>
  </si>
  <si>
    <t>In this classification, this commodity indicates a product used as is an apparatus that externally provides an environment for testing the function of the middle ear in humans in a medical setting.  Most nations, for tariff and trade purposes, schedule these products under HS 901811.</t>
  </si>
  <si>
    <t>Auditory function screening unit calibration sets</t>
  </si>
  <si>
    <t>In this classification, this commodity indicates a product used as a device that calibrates auditory function screening devices in a medical setting.  Most nations, for tariff and trade purposes, schedule these products under HS 902129.</t>
  </si>
  <si>
    <t>Auditory function screening units</t>
  </si>
  <si>
    <t>in this classification, this commodity indicates a product that is a device used in an auditory function screening ag procedures in a medical setting.  Most nations, for tariff and trade purposes, schedule these products under HS 901811.</t>
  </si>
  <si>
    <t>Auditory test graphic recorders</t>
  </si>
  <si>
    <t>In this classification, this commodity indicates a product used as a device that records in graph form the results of an auditory examination in a medical setting.  Most nations, for tariff and trade purposes, schedule these products under HS 901811.</t>
  </si>
  <si>
    <t>Ear fenestrometers</t>
  </si>
  <si>
    <t>In this classification, this commodity indicates a product used as an instrument used for measuring and marking both sides of the fenestrometer during middle ear surgery in a medical setting.  Most nations, for tariff and trade purposes, schedule these products under HS 901811.</t>
  </si>
  <si>
    <t>Electrocochleographs</t>
  </si>
  <si>
    <t>In this classification, this commodity indicates a product used as a device that uses a technique of recording electrical potentials generated in the inner ear and auditory nerve in response to sound stimulation in a medical setting.  Most nations, for tariff and trade purposes, schedule these products under HS 901811.</t>
  </si>
  <si>
    <t>Hearing aid analyzers or test systems</t>
  </si>
  <si>
    <t>In this classification, this commodity indicates a system consisting of products, consumables and accessories that are used to execute a hearing aid analysis or test procedure in a medical setting.  Most nations, for tariff and trade purposes, schedule these products under HS 903020.</t>
  </si>
  <si>
    <t>Medical tuning fork cases</t>
  </si>
  <si>
    <t>In this classification, this commodity indicates a product used as a case to enclose and protect medical tuning forks in a medical setting.  US FDA regulates Medical tuning fork cases under 21 CFR 882. 152 and under FDA product code GWX.  Most nations, for tariff and trade purposes, schedule these products under HS 901890.</t>
  </si>
  <si>
    <t>Medical tuning fork hammers</t>
  </si>
  <si>
    <t>In this classification, this commodity indicates a product used as an added hammer like device appended to a tuning fork to concentrate the application of force in a medical setting.  US FDA regulates Medical tuning fork hammers under 21 CFR 882. 152 and under FDA product code GWX.  Most nations, for tariff and trade purposes, schedule these products under HS 901849.</t>
  </si>
  <si>
    <t>Medical tuning forks</t>
  </si>
  <si>
    <t>In this classification, this commodity indicates a product used as a device to assess the range of patient hearing in a medical setting.  US FDA regulates Medical tuning forks under 21 CFR 882. 152 and under FDA product code GWX.  Most nations, for tariff and trade purposes, schedule these products under HS 920999.</t>
  </si>
  <si>
    <t>Medical tuning fork sets</t>
  </si>
  <si>
    <t>In this classification, this commodity indicates a product used as a set of devices that assess the range of patient hearing in a medical setting.  US FDA regulates Medical tuning fork sets under 21 CFR 874.1925 and under FDA product code ETK.  Most nations, for tariff and trade purposes, schedule these products under HS 920999.</t>
  </si>
  <si>
    <t>Tinnitus analyzers</t>
  </si>
  <si>
    <t>In this classification, this commodity indicates a product used as a device that records the level ringing or buzzing in a patient's ears in a medical setting.  Most nations, for tariff and trade purposes, schedule these products under HS 903020.</t>
  </si>
  <si>
    <t>Toynbee diagnostic tubes</t>
  </si>
  <si>
    <t>In this classification, this commodity indicates a product used as a device to so examine and listen to the eustachian tube for tinnitus in a medical setting.  US FDA regulates Toynbee diagnostic tubes under 21 CFR 874.1090 and under FDA product code NAS.  Most nations, for tariff and trade purposes, schedule these products under HS 901839.</t>
  </si>
  <si>
    <t>Tympanometers</t>
  </si>
  <si>
    <t>In this classification, this commodity indicates a product used as a device to measure the efficacy of the operation of the middle ear in a human patient in a medical setting.  US FDA regulates Tympanometers under 21 CFR 872.4630 and under FDA product code EBA.  Most nations, for tariff and trade purposes, schedule these products under HS 901819.</t>
  </si>
  <si>
    <t>Audiometer ribbons</t>
  </si>
  <si>
    <t>In this classification, this commodity indicates a product used as a consumable supply that records the outcome of audiometer examinations in a medical setting.  Most nations, for tariff and trade purposes, schedule these products under HS 901849.</t>
  </si>
  <si>
    <t>Fenestrometer guides</t>
  </si>
  <si>
    <t>In this classification, this commodity indicates a product used as an instrument to guide the insertion of a fenstrometer into a patient's ear in a medical setting.  Most nations, for tariff and trade purposes, schedule these products under HS 901890.</t>
  </si>
  <si>
    <t>Hearing control apparatus</t>
  </si>
  <si>
    <t>In this classification, this commodity indicates a product used as an alarm device designed to provide a sound block for use in one ear while testing the acuity of the hearing in the other ear in a medical setting.  Most nations, for tariff and trade purposes, schedule these products under HS 901890.</t>
  </si>
  <si>
    <t>Aural probes</t>
  </si>
  <si>
    <t>In this classification, this commodity indicates a product used as a device for the probing of aural polyp or other mass in the ear canal in a medical setting.  Most nations, for tariff and trade purposes, schedule these products under HS 901890.</t>
  </si>
  <si>
    <t>Ear plug gages</t>
  </si>
  <si>
    <t>In this classification, this commodity indicates a product used as an instrument that sizes ear plugs for proper fit in a patient in a medical setting.  Most nations, for tariff and trade purposes, schedule these products under HS 901811.</t>
  </si>
  <si>
    <t>Ear inflating bags</t>
  </si>
  <si>
    <t>In this classification, this commodity indicates a product used as an instrument shaped like large soft rubber bulb with tubing and olivary-shaped tip used for inflating the middle ear cavity in a medical setting.  Most nations, for tariff and trade purposes, schedule these products under HS 392690.</t>
  </si>
  <si>
    <t>Audiometric testing electronic noise generators</t>
  </si>
  <si>
    <t>In this classification, this commodity indicates a product used as a device that consists of a swept frequency generator, an amplifier, and an earphone. It is intended to introduce a masking noise into the non-test ear during an audiometric evaluation in a medical setting.  Most nations, for tariff and trade purposes, schedule these products under HS 901811.</t>
  </si>
  <si>
    <t>Hearing aid test tips</t>
  </si>
  <si>
    <t>In this classification, this commodity indicates a product used as an instrument tip that is employed to optimize the fit in the ear for auditory testing in a medical setting.  Most nations, for tariff and trade purposes, schedule these products under HS 903020.</t>
  </si>
  <si>
    <t>Ear plug gage accessories</t>
  </si>
  <si>
    <t>In this classification, this commodity indicates a product that is either an accessory or consumable associated with ear plug gages.  Most nations, for tariff and trade purposes, schedule these products under HS 901811.</t>
  </si>
  <si>
    <t>Audiometer accessories</t>
  </si>
  <si>
    <t>In this classification, this commodity indicates a product that is either an accessory or consumable associated with audiometers.  Most nations, for tariff and trade purposes, schedule these products under HS 901811.</t>
  </si>
  <si>
    <t>Tympanometer accessories</t>
  </si>
  <si>
    <t>In this classification, this commodity indicates a product that is either an accessory or consumable associated with tympanometers.  Most nations, for tariff and trade purposes, schedule these products under HS 901811.</t>
  </si>
  <si>
    <t>42182500</t>
  </si>
  <si>
    <t>Nasal function meters</t>
  </si>
  <si>
    <t>In this classification, this class includes, products, components, accessories, and supplies, utilized in nasal functioning based medical procedures.</t>
  </si>
  <si>
    <t>Olfactometers</t>
  </si>
  <si>
    <t>In this classification, this commodity indicates a product used as an instrument used to detect and measure odor dilution in a medical setting.  Most nations, for tariff and trade purposes, schedule these products under HS 901811.</t>
  </si>
  <si>
    <t>Nasal flowmeters or rhinoanemometers</t>
  </si>
  <si>
    <t>In this classification, this commodity indicates a product used as an instrument that monitors the nasal passages for both the disease and the response to treatment in a medical setting.  Most nations, for tariff and trade purposes, schedule these products under HS 902610.</t>
  </si>
  <si>
    <t>Olfactory test kits</t>
  </si>
  <si>
    <t>In this classification, this commodity indicates a product that is a prepackaged collection (either custom or standard) of the equipment and supplies used to perform olfactory testing procedures l in a medical setting.  Most nations, for tariff and trade purposes, schedule these products under HS 901811.</t>
  </si>
  <si>
    <t>42182600</t>
  </si>
  <si>
    <t>Medical exam lights or lamps</t>
  </si>
  <si>
    <t>In this classification, this class includes, products, components, accessories, and supplies, utilized as lights or illuminations in medical procedures.</t>
  </si>
  <si>
    <t>Freestanding medical exam lights or lamps</t>
  </si>
  <si>
    <t>In this classification, this commodity indicates a product used as a support device that is free standing providing light in a medical setting.  Most nations, for tariff and trade purposes, schedule these products under HS 901811.</t>
  </si>
  <si>
    <t>Installed medical exam lights or lamps</t>
  </si>
  <si>
    <t>In this classification, this commodity indicates a product used as a support device that is installed in a specific location providing light in a medical setting.  Most nations, for tariff and trade purposes, schedule these products under HS 901811.</t>
  </si>
  <si>
    <t>Medical exam or surgical headlights or headlamps</t>
  </si>
  <si>
    <t>In this classification, this commodity indicates a product used as a device that provides lighting during medical examinations and surgeries in a medical setting.  US FDA regulates Medical exam or surgical headlights or headlamps under 21 CFR 888.15 and under FDA product code KQX.  Most nations, for tariff and trade purposes, schedule these products under HS 940540.</t>
  </si>
  <si>
    <t>Medical exam penlights or flashlights</t>
  </si>
  <si>
    <t>In this classification, this commodity indicates a product used as portable self-contained lights during a medical examination.  Most nations, for tariff and trade purposes, schedule these products under HS 901811.</t>
  </si>
  <si>
    <t>Ocular muscle testing lights</t>
  </si>
  <si>
    <t>In this classification, this commodity indicates a product used as a device to measure the function of the oscular muscle in a medical setting.  Most nations, for tariff and trade purposes, schedule these products under HS 901811.</t>
  </si>
  <si>
    <t>Medical exam or surgical headlights or headlamp accessories</t>
  </si>
  <si>
    <t>In this classification, this commodity indicates a product that is either an accessory or consumable associated with medical exam or surgical headlights or headlamps.  Most nations, for tariff and trade purposes, schedule these products under HS 940540.</t>
  </si>
  <si>
    <t>42182700</t>
  </si>
  <si>
    <t>Medical exam size measuring devices</t>
  </si>
  <si>
    <t>In this classification, this class includes, products, components, accessories, and supplies, utilized in size measuring based medical procedures.</t>
  </si>
  <si>
    <t>Goniometers or arthrometers</t>
  </si>
  <si>
    <t>In this classification, this commodity indicates a product used as an instrument that either measures an angle or allows an object to be rotated to a precise angular position or an instrument that measure the range of movement of a joint in a medical setting.  US FDA regulates Goniometers or arthrometers under 21 CFR 886. 115 and under FDA product code HOX.  Most nations, for tariff and trade purposes, schedule these products under HS 903149.</t>
  </si>
  <si>
    <t>Medical tape measures</t>
  </si>
  <si>
    <t>In this classification, this commodity indicates a product used as a device that can measure the size of an object or space in a medical setting.  US FDA regulates Medical tape measures under 21 CFR 878.48 and under FDA product code FTY.  Most nations, for tariff and trade purposes, schedule these products under HS 901811.</t>
  </si>
  <si>
    <t>Patient height rulers</t>
  </si>
  <si>
    <t>In this classification, this commodity indicates a product used as an instrument to measure the height of a patient in a medical setting.  US FDA regulates Patient height rulers under 21 CFR 879.48 and under FDA product code FTY.  Most nations, for tariff and trade purposes, schedule these products under HS 901811.</t>
  </si>
  <si>
    <t>Skinfold calipers</t>
  </si>
  <si>
    <t>In this classification, this commodity indicates a product used as a device that are used in the measurement of skinfold thickness and the estimation of total body fat in a medical setting.  US FDA regulates Skinfold calipers under 21 CFR 880.48 and under FDA product code FTY.  Most nations, for tariff and trade purposes, schedule these products under HS 901811.</t>
  </si>
  <si>
    <t>Body composition analyzers</t>
  </si>
  <si>
    <t>In this classification, this commodity indicates a product used as a Device that determines the muscle mass, body water and body fat of a patient in a medical setting.  US FDA regulates Body composition analyzers under 21 CFR 870.2770 and under FDA product code MNW.  Most nations, for tariff and trade purposes, schedule these products under HS 903020.</t>
  </si>
  <si>
    <t>Wound measuring grids or devices</t>
  </si>
  <si>
    <t>Inclinometers</t>
  </si>
  <si>
    <t>In this classification, this commodity indicates a product used as a device for measuring the angle of inclination of something, especially from the horizontal in a medical setting.  Most nations, for tariff and trade purposes, schedule these products under HS 901811.</t>
  </si>
  <si>
    <t>42182800</t>
  </si>
  <si>
    <t>Medical weight scales</t>
  </si>
  <si>
    <t>In this classification, this class includes, products, components, accessories, and supplies, utilized in weight measurement based medical procedures.</t>
  </si>
  <si>
    <t>Diaper weight scales</t>
  </si>
  <si>
    <t>In this classification, this commodity indicates a product used as a device to measure fluid output into a diaper in a medical setting.  Most nations, for tariff and trade purposes, schedule these products under HS 842310.</t>
  </si>
  <si>
    <t>Infant scales</t>
  </si>
  <si>
    <t>In this classification, this commodity indicates a product used as a device to precisely measures the weight of a newborn baby in a medical setting.  Most nations, for tariff and trade purposes, schedule these products under HS 842310.</t>
  </si>
  <si>
    <t>Patient bed or table scales for general use</t>
  </si>
  <si>
    <t>In this classification, this commodity indicates a product used as either a bed or table based scale to measure the body weight of a patient in a medical setting.  US FDA regulates Patient bed or table scales for general use under 21 CFR 880.2720 and under FDA product code FRW.  Most nations, for tariff and trade purposes, schedule these products under HS 842310.</t>
  </si>
  <si>
    <t>Patient chair scales</t>
  </si>
  <si>
    <t>In this classification, this commodity indicates a product used as a chair based scale to measure to measure the body weight of a patient in a medical setting.  US FDA regulates Patient chair scales under 21 CFR 880.2720 and under FDA product code FRW.  Most nations, for tariff and trade purposes, schedule these products under HS 842310.</t>
  </si>
  <si>
    <t>Patient floor scales</t>
  </si>
  <si>
    <t>In this classification, this commodity indicates a product used as a floor based scale to measure to measure the body weight of a patient in a medical setting.  US FDA regulates Patient floor scales under 21 CFR 880.2720 and under FDA product code FRW.  Most nations, for tariff and trade purposes, schedule these products under HS 842310.</t>
  </si>
  <si>
    <t>Patient sling scales</t>
  </si>
  <si>
    <t>In this classification, this commodity indicates a product used as a sling based scale to measure the body weight of a patient in a medical setting.  US FDA regulates Patient sling scales under 21 CFR 880.2720 and under FDA product code FRW.  Most nations, for tariff and trade purposes, schedule these products under HS 842310.</t>
  </si>
  <si>
    <t>Wheelchair platform scales</t>
  </si>
  <si>
    <t>In this classification, this commodity indicates a product used scale used in to measure the body weight of a patient in a wheelchair in a medical setting.  US FDA regulates Wheelchair platform scales under 21 CFR 890.9340 and under FDA product code INF.  Most nations, for tariff and trade purposes, schedule these products under HS 842310.</t>
  </si>
  <si>
    <t>Covers or liners for weighing scales</t>
  </si>
  <si>
    <t>In this classification, this commodity indicates a product used as a cover or liner for a patient scale in a medical setting.  Most nations, for tariff and trade purposes, schedule these products under HS 842310.</t>
  </si>
  <si>
    <t>42183000</t>
  </si>
  <si>
    <t>Ophthalmic diagnostic exam products</t>
  </si>
  <si>
    <t>In this classification, this class includes, products, components, accessories, and supplies, utilized in ophthalmic examination based medical procedures.</t>
  </si>
  <si>
    <t>Eye charts or vision cards</t>
  </si>
  <si>
    <t>In this classification, this commodity indicates a product used as instruments to screen persons for vision impairment in a medical setting.  US FDA regulates Eye charts or vision cards under 21 CFR 886.1350 and under FDA product code HJA.  Most nations, for tariff and trade purposes, schedule these products under HS 901850.</t>
  </si>
  <si>
    <t>Corneal topographers</t>
  </si>
  <si>
    <t>In this classification, this commodity indicates a product used as an instrument to has enable clinicians to more accurately fit contact lenses and diagnose corneal pathology in a medical setting.  US FDA regulates Corneal topographers under 21 CFR 886.4350 and under FDA product code HNC.  Most nations, for tariff and trade purposes, schedule these products under HS 901850.</t>
  </si>
  <si>
    <t>Exophthalmometers</t>
  </si>
  <si>
    <t>In this classification, this commodity indicates a product used as an instrument used for measuring the degree of forward displacement of the eye in exophthalmos in a medical setting.  Most nations, for tariff and trade purposes, schedule these products under HS 901839.</t>
  </si>
  <si>
    <t>Ophthalmic colorimeters</t>
  </si>
  <si>
    <t>In this classification, this commodity indicates a product used as an instrument that measures the concentration of a known constituent of a solution by comparison with colors of standard solutions of that constituent in a medical setting.  Most nations, for tariff and trade purposes, schedule these products under HS 901811.</t>
  </si>
  <si>
    <t>Ophthalmic distometers</t>
  </si>
  <si>
    <t>In this classification, this commodity indicates a product used as a device used for measuring Vertex Distance in a person's vision in a medical setting.  Most nations, for tariff and trade purposes, schedule these products under HS 901839.</t>
  </si>
  <si>
    <t>Ophthalmic eye test lenses</t>
  </si>
  <si>
    <t>In this classification, this commodity indicates a product used as lenses deployed in conjunction with an ophthalmic examination in a medical setting.  Most nations, for tariff and trade purposes, schedule these products under HS 901811.</t>
  </si>
  <si>
    <t>Ophthalmic lensometers</t>
  </si>
  <si>
    <t>In this classification, this commodity indicates a product used as an instrument that is used to verify the correct prescription in a pair of eyeglasses.  Most nations, for tariff and trade purposes, schedule these products under HS 901811.</t>
  </si>
  <si>
    <t>Ophthalmic perimeters</t>
  </si>
  <si>
    <t>In this classification, this commodity indicates a product used as an instrument designed to measure and evaluate the area (visual field) within which stimuli projected on a curved surface will produce the sensation of sight with the eyes in a straight-ahead position in a medical setting.  Most nations, for tariff and trade purposes, schedule these products under HS 901811.</t>
  </si>
  <si>
    <t>Ophthalmic photometers</t>
  </si>
  <si>
    <t>In this classification, this commodity indicates a product used as a feeble scotopic light source used to measure the lower level of illumination recognition by patients in a medical setting.  Most nations, for tariff and trade purposes, schedule these products under HS 901811.</t>
  </si>
  <si>
    <t>Ophthalmic prisms</t>
  </si>
  <si>
    <t>In this classification, this commodity indicates a product used as an instrument consisting of a transparent optical element, bounded by two planar, nonparallel refracting surfaces in a medical setting.  Most nations, for tariff and trade purposes, schedule these products under HS 901811.</t>
  </si>
  <si>
    <t>Ophthalmic slit lamps</t>
  </si>
  <si>
    <t>In this classification, this commodity indicates a product used as an instrument consisting of a high-intensity light source that can be focused to shine a thin sheet of light into the eye in a medical setting.  Most nations, for tariff and trade purposes, schedule these products under HS 901811.</t>
  </si>
  <si>
    <t>Ophthalmic spectrophotometers</t>
  </si>
  <si>
    <t>In this classification, this commodity indicates a product used as an instrument that measures the amount of photons (the intensity of light) absorbed after it passes through sample solution in a medical setting.  Most nations, for tariff and trade purposes, schedule these products under HS 901811.</t>
  </si>
  <si>
    <t>Ophthalmic speculas</t>
  </si>
  <si>
    <t>In this classification, this commodity indicates a product that is a tool designed to inspect the eyes in humans.  US FDA regulates Ophthalmic speculas under 21 CFR 886.4350 and under FDA product code HNC.  Most nations, for tariff and trade purposes, schedule these products under HS 901850.</t>
  </si>
  <si>
    <t>Ophthalmic tonometers</t>
  </si>
  <si>
    <t>In this classification, this commodity indicates a product used as an instrument that performs an intraocular pressure test inside the eye in a medical setting.  US FDA regulates Ophthalmic tonometers under 21 CFR 886.1930 and under FDA product code NJJ.  Most nations, for tariff and trade purposes, schedule these products under HS 901811.</t>
  </si>
  <si>
    <t>Ophthalmic transilluminators</t>
  </si>
  <si>
    <t>In this classification, this commodity indicates a product used as an instrument that examines the eye by the passage of light through tissues of the eye in a medical setting.  US FDA regulates Ophthalmic transilluminators under 21 CFR 892.199, and under FDA product code LEK.  Most nations, for tariff and trade purposes, schedule these products under HS 901811.</t>
  </si>
  <si>
    <t>Ophthalmic visual field plotters</t>
  </si>
  <si>
    <t>In this classification, this commodity indicates a product used as an instrument designed to test for the width and length of a person's field of vision in a medical setting.  Most nations, for tariff and trade purposes, schedule these products under HS 901811.</t>
  </si>
  <si>
    <t>Ophthalmic visual function analyzers</t>
  </si>
  <si>
    <t>In this classification, this commodity indicates a product used as an instrument that analyzes the extent of a person's visual functioning in a medical setting.  Most nations, for tariff and trade purposes, schedule these products under HS 903020.</t>
  </si>
  <si>
    <t>Ophthalmic visuometers</t>
  </si>
  <si>
    <t>In this classification, this commodity indicates a product used as a piece of apparatus used for determining range of vision in a medical setting.  Most nations, for tariff and trade purposes, schedule these products under HS 901811.</t>
  </si>
  <si>
    <t>Ophthalmometers</t>
  </si>
  <si>
    <t>In this classification, this commodity indicates a product used as an instrument for measuring the degree of exophthalmos in a medical setting.  Most nations, for tariff and trade purposes, schedule these products under HS 901811.</t>
  </si>
  <si>
    <t>Ophthalmic instrument tables or accessories</t>
  </si>
  <si>
    <t>Ophthalmodynamometers</t>
  </si>
  <si>
    <t>In this classification, this commodity indicates a product used as an instrument for measuring the power of convergence of the eyes in a medical setting.  Most nations, for tariff and trade purposes, schedule these products under HS 901811.</t>
  </si>
  <si>
    <t>Tangent screen test objects kits</t>
  </si>
  <si>
    <t>In this classification, this commodity indicates a product that a prepackaged collection (either custom or standard) of the equipment and supplies used to perform tangent scree tests procedure in a medical setting.  US FDA regulates Tangent screen test objects kits under 21 CFR 886.1810 and under FDA product code HOJ.  Most nations, for tariff and trade purposes, schedule these products under HS 901811.</t>
  </si>
  <si>
    <t>Phoropter units</t>
  </si>
  <si>
    <t>in this classification, this commodity indicates a product that is a device used in a phoroptic procedures in a medical setting.  Most nations, for tariff and trade purposes, schedule these products under HS 901811.</t>
  </si>
  <si>
    <t>Eye occluders</t>
  </si>
  <si>
    <t>In this classification, this commodity indicates a product used as an implement designed to temporarily block light to one eye. in a medical setting.  Most nations, for tariff and trade purposes, schedule these products under HS 901811.</t>
  </si>
  <si>
    <t>Pseudoisochromatic plate sets</t>
  </si>
  <si>
    <t>In this classification, this commodity indicates a product used as one of a set of colored plates that include some which appear isochromatic to individuals with color-vision abnormality and that are widely used as a test for color blindness in a medical setting.  Most nations, for tariff and trade purposes, schedule these products under HS 901811.</t>
  </si>
  <si>
    <t>Spectacle fitting sets</t>
  </si>
  <si>
    <t>In this classification, this commodity indicates a product used as a set of components and supplies that provide for the creation of a properly fit set of spectacles in a medical setting.  Most nations, for tariff and trade purposes, schedule these products under HS 901811.</t>
  </si>
  <si>
    <t>Vision testing stereoscopes</t>
  </si>
  <si>
    <t>In this classification, this commodity indicates a product used as an instrument to test binocular vision in a medical setting.  US FDA regulates Vision testing stereoscopes under 21 CFR 868.1870 and under FDA product code HJQ.  Most nations, for tariff and trade purposes, schedule these products under HS 900630.</t>
  </si>
  <si>
    <t>Keratometers</t>
  </si>
  <si>
    <t>In this classification, this commodity indicates a product used as an instrument for measuring the curves of the cornea in a medical setting.  Most nations, for tariff and trade purposes, schedule these products under HS 901811.</t>
  </si>
  <si>
    <t>Ophthalmometer accessories</t>
  </si>
  <si>
    <t>In this classification, this commodity indicates a product that is either an accessory or consumable associated with ophthalmometers.  Most nations, for tariff and trade purposes, schedule these products under HS 901811.</t>
  </si>
  <si>
    <t>Chart projectors</t>
  </si>
  <si>
    <t>In this classification, this commodity indicates a product used as a projector for an eye chart in a vison test in a medical setting.  Most nations, for tariff and trade purposes, schedule these products under HS 852849.</t>
  </si>
  <si>
    <t>Ophthalmic instrument pads</t>
  </si>
  <si>
    <t>In this classification, this commodity indicates a product used as a protective pad a for an assortment of ophthalmic instruments in a medical setting.  Most nations, for tariff and trade purposes, schedule these products under HS 630493.</t>
  </si>
  <si>
    <t>Ophthalmic lens holders</t>
  </si>
  <si>
    <t>In this classification, this commodity indicates a product used as a protective case or holder for an ophthalmic lens in a medical setting.  Most nations, for tariff and trade purposes, schedule these products under HS 901811.</t>
  </si>
  <si>
    <t>Opticians tools</t>
  </si>
  <si>
    <t>In this classification, this commodity indicates a product used as a variety of tools and instruments used by opticians.  Most nations, for tariff and trade purposes, schedule these products under HS 901811.</t>
  </si>
  <si>
    <t>Color perception testing lanterns</t>
  </si>
  <si>
    <t>In this classification, this commodity indicates a product used as an instrument that provides changing lights to assess color recognition in ophthalmic tests in a medical setting.  Most nations, for tariff and trade purposes, schedule these products under HS 901811.</t>
  </si>
  <si>
    <t>Depth perception apparatus</t>
  </si>
  <si>
    <t>In this classification, this commodity indicates a product used as a device that measures the amount of depth perception of a person in a medical setting.  Most nations, for tariff and trade purposes, schedule these products under HS 901811.</t>
  </si>
  <si>
    <t>Tangent screens</t>
  </si>
  <si>
    <t>In this classification, this commodity indicates a product used as an instrument to map a patient's peripheral vision by recording his/her response to test objects placed on the screen while the patient's stare is fixed on center target in a medical setting.  US FDA regulates Tangent screens under 21 CFR 886.1810 and under FDA product code HOJ.  Most nations, for tariff and trade purposes, schedule these products under HS 901811.</t>
  </si>
  <si>
    <t>Electroretinogram systems</t>
  </si>
  <si>
    <t>In this classification, this commodity indicates a system consisting of products, consumables and accessories that are used to execute an electroretinogram procedure in a medical setting.  Most nations, for tariff and trade purposes, schedule these products under HS 901811.</t>
  </si>
  <si>
    <t>Binocular vision test sets</t>
  </si>
  <si>
    <t>In this classification, this commodity indicates a product used as a set of instruments that test for the binocular vision blending or a person in a medical setting.  Most nations, for tariff and trade purposes, schedule these products under HS 901811.</t>
  </si>
  <si>
    <t>Viewing stands for vision acuity testing</t>
  </si>
  <si>
    <t>In this classification, this commodity indicates a product used as a device that acts as a stand to hold up a visual acuity testing instrument in a medical setting.  Most nations, for tariff and trade purposes, schedule these products under HS 901811.</t>
  </si>
  <si>
    <t>Ophthalmic child fixation bars</t>
  </si>
  <si>
    <t>In this classification, this commodity indicates a product used as an aid designed for children's fixation during the prism and cover test and other orthoptic assessments in a medical setting.  Most nations, for tariff and trade purposes, schedule these products under HS 902110.</t>
  </si>
  <si>
    <t>Nystagmographs</t>
  </si>
  <si>
    <t>In this classification, this commodity indicates a product used as an apparatus for measuring the amplitude, periodicity, and velocity of ocular movements in nystagmus, by measuring the change in the resting potential of the eye as the eye moves in a medical setting.  Most nations, for tariff and trade purposes, schedule these products under HS 901811.</t>
  </si>
  <si>
    <t>Pupilometers</t>
  </si>
  <si>
    <t>In this classification, this commodity indicates a product used as an instrument for measuring and recording the diameter of the pupil in a medical setting.  Most nations, for tariff and trade purposes, schedule these products under HS 901811.</t>
  </si>
  <si>
    <t>Nearpoint rulers</t>
  </si>
  <si>
    <t>In this classification, this commodity indicates a product used as a device calibrated in centimeters intended to measure the nearpoint of convergence (the point to which the visual lines are directed when convergence is at its maximum) in a medical setting.  Most nations, for tariff and trade purposes, schedule these products under HS 901811.</t>
  </si>
  <si>
    <t>Interpupillary distance meters</t>
  </si>
  <si>
    <t>In this classification, this commodity indicates a product used as a device that measures the distance between the center of the pupils of the two eyes in a medical setting.  Most nations, for tariff and trade purposes, schedule these products under HS 901811.</t>
  </si>
  <si>
    <t>Ocular plethysmographs</t>
  </si>
  <si>
    <t>Endothelial cell counters</t>
  </si>
  <si>
    <t>In this classification, this commodity indicates a product used as a device that is a screening tool used to verify that a patient's cornea has an adequate endothelial cell density in a medical setting.  Most nations, for tariff and trade purposes, schedule these products under HS 901811.</t>
  </si>
  <si>
    <t>Eye movement monitors</t>
  </si>
  <si>
    <t>In this classification, this commodity indicates a product that is a customized computer monitor that displays eye movement specific levels.  US FDA regulates Eye movement monitors under 21 CFR 886.1510 and under FDA product code HLL.  Most nations, for tariff and trade purposes, schedule these products under HS 852849.</t>
  </si>
  <si>
    <t>Visual field laser instruments</t>
  </si>
  <si>
    <t>In this classification, this commodity indicates a product used as a laser based instrument to measure a person's field of sight in a medical setting.  US FDA regulates Visual field laser instruments under 21 CFR 888.1360 and under FDA product code HPJ.  Most nations, for tariff and trade purposes, schedule these products under HS 901320.</t>
  </si>
  <si>
    <t>Photosimulators</t>
  </si>
  <si>
    <t>In this classification, this commodity indicates a product used as a device that simulates the mathematic establishment of reflectance models based on a patient's eyesight in a medical setting.  Most nations, for tariff and trade purposes, schedule these products under HS 901811.</t>
  </si>
  <si>
    <t>Schirmer strips</t>
  </si>
  <si>
    <t>In this classification, this commodity indicates a product used as a treated strip that determines whether the eye produces enough tears to keep it moist. in a medical setting.  US FDA regulates Schirmer strips under 21 CFR 886.18 and under FDA product code kyd.  Most nations, for tariff and trade purposes, schedule these products under HS 901811.</t>
  </si>
  <si>
    <t>Ocular pressure applicators</t>
  </si>
  <si>
    <t>In this classification, this commodity indicates a product used as a device that is a is a cup-shaped bellows member removable attached to an adjustable headband. One end of the member is positioned to bear against the closed eyelid of a patient being prepared for intraocular surgery and upon whose head the headband has been placed. The opposite end of the bellows member is closed by a plate having a tubular portion communicating with the interior of the bellows portion and adapted to be connected to a means for increasing the pressure in monitored increments inside the chamber formed by the bellows and plate in a medical setting.  US FDA regulates Ocular pressure applicators under 21 CFR 886.4610 and under FDA product code LCC.  Most nations, for tariff and trade purposes, schedule these products under HS 901811.</t>
  </si>
  <si>
    <t>Ophthalmic electrolysis units</t>
  </si>
  <si>
    <t>in this classification, this commodity indicates a product that is a device used in an ophthalmic electrolysis procedure in a medical setting.  Most nations, for tariff and trade purposes, schedule these products under HS 901811.</t>
  </si>
  <si>
    <t>Diagnostic contact lenses</t>
  </si>
  <si>
    <t>In this classification, this commodity indicates a product used as a device that is a self-adaptable diagnostic lens for the purpose of viewing the interior of a patient's eye in a medical setting.  US FDA regulates Diagnostic contact lenses under 21 CFR 886.1385 and under FDA product code NYK.  Most nations, for tariff and trade purposes, schedule these products under HS 900130.</t>
  </si>
  <si>
    <t>Ophthalmic diagnostic viewing exam lenses</t>
  </si>
  <si>
    <t>In this classification, this commodity indicates a product used as a device that consists a single element diagnostic ophthalmic lens that is used for examination of the eye in conjunction with either an Indirect Ophthalmoscope or a Slit Lamp Biomicroscope in a medical setting.  US FDA regulates Ophthalmic diagnostic viewing exam lenses under 21 CFR 886.1385 and under FDA product code NYK.  Most nations, for tariff and trade purposes, schedule these products under HS 901811.</t>
  </si>
  <si>
    <t>Macular testers</t>
  </si>
  <si>
    <t>In this classification, this commodity indicates a product used as a tool to assess functional visual acuity in bright light conditions and to test for recovery of visual activity after photo stressing the retina is disclosed in a medical setting.  Most nations, for tariff and trade purposes, schedule these products under HS 901811.</t>
  </si>
  <si>
    <t>Caloric-air stimulators</t>
  </si>
  <si>
    <t>In this classification, this commodity indicates a product used as a caloric testing apparatus for introducing heated or cooled air, under direct visual control, into the outer ear canal of a human subject for purposes of testing inner ear balance mechanisms in a medical setting.  Most nations, for tariff and trade purposes, schedule these products under HS 901811.</t>
  </si>
  <si>
    <t>Caloric-water stimulators</t>
  </si>
  <si>
    <t>In this classification, this commodity indicates a product used as a caloric testing apparatus for introducing water, under direct visual control, into the outer ear canal of a human subject for purposes of testing inner ear balance mechanisms in a medical setting.  Most nations, for tariff and trade purposes, schedule these products under HS 901811.</t>
  </si>
  <si>
    <t>Corneal electrodes</t>
  </si>
  <si>
    <t>In this classification, this commodity indicates a product used as an electrode comprising an electrically conductive metal wire conductively attached to a yarn of silver-coated nylon fibers. This electrode is employed to measure the change in an electric potential when the eye is subjected to light in a medical setting.  Most nations, for tariff and trade purposes, schedule these products under HS 901890.</t>
  </si>
  <si>
    <t>Ophthalmic measuring instruments</t>
  </si>
  <si>
    <t>In this classification, this commodity indicates a product used as a group of different measuring instruments particularly adapted to making accurate measurements of portions of the eye and contact lenses in a medical setting.  Most nations, for tariff and trade purposes, schedule these products under HS 901811.</t>
  </si>
  <si>
    <t>Eye depressors and fixation picks</t>
  </si>
  <si>
    <t>In this classification, this commodity indicates a product used as an ophthalmic instrument for controlling eye position in a medical setting.  Most nations, for tariff and trade purposes, schedule these products under HS 902110.</t>
  </si>
  <si>
    <t>Ophthalmic abberometers</t>
  </si>
  <si>
    <t>In this classification, this commodity indicates a product used as a calibration component for use in calibrating and certifying the accuracy of an ophthalmic wavefront sensor comprises a monolithic, plano-convex refractive optic having known amounts of one or more selected aberrations in a medical setting.  Most nations, for tariff and trade purposes, schedule these products under HS 901811.</t>
  </si>
  <si>
    <t>Ophthalmic fixation devices</t>
  </si>
  <si>
    <t>In this classification, this commodity indicates a product used as a device used for controlling eye position in a medical setting.  Most nations, for tariff and trade purposes, schedule these products under HS 902110.</t>
  </si>
  <si>
    <t>Ophthalmic instrument stands</t>
  </si>
  <si>
    <t>Optician anvils</t>
  </si>
  <si>
    <t>In this classification, this commodity indicates a product used as a device for the plying and bending of ophthalmic pictures and corrective devices in a medical setting.  Most nations, for tariff and trade purposes, schedule these products under HS 901811.</t>
  </si>
  <si>
    <t>Ophthalmic refractometers</t>
  </si>
  <si>
    <t>In this classification, this commodity indicates a product used as a refractometer of the present invention increases the accuracy of measuring vision parameters while simplifying refractometer design in a medical setting.  Most nations, for tariff and trade purposes, schedule these products under HS 901811.</t>
  </si>
  <si>
    <t>Ophthalmic specular microscopes</t>
  </si>
  <si>
    <t>In this classification, this commodity indicates a product used as a device that in which the image of a slit aperture of an illumination optical system is formed at an endothelial cell layer of an eye to be examined and including a light intercepting plate having a main aperture and additional apertures adjacent said main aperture so that an image of the endothelial cell layer is formed at said main aperture and a reflection light reflected by a corneal surface of the eye is transmitted through said additional apertures of said light intercepting plate in a medical setting.  Most nations, for tariff and trade purposes, schedule these products under HS 903180.</t>
  </si>
  <si>
    <t>Ophthalmic trial frames and lenses</t>
  </si>
  <si>
    <t>In this classification, this commodity indicates a product used as a temporary set of frames and lenses for used to formalize the building of an optical appliance in a medical setting.  Most nations, for tariff and trade purposes, schedule these products under HS 901811.</t>
  </si>
  <si>
    <t>Opticians tool accessories</t>
  </si>
  <si>
    <t>In this classification, this commodity indicates a product that is either an accessory or consumable associated with optician's tools.  Most nations, for tariff and trade purposes, schedule these products under HS 901811.</t>
  </si>
  <si>
    <t>Pseudoisochromatic plate set accessories</t>
  </si>
  <si>
    <t>In this classification, this commodity indicates a product that is either an accessory or consumable associated with pseudoisochromatic plate sets.  Most nations, for tariff and trade purposes, schedule these products under HS 901811.</t>
  </si>
  <si>
    <t>Binocular vision test set accessories</t>
  </si>
  <si>
    <t>In this classification, this commodity indicates a product that is either an accessory or consumable associated with binocular vision test sets.  Most nations, for tariff and trade purposes, schedule these products under HS 901811.</t>
  </si>
  <si>
    <t>Chart projector accessories</t>
  </si>
  <si>
    <t>In this classification, this commodity indicates a product that is either an accessory or consumable associated with chart projectors.  Most nations, for tariff and trade purposes, schedule these products under HS 901811.</t>
  </si>
  <si>
    <t>Ophthalmic tonometer accessories</t>
  </si>
  <si>
    <t>In this classification, this commodity indicates a product that is either an accessory or consumable associated with ophthalmic tonometers.  Most nations, for tariff and trade purposes, schedule these products under HS 901811.</t>
  </si>
  <si>
    <t>Ophthalmic specular microscope accessories</t>
  </si>
  <si>
    <t>In this classification, this commodity indicates a product that is either an accessory or consumable associated with ophthalmic specular microscopes.  Most nations, for tariff and trade purposes, schedule these products under HS 903180.</t>
  </si>
  <si>
    <t>Ophthalmic stereopsis measuring instruments</t>
  </si>
  <si>
    <t>In this classification, this commodity indicates a product used as an instrument to train eyes for the improvement of the stereopsis function in a medical setting.  Most nations, for tariff and trade purposes, schedule these products under HS 901811.</t>
  </si>
  <si>
    <t>Ophthalmic stereopsis measuring instrument accessories</t>
  </si>
  <si>
    <t>In this classification, this commodity indicates a product that is either an accessory or consumable associated with.  Most nations, for tariff and trade purposes, schedule these products under HS 901811.</t>
  </si>
  <si>
    <t>Keratometer accessories</t>
  </si>
  <si>
    <t>In this classification, this commodity indicates a product that is either an accessory or consumable associated with keratometers.  Most nations, for tariff and trade purposes, schedule these products under HS 901811.</t>
  </si>
  <si>
    <t>Ophthalmic metal locators</t>
  </si>
  <si>
    <t>Tangent screen test objects kit accessories</t>
  </si>
  <si>
    <t>In this classification, this commodity indicates a product that is either an accessory or consumable associated with tangent screen test object kits.  Most nations, for tariff and trade purposes, schedule these products under HS 901811.</t>
  </si>
  <si>
    <t>42183200</t>
  </si>
  <si>
    <t>Allergy examining equipment and supplies</t>
  </si>
  <si>
    <t>In this classification, this class includes, the equipment and supplies utilized in allergy examination based medical procedures.</t>
  </si>
  <si>
    <t>Allergy detecting or testing instruments</t>
  </si>
  <si>
    <t>In this classification, this commodity indicates a product used as instruments to test and analyze allergic conditions in patients in a medical setting.  Most nations, for tariff and trade purposes, schedule these products under HS 901811.</t>
  </si>
  <si>
    <t>Allergy detecting or testing instrument accessories</t>
  </si>
  <si>
    <t>In this classification, this commodity indicates a product that is either an accessory or consumable associated with allergy detecting or testing instruments.  Most nations, for tariff and trade purposes, schedule these products under HS 901811.</t>
  </si>
  <si>
    <t>42183400</t>
  </si>
  <si>
    <t>Ophthalmic cameras</t>
  </si>
  <si>
    <t>In this classification, this class includes, products, components, accessories, and supplies, utilized in camera based ophthalmic medical procedures.</t>
  </si>
  <si>
    <t>Anterior cameras</t>
  </si>
  <si>
    <t>In this classification, this commodity indicates a product used as an apparatus for photographing the anterior segment and retina of the eye through the use of a camera in a medical setting.  Most nations, for tariff and trade purposes, schedule these products under HS 852880.</t>
  </si>
  <si>
    <t>Corneal cameras</t>
  </si>
  <si>
    <t>In this classification, this commodity indicates a product used as an apparatus for photographing the cornea of the eye through the use of a camera in a medical setting.  Most nations, for tariff and trade purposes, schedule these products under HS 852880.</t>
  </si>
  <si>
    <t>Fundus cameras</t>
  </si>
  <si>
    <t>In this classification, this commodity indicates a product used as an apparatus for photographing the fundus of the eye through the use of a camera in a medical setting.  Most nations, for tariff and trade purposes, schedule these products under HS 852880.</t>
  </si>
  <si>
    <t>Iris cameras</t>
  </si>
  <si>
    <t>In this classification, this commodity indicates a product used as an apparatus for photographing the iris of the eye through the use of a camera in a medical setting.  Most nations, for tariff and trade purposes, schedule these products under HS 852880.</t>
  </si>
  <si>
    <t>42183500</t>
  </si>
  <si>
    <t>Ophthalmic scopes</t>
  </si>
  <si>
    <t>In this classification, this class includes, equipment, components, accessories, and supplies, utilized in medical facility materials handling and distributing procedures.</t>
  </si>
  <si>
    <t>Keratoscopes</t>
  </si>
  <si>
    <t>In this classification, this commodity indicates a product used as instrument capable of automatically compensating for the different optical characteristics exhibited by any of a set of mechanically interchangeable illuminated ring devices without manual recalibration includes on the base portion of each light ring device a plurality of distinctive, light pervious, machine-readable indicator spots used in the testing of eyes in a medical setting.  Most nations, for tariff and trade purposes, schedule these products under HS 900630.</t>
  </si>
  <si>
    <t>Ophthalmic euthyscopes</t>
  </si>
  <si>
    <t>In this classification, this commodity indicates a product used as a miniature photographic apparatus applicable to an endoscopic device, and including a casing, at least one light source device and at least one viewing lens device used in the testing of eyes in a medical setting.  Most nations, for tariff and trade purposes, schedule these products under HS 900630.</t>
  </si>
  <si>
    <t>Ophthalmic retinoscopes</t>
  </si>
  <si>
    <t>In this classification, this commodity indicates a product used as a miniature photographic apparatus applicable to an endoscopic device, and including a casing, at least one light source device and at least one viewing lens device used in the testing of the retina of eyes in a medical setting.  Most nations, for tariff and trade purposes, schedule these products under HS 900630.</t>
  </si>
  <si>
    <t>Ophthalmic retinoscope accessories</t>
  </si>
  <si>
    <t>In this classification, this commodity indicates a product that is either an accessory or consumable associated with ophthalmic retinoscopes.  Most nations, for tariff and trade purposes, schedule these products under HS 900630.</t>
  </si>
  <si>
    <t>Tachistoscopes</t>
  </si>
  <si>
    <t>In this classification, this commodity indicates a product used as a miniature photographic apparatus applicable to an endoscopic device, that present a limited amount of printed matter for a short time to capture the functioning of the eyes in a medical setting.  Most nations, for tariff and trade purposes, schedule these products under HS 900630.</t>
  </si>
  <si>
    <t>Tachistoscope accessories</t>
  </si>
  <si>
    <t>In this classification, this commodity indicates a product that is either an accessory or consumable associated with tachistoscopes.  Most nations, for tariff and trade purposes, schedule these products under HS 900630.</t>
  </si>
  <si>
    <t>Haploscopes</t>
  </si>
  <si>
    <t>In this classification, this commodity indicates a product used as a device with a housing defining left and right viewing apertures disposed to permit substantial alignment with a subject's left and right eyes and permit viewing through the housing in a medical setting.  Most nations, for tariff and trade purposes, schedule these products under HS 900630.</t>
  </si>
  <si>
    <t>Pupillographs</t>
  </si>
  <si>
    <t>In this classification, this commodity indicates a product used as an instrument to examine capabilities and reactions of the pupil of the eye to various stimuli in a medical setting.  Most nations, for tariff and trade purposes, schedule these products under HS 901811.</t>
  </si>
  <si>
    <t>Skiascopic racks</t>
  </si>
  <si>
    <t>In this classification, this commodity indicates a product used as in a medical setting.  Most nations, for tariff and trade purposes, schedule these products under HS 392690.</t>
  </si>
  <si>
    <t>Anomaloscopes</t>
  </si>
  <si>
    <t>In this classification, this commodity indicates a product used as an instrument that are used for testing human color vision and have an optical facility for producing a red, a green and a yellow spectral color, and a facility for mixing the green and red spectral colors in a medical setting.  Most nations, for tariff and trade purposes, schedule these products under HS 900630.</t>
  </si>
  <si>
    <t>42190000</t>
  </si>
  <si>
    <t>Medical facility products</t>
  </si>
  <si>
    <t>In this classification, this family includes medical equipment, components, instruments and appliances as well as accessories used in the provisioning of medical facilities.</t>
  </si>
  <si>
    <t>42191500</t>
  </si>
  <si>
    <t>Medical facility materials handling and distribution equipment</t>
  </si>
  <si>
    <t>In this classification, this class includes material handling and distribution equipment, products, accessories and supplies, utilized in a medical facility</t>
  </si>
  <si>
    <t>Clinical pneumatic tube systems</t>
  </si>
  <si>
    <t>In this classification, this commodity indicates a system consisting of products, consumables and accessories that are used to execute a clinical pneumatic tube procedure in a medical setting.  Most nations, for tariff and trade purposes, schedule these products under HS 901890.</t>
  </si>
  <si>
    <t>Medicine trays or covers</t>
  </si>
  <si>
    <t>In this classification, this commodity indicates a product used as a tray for the containing or the covering for a group of medicines in a medical setting.  Most nations, for tariff and trade purposes, schedule these products under HS 392410.</t>
  </si>
  <si>
    <t>42191600</t>
  </si>
  <si>
    <t>Medical facility building systems</t>
  </si>
  <si>
    <t>In this classification, this class includes, systems, components, accessories, and supplies, utilized in building and maintaining medical facilities.</t>
  </si>
  <si>
    <t>Patient room lighting</t>
  </si>
  <si>
    <t>In this classification, this commodity indicates a product used as the lighting required in a patient's room in a medical setting.  Most nations, for tariff and trade purposes, schedule these products under HS 392690.</t>
  </si>
  <si>
    <t>Operating room lighting</t>
  </si>
  <si>
    <t>In this classification, this commodity indicates a product used as the lighting required in an operating room in a medical setting.  Most nations, for tariff and trade purposes, schedule these products under HS 392690.</t>
  </si>
  <si>
    <t>Hospital equipment instrument panels</t>
  </si>
  <si>
    <t>In this classification, this commodity indicates a product used as a group of instruments clustered together used in a hospital setting.  Most nations, for tariff and trade purposes, schedule these products under HS 901811.</t>
  </si>
  <si>
    <t>Clinical monitor arms</t>
  </si>
  <si>
    <t>In this classification, this commodity indicates a product used as a device used to provide stability to a free floating computer monitor that is movable in a clinical setting in a medical setting.  Most nations, for tariff and trade purposes, schedule these products under HS 852849.</t>
  </si>
  <si>
    <t>Hospital equipment power columns</t>
  </si>
  <si>
    <t>In this classification, this commodity indicates a product used as a device that is columnar and provide electric power in a hospital setting.  Most nations, for tariff and trade purposes, schedule these products under HS 852849.</t>
  </si>
  <si>
    <t>Medical facility ceiling arms</t>
  </si>
  <si>
    <t>In this classification, this commodity indicates a product used as a device used to provide stability to equipment, devices apparatus and instruments that descends from the ceiling in a hospital setting.  Most nations, for tariff and trade purposes, schedule these products under HS 852849.</t>
  </si>
  <si>
    <t>Patient cubicle curtains or screens or curtain track hardware</t>
  </si>
  <si>
    <t>In this classification, this commodity indicates a product used as in a medical setting.  Most nations, for tariff and trade purposes, schedule these products under HS 852849.</t>
  </si>
  <si>
    <t>Nursing controls or exit monitors</t>
  </si>
  <si>
    <t>In this classification, this commodity indicates a product that is a customized computer monitor that displays eye movement specific levels.  Most nations, for tariff and trade purposes, schedule these products under HS 852849.</t>
  </si>
  <si>
    <t>Clinical headwall systems</t>
  </si>
  <si>
    <t>In this classification, this commodity indicates a system consisting of products, consumables and accessories that are used to execute a clinical headwall procedure in a medical setting.  Most nations, for tariff and trade purposes, schedule these products under HS 901890.</t>
  </si>
  <si>
    <t>Clinical modular caseworks</t>
  </si>
  <si>
    <t>In this classification, this commodity indicates a product used as a preconfigured grouping of cases used in a clinical setting.  Most nations, for tariff and trade purposes, schedule these products under HS 940320.</t>
  </si>
  <si>
    <t>Nurse communication modules or systems</t>
  </si>
  <si>
    <t>In this classification, this commodity indicates a system consisting of products, consumables and accessories that are used to execute a nurse communication module procedure in a medical setting.  Most nations, for tariff and trade purposes, schedule these products under HS 901890.</t>
  </si>
  <si>
    <t>Hospital intercom systems</t>
  </si>
  <si>
    <t>In this classification, this commodity indicates a system consisting of products, consumables and accessories that are used to execute a hospital intercom procedure in a medical setting.  Most nations, for tariff and trade purposes, schedule these products under HS 990202.</t>
  </si>
  <si>
    <t>Infant or child security transmitters</t>
  </si>
  <si>
    <t>In this classification, this commodity indicates a product used as a radio or video signal transmitter that provides infant or child security in a medical setting.  Most nations, for tariff and trade purposes, schedule these products under HS 990202.</t>
  </si>
  <si>
    <t>Physiological monitor networks and communication systems</t>
  </si>
  <si>
    <t>In this classification, this commodity indicates a system consisting of products, consumables and accessories that are used to execute a physiological monitor networks and communication procedure in a medical setting.  Most nations, for tariff and trade purposes, schedule these products under HS 852849.</t>
  </si>
  <si>
    <t>General and plastic surgery fluorescein lighting</t>
  </si>
  <si>
    <t>Patient room lighting accessories</t>
  </si>
  <si>
    <t>In this classification, this commodity indicates a product that is either an accessory or consumable associated with patient room lightings.  Most nations, for tariff and trade purposes, schedule these products under HS 392690.</t>
  </si>
  <si>
    <t>Operating room lighting accessories</t>
  </si>
  <si>
    <t>In this classification, this commodity indicates a product that is either an accessory or consumable associated with operating room lightings.  Most nations, for tariff and trade purposes, schedule these products under HS 392690.</t>
  </si>
  <si>
    <t>42191700</t>
  </si>
  <si>
    <t>Medical gas products</t>
  </si>
  <si>
    <t>In this classification, this class includes medical gas equipment, products, accessories and supplies, utilized in a medical facility</t>
  </si>
  <si>
    <t>Medical gas or electric service tracks</t>
  </si>
  <si>
    <t>In this classification, this commodity indicates a product used as the tracks used to facilitate the movement of medical gases in a medical setting.  Most nations, for tariff and trade purposes, schedule these products under HS 901890.</t>
  </si>
  <si>
    <t>Medical gas delivery columns</t>
  </si>
  <si>
    <t>In this classification, this commodity indicates a product used as the delivery column for the distribution of medical gases in a medical setting.  Most nations, for tariff and trade purposes, schedule these products under HS 901890.</t>
  </si>
  <si>
    <t>Medical gas outlets</t>
  </si>
  <si>
    <t>In this classification, this commodity indicates a product used as the outlets for the distribution of medical gases in a medical setting.  Most nations, for tariff and trade purposes, schedule these products under HS 901890.</t>
  </si>
  <si>
    <t>Medical gas air compressor systems</t>
  </si>
  <si>
    <t>In this classification, this commodity indicates a system consisting of products, consumables and accessories that are used to execute a medical gas air compressor procedure in a medical setting.  Most nations, for tariff and trade purposes, schedule these products under HS 901890.</t>
  </si>
  <si>
    <t>Medical gas alarms</t>
  </si>
  <si>
    <t>In this classification, this commodity indicates a product used as the alarms against the unnoticed escape of medical gases in a medical setting.  Most nations, for tariff and trade purposes, schedule these products under HS 300650.</t>
  </si>
  <si>
    <t>Medical gas manifolds</t>
  </si>
  <si>
    <t>In this classification, this commodity indicates a product used as the alarms against the unnoticed escape of medical gases in a medical setting.  Most nations, for tariff and trade purposes, schedule these products under HS 841430.</t>
  </si>
  <si>
    <t>Medical vacuum systems</t>
  </si>
  <si>
    <t>In this classification, this commodity indicates a system consisting of products, consumables and accessories that are used to execute a medical vacuum procedure in a medical setting.  Most nations, for tariff and trade purposes, schedule these products under HS 901890.</t>
  </si>
  <si>
    <t>Medical air pressure control cabinets</t>
  </si>
  <si>
    <t>In this classification, this commodity indicates a product used as the manifolds for the distribution of medical gases in a medical setting.  Most nations, for tariff and trade purposes, schedule these products under HS 940320.</t>
  </si>
  <si>
    <t>Medical gas shutoff valves or valve boxes</t>
  </si>
  <si>
    <t>In this classification, this commodity indicates a product used as the shut off valves or vale boxes for the distribution of medical gases in a medical setting.  Most nations, for tariff and trade purposes, schedule these products under HS 841430.</t>
  </si>
  <si>
    <t>Medical gas cylinder carts or stands</t>
  </si>
  <si>
    <t>In this classification, this commodity indicates a product used as the carts or stands used to inhibit the movement of medical gases in a medical setting.  Most nations, for tariff and trade purposes, schedule these products under HS 940290.</t>
  </si>
  <si>
    <t>Surgical compressed air tanks</t>
  </si>
  <si>
    <t>In this classification, this commodity indicates a product used as a tank of compressed air used in surgical setting.  Most nations, for tariff and trade purposes, schedule these products under HS 841430.</t>
  </si>
  <si>
    <t>Medical gas cylinder carts or stand accessories</t>
  </si>
  <si>
    <t>In this classification, this commodity indicates a product that is either an accessory or consumable associated with medical gas cylinder carts or stands.  Most nations, for tariff and trade purposes, schedule these products under HS 300650.</t>
  </si>
  <si>
    <t>Surgical compressed air tank accessories</t>
  </si>
  <si>
    <t>In this classification, this commodity indicates a product that is either an accessory or consumable associated with surgical compressed air tanks.  Most nations, for tariff and trade purposes, schedule these products under HS 841430.</t>
  </si>
  <si>
    <t>42191800</t>
  </si>
  <si>
    <t>Patient beds and accessories</t>
  </si>
  <si>
    <t>In this classification, this class includes products, components, accessories, and supplies, utilized in medical bedding.</t>
  </si>
  <si>
    <t>Overbed tables</t>
  </si>
  <si>
    <t>In this classification, this commodity indicates a product used as a small movable table that can be positioned so as to cover a portion of a bed in a medical setting.  Most nations, for tariff and trade purposes, schedule these products under HS 940290.</t>
  </si>
  <si>
    <t>Clinical incubators or infant warmers</t>
  </si>
  <si>
    <t>In this classification, this commodity indicates a product used as an enclosed apparatus providing a controlled environment for the care and protection of premature or unusually small babies in a medical setting.  Most nations, for tariff and trade purposes, schedule these products under HS 300650.</t>
  </si>
  <si>
    <t>Clinical bassinets or cribs or pediatric beds</t>
  </si>
  <si>
    <t>In this classification, this commodity indicates a product used as devices for the swaddling and sleeping of babies and small children in a hospital setting.  Most nations, for tariff and trade purposes, schedule these products under HS 901890.</t>
  </si>
  <si>
    <t>Medical or surgical bedside rails</t>
  </si>
  <si>
    <t>In this classification, this commodity indicates a product used as derived that provide rails as protection to the side of hospital beds in a medical setting.  Most nations, for tariff and trade purposes, schedule these products under HS 901890.</t>
  </si>
  <si>
    <t>Medical suspended columns</t>
  </si>
  <si>
    <t>In this classification, this commodity indicates a product used as suspended apparatus in columnar shape used to facilitate the use of other medical devices, systems, and instruments in a medical setting.  Most nations, for tariff and trade purposes, schedule these products under HS 901819.</t>
  </si>
  <si>
    <t>Clinical trapeze bars</t>
  </si>
  <si>
    <t>In this classification, this commodity indicates a product used as a device that resembles a trapeze that allows physically challenge patients to move and reposition themselves in a medical setting.  Most nations, for tariff and trade purposes, schedule these products under HS 901819.</t>
  </si>
  <si>
    <t>Patient care beds for general use</t>
  </si>
  <si>
    <t>In this classification, this commodity indicates a product used as in a medical setting.  Most nations, for tariff and trade purposes, schedule these products under HS 901890.</t>
  </si>
  <si>
    <t>Patient care beds for specialty care</t>
  </si>
  <si>
    <t>In this classification, this commodity indicates a product used as beds with alternating extended capabilities to aid patients with specialized needs in a medical setting.  Most nations, for tariff and trade purposes, schedule these products under HS 611780.</t>
  </si>
  <si>
    <t>Patient care mattresses</t>
  </si>
  <si>
    <t>In this classification, this commodity indicates a product used as a mattress in a patient bed in a medical setting.  Most nations, for tariff and trade purposes, schedule these products under HS 611780.</t>
  </si>
  <si>
    <t>Infant positioning cradles</t>
  </si>
  <si>
    <t>In this classification, this commodity indicates a product used as q cradle that conforms a patient's positons so as to allow for movement of that position in a medical setting.  Most nations, for tariff and trade purposes, schedule these products under HS 300590.</t>
  </si>
  <si>
    <t>Infant incubator supply kits</t>
  </si>
  <si>
    <t>In this classification, this commodity indicates a product that is a prepackaged collection (either custom or standard) of the equipment and supplies that enable incubator use in a medical setting.  Most nations, for tariff and trade purposes, schedule these products under HS 611780.</t>
  </si>
  <si>
    <t>Patient care cot covers</t>
  </si>
  <si>
    <t>In this classification, this commodity indicates a product used as a simple cover for a patient care cot in a medical setting.  Most nations, for tariff and trade purposes, schedule these products under HS 611780.</t>
  </si>
  <si>
    <t>Clinical incubator or infant warmer accessories</t>
  </si>
  <si>
    <t>In this classification, this commodity indicates a product that is either an accessory or consumable associated with clinical incubator or infant warmers.  Most nations, for tariff and trade purposes, schedule these products under HS 902780.</t>
  </si>
  <si>
    <t>Patient care bed accessories</t>
  </si>
  <si>
    <t>In this classification, this commodity indicates a product that is either an accessory or consumable associated with patient care beds.  Most nations, for tariff and trade purposes, schedule these products under HS 611780.</t>
  </si>
  <si>
    <t>Patient care mattress accessories</t>
  </si>
  <si>
    <t>In this classification, this commodity indicates a product that is either an accessory or consumable associated with patient care mattresses.  Most nations, for tariff and trade purposes, schedule these products under HS 611780.</t>
  </si>
  <si>
    <t>Clinical bassinet or crib or pediatric bed accessories</t>
  </si>
  <si>
    <t>In this classification, this commodity indicates a product that is either an accessory or consumable associated with clinical basinet or crib or pediatric beds.  Most nations, for tariff and trade purposes, schedule these products under HS 611780.</t>
  </si>
  <si>
    <t>Overbed table accessories</t>
  </si>
  <si>
    <t>In this classification, this commodity indicates a product that is either an accessory or consumable associated with over bed tables.  Most nations, for tariff and trade purposes, schedule these products under HS 380894.</t>
  </si>
  <si>
    <t>Patient positioners for general purposes</t>
  </si>
  <si>
    <t>In this classification, this commodity indicates a product used as a device to assist in the moving or changing of position of a patient in a medical setting.  Most nations, for tariff and trade purposes, schedule these products under HS 491110.</t>
  </si>
  <si>
    <t>Pediatric positioners</t>
  </si>
  <si>
    <t>In this classification, this commodity indicates a product used as a device to assist in the moving or changing of position of a younger child patient in a medical setting.  Most nations, for tariff and trade purposes, schedule these products under HS 901811.</t>
  </si>
  <si>
    <t>42191900</t>
  </si>
  <si>
    <t>Clinical cabinetry</t>
  </si>
  <si>
    <t>In this classification, this class includes products, components, accessories, and supplies utilized in cabinetry supporting clinical procedures.</t>
  </si>
  <si>
    <t>Bedside clinical cabinets</t>
  </si>
  <si>
    <t>In this classification, this commodity indicates a product used as a cabinet for clinical purposes that are positioned bedside to a patient in a medical setting.  Most nations, for tariff and trade purposes, schedule these products under HS 940290.</t>
  </si>
  <si>
    <t>Hospital armoires</t>
  </si>
  <si>
    <t>In this classification, this commodity indicates a product used as a wardrobe or movable cabinet in a medical setting.  Most nations, for tariff and trade purposes, schedule these products under HS 940360.</t>
  </si>
  <si>
    <t>Medical monitor cabinets</t>
  </si>
  <si>
    <t>In this classification, this commodity indicates a product used as a cabinet or enclosure to protect a monitor in a medical setting.  Most nations, for tariff and trade purposes, schedule these products under HS 940320.</t>
  </si>
  <si>
    <t>Narcotic cabinets or safes</t>
  </si>
  <si>
    <t>In this classification, this commodity indicates a product used as a cabinet or safe to protect access to narcotics in a medical setting.  Most nations, for tariff and trade purposes, schedule these products under HS 830300.</t>
  </si>
  <si>
    <t>Medical treatment cabinets</t>
  </si>
  <si>
    <t>In this classification, this commodity indicates a product used as a cabinet or safe to protect access to treatments in a medical setting.  Most nations, for tariff and trade purposes, schedule these products under HS 940320.</t>
  </si>
  <si>
    <t>Blanket or solution warmer cabinets</t>
  </si>
  <si>
    <t>In this classification, this commodity indicates a product used as a cabinet or enclosure to protect blankets or warming solutions in a medical setting.  Most nations, for tariff and trade purposes, schedule these products under HS 940320.</t>
  </si>
  <si>
    <t>Medical or surgical instrument storage cabinets or chests</t>
  </si>
  <si>
    <t>In this classification, this commodity indicates a product used as a cabinet or safe to protect access to medical or surgical instruments in a medical setting.  Most nations, for tariff and trade purposes, schedule these products under HS 940320.</t>
  </si>
  <si>
    <t>Medical chart caddies</t>
  </si>
  <si>
    <t>In this classification, this commodity indicates a product used as an a protective and movable enclosure for medical charts and records in a medical setting.  Most nations, for tariff and trade purposes, schedule these products under HS 490500.</t>
  </si>
  <si>
    <t>Computerized medication dispensing cabinets</t>
  </si>
  <si>
    <t>In this classification, this commodity indicates a product used as a protective enclosure that includes the dispensation of medication in a medical setting.  Most nations, for tariff and trade purposes, schedule these products under HS 940320.</t>
  </si>
  <si>
    <t>Medical equipment maintenance and repair tool kit chests</t>
  </si>
  <si>
    <t>In this classification, this commodity indicates a product used as in a medical setting.  Most nations, for tariff and trade purposes, schedule these products under HS 901819.</t>
  </si>
  <si>
    <t>Blood pressure mobile stands</t>
  </si>
  <si>
    <t>In this classification, this commodity indicates a product used as a movable stand for the apparatus involved in measuring blood pressure in a medical setting.  Most nations, for tariff and trade purposes, schedule these products under HS 940320.</t>
  </si>
  <si>
    <t>Bedside clinical cabinet accessories</t>
  </si>
  <si>
    <t>In this classification, this commodity indicates a product that is either an accessory or consumable associated with bedside clinical cabinets.  Most nations, for tariff and trade purposes, schedule these products under HS 940320.</t>
  </si>
  <si>
    <t>Medical chart caddy accessories</t>
  </si>
  <si>
    <t>In this classification, this commodity indicates a product that is either an accessory or consumable associated with medical chart caddies.  Most nations, for tariff and trade purposes, schedule these products under HS 490500.</t>
  </si>
  <si>
    <t>Medical or surgical instrument storage cabinet or chest accessories</t>
  </si>
  <si>
    <t>In this classification, this commodity indicates a product that is either an accessory or consumable associated with medical or surgical instrument storage cabinet or chests.  Most nations, for tariff and trade purposes, schedule these products under HS 901819.</t>
  </si>
  <si>
    <t>42192000</t>
  </si>
  <si>
    <t>Clinical procedure and examination tables</t>
  </si>
  <si>
    <t>In this classification, this class includes, products, components, accessories, and supplies, utilized as seating or stools, supporting clinical procedures and examinations.</t>
  </si>
  <si>
    <t>Medical exam or procedure tables for general use</t>
  </si>
  <si>
    <t>In this classification, this commodity indicates a product used as a table specifically configure to aid in medical examinations and procedures in a medical setting.  Most nations, for tariff and trade purposes, schedule these products under HS 940290.</t>
  </si>
  <si>
    <t>Medical exam or procedure table accessories for general use excluding cover sheets</t>
  </si>
  <si>
    <t>In this classification, this commodity indicates a product that is either an accessory or consumable associated with medical exam or procedure table for general use excluding cover sheets.  Most nations, for tariff and trade purposes, schedule these products under HS 490500.</t>
  </si>
  <si>
    <t>Physical therapy massage tables</t>
  </si>
  <si>
    <t>In this classification, this commodity indicates a product used as a table specifically configured to aid in physical therapy massage procedures in a medical setting.  Most nations, for tariff and trade purposes, schedule these products under HS 940290.</t>
  </si>
  <si>
    <t>Decontamination tables</t>
  </si>
  <si>
    <t>In this classification, this commodity indicates a product used as a table specifically configured to aid in medical decontamination procedures in a medical setting.  Most nations, for tariff and trade purposes, schedule these products under HS 940290.</t>
  </si>
  <si>
    <t>Hospital diaper or dressing tables</t>
  </si>
  <si>
    <t>In this classification, this commodity indicates a product used as a table specifically configured to aid in diaper or dressing procedures in a medical setting.  Most nations, for tariff and trade purposes, schedule these products under HS 940290.</t>
  </si>
  <si>
    <t>Hospital utility tables</t>
  </si>
  <si>
    <t>In this classification, this commodity indicates a product used as a table specifically configured to aid in general utility procedures in a medical setting.  Most nations, for tariff and trade purposes, schedule these products under HS 940290.</t>
  </si>
  <si>
    <t>42192100</t>
  </si>
  <si>
    <t>Clinical seating and stools and related products</t>
  </si>
  <si>
    <t>In this classification, this class includes seating equipment, products, accessories and supplies utilized in a medical facility</t>
  </si>
  <si>
    <t>Blood drawing or phlebotomy chairs</t>
  </si>
  <si>
    <t>In this classification, this commodity indicates a product used as a chair conformed to aid in blood drawing or phlebotomy procedures in a medical setting.  Most nations, for tariff and trade purposes, schedule these products under HS 940290.</t>
  </si>
  <si>
    <t>Hospital recliners</t>
  </si>
  <si>
    <t>In this classification, this commodity indicates a product used as a chair conformed to recline in general medical procedures in a medical setting.  Most nations, for tariff and trade purposes, schedule these products under HS 940290.</t>
  </si>
  <si>
    <t>Patient chairs</t>
  </si>
  <si>
    <t>In this classification, this commodity indicates a product used as a chair conformed to accommodate patients in general medical procedures in a medical setting.  Most nations, for tariff and trade purposes, schedule these products under HS 940290.</t>
  </si>
  <si>
    <t>Medical stools or chairs</t>
  </si>
  <si>
    <t>In this classification, this commodity indicates a product used as a chair or stool conformed to accommodate patients in general medical procedures in a medical setting.  Most nations, for tariff and trade purposes, schedule these products under HS 940290.</t>
  </si>
  <si>
    <t>Medical facility visitor chairs</t>
  </si>
  <si>
    <t>In this classification, this commodity indicates a product used as a chair conformed to accommodate visitors associated with patients in a medical setting.  Most nations, for tariff and trade purposes, schedule these products under HS 940290.</t>
  </si>
  <si>
    <t>Clinical examination chairs</t>
  </si>
  <si>
    <t>In this classification, this commodity indicates a product used as a table specifically configured to aid in medical examination procedures in a medical setting.  Most nations, for tariff and trade purposes, schedule these products under HS 940290.</t>
  </si>
  <si>
    <t>Hospital folding cots</t>
  </si>
  <si>
    <t>Blood drawing or phlebotomy chair accessories</t>
  </si>
  <si>
    <t>In this classification, this commodity indicates a product that is either an accessory or consumable associated with blood drawing or phlebotomy chairs.  Most nations, for tariff and trade purposes, schedule these products under HS 901819.</t>
  </si>
  <si>
    <t>Hospital recliner accessories</t>
  </si>
  <si>
    <t>In this classification, this commodity indicates a product that is either an accessory or consumable associated with hospital recliners.  Most nations, for tariff and trade purposes, schedule these products under HS 901811.</t>
  </si>
  <si>
    <t>Medical stool or chair accessories</t>
  </si>
  <si>
    <t>In this classification, this commodity indicates a product that is either an accessory or consumable associated with medical stool or chairs.  Most nations, for tariff and trade purposes, schedule these products under HS 901811.</t>
  </si>
  <si>
    <t>Clinical examination chair accessories</t>
  </si>
  <si>
    <t>In this classification, this commodity indicates a product that is either an accessory or consumable associated with clinical examination chairs.  Most nations, for tariff and trade purposes, schedule these products under HS 901811.</t>
  </si>
  <si>
    <t>42192200</t>
  </si>
  <si>
    <t>Patient transport products</t>
  </si>
  <si>
    <t>In this classification, this class includes, products, components, accessories, and supplies utilized in patient transportation based medical procedures.</t>
  </si>
  <si>
    <t>Patient transport trolleys</t>
  </si>
  <si>
    <t>In this classification, this commodity indicates a product used as a cot that folds that is conformed to accommodate patients in general medical procedures in a medical setting.  Most nations, for tariff and trade purposes, schedule these products under HS 901811.</t>
  </si>
  <si>
    <t>Gurneys or scissor lifts</t>
  </si>
  <si>
    <t>In this classification, this commodity indicates a product used as a gurney or scissor lift conformed to move patients or goods in a medical setting.  Most nations, for tariff and trade purposes, schedule these products under HS 842860.</t>
  </si>
  <si>
    <t>Geriatric chairs</t>
  </si>
  <si>
    <t>In this classification, this commodity indicates a product used as a table specifically configured to aid in geriatric procedures in a medical setting.  Most nations, for tariff and trade purposes, schedule these products under HS 940290.</t>
  </si>
  <si>
    <t>Patient transport incubators</t>
  </si>
  <si>
    <t>In this classification, this commodity indicates a product used as incubators used in the transport of patients in a medical setting.  Most nations, for tariff and trade purposes, schedule these products under HS 901811.</t>
  </si>
  <si>
    <t>Patient scooter accessories</t>
  </si>
  <si>
    <t>In this classification, this commodity indicates a product that is either an accessory or consumable associated with patient scooters.  Most nations, for tariff and trade purposes, schedule these products under HS 950300.</t>
  </si>
  <si>
    <t>Patient scooters</t>
  </si>
  <si>
    <t>In this classification, this commodity indicates a product used as a scooter used by patients in a medical setting.  Most nations, for tariff and trade purposes, schedule these products under HS 950300.</t>
  </si>
  <si>
    <t>Patient stretchers</t>
  </si>
  <si>
    <t>In this classification, this commodity indicates a product used as a stretcher used by patients to facilitate movement in a medical setting.  Most nations, for tariff and trade purposes, schedule these products under HS 940290.</t>
  </si>
  <si>
    <t>Wheelchair accessories</t>
  </si>
  <si>
    <t>In this classification, this commodity indicates a product that is either an accessory or consumable associated with wheelchairs.  US FDA regulates Wheelchair accessories under 21 CFR 890.3910 and under FDA product code IML.  Most nations, for tariff and trade purposes, schedule these products under HS 871310.</t>
  </si>
  <si>
    <t>Wheelchair ramps</t>
  </si>
  <si>
    <t>In this classification, this commodity indicates a product used as a ramp that accommodated the use of a wheelchair in a medical setting.  Most nations, for tariff and trade purposes, schedule these products under HS 901811.</t>
  </si>
  <si>
    <t>Wheelchairs</t>
  </si>
  <si>
    <t>In this classification, this commodity indicates a product used as a chair fitted with wheels for use as a means of transport by a person who is unable to walk as a result of illness, injury, or disability in a medical setting.  US FDA regulates Wheelchairs under 21 CFR 890.3850 and under FDA product code IMK.  Most nations, for tariff and trade purposes, schedule these products under HS 871310.</t>
  </si>
  <si>
    <t>Patient shifting boards</t>
  </si>
  <si>
    <t>In this classification, this commodity indicates a product used as a board with grips allowing for the shifting or transporting patients between surfaces in a medical setting.  Most nations, for tariff and trade purposes, schedule these products under HS 901811.</t>
  </si>
  <si>
    <t>Patient transfer mats or sheets</t>
  </si>
  <si>
    <t>In this classification, this commodity indicates a product used as the mats or sheets accommodating a board with grips allowing for the shifting or transporting patients between surfaces in a medical setting.  Most nations, for tariff and trade purposes, schedule these products under HS 300590.</t>
  </si>
  <si>
    <t>Wheelchair lifts</t>
  </si>
  <si>
    <t>In this classification, this commodity indicates a product used as a device to assist people in placing wheelchairs into and out of their cars or other areas.  US FDA regulates Wheelchair lifts under 21 CFR 890.3920 and under FDA product code IMN.  Most nations, for tariff and trade purposes, schedule these products under HS 842860.</t>
  </si>
  <si>
    <t>Patient transport isolation chambers</t>
  </si>
  <si>
    <t>In this classification, this commodity indicates a product used as a portable patient isolation unit (PIU) which prevents contain Transportation and isolation of patients from contamination in a medical setting.  Most nations, for tariff and trade purposes, schedule these products under HS 621143.</t>
  </si>
  <si>
    <t>Wheelchair cushions</t>
  </si>
  <si>
    <t>In this classification, this commodity indicates a product used as in a medical setting.  Most nations, for tariff and trade purposes, schedule these products under HS 611030.</t>
  </si>
  <si>
    <t>Patient transport trolley accessories</t>
  </si>
  <si>
    <t>In this classification, this commodity indicates a product that is either an accessory or consumable associated with patient transport trolleys.  Most nations, for tariff and trade purposes, schedule these products under HS 901811.</t>
  </si>
  <si>
    <t>Patient shifting board accessories</t>
  </si>
  <si>
    <t>In this classification, this commodity indicates a product that is either an accessory or consumable associated with patient shifting boards.  Most nations, for tariff and trade purposes, schedule these products under HS 901811.</t>
  </si>
  <si>
    <t>Geriatric chair accessories</t>
  </si>
  <si>
    <t>In this classification, this commodity indicates a product that is either an accessory or consumable associated with geriatric chairs.  Most nations, for tariff and trade purposes, schedule these products under HS 901819.</t>
  </si>
  <si>
    <t>Patient transport incubator accessories</t>
  </si>
  <si>
    <t>In this classification, this commodity indicates a product that is either an accessory or consumable associated with patient transport incubators.  Most nations, for tariff and trade purposes, schedule these products under HS 901819.</t>
  </si>
  <si>
    <t>Patient stretcher accessories</t>
  </si>
  <si>
    <t>In this classification, this commodity indicates a product that is either an accessory or consumable associated with patient stretchers.  Most nations, for tariff and trade purposes, schedule these products under HS 901819.</t>
  </si>
  <si>
    <t>42192300</t>
  </si>
  <si>
    <t>Patient lifts and related products</t>
  </si>
  <si>
    <t>In this classification, this class includes, products, components, accessories, and supplies utilized in patient lifting based medical procedures.</t>
  </si>
  <si>
    <t>Patient lifts</t>
  </si>
  <si>
    <t>In this classification, this commodity indicates a product used as a mechanical or sling based device to facilitate the lifting and movement of patients in a medical setting.  Most nations, for tariff and trade purposes, schedule these products under HS 842860.</t>
  </si>
  <si>
    <t>Clinical hydraulic lifts</t>
  </si>
  <si>
    <t>In this classification, this commodity indicates a product used as a hydraulic device to facilitate the lifting and movement of patients in a clinical setting.  Most nations, for tariff and trade purposes, schedule these products under HS 842860.</t>
  </si>
  <si>
    <t>Patient suspended seats or slings</t>
  </si>
  <si>
    <t>In this classification, this commodity indicates a product used as a seat or sling mounted from the ceiling to protect or move patients in a medical setting.  Most nations, for tariff and trade purposes, schedule these products under HS 940290.</t>
  </si>
  <si>
    <t>Patient ceiling hoists</t>
  </si>
  <si>
    <t>In this classification, this commodity indicates a product used as a seat or sling mounted from the ceiling to raise and lower patients in a medical setting.  Most nations, for tariff and trade purposes, schedule these products under HS 842860.</t>
  </si>
  <si>
    <t>Infant slings</t>
  </si>
  <si>
    <t>In this classification, this commodity indicates a product used as a sling to facilitate the protection of an infant while it is being moved or treated in a medical setting.  Most nations, for tariff and trade purposes, schedule these products under HS 940290.</t>
  </si>
  <si>
    <t>Infant sling accessories</t>
  </si>
  <si>
    <t>In this classification, this commodity indicates a product that is either an accessory or consumable associated with infant slings.  Most nations, for tariff and trade purposes, schedule these products under HS 940290.</t>
  </si>
  <si>
    <t>Patient lift accessories</t>
  </si>
  <si>
    <t>In this classification, this commodity indicates a product that is either an accessory or consumable associated with patient lifts.  Most nations, for tariff and trade purposes, schedule these products under HS 940290.</t>
  </si>
  <si>
    <t>Clinical hydraulic lift accessories</t>
  </si>
  <si>
    <t>In this classification, this commodity indicates a product that is either an accessory or consumable associated with clinical hydraulic lifts.  Most nations, for tariff and trade purposes, schedule these products under HS 940290.</t>
  </si>
  <si>
    <t>42192400</t>
  </si>
  <si>
    <t>Medical equipment transport and transfer and storage products</t>
  </si>
  <si>
    <t>In this classification, this class includes, products, components, accessories, and supplies, utilized in the transport of transfer of medical equipment.</t>
  </si>
  <si>
    <t>Emergency or resuscitation carts</t>
  </si>
  <si>
    <t>In this classification, this commodity indicates a product used as carts used in emergency treatment or resuscitation of patients in a medical setting.  Most nations, for tariff and trade purposes, schedule these products under HS 940290.</t>
  </si>
  <si>
    <t>Diagnostic or monitoring equipment specific carts or stands</t>
  </si>
  <si>
    <t>In this classification, this commodity indicates a product used as either a cart or stand associated with diagnostic or monitoring equipment used in a medical setting.  Most nations, for tariff and trade purposes, schedule these products under HS 940290.</t>
  </si>
  <si>
    <t>Medical isolation carts</t>
  </si>
  <si>
    <t>In this classification, this commodity indicates a product used as an isolation cart used in a medical setting.  Most nations, for tariff and trade purposes, schedule these products under HS 940290.</t>
  </si>
  <si>
    <t>Medical carts</t>
  </si>
  <si>
    <t>In this classification, this commodity indicates a product used as a cart used in a medical setting.  Most nations, for tariff and trade purposes, schedule these products under HS 940290.</t>
  </si>
  <si>
    <t>Irrigator mobile stands</t>
  </si>
  <si>
    <t>In this classification, this commodity indicates a product used as a stand that supports mobile irrigation equipment used in a medical setting.  Most nations, for tariff and trade purposes, schedule these products under HS 940290.</t>
  </si>
  <si>
    <t>Urinal carrying carts</t>
  </si>
  <si>
    <t>In this classification, this commodity indicates a product used as cart that carries urine or urine samples in a medical setting.  Most nations, for tariff and trade purposes, schedule these products under HS 940290.</t>
  </si>
  <si>
    <t>Medical cart accessories</t>
  </si>
  <si>
    <t>In this classification, this commodity indicates a product that is either an accessory or consumable associated with medical carts.  Most nations, for tariff and trade purposes, schedule these products under HS 940290.</t>
  </si>
  <si>
    <t>Bedpan carriers</t>
  </si>
  <si>
    <t>In this classification, this commodity indicates a product used as cart that carries bedpans in a medical setting.  Most nations, for tariff and trade purposes, schedule these products under HS 940290.</t>
  </si>
  <si>
    <t>Cast or splint carts or stands</t>
  </si>
  <si>
    <t>In this classification, this commodity indicates a product used as cart that carries cast or splints and their components and supplies in a medical setting.  Most nations, for tariff and trade purposes, schedule these products under HS 901890.</t>
  </si>
  <si>
    <t>Hemodialysis unit stands or supports or carts</t>
  </si>
  <si>
    <t>In this classification, this commodity indicates a product used as in a medical setting.  Most nations, for tariff and trade purposes, schedule these products under HS 940290.</t>
  </si>
  <si>
    <t>Traction weight storage carts or racks</t>
  </si>
  <si>
    <t>In this classification, this commodity indicates a product used as carts or racks that are stabilized using weight tractions in a medical setting.  Most nations, for tariff and trade purposes, schedule these products under HS 940290.</t>
  </si>
  <si>
    <t>Surgical dressing carts</t>
  </si>
  <si>
    <t>In this classification, this commodity indicates a product used as cart that stores and protects dressing their components and supplies in a medical setting.  Most nations, for tariff and trade purposes, schedule these products under HS 940290.</t>
  </si>
  <si>
    <t>Suture carts or racks</t>
  </si>
  <si>
    <t>In this classification, this commodity indicates a product used as a cart or rack that stores and maintains sutures and their associated supplies in a medical setting.  Most nations, for tariff and trade purposes, schedule these products under HS 940290.</t>
  </si>
  <si>
    <t>Airway management bags</t>
  </si>
  <si>
    <t>In this classification, this commodity indicates a product used as bags used as a component in an airway management procedure in a medical setting.  Most nations, for tariff and trade purposes, schedule these products under HS 392690.</t>
  </si>
  <si>
    <t>Clothing cases</t>
  </si>
  <si>
    <t>In this classification, this commodity indicates a product used as in a medical setting.  Most nations, for tariff and trade purposes, schedule these products under HS 420212.</t>
  </si>
  <si>
    <t>Defibrillator cases</t>
  </si>
  <si>
    <t>In this classification, this commodity indicates a product used as case used to protect transport safely or store a defibrillator in a medical setting.  Most nations, for tariff and trade purposes, schedule these products under HS 420212.</t>
  </si>
  <si>
    <t>Drug cases</t>
  </si>
  <si>
    <t>In this classification, this commodity indicates a product used as case used to protect transport safely or store drugs in a medical setting.  Most nations, for tariff and trade purposes, schedule these products under HS 420212.</t>
  </si>
  <si>
    <t>Evacuation bags or liners</t>
  </si>
  <si>
    <t>In this classification, this commodity indicates a product used as either bags or liners utilized in a medical evacuation procedure in a medical setting.  Most nations, for tariff and trade purposes, schedule these products under HS 392690.</t>
  </si>
  <si>
    <t>Extrication product cases or bags</t>
  </si>
  <si>
    <t>In this classification, this commodity indicates a product used as case or bag used to protect store or transport an extrication product in a medical setting.  Most nations, for tariff and trade purposes, schedule these products under HS 901890.</t>
  </si>
  <si>
    <t>First aid kit cases or bags</t>
  </si>
  <si>
    <t>In this classification, this commodity indicates a product used as case or bag used to protect store or transport a first aid products and supplies in a medical setting.  Most nations, for tariff and trade purposes, schedule these products under HS 392690.</t>
  </si>
  <si>
    <t>Gas casualty treatment set cases</t>
  </si>
  <si>
    <t>In this classification, this commodity indicates a product used as a set of cases used to store, protect or transport gas casualty treatment equipment and supplies in a medical setting.  Most nations, for tariff and trade purposes, schedule these products under HS 420212.</t>
  </si>
  <si>
    <t>Immobilization set carrying or storage cases</t>
  </si>
  <si>
    <t>In this classification, this commodity indicates a product used as a set of cases used to store, protect or transport patient immobilization equipment and supplies in a medical setting.  Most nations, for tariff and trade purposes, schedule these products under HS 420212.</t>
  </si>
  <si>
    <t>Intravenous IV cases</t>
  </si>
  <si>
    <t>In this classification, this commodity indicates a product used as case used to protect transport safely or store intravenous iv equipment and supplies in a medical setting.  Most nations, for tariff and trade purposes, schedule these products under HS 420212.</t>
  </si>
  <si>
    <t>Life support cases</t>
  </si>
  <si>
    <t>In this classification, this commodity indicates a product used as case used to protect transport safely or store life support equipment and supplies in a medical setting.  Most nations, for tariff and trade purposes, schedule these products under HS 420212.</t>
  </si>
  <si>
    <t>Long distance response LDR trauma cases or bags</t>
  </si>
  <si>
    <t>In this classification, this commodity indicates a product used as case used to protect transport safely or store long distance response ldr equipment and supplies in a medical setting.  Most nations, for tariff and trade purposes, schedule these products under HS 392690.</t>
  </si>
  <si>
    <t>Medical equipment bag or case accessories</t>
  </si>
  <si>
    <t>In this classification, this commodity indicates a product that is either an accessory or consumable associated with medical equipment bags or cases.  Most nations, for tariff and trade purposes, schedule these products under HS 901819.</t>
  </si>
  <si>
    <t>Paramedic or emergency medical technician EMT cases or bags</t>
  </si>
  <si>
    <t>In this classification, this commodity indicates a product used as case or bag used to protect store or transport paramedic or emergency response products and supplies in a medical setting.  Most nations, for tariff and trade purposes, schedule these products under HS 392690.</t>
  </si>
  <si>
    <t>Portable oxygen or resuscitation cases</t>
  </si>
  <si>
    <t>In this classification, this commodity indicates a product used as case used to protect transport safely or store portable oxygen or resuscitation equipment and supplies in a medical setting.  Most nations, for tariff and trade purposes, schedule these products under HS 901819.</t>
  </si>
  <si>
    <t>In this classification, this commodity indicates a product used as cart that stores and protects catheters and their components and supplies in a medical setting.  Most nations, for tariff and trade purposes, schedule these products under HS 940290.</t>
  </si>
  <si>
    <t>Mobile traction carts</t>
  </si>
  <si>
    <t>In this classification, this commodity indicates a product used as cart that are movable and stabilized by traction in a medical setting.  Most nations, for tariff and trade purposes, schedule these products under HS 940290.</t>
  </si>
  <si>
    <t>Cases for postmortem surgical instruments</t>
  </si>
  <si>
    <t>In this classification, this commodity indicates a product used as a case for postmortem surgical instruments in a medical setting.  US FDA regulates Cases for postmortem surgical instruments under 21 CFR 878.4040 and under FDA product code OKF.  Most nations, for tariff and trade purposes, schedule these products under HS 630590.</t>
  </si>
  <si>
    <t>42192500</t>
  </si>
  <si>
    <t>Medical equipment protectors</t>
  </si>
  <si>
    <t>In this classification, this class includes, products, components, accessories, and supplies, utilized as protectors of medical equipment.</t>
  </si>
  <si>
    <t>Medical equipment covers</t>
  </si>
  <si>
    <t>In this classification, this commodity indicates a product used as a cover to protect medical equipment in a medical setting.  US FDA regulates Medical equipment covers under 21 CFR 864.3010 and under FDA product code FFF.  Most nations, for tariff and trade purposes, schedule these products under HS 902519.</t>
  </si>
  <si>
    <t>Medical equipment bags</t>
  </si>
  <si>
    <t>In this classification, this commodity indicates a product used as a bag to protect medical equipment in a medical setting.  Most nations, for tariff and trade purposes, schedule these products under HS 392690.</t>
  </si>
  <si>
    <t>42192600</t>
  </si>
  <si>
    <t>Medication dispensing and measuring devices and supplies</t>
  </si>
  <si>
    <t>In this classification, this class includes, products, components, accessories, and supplies, utilized in medicinal measuring and dispensing.</t>
  </si>
  <si>
    <t>Suppository molds</t>
  </si>
  <si>
    <t>In this classification, this commodity indicates a product used as a mold for a small plug of medication designed to melt at body temperature within a body cavity other than the mouth used in a medical setting.  Most nations, for tariff and trade purposes, schedule these products under HS 901890.</t>
  </si>
  <si>
    <t>Medication or pill dispensers</t>
  </si>
  <si>
    <t>In this classification, this commodity indicates a product used as a protection and dispensing case for the dispensation of medication or pills in a medical setting.  Most nations, for tariff and trade purposes, schedule these products under HS 901890.</t>
  </si>
  <si>
    <t>Medicine feeding cups or bottles</t>
  </si>
  <si>
    <t>In this classification, this commodity indicates a product used as a cup or bottle that facilitates the dispensation and ingestions of medicines in a medical setting.  Most nations, for tariff and trade purposes, schedule these products under HS 701090.</t>
  </si>
  <si>
    <t>Drug delivery systems</t>
  </si>
  <si>
    <t>In this classification, this commodity indicates a system consisting of products, consumables and accessories that are used to execute a drug delivery procedure in a medical setting.  Most nations, for tariff and trade purposes, schedule these products under HS 901890.</t>
  </si>
  <si>
    <t>Powder blowers</t>
  </si>
  <si>
    <t>In this classification, this commodity indicates a product used as a device that blows powder in various procedures in a medical setting.  Most nations, for tariff and trade purposes, schedule these products under HS 901890.</t>
  </si>
  <si>
    <t>Analgesia infusion pumps</t>
  </si>
  <si>
    <t>In this classification, this commodity indicates a product used as a pump that infuses analgesic compounds or solutions in a medical setting.  Most nations, for tariff and trade purposes, schedule these products under HS 392690.</t>
  </si>
  <si>
    <t>Insulin delivery system pump cartridge kits</t>
  </si>
  <si>
    <t>In this classification, this commodity indicates a product that is a prepackaged collection (either custom or standard) of the equipment and supplies that enable insulin delivery pump system cartridge use in a medical setting.  Most nations, for tariff and trade purposes, schedule these products under HS 392350.</t>
  </si>
  <si>
    <t>Insulin delivery system pump infusion kits</t>
  </si>
  <si>
    <t>In this classification, this commodity indicates a product that is a prepackaged collection (either custom or standard) of the equipment and supplies that enable insulin delivery pump system infusion use in a medical setting.  Most nations, for tariff and trade purposes, schedule these products under HS 902511.</t>
  </si>
  <si>
    <t>Insulin infusion pumps</t>
  </si>
  <si>
    <t>In this classification, this commodity indicates a product used as a pump that infuses insulin in various forms in a medical setting.  Most nations, for tariff and trade purposes, schedule these products under HS 902519.</t>
  </si>
  <si>
    <t>Ophthalmic infusion pumps</t>
  </si>
  <si>
    <t>In this classification, this commodity indicates a product used as a pump that infuses ophthalmic fluids or compounds in various forms in a medical setting.  Most nations, for tariff and trade purposes, schedule these products under HS 841370.</t>
  </si>
  <si>
    <t>Insulin infusion pump accessories</t>
  </si>
  <si>
    <t>In this classification, this commodity indicates a product that is either an accessory or consumable associated with insulin infusion pumps.  Most nations, for tariff and trade purposes, schedule these products under HS 732619.</t>
  </si>
  <si>
    <t>Reconstitution piercing pins</t>
  </si>
  <si>
    <t>In this classification, this commodity indicates a product used as a pin that pierces the skin or organ used in a reconstitution procedure in a medical setting.  Most nations, for tariff and trade purposes, schedule these products under HS 901890.</t>
  </si>
  <si>
    <t>Medication or pill dispenser accessories</t>
  </si>
  <si>
    <t>In this classification, this commodity indicates a product that is either an accessory or consumable associated with medication or pill dispensers.  Most nations, for tariff and trade purposes, schedule these products under HS 901890.</t>
  </si>
  <si>
    <t>Medicine feeding cup or bottle accessories</t>
  </si>
  <si>
    <t>In this classification, this commodity indicates a product that is either an accessory or consumable associated with medicine feeding cup or bottles.  Most nations, for tariff and trade purposes, schedule these products under HS 901890.</t>
  </si>
  <si>
    <t>Drug delivery system accessories</t>
  </si>
  <si>
    <t>In this classification, this commodity indicates a product that is either an accessory or consumable associated with drug delivery systems.  Most nations, for tariff and trade purposes, schedule these products under HS 901819.</t>
  </si>
  <si>
    <t>Laryngeal sprays</t>
  </si>
  <si>
    <t>In this classification, this commodity indicates a product used as a spray of a solution during a laryngeal procedure in a medical setting.  Most nations, for tariff and trade purposes, schedule these products under HS 901890.</t>
  </si>
  <si>
    <t>Intubation gel, jelly, or liquid lubricants</t>
  </si>
  <si>
    <t>In this classification, this commodity indicates a product used as a gel, jelly, or liquid used as a lubricant in an intubation procedure in a medical setting.  Most nations, for tariff and trade purposes, schedule these products under HS 300670.</t>
  </si>
  <si>
    <t>42192700</t>
  </si>
  <si>
    <t>Specialty exam tables and related products</t>
  </si>
  <si>
    <t>In this classification, this class includes, products, components, accessories, and supplies, utilized as specialized exam tables.</t>
  </si>
  <si>
    <t>Obstetrical or gynecological exam table accessories</t>
  </si>
  <si>
    <t>In this classification, this commodity indicates a product that is either an accessory or consumable associated with obstetrical or gynecological exam tables.  Most nations, for tariff and trade purposes, schedule these products under HS 901819.</t>
  </si>
  <si>
    <t>Obstetrical or gynecological exam tables</t>
  </si>
  <si>
    <t>In this classification, this commodity indicates a product used as a table specifically configured be used during obstetric or gynecological examination procedures in a medical setting.  Most nations, for tariff and trade purposes, schedule these products under HS 940290.</t>
  </si>
  <si>
    <t>Ophthalmic instrument table accessories</t>
  </si>
  <si>
    <t>In this classification, this commodity indicates a product that is either an accessory or consumable associated with ophthalmic instrument tables.  Most nations, for tariff and trade purposes, schedule these products under HS 901890.</t>
  </si>
  <si>
    <t>Ophthalmic instrument tables</t>
  </si>
  <si>
    <t>In this classification, this commodity indicates a product used as a table specifically configured to hold in ophthalmic instruments during ophthalmic procedures in a medical setting.  Most nations, for tariff and trade purposes, schedule these products under HS 940290.</t>
  </si>
  <si>
    <t>Ophthalmic laboratory tables</t>
  </si>
  <si>
    <t>In this classification, this commodity indicates a product used as a table specifically configured to aid in ophthalmic laboratory procedures in a medical setting.  Most nations, for tariff and trade purposes, schedule these products under HS 940290.</t>
  </si>
  <si>
    <t>Pediatric examination table accessories</t>
  </si>
  <si>
    <t>In this classification, this commodity indicates a product that is either an accessory or consumable associated with pediatric examination tables.  Most nations, for tariff and trade purposes, schedule these products under HS 901890.</t>
  </si>
  <si>
    <t>Pediatric examination tables</t>
  </si>
  <si>
    <t>In this classification, this commodity indicates a product used as a table specifically configured be used during pediatric examination procedures in a medical setting.  Most nations, for tariff and trade purposes, schedule these products under HS 940290.</t>
  </si>
  <si>
    <t>42200000</t>
  </si>
  <si>
    <t>Medical diagnostic imaging and nuclear medicine products</t>
  </si>
  <si>
    <t>In this classification, this family includes the products used in the portion of medical interactions that involve diagnostic imaging or nuclear medicine based procedures.</t>
  </si>
  <si>
    <t>42201500</t>
  </si>
  <si>
    <t>Medical computed tomography CT or CAT systems and related products</t>
  </si>
  <si>
    <t>In this classification, this class includes, systems, products, components, accessories, and supplies, utilized in medical computed tomography based medical procedures.</t>
  </si>
  <si>
    <t>Medical computed tomography CT or CAT stationary units</t>
  </si>
  <si>
    <t>in this classification, this commodity indicates a product that is a stationary device used in a medical computed tomography procedure in a medical setting.  Most nations, for tariff and trade purposes, schedule these products under HS 901819.</t>
  </si>
  <si>
    <t>Medical computed tomography CT or CAT mobile or transportable or van units</t>
  </si>
  <si>
    <t>in this classification, this commodity indicates a product that is a mobile device used in a medical computed tomography procedure in a medical setting.  Most nations, for tariff and trade purposes, schedule these products under HS 901819.</t>
  </si>
  <si>
    <t>Medical computed tomography CT or CAT 3 dimensional system components</t>
  </si>
  <si>
    <t>In this classification, this commodity indicates a product used as the components in a 3 dimensional ct or cat procedure in a medical setting.  Most nations, for tariff and trade purposes, schedule these products under HS 901819.</t>
  </si>
  <si>
    <t>Medical computed tomography CT or CAT bone mineral content components</t>
  </si>
  <si>
    <t>In this classification, this commodity indicates a product used as a bone mineral components in a ct or cat procedure in a medical setting.  Most nations, for tariff and trade purposes, schedule these products under HS 901819.</t>
  </si>
  <si>
    <t>Medical computed tomography CT or CAT consoles</t>
  </si>
  <si>
    <t>In this classification, this commodity indicates a product used as a console in a ct or cat procedure in a medical setting.  Most nations, for tariff and trade purposes, schedule these products under HS 901819.</t>
  </si>
  <si>
    <t>Medical computed tomography CT or CAT helical system components</t>
  </si>
  <si>
    <t>In this classification, this commodity indicates a product used as the components in a hellical ct or cat procedure in a medical setting.  Most nations, for tariff and trade purposes, schedule these products under HS 901819.</t>
  </si>
  <si>
    <t>Medical computed tomography CT or CAT monitors</t>
  </si>
  <si>
    <t>In this classification, this commodity indicates a product that is a customized computer monitor that displays medical computed tomography specific levels.  Most nations, for tariff and trade purposes, schedule these products under HS 852849.</t>
  </si>
  <si>
    <t>Medical computed tomography CT or CAT power conditioners</t>
  </si>
  <si>
    <t>In this classification, this commodity indicates a product used as the power conditioners in a ct or cat procedure in a medical setting.  Most nations, for tariff and trade purposes, schedule these products under HS 901819.</t>
  </si>
  <si>
    <t>Medical computed tomography CT or CAT quality assurance or calibration phantoms or devices</t>
  </si>
  <si>
    <t>In this classification, this commodity indicates a product used as the quality assurance or calibration phantoms or devices in a ct or cat procedure in a medical setting.  Most nations, for tariff and trade purposes, schedule these products under HS 901819.</t>
  </si>
  <si>
    <t>Medical computed tomography CT or CAT scanners or tubes</t>
  </si>
  <si>
    <t>In this classification, this commodity indicates a product used as the scanners or tubes in a ct or cat procedure in a medical setting.  Most nations, for tariff and trade purposes, schedule these products under HS 901839.</t>
  </si>
  <si>
    <t>Medical computed tomography CT or CAT tables or stands or chairs</t>
  </si>
  <si>
    <t>In this classification, this commodity indicates a product used as the tables or stands or chairs associated with a ct or cat procedure in a medical setting.  Most nations, for tariff and trade purposes, schedule these products under HS 940290.</t>
  </si>
  <si>
    <t>Medical computed tomography CT or CAT ultrafast system components</t>
  </si>
  <si>
    <t>In this classification, this commodity indicates a product used as the ultrafast system components in a ct or cat procedure in a medical setting.  Most nations, for tariff and trade purposes, schedule these products under HS 901819.</t>
  </si>
  <si>
    <t>Medical computed tomography CT or CAT bone mineral content densitometers</t>
  </si>
  <si>
    <t>In this classification, this commodity indicates a product used as a device for measuring the density of a material in a bone mineral content densitometer in a ct or cat procedure in a medical setting.  Most nations, for tariff and trade purposes, schedule these products under HS 901819.</t>
  </si>
  <si>
    <t>Medical computed tomography CT or CAT unit accessories</t>
  </si>
  <si>
    <t>In this classification, this commodity indicates a product that is either an accessory or consumable associated with medical computed tomography ct or cat units.  Most nations, for tariff and trade purposes, schedule these products under HS 901819.</t>
  </si>
  <si>
    <t>42201600</t>
  </si>
  <si>
    <t>Medical magnetic resonance imaging MRI products</t>
  </si>
  <si>
    <t>In this classification, this class includes, products, components, accessories, and supplies, utilized in magnetic resonance imaging based medical procedures.</t>
  </si>
  <si>
    <t>Medical magnetic resonance imaging MRI stationary units</t>
  </si>
  <si>
    <t>in this classification, this commodity indicates a product that is a stationary device used in a medical magnetic resonance imaging ag procedures in a medical setting.  Most nations, for tariff and trade purposes, schedule these products under HS 901819.</t>
  </si>
  <si>
    <t>Medical magnetic resonance imaging MRI mobile or transportable or van systems</t>
  </si>
  <si>
    <t>In this classification, this commodity indicates a system consisting of products, consumables and accessories that are used to execute a medical magnetic resonance imaging MRI mobile or transportable or van procedure in a medical setting.  Most nations, for tariff and trade purposes, schedule these products under HS 901819.</t>
  </si>
  <si>
    <t>Medical magnetic resonance imaging MRI 3 dimensional system components</t>
  </si>
  <si>
    <t>In this classification, this commodity indicates a product used as the components in a 3 dimensional medical resonance imaging mri procedure in a medical setting.  Most nations, for tariff and trade purposes, schedule these products under HS 901819.</t>
  </si>
  <si>
    <t>Medical magnetic resonance imaging MRI quality assurance or calibration phantoms or devices</t>
  </si>
  <si>
    <t>In this classification, this commodity indicates a product used as the quality assurance or calibration phantoms or devices in a medical resonance imaging mri procedure in a medical setting.  Most nations, for tariff and trade purposes, schedule these products under HS 901819.</t>
  </si>
  <si>
    <t>Medical magnetic resonance imaging MRI coils</t>
  </si>
  <si>
    <t>In this classification, this commodity indicates a product used as the coils used in a medical resonance imaging mri procedure in a medical setting.  Most nations, for tariff and trade purposes, schedule these products under HS 920999.</t>
  </si>
  <si>
    <t>Medical magnetic resonance imaging MRI monitors</t>
  </si>
  <si>
    <t>In this classification, this commodity indicates a product used as the monitors used in a medical resonance imaging mri procedure in a medical setting.  Most nations, for tariff and trade purposes, schedule these products under HS 852849.</t>
  </si>
  <si>
    <t>Medical magnetic resonance imaging MRI primary or remote or secondary consoles</t>
  </si>
  <si>
    <t>In this classification, this commodity indicates a product that is a customized computer monitor that displays magnetic resonance imaging specific levels.  Most nations, for tariff and trade purposes, schedule these products under HS 901819.</t>
  </si>
  <si>
    <t>Medical magnetic resonance imaging MRI scanners</t>
  </si>
  <si>
    <t>In this classification, this commodity indicates a product used as the scanner used in a medical resonance imaging mri procedure in a medical setting.  Most nations, for tariff and trade purposes, schedule these products under HS 901819.</t>
  </si>
  <si>
    <t>Medical magnetic resonance imaging MRI surgical instruments or guidance systems</t>
  </si>
  <si>
    <t>In this classification, this commodity indicates a system consisting of products, consumables and accessories that are used to execute a medical magnetic resonance imaging MRI surgical instruments or guidance procedure in a medical setting.  Most nations, for tariff and trade purposes, schedule these products under HS 940540.</t>
  </si>
  <si>
    <t>Medical magnetic resonance imaging MRI tables</t>
  </si>
  <si>
    <t>In this classification, this commodity indicates a product used as a conformed table used in a medical resonance imaging mri procedure in a medical setting.  Most nations, for tariff and trade purposes, schedule these products under HS 940290.</t>
  </si>
  <si>
    <t>Nuclear magnetic resonance NMR spectroscopic systems</t>
  </si>
  <si>
    <t>In this classification, this commodity indicates a system consisting of products, consumables and accessories that are used to execute a nuclear magnetic resonance NMR spectroscopic procedure in a medical setting.  Most nations, for tariff and trade purposes, schedule these products under HS 901890.</t>
  </si>
  <si>
    <t>Medical Magnetic resonance imaging MRI disposable kits</t>
  </si>
  <si>
    <t>In this classification, this commodity indicates a product that is a prepackaged collection (either custom or standard) of the equipment and supplies that enable medical magnetic resonance imaging use in a medical setting.  Most nations, for tariff and trade purposes, schedule these products under HS 901819.</t>
  </si>
  <si>
    <t>42201700</t>
  </si>
  <si>
    <t>Medical ultrasound and doppler and echo imaging products</t>
  </si>
  <si>
    <t>In this classification, this class includes, products, components, accessories, and supplies, utilized in ultrasound, doppler or echo based medical procedures.</t>
  </si>
  <si>
    <t>Medical ultrasound bone densitometers</t>
  </si>
  <si>
    <t>In this classification, this commodity indicates a product used as the bone densiometer used in an ultrasound procedure in a medical setting.  US FDA regulates Medical ultrasound bone densitometers under 21 CFR 892.1170 and under FDA product code KGI.  Most nations, for tariff and trade purposes, schedule these products under HS 901812.</t>
  </si>
  <si>
    <t>Medical ultrasound or doppler or echocardiograph probe covers</t>
  </si>
  <si>
    <t>In this classification, this commodity indicates a product used as the probe cover in a medical ultrasound or doppler or echocardiograph procedure in a medical setting.  Most nations, for tariff and trade purposes, schedule these products under HS 901819.</t>
  </si>
  <si>
    <t>Medical ultrasound or doppler or echocardiograph probes</t>
  </si>
  <si>
    <t>In this classification, this commodity indicates a product used as an echocardiograph probe medical ultrasound or doppler or echocardiograph procedure in a medical setting.  Most nations, for tariff and trade purposes, schedule these products under HS 901890.</t>
  </si>
  <si>
    <t>Medical ultrasound or doppler or echocardiograph gel warmers</t>
  </si>
  <si>
    <t>In this classification, this commodity indicates a product used as a gel warmer in a medical ultrasound or doppler or echocardiograph procedure in a medical setting.  Most nations, for tariff and trade purposes, schedule these products under HS 300670.</t>
  </si>
  <si>
    <t>Medical ultrasound or doppler or echocardiograph gels or transmission pads or lotions</t>
  </si>
  <si>
    <t>In this classification, this commodity indicates a product used as the gels or transmission pads or lotions used in a medical ultrasound or doppler or echocardiograph procedure in a medical setting.  Most nations, for tariff and trade purposes, schedule these products under HS 630493.</t>
  </si>
  <si>
    <t>Medical ultrasound or doppler or echocardiograph monitors</t>
  </si>
  <si>
    <t>In this classification, this commodity indicates a product used as an echocardiograph monitor in a medical ultrasound or doppler or echocardiograph procedure in a medical setting.  Most nations, for tariff and trade purposes, schedule these products under HS 852849.</t>
  </si>
  <si>
    <t>Medical ultrasound or doppler or echocardiograph printers</t>
  </si>
  <si>
    <t>In this classification, this commodity indicates a product used as an echocardiograph printer in a medical ultrasound or doppler or echocardiograph procedure in a medical setting.  Most nations, for tariff and trade purposes, schedule these products under HS 844331.</t>
  </si>
  <si>
    <t>Medical ultrasound or doppler or echocardiograph transducers or accessories</t>
  </si>
  <si>
    <t>In this classification, this commodity indicates a product that is either an accessory or consumable associated with medical ultrasound or doppler or echocardiograph transducers.  Most nations, for tariff and trade purposes, schedule these products under HS 901819.</t>
  </si>
  <si>
    <t>Medical ultrasound or doppler or pulse echocardiograph or echocardiograph units for general diagnostic use</t>
  </si>
  <si>
    <t>in this classification, this commodity indicates a product that is a device used in a medical ultrasound or doppler or pulse echocardiograph or echocardiograph procedures in a medical setting.  US FDA regulates Medical ultrasound or doppler or pulse echocardiograph or echocardiograph units for general diagnostic use under 21 CFR 892.1550 and under FDA product code IYN.  Most nations, for tariff and trade purposes, schedule these products under HS 901819.</t>
  </si>
  <si>
    <t>Medical ultrasound or doppler or echocardiograph three dimensional components</t>
  </si>
  <si>
    <t>In this classification, this commodity indicates a product used as an echocardiograph three dimensional component in a medical ultrasound or doppler or echocardiograph procedure in a medical setting.  Most nations, for tariff and trade purposes, schedule these products under HS 901819.</t>
  </si>
  <si>
    <t>Medical ultrasound ophthalmic scanners</t>
  </si>
  <si>
    <t>In this classification, this commodity indicates a product used as an ophthalmic scanner in a medical ultrasound or doppler or echocardiograph procedure in a medical setting.  Most nations, for tariff and trade purposes, schedule these products under HS 901819.</t>
  </si>
  <si>
    <t>Echoencephalographs</t>
  </si>
  <si>
    <t>In this classification, this commodity indicates a product that is a device used to the use of ultrasound waves to investigate structures within the skull in a medical setting.  Most nations, for tariff and trade purposes, schedule these products under HS 903149.</t>
  </si>
  <si>
    <t>Medical ultrasound bone sonometers</t>
  </si>
  <si>
    <t>In this classification, this commodity indicates a product used as an ultrasound device used to assess the strength and health of bones in a medical setting.  Most nations, for tariff and trade purposes, schedule these products under HS 901819.</t>
  </si>
  <si>
    <t>Echoencephalograph accessories</t>
  </si>
  <si>
    <t>In this classification, this commodity indicates a product that is either an accessory or consumable associated with echoencephalographs.  Most nations, for tariff and trade purposes, schedule these products under HS 901819.</t>
  </si>
  <si>
    <t>Optical coherence tomography OCT imaging systems</t>
  </si>
  <si>
    <t>In this classification, this commodity indicates a system consisting of products, consumables and accessories that are used to execute an optical coherence tomography OCT imaging procedure in a medical setting.  Most nations, for tariff and trade purposes, schedule these products under HS 901890.</t>
  </si>
  <si>
    <t>Medical ultrasound or doppler or echocardiograph transducer accessories</t>
  </si>
  <si>
    <t>In this classification, this commodity indicates a product that is either an accessory or consumable associated with medical ultrasound or doppler or echocardiograph transducers.  Most nations, for tariff and trade purposes, schedule these products under HS 901850.</t>
  </si>
  <si>
    <t>Medical ultrasound or doppler or pulse echocardiograph or echocardiograph unit accessories</t>
  </si>
  <si>
    <t>In this classification, this commodity indicates a product that is either an accessory or consumable associated with medical ultrasound or doppler or pulse echocardiograph or echocardiograph units.  Most nations, for tariff and trade purposes, schedule these products under HS 901819.</t>
  </si>
  <si>
    <t>Transoesophageal echocardiography (TEE) care monitors</t>
  </si>
  <si>
    <t>In this classification, this commodity indicates a product that is a customized computer monitor that displays magnetic resonance imaging specific levels.  Most nations, for tariff and trade purposes, schedule these products under HS 852849.</t>
  </si>
  <si>
    <t>Acoustic holography imaging systems</t>
  </si>
  <si>
    <t>In this classification, this commodity indicates a system consisting of products, consumables and accessories that are used to execute a n acoustic holography imaging procedure in a medical setting.  Most nations, for tariff and trade purposes, schedule these products under HS 901890.</t>
  </si>
  <si>
    <t>42201800</t>
  </si>
  <si>
    <t>Medical diagnostic x ray products</t>
  </si>
  <si>
    <t>In this classification, this class includes, products, components, accessories, and supplies, utilized in diagnostic x ray based medical procedures.</t>
  </si>
  <si>
    <t>Mammography x ray units</t>
  </si>
  <si>
    <t>in this classification, this commodity indicates a product that is a device used in a mammographic procedure in a medical setting.Mammography x ray units under 21 CFR and under FDA product code RBS.  Most nations, for tariff and trade purposes, schedule these products under HS 902213.</t>
  </si>
  <si>
    <t>Medical c arm x ray units</t>
  </si>
  <si>
    <t>in this classification, this commodity indicates a product that is a device used in a x ray using a c arm based x ray machine procedures in a medical setting.Medical c arm x ray units under 21 CFR and under FDA product code RBS.  Most nations, for tariff and trade purposes, schedule these products under HS 902214.</t>
  </si>
  <si>
    <t>Medical cinefluoroscopy units</t>
  </si>
  <si>
    <t>in this classification, this commodity indicates a product that is a device used in a cinefluroscopic procedures in a medical setting.  Most nations, for tariff and trade purposes, schedule these products under HS 842382.</t>
  </si>
  <si>
    <t>Medical radiology and fluoroscopy RF units</t>
  </si>
  <si>
    <t>in this classification, this commodity indicates a product that is a device used in a radiological and fluoroscopic procedures in a medical setting.  Most nations, for tariff and trade purposes, schedule these products under HS 842382.</t>
  </si>
  <si>
    <t>Medical radioisotope scanners</t>
  </si>
  <si>
    <t>In this classification, this commodity indicates a product used to capture a two-dimensional record or image of the gamma rays emitted by a radioactive isotope concentrated in a specific organ or tissue of the body in a medical setting.  Most nations, for tariff and trade purposes, schedule these products under HS 842382.</t>
  </si>
  <si>
    <t>Medical x ray buckys</t>
  </si>
  <si>
    <t>In this classification, this commodity indicates a product used for table or wall mounted x-ray systems and holds the x-ray cassette and grid in a medical setting.  Most nations, for tariff and trade purposes, schedule these products under HS 842382.</t>
  </si>
  <si>
    <t>Medical imaging contrast agent injectors or accessories</t>
  </si>
  <si>
    <t>In this classification, this commodity indicates a product that is either an accessory or consumable associated with medical imaging contrast agent injectors.  Most nations, for tariff and trade purposes, schedule these products under HS 842382.</t>
  </si>
  <si>
    <t>Medical x ray films or cassettes</t>
  </si>
  <si>
    <t>In this classification, this commodity indicates a product that is either the film used in medical x ray procedures or the protective cases for such film in a medical setting.  US FDA regulates Medical x ray films or cassettes under 21 CFR 892.1640 and under FDA product code JAC.  Most nations, for tariff and trade purposes, schedule these products under HS 902214.</t>
  </si>
  <si>
    <t>Medical x ray quality assurance or calibration devices</t>
  </si>
  <si>
    <t>In this classification, this commodity indicates a product used as a device for quality assurance or calibration in medical x ray procedure in a medical setting.  Most nations, for tariff and trade purposes, schedule these products under HS 902214.</t>
  </si>
  <si>
    <t>Medical x ray tables or stands or chairs or cabinets or accessories</t>
  </si>
  <si>
    <t>In this classification, this commodity indicates a product that is either an accessory or consumable associated with medical x ray tables or stands or chairs or cabinets.  Most nations, for tariff and trade purposes, schedule these products under HS 940290.</t>
  </si>
  <si>
    <t>Medical x ray tomography units</t>
  </si>
  <si>
    <t>in this classification, this commodity indicates a product that is a device used in a medical x ray tomography procedure in a medical setting.  US FDA regulates Medical x ray tomography units under 21 CFR 892.1750 and under FDA product code JAK.  Most nations, for tariff and trade purposes, schedule these products under HS 901850.</t>
  </si>
  <si>
    <t>Medical x ray tubes</t>
  </si>
  <si>
    <t>In this classification, this commodity indicates a product used as a tube for medical x ray quality assurance or calibration in medical x ray procedures in a medical setting.  Most nations, for tariff and trade purposes, schedule these products under HS 901850.</t>
  </si>
  <si>
    <t>Medical x ray units for general diagnostic use</t>
  </si>
  <si>
    <t>in this classification, this commodity indicates a product that is a device used in a general diagnostic x ray procedure in a medical setting.Medical x ray units for general diagnostic use under 21 CFR and under FDA product code RBR.  Most nations, for tariff and trade purposes, schedule these products under HS 902214.</t>
  </si>
  <si>
    <t>Medical xeroradiography units</t>
  </si>
  <si>
    <t>in this classification, this commodity indicates a product that is a device used in a xeroradiographic procedures in a medical setting.  Most nations, for tariff and trade purposes, schedule these products under HS 902214.</t>
  </si>
  <si>
    <t>X ray bone densitometers</t>
  </si>
  <si>
    <t>In this classification, this commodity indicates a product used as a bone densitometer for medical x ray quality assurance or calibration in medical x ray procedures in a medical setting.  US FDA regulates X ray bone densitometers under 21 CFR 892.1170 and under FDA product code KGI.  Most nations, for tariff and trade purposes, schedule these products under HS 902214.</t>
  </si>
  <si>
    <t>Combination step wedges and spin tops for radiographic units</t>
  </si>
  <si>
    <t>in this classification, this commodity indicates a product that is a device used in an ophthalmic electrolysis procedure in a medical setting.  Most nations, for tariff and trade purposes, schedule these products under HS 902214.</t>
  </si>
  <si>
    <t>Medical x ray film hangers</t>
  </si>
  <si>
    <t>In this classification, this commodity indicates a product that is either an accessory or consumable associated with medical x ray film hangers.  Most nations, for tariff and trade purposes, schedule these products under HS 902214.</t>
  </si>
  <si>
    <t>Medical radiographic equipment grids</t>
  </si>
  <si>
    <t>In this classification, this commodity indicates a product used as a grid used in association with a medical radiographic equipment in a medical setting.  Most nations, for tariff and trade purposes, schedule these products under HS 902214.</t>
  </si>
  <si>
    <t>Radiographic film cassette holders</t>
  </si>
  <si>
    <t>In this classification, this commodity indicates a product used as a cassette holder for radiographic film used in a medical setting.  Most nations, for tariff and trade purposes, schedule these products under HS 902214.</t>
  </si>
  <si>
    <t>Medical x ray equipment cases or covers  in a medical setting</t>
  </si>
  <si>
    <t>In this classification, this commodity indicates a product used as a case or cover for medical x ray equipment in a medical setting.  Most nations, for tariff and trade purposes, schedule these products under HS 902214.</t>
  </si>
  <si>
    <t>Medical x ray tube and transfomer units</t>
  </si>
  <si>
    <t>Medical arthrography sets</t>
  </si>
  <si>
    <t>In this classification, this commodity indicates a product used as a set of materials used in a test using X-rays to obtain a series of pictures of a joint after a contrast material in a medical setting.  US FDA regulates Medical arthrography sets under 21 CFR 892.1650 and under FDA product code OLL.  Most nations, for tariff and trade purposes, schedule these products under HS 902214.</t>
  </si>
  <si>
    <t>Medical x ray apparatus tube inserts</t>
  </si>
  <si>
    <t>In this classification, this commodity indicates a product used as an insert for the apparatus tubes of a medical x ray machine in a medical setting.  Most nations, for tariff and trade purposes, schedule these products under HS 902214.</t>
  </si>
  <si>
    <t>Medical x ray apparatus repair kits</t>
  </si>
  <si>
    <t>In this classification, this commodity indicates a product that is a prepackaged collection (either custom or standard) of the equipment and supplies that enable medical x ray apparatus repair use in a medical setting.  Most nations, for tariff and trade purposes, schedule these products under HS 902214.</t>
  </si>
  <si>
    <t>Medical x ray darkroom tent repair kits</t>
  </si>
  <si>
    <t>In this classification, this commodity indicates a product that is a prepackaged collection (either custom or standard) of the equipment and supplies that enable medical x ray dark room tent repair use in a medical setting.  Most nations, for tariff and trade purposes, schedule these products under HS 902214.</t>
  </si>
  <si>
    <t>Medical x ray apparatus filters</t>
  </si>
  <si>
    <t>In this classification, this commodity indicates a product used as a filter for the apparatus tubes of a medical x ray machine in a medical setting.  Most nations, for tariff and trade purposes, schedule these products under HS 902214.</t>
  </si>
  <si>
    <t>Radiographic locators</t>
  </si>
  <si>
    <t>In this classification, this commodity indicates a product used as an apex locator in an electronic radiograph machine in a medical setting.  Most nations, for tariff and trade purposes, schedule these products under HS 902214.</t>
  </si>
  <si>
    <t>Medical x ray intensifying screens</t>
  </si>
  <si>
    <t>In this classification, this commodity indicates a product used as an intensifying screen for a medical x ray procedure in a medical setting.  Most nations, for tariff and trade purposes, schedule these products under HS 902290.</t>
  </si>
  <si>
    <t>Medical x ray films or cassettes masks</t>
  </si>
  <si>
    <t>In this classification, this commodity indicates a product used as a film or cassette mask in a medical x ray procedure in a medical setting.  Most nations, for tariff and trade purposes, schedule these products under HS 902214.</t>
  </si>
  <si>
    <t>Radiographic film or cassette covers</t>
  </si>
  <si>
    <t>In this classification, this commodity indicates a product used as a film or cassette cover in a radiographic procedure in a medical setting.  Most nations, for tariff and trade purposes, schedule these products under HS 902214.</t>
  </si>
  <si>
    <t>Radiographic film or cassette changers</t>
  </si>
  <si>
    <t>In this classification, this commodity indicates a product used as a film or cassette changer in a radiographic procedure in a medical setting.  Most nations, for tariff and trade purposes, schedule these products under HS 902214.</t>
  </si>
  <si>
    <t>Medical radiographic x ray apparatus rectifier assemblies</t>
  </si>
  <si>
    <t>In this classification, this commodity indicates a product used as a rectifier in a medical x ray procedure in a medical setting.  Most nations, for tariff and trade purposes, schedule these products under HS 902214.</t>
  </si>
  <si>
    <t>Medical x ray apparatus tube unit assemblies</t>
  </si>
  <si>
    <t>In this classification, this commodity indicates a product used as a tube unit assembly in a medical x ray procedure in a medical setting.  Most nations, for tariff and trade purposes, schedule these products under HS 902214.</t>
  </si>
  <si>
    <t>Medical x ray apparatus compression band assemblies</t>
  </si>
  <si>
    <t>In this classification, this commodity indicates a product used as a compression band assembly in a medical x ray procedure in a medical setting.  Most nations, for tariff and trade purposes, schedule these products under HS 902214.</t>
  </si>
  <si>
    <t>Medical x ray water coolers</t>
  </si>
  <si>
    <t>Medical enteroclysis catheters or catheters kits</t>
  </si>
  <si>
    <t>In this classification, this commodity indicates a product that is a prepackaged collection (either custom or standard) of the equipment and supplies that enable medical enterclysis catheter use in a medical setting.  US FDA regulates Medical enteroclysis catheters or catheters kits under 21 CFR 876.5980 and under FDA product code FGD.  Most nations, for tariff and trade purposes, schedule these products under HS 901839.</t>
  </si>
  <si>
    <t>Medical imaging procedure trays</t>
  </si>
  <si>
    <t>In this classification, this commodity indicates a product used as a tray used in a medical imaging procedure in a medical setting.  US FDA regulates Medical imaging procedure trays under 21 CFR 892.1170 and under FDA product code KGI.  Most nations, for tariff and trade purposes, schedule these products under HS 901812.</t>
  </si>
  <si>
    <t>Vascular sealing devices</t>
  </si>
  <si>
    <t>In this classification, this commodity indicates a product used as a device used to achieve hemostasis of the small hole in the artery after a cardiovascular procedure of endovascular surgery requiring a catheterization in a medical setting.  Most nations, for tariff and trade purposes, schedule these products under HS 902214.</t>
  </si>
  <si>
    <t>Medical diagnostic x ray papers</t>
  </si>
  <si>
    <t>In this classification, this commodity indicates a product used as a paper used in a diagnostic medical x ray procedure in a medical setting.  Most nations, for tariff and trade purposes, schedule these products under HS 902214.</t>
  </si>
  <si>
    <t>Medical x ray skin markers</t>
  </si>
  <si>
    <t>In this classification, this commodity indicates a product used as a skin marker in a medical x ray procedure in a medical setting.  Most nations, for tariff and trade purposes, schedule these products under HS 901780.</t>
  </si>
  <si>
    <t>Medical diagnostic x ray rulers</t>
  </si>
  <si>
    <t>In this classification, this commodity indicates a product used as a ruler in a medical x ray procedure in a medical setting.  Most nations, for tariff and trade purposes, schedule these products under HS 902214.</t>
  </si>
  <si>
    <t>Radiology film jacket or inserts or mailers</t>
  </si>
  <si>
    <t>In this classification, this commodity indicates a product used as a jacket, insert, or mailer for radiological film in a medical setting.  Most nations, for tariff and trade purposes, schedule these products under HS 902214.</t>
  </si>
  <si>
    <t>Radiographic and fluoroscopic x ray collimators</t>
  </si>
  <si>
    <t>In this classification, this commodity indicates a product used as a device that narrows a beam of particles or waves in a radiographic and fluoroscopic x ray procedure in a medical setting.  US FDA regulates Radiographic and fluoroscopic x ray collimators under 21 CFR 892.1610 and under FDA product code KPW.  Most nations, for tariff and trade purposes, schedule these products under HS 902214.</t>
  </si>
  <si>
    <t>Mobile x ray systems</t>
  </si>
  <si>
    <t>In this classification, this commodity indicates a system consisting of products, consumables and accessories that are used to execute a mobile x ray procedure in a medical setting.  US FDA regulates Mobile x ray systems under 21 CFR 892.1650 and under FDA product code OXO.  Most nations, for tariff and trade purposes, schedule these products under HS 902214.</t>
  </si>
  <si>
    <t>Digital x ray imaging systems</t>
  </si>
  <si>
    <t>In this classification, this commodity indicates a system consisting of products, consumables and accessories that are used to execute a digital x ray imaging procedure in a medical setting.  US FDA regulates Digital x ray imaging systems under 21 CFR 872.18 and under FDA product code MUH.  Most nations, for tariff and trade purposes, schedule these products under HS 902214.</t>
  </si>
  <si>
    <t>Fluorescent scanners</t>
  </si>
  <si>
    <t>In this classification, this commodity indicates a product used as a fluorescent scanner in a pathological procedure in a medical setting.  Most nations, for tariff and trade purposes, schedule these products under HS 902214.</t>
  </si>
  <si>
    <t>Nuclear tomography systems</t>
  </si>
  <si>
    <t>In this classification, this commodity indicates a system consisting of products, consumables and accessories that are used to execute a nuclear tomography procedure in a medical setting.  US FDA regulates Nuclear tomography systems under 21 CFR 892.12 and under FDA product code KPS.  Most nations, for tariff and trade purposes, schedule these products under HS 901890.</t>
  </si>
  <si>
    <t>Beta or gamma counters for clinical use</t>
  </si>
  <si>
    <t>In this classification, this commodity indicates a product used as a beta or gamma counter used in a clinical procedure in a medical setting.  US FDA regulates Beta or gamma counters for clinical use under 21 CFR 862.2320 and under FDA product code JJJ.  Most nations, for tariff and trade purposes, schedule these products under HS 902214.</t>
  </si>
  <si>
    <t>Fluorescent screens</t>
  </si>
  <si>
    <t>In this classification, this commodity indicates a product used as a fluorescent screen in a pathological procedure in a medical setting.  Most nations, for tariff and trade purposes, schedule these products under HS 902290.</t>
  </si>
  <si>
    <t>Myelographic procedure sets</t>
  </si>
  <si>
    <t>In this classification, this commodity indicates a product used as a set of components and consumable supplies used in It uses a contrast dye and X-ray or computed tomography (CT) procedure that looks for problems in the spinal canal, including the spinal cord, nerve roots, and other tissues in a medical setting.  Most nations, for tariff and trade purposes, schedule these products under HS 902214.</t>
  </si>
  <si>
    <t>Spot film devices</t>
  </si>
  <si>
    <t>In this classification, this commodity indicates a product used as a device that holds a thin sheet of material specially treated for use in photography or radiography procedures in a medical setting.  Most nations, for tariff and trade purposes, schedule these products under HS 902214.</t>
  </si>
  <si>
    <t>Medical x ray apertures and cone sets</t>
  </si>
  <si>
    <t>In this classification, this commodity indicates a product used as an aperture and cone set in a medical x ray procedure in a medical setting.  Most nations, for tariff and trade purposes, schedule these products under HS 902214.</t>
  </si>
  <si>
    <t>Radiographic Electrocardiograph ECG respirator synchronizers</t>
  </si>
  <si>
    <t>In this classification, this commodity indicates a product used as a respirator synchronizer in a radiological procedure in a medical setting.  Most nations, for tariff and trade purposes, schedule these products under HS 902214.</t>
  </si>
  <si>
    <t>Mammography compression paddles</t>
  </si>
  <si>
    <t>In this classification, this commodity indicates a product used as a compression paddle in a mammography procedure in a medical setting.  Most nations, for tariff and trade purposes, schedule these products under HS 902214.</t>
  </si>
  <si>
    <t>Medical x ray apparatus cables and cable assemblies</t>
  </si>
  <si>
    <t>In this classification, this commodity indicates a product used as a cables and cable assembly in a medical x ray procedure in a medical setting.  Most nations, for tariff and trade purposes, schedule these products under HS 902214.</t>
  </si>
  <si>
    <t>Nuclear uptake probes</t>
  </si>
  <si>
    <t>In this classification, this commodity indicates a product used as an uptake probe in a nuclear medicine procedure in a medical setting.  Most nations, for tariff and trade purposes, schedule these products under HS 901890.</t>
  </si>
  <si>
    <t>Nuclear electrocardiograph synchronization or trigger monitors</t>
  </si>
  <si>
    <t>In this classification, this commodity indicates a product used as a synchronization or trigger monitor in a nuclear electrocardiograph procedure in a medical setting.  Most nations, for tariff and trade purposes, schedule these products under HS 852849.</t>
  </si>
  <si>
    <t>Medical x ray equipment case or cover accessories</t>
  </si>
  <si>
    <t>In this classification, this commodity indicates a product that is either an accessory or consumable associated with medical x ray equipment case or covers.  Most nations, for tariff and trade purposes, schedule these products under HS 902214.</t>
  </si>
  <si>
    <t>Medical imaging contrast agent injector accessories</t>
  </si>
  <si>
    <t>In this classification, this commodity indicates a product that is either an accessory or consumable associated with medical imaging contrast agent injectors.  Most nations, for tariff and trade purposes, schedule these products under HS 902214.</t>
  </si>
  <si>
    <t>Medical x ray table or stand or chair or cabinet accessories</t>
  </si>
  <si>
    <t>In this classification, this commodity indicates a product that is either an accessory or consumable associated with medical x ray table or stand or chair or cabinets.  Most nations, for tariff and trade purposes, schedule these products under HS 940290.</t>
  </si>
  <si>
    <t>Medical radiological aerosol delivery systems</t>
  </si>
  <si>
    <t>In this classification, this commodity indicates a system consisting of products, consumables and accessories that are used to execute a medical radiological aerosol delivery procedure in a medical setting.  Most nations, for tariff and trade purposes, schedule these products under HS 901890.</t>
  </si>
  <si>
    <t>Medical x ray film hanger accessories</t>
  </si>
  <si>
    <t>Accessories included with medical x ray film hangers.</t>
  </si>
  <si>
    <t>42201900</t>
  </si>
  <si>
    <t>Medical x ray film illuminators and viewing equipment</t>
  </si>
  <si>
    <t>In this classification, this class includes, equipment, components, accessories, and supplies, utilized in illuminated x ray based medical procedures.</t>
  </si>
  <si>
    <t>Medical x ray film hot spot lights</t>
  </si>
  <si>
    <t>In this classification, this commodity indicates a product used as a film hot spot lights in a medical x ray procedure in a medical setting.  Most nations, for tariff and trade purposes, schedule these products under HS 902214.</t>
  </si>
  <si>
    <t>Medical x ray film large rack viewing systems</t>
  </si>
  <si>
    <t>In this classification, this commodity indicates a system consisting of products, consumables and accessories that are used to execute a medical x ray film large rack viewing procedure in a medical setting.  Most nations, for tariff and trade purposes, schedule these products under HS 902214.</t>
  </si>
  <si>
    <t>Medical x ray film view boxes</t>
  </si>
  <si>
    <t>In this classification, this commodity indicates a product used as a film view boxed in a medical x ray procedure in a medical setting.  Most nations, for tariff and trade purposes, schedule these products under HS 902214.</t>
  </si>
  <si>
    <t>Medical x ray film illuminator windows or screens</t>
  </si>
  <si>
    <t>In this classification, this commodity indicates a product used as a film illustrator windows in a medical x ray procedure in a medical setting.  Most nations, for tariff and trade purposes, schedule these products under HS 902290.</t>
  </si>
  <si>
    <t>Medical x ray film transfer cases</t>
  </si>
  <si>
    <t>In this classification, this commodity indicates a product used as a film transfer cases in a medical x ray procedure in a medical setting.  Most nations, for tariff and trade purposes, schedule these products under HS 902214.</t>
  </si>
  <si>
    <t>Medical x ray film illuminator clips</t>
  </si>
  <si>
    <t>In this classification, this commodity indicates a product used as a film illuminator clips in a medical x ray procedure in a medical setting.  Most nations, for tariff and trade purposes, schedule these products under HS 901839.</t>
  </si>
  <si>
    <t>Medical x ray film stereoscopes</t>
  </si>
  <si>
    <t>In this classification, this commodity indicates a product used as a film stereoscope in a medical x ray procedure in a medical setting.  Most nations, for tariff and trade purposes, schedule these products under HS 900630.</t>
  </si>
  <si>
    <t>Medical fluoroscopic screen hoods</t>
  </si>
  <si>
    <t>In this classification, this commodity indicates a product used as a screen hood in a fluoroscopic procedure in a medical setting.  Most nations, for tariff and trade purposes, schedule these products under HS 902214.</t>
  </si>
  <si>
    <t>42202000</t>
  </si>
  <si>
    <t>Medical diagnostic gamma cameras and related products</t>
  </si>
  <si>
    <t>In this classification, this class includes, cameras, components, accessories, and supplies, utilized in diagnostic gamma ray based medical procedures.</t>
  </si>
  <si>
    <t>Medical gamma cameras for general use</t>
  </si>
  <si>
    <t>In this classification, this commodity indicates a product used as a camera that captures gamma rays in a medical setting.  US FDA regulates Medical gamma cameras for general use under 21 CFR 892.12 and under FDA product code KPS.  Most nations, for tariff and trade purposes, schedule these products under HS 852880.</t>
  </si>
  <si>
    <t>Lymphatic mapping navigator systems</t>
  </si>
  <si>
    <t>In this classification, this commodity indicates a system consisting of products, consumables and accessories that are used to execute a lymphatic mapping navigator procedure in a medical setting.  Most nations, for tariff and trade purposes, schedule these products under HS 901819.</t>
  </si>
  <si>
    <t>Lymphatic mapping probes</t>
  </si>
  <si>
    <t>In this classification, this commodity indicates a product used as a gamma probe that maps the lymphatic system in a medical setting.  Most nations, for tariff and trade purposes, schedule these products under HS 901890.</t>
  </si>
  <si>
    <t>Lymphatic mapping collimators</t>
  </si>
  <si>
    <t>In this classification, this commodity indicates a product used as a device that narrows a beam of particles or waves in a lymphatic mapping procedure in a medical setting.  Most nations, for tariff and trade purposes, schedule these products under HS 901819.</t>
  </si>
  <si>
    <t>Lymphatic mapping procedure packs</t>
  </si>
  <si>
    <t>In this classification, this commodity indicates a product used as a pack of instruments and supplies used in a lymphatic mapping procedure in a medical setting.  Most nations, for tariff and trade purposes, schedule these products under HS 901819.</t>
  </si>
  <si>
    <t>Gamma bone densitometers</t>
  </si>
  <si>
    <t>In this classification, this commodity indicates a product used as a device for measuring the bone density in a gamma bone density procedural in a medical setting.  US FDA regulates Gamma bone densitometers under 21 CFR 870.1250 and under FDA product code LIT.  Most nations, for tariff and trade purposes, schedule these products under HS 902214.</t>
  </si>
  <si>
    <t>Medical gamma camera quality assurance or calibration devices</t>
  </si>
  <si>
    <t>In this classification, this commodity indicates a product used as a device for quality assurance or calibration in medical gamma camera procedure in a medical setting.  Most nations, for tariff and trade purposes, schedule these products under HS 852880.</t>
  </si>
  <si>
    <t>Lymphatic mapping navigator system accessories</t>
  </si>
  <si>
    <t>In this classification, this commodity indicates a product that is either an accessory or consumable associated with lymphatic mapping navigator systems.  Most nations, for tariff and trade purposes, schedule these products under HS 901819.</t>
  </si>
  <si>
    <t>42202100</t>
  </si>
  <si>
    <t>Brachytherapy products</t>
  </si>
  <si>
    <t>In this classification, this class includes, products, components, accessories, and supplies, utilized in brachytherapy based medical procedures.</t>
  </si>
  <si>
    <t>Brachytherapy intracavity containers or seeds</t>
  </si>
  <si>
    <t>In this classification, this commodity indicates a product used as a.  US FDA regulates Brachytherapy intracavity containers or seeds under 21 CFR 892.5730 and under FDA product code KXK.  Most nations, for tariff and trade purposes, schedule these products under HS 901819.</t>
  </si>
  <si>
    <t>Brachytherapy catheters or syringes or inserters or applicators</t>
  </si>
  <si>
    <t>In this classification, this commodity indicates a product used as a flexible tube, syringe or inserted through a narrow opening into a body cavity in a brachytherapy procedure.  US FDA regulates Brachytherapy catheters or syringes or inserters or applicators under 21 CFR 892.5730 and under FDA product code KXK.  Most nations, for tariff and trade purposes, schedule these products under HS 901839.</t>
  </si>
  <si>
    <t>Brachytherapy seed storage containers</t>
  </si>
  <si>
    <t>In this classification, this commodity indicates a product that is used as a container for seed storage for a brachytherapy procedure in a medical setting.  Most nations, for tariff and trade purposes, schedule these products under HS 901819.</t>
  </si>
  <si>
    <t>Brachytherapy seed capture kits</t>
  </si>
  <si>
    <t>In this classification, this commodity indicates a product that is a prepackaged collection (either custom or standard) of the equipment and supplies that enable brachytherapy seed capture procedures use in a medical setting.  Most nations, for tariff and trade purposes, schedule these products under HS 901819.</t>
  </si>
  <si>
    <t>Brachytherapy units</t>
  </si>
  <si>
    <t>in this classification, this commodity indicates a product that is a device used in an ophthalmic electrolysis procedure in a medical setting.  US FDA regulates Brachytherapy units under 21 CFR 882.59 and under FDA product code JAD.  Most nations, for tariff and trade purposes, schedule these products under HS 901819.</t>
  </si>
  <si>
    <t>Manual radionuclide applicator systems or guides</t>
  </si>
  <si>
    <t>In this classification, this commodity indicates a system consisting of products, consumables and accessories that are used to execute a manual radionuclide applicator or guides procedure in a medical setting.  US FDA regulates Manual radionuclide applicator systems or guides under 21 CFR 892.5650 and under FDA product code IWJ.  Most nations, for tariff and trade purposes, schedule these products under HS 901890.</t>
  </si>
  <si>
    <t>Platinum titanium gold isotope needles</t>
  </si>
  <si>
    <t>In this classification, this commodity indicates a product that is a hollow needle commonly used with a syringe to inject or extract substances or fluids associated with a procedure.  Most nations, for tariff and trade purposes, schedule these products under HS 901819.</t>
  </si>
  <si>
    <t>Remote-controlled radionuclide applicator systems</t>
  </si>
  <si>
    <t>In this classification, this commodity indicates a system consisting of products, consumables and accessories that are used to execute a remote-controlled radionuclide applicator procedure in a medical setting.  Most nations, for tariff and trade purposes, schedule these products under HS 901819.</t>
  </si>
  <si>
    <t>42202200</t>
  </si>
  <si>
    <t>Gamma radiation therapy products</t>
  </si>
  <si>
    <t>In this classification, this class includes, products, components, accessories, and supplies, utilized in gamma radiation therapy based medical procedures.</t>
  </si>
  <si>
    <t>Radiosurgical gamma knife collimators or helmets</t>
  </si>
  <si>
    <t>In this classification, this commodity indicates a device that narrows a beam of particles or waves in a radiological therapeutic x ray procedure in a medical setting.  Most nations, for tariff and trade purposes, schedule these products under HS 901819.</t>
  </si>
  <si>
    <t>Radiosurgical gamma knife units or scintillators</t>
  </si>
  <si>
    <t>in this classification, this commodity indicates a product that is a device used in a radio gamma knife or scintatillator procedures in a medical setting.  US FDA regulates Radiosurgical gamma knife units or scintillators under 21 CFR 892.5750 and under FDA product code IWB.  Most nations, for tariff and trade purposes, schedule these products under HS 901819.</t>
  </si>
  <si>
    <t>Cushion sets for radiosurgical helmets</t>
  </si>
  <si>
    <t>In this classification, this commodity indicates a product used to provide cushioning with a radiosurgical helmet used in a medical setting.  Most nations, for tariff and trade purposes, schedule these products under HS 901819.</t>
  </si>
  <si>
    <t>Radionuclide rebreathing systems</t>
  </si>
  <si>
    <t>In this classification, this commodity indicates a system consisting of products, consumables and accessories that are used to execute a radionuclide rebreathing procedure in a medical setting.  Most nations, for tariff and trade purposes, schedule these products under HS 901819.</t>
  </si>
  <si>
    <t>Radiation therapy beam shaping blocks</t>
  </si>
  <si>
    <t>In this classification, this commodity indicates a product used to shape beams to provide optimal focus in radiation therapy procedures in a medical setting.  Most nations, for tariff and trade purposes, schedule these products under HS 901819.</t>
  </si>
  <si>
    <t>42202300</t>
  </si>
  <si>
    <t>Medical linear accelerator intensity modulated radiation therapy IMRT products</t>
  </si>
  <si>
    <t>In this classification, this class includes, products, components, accessories, and supplies, utilized in medical linear accelerator intensity modulated radiation therapy based medical procedures.</t>
  </si>
  <si>
    <t>Medical linear accelerator intensity modulated radiation therapy IMRT two dimensional units</t>
  </si>
  <si>
    <t>in this classification, this commodity indicates a product that is a device used in a linear accelerator in intensity modulated radiation therapeutic procedures in a medical setting.  US FDA regulates Medical linear accelerator intensity modulated radiation therapy IMRT two dimensional units under 21 CFR 892.5050 and under FDA product code MUJ.  Most nations, for tariff and trade purposes, schedule these products under HS 901819.</t>
  </si>
  <si>
    <t>Medical linear accelerator intensity modulated radiation therapy IMRT three dimensional units</t>
  </si>
  <si>
    <t>in this classification, this commodity indicates a product that is a device used in a linear accelerator in intensity modulated radiation therapeutic procedures in a medical setting.  US FDA regulates Medical linear accelerator intensity modulated radiation therapy IMRT three dimensional units under 21 CFR 892.5050 and under FDA product code MUJ.  Most nations, for tariff and trade purposes, schedule these products under HS 901819.</t>
  </si>
  <si>
    <t>Medical linear accelerator intensity modulated radiation therapy IMRT collimators</t>
  </si>
  <si>
    <t>In this classification, this commodity indicates a device that narrows a beam of particles or waves in a medical linear accelerator intensity modulated radiation therapy procedure in a medical setting.  Most nations, for tariff and trade purposes, schedule these products under HS 901819.</t>
  </si>
  <si>
    <t>Medical linear accelerator intensity modulated radiation therapy IMRT accessories</t>
  </si>
  <si>
    <t>In this classification, this commodity indicates a product that is either an accessory or consumable associated with medical linear accelerator intensity modulated radiation therapy unit.  Most nations, for tariff and trade purposes, schedule these products under HS 901819.</t>
  </si>
  <si>
    <t>42202400</t>
  </si>
  <si>
    <t>Medical positron emission tomography PET equipment and related products</t>
  </si>
  <si>
    <t>In this classification, this class includes, equipment, products, components, accessories, and supplies, utilized in medical positron emission tomography based medical procedures.</t>
  </si>
  <si>
    <t>Medical positron emission tomography PET units</t>
  </si>
  <si>
    <t>in this classification, this commodity indicates a product that is a device used in a positron emission tomography procedure in a medical setting.  US FDA regulates Medical positron emission tomography PET units under 21 CFR 892.12 and under FDA product code KPS.  Most nations, for tariff and trade purposes, schedule these products under HS 901819.</t>
  </si>
  <si>
    <t>Medical positron emission tomography PET unit accessories</t>
  </si>
  <si>
    <t>In this classification, this commodity indicates a product that is either an accessory or consumable associated with medical positron emission tomography pet units.  Most nations, for tariff and trade purposes, schedule these products under HS 901819.</t>
  </si>
  <si>
    <t>42202500</t>
  </si>
  <si>
    <t>Medical single photon emission computed tomography SPECT equipment and related products</t>
  </si>
  <si>
    <t>In this classification, this class includes, equipment, products, components, accessories, and supplies, utilized in medical single photon emission computed tomography based medical procedures.</t>
  </si>
  <si>
    <t>Medical single photon emission computed tomography SPECT units</t>
  </si>
  <si>
    <t>in this classification, this commodity indicates a product that is a device used in a single photon emission computed tomography procedures in a medical setting.  US FDA regulates Medical single photon emission computed tomography SPECT units under 21 CFR 892.12 and under FDA product code KPS.  Most nations, for tariff and trade purposes, schedule these products under HS 901819.</t>
  </si>
  <si>
    <t>Medical single photon emission computed tomography SPECT unit accessories</t>
  </si>
  <si>
    <t>In this classification, this commodity indicates a product that is either an accessory or consumable associated with medical single photon emission computed tomography units.  Most nations, for tariff and trade purposes, schedule these products under HS 901819.</t>
  </si>
  <si>
    <t>42202600</t>
  </si>
  <si>
    <t>Radioimmunotherapy and radioisotope administration products</t>
  </si>
  <si>
    <t>In this classification, this class includes, products, components, accessories, and supplies, utilized in radio immunotherapy and radioisotope administration based medical procedures.</t>
  </si>
  <si>
    <t>Thyroid irradiation therapy supplies</t>
  </si>
  <si>
    <t>In this classification, this commodity indicates a product used as consumable supplies in a thyroid irradiation therapy procedure in a medical setting.  Most nations, for tariff and trade purposes, schedule these products under HS 901811.</t>
  </si>
  <si>
    <t>Test kits for radioimmunotherapy</t>
  </si>
  <si>
    <t>In this classification, this commodity indicates a product that is a prepackaged collection (either custom or standard) of the equipment and supplies used to perform a radioimmunotherapy testing procedure in a medical setting.  Most nations, for tariff and trade purposes, schedule these products under HS 901890.</t>
  </si>
  <si>
    <t>Radioimmunotherapy and radioisotope administration diagnostic dosing kits</t>
  </si>
  <si>
    <t>In this classification, this commodity indicates a product that is a prepackaged collection (either custom or standard) of the equipment and supplies used to perform a radioimmunotherapy and radioisotope administration diagnostic dosing procedure in a medical setting.  Most nations, for tariff and trade purposes, schedule these products under HS 901819.</t>
  </si>
  <si>
    <t>Radioimmunotherapy and radioisotope administration therapeutic dosing kits</t>
  </si>
  <si>
    <t>In this classification, this commodity indicates a product that is a prepackaged collection (either custom or standard) of the equipment and supplies used to perform a radioimmunotherapy and radioisotope administration therapeutic dosing procedure in a medical setting.  Most nations, for tariff and trade purposes, schedule these products under HS 901819.</t>
  </si>
  <si>
    <t>42202700</t>
  </si>
  <si>
    <t>Radiotherapy teletherapy products</t>
  </si>
  <si>
    <t>In this classification, this class includes, products, components, accessories, and supplies, utilized in Radio immunotherapy and radioisotope administration based medical procedures.</t>
  </si>
  <si>
    <t>Radiotherapy teletherapy cobalt 60 units</t>
  </si>
  <si>
    <t>in this classification, this commodity indicates a product that is a device used in a radiotherapy teletherapy cobalt 60 based procedures in a medical setting.  Most nations, for tariff and trade purposes, schedule these products under HS 901819.</t>
  </si>
  <si>
    <t>Radiotherapy teletherapy linear accelerators</t>
  </si>
  <si>
    <t>In this classification, this commodity indicates a product used as a device most commonly used for external beam radiation treatments for patients with cancer on a radiotherapy teletherapy procedure.  Most nations, for tariff and trade purposes, schedule these products under HS 901819.</t>
  </si>
  <si>
    <t>Radiology therapeutic x-ray collimators</t>
  </si>
  <si>
    <t>Radiology therapeutic x-ray units</t>
  </si>
  <si>
    <t>in this classification, this commodity indicates a product that is a device used in a radiology therapeutic x-ray procedures in a medical setting.  Most nations, for tariff and trade purposes, schedule these products under HS 901819.</t>
  </si>
  <si>
    <t>Radiology therapeutic x-ray unit accessories</t>
  </si>
  <si>
    <t>In this classification, this commodity indicates a product that is either an accessory or consumable associated with radiology therapeutic x-ray units.  Most nations, for tariff and trade purposes, schedule these products under HS 901819.</t>
  </si>
  <si>
    <t>42202900</t>
  </si>
  <si>
    <t>Low energy medical x ray equipment</t>
  </si>
  <si>
    <t>In this classification, this class includes, products, components, accessories, and supplies utilized in low energy x ray based medical procedures.</t>
  </si>
  <si>
    <t>Low energy medical x ray units</t>
  </si>
  <si>
    <t>in this classification, this commodity indicates a product that is a device used in a low energy medical x ray procedure in a medical setting.  Most nations, for tariff and trade purposes, schedule these products under HS 901819.</t>
  </si>
  <si>
    <t>Low energy medical x ray unit accessories</t>
  </si>
  <si>
    <t>In this classification, this commodity indicates a product that is either an accessory or consumable associated with low energy medical x ray units.  Most nations, for tariff and trade purposes, schedule these products under HS 901819.</t>
  </si>
  <si>
    <t>42203000</t>
  </si>
  <si>
    <t>Medical linear accelerators and related products</t>
  </si>
  <si>
    <t>In this classification, this class includes, products, components, accessories, and supplies utilized in linear acceleration based medical procedures.</t>
  </si>
  <si>
    <t>Mobile or transportable medical linear accelerators</t>
  </si>
  <si>
    <t>In this classification, this commodity indicates a product used as a transportable device most commonly used for external beam radiation treatments in a radiotherapy teletherapy procedure in a mobile medical setting.  US FDA regulates Mobile or transportable medical linear accelerators under 21 CFR 892.5050 and under FDA product code IYE.  Most nations, for tariff and trade purposes, schedule these products under HS 901819.</t>
  </si>
  <si>
    <t>Medical linear accelerator accessories</t>
  </si>
  <si>
    <t>In this classification, this commodity indicates a product that is either an accessory or consumable associated with medical linear accelerators.  Most nations, for tariff and trade purposes, schedule these products under HS 901819.</t>
  </si>
  <si>
    <t>Stationary medical linear accelerators</t>
  </si>
  <si>
    <t>In this classification, this commodity indicates a product used as a stationary device most commonly used for external beam radiation treatments in a radiotherapy teletherapy procedure in a medical setting.  Most nations, for tariff and trade purposes, schedule these products under HS 901819.</t>
  </si>
  <si>
    <t>42203200</t>
  </si>
  <si>
    <t>Radiotherapy simulators</t>
  </si>
  <si>
    <t>In this classification, this class includes, products, components, accessories, and supplies, utilized in radiotherapy simulators based medical procedures.</t>
  </si>
  <si>
    <t>X ray and fluoroscopy RF radiotherapy planning simulators</t>
  </si>
  <si>
    <t>In this classification, this commodity indicates a product used as planning simulators for X ray and fluoroscopy rf radiotherapy procedures in a medical setting.  Most nations, for tariff and trade purposes, schedule these products under HS 901819.</t>
  </si>
  <si>
    <t>Computed tomography CT or CAT radiotherapy simulators</t>
  </si>
  <si>
    <t>In this classification, this commodity indicates a product used as radiotherapy simulators for computed tomography ct or cat procedures in a medical setting.  Most nations, for tariff and trade purposes, schedule these products under HS 901819.</t>
  </si>
  <si>
    <t>Boron neutron capture therapy systems</t>
  </si>
  <si>
    <t>In this classification, this commodity indicates a system consisting of products, consumables and accessories that are used to execute a boron neutron capture therapy procedure in a medical setting.  Most nations, for tariff and trade purposes, schedule these products under HS 901819.</t>
  </si>
  <si>
    <t>42203400</t>
  </si>
  <si>
    <t>Vascular imaging and interventional cardiology and cardiac catheterization lab products</t>
  </si>
  <si>
    <t>In this classification, this class includes products, components, accessories, and supplies utilized in vascular imaging, cardiological interventions, or cardiac catheterization based medical procedures.</t>
  </si>
  <si>
    <t>In this classification, this commodity indicates a product used as a flexible tube inserted through a vein or artery in a diagnostic or interventional procedure.  US FDA regulates Diagnostic or interventional vascular catheters for general use under 21 CFR 880.52 and under FDA product code FOZ.  Most nations, for tariff and trade purposes, schedule these products under HS 901839.</t>
  </si>
  <si>
    <t>Diagnostic or interventional vascular catheter introducers</t>
  </si>
  <si>
    <t>In this classification, this commodity indicates a product used to introduce a flexible tube inserted through a vein or artery in a diagnostic or interventional procedure.  US FDA regulates Diagnostic or interventional vascular catheter introducers under 21 CFR 870.1340 and under FDA product code DYB.  Most nations, for tariff and trade purposes, schedule these products under HS 901839.</t>
  </si>
  <si>
    <t>Vascular imaging guidewires</t>
  </si>
  <si>
    <t>In this classification, this commodity indicates a product used as guidewires in vascular imaging procedures in a medical setting.  Most nations, for tariff and trade purposes, schedule these products under HS 902110.</t>
  </si>
  <si>
    <t>In this classification, this commodity indicates a product used as a flexible tube with an inflatable balloon inserted through a vein or artery in an angioplasty procedure.  US FDA regulates Angioplasty balloon catheters under 21 CFR 870.1250 and under FDA product code LIT.  Most nations, for tariff and trade purposes, schedule these products under HS 901839.</t>
  </si>
  <si>
    <t>Removal devices of diagnostic or interventional vascular catheters</t>
  </si>
  <si>
    <t>In this classification, this commodity indicates a product used to remove a flexible tube inserted through a vein or artery in a diagnostic or interventional procedure.  US FDA regulates Removal devices of diagnostic or interventional vascular catheters under 21 CFR 880.5970 and under FDA product code ODY.  Most nations, for tariff and trade purposes, schedule these products under HS 901839.</t>
  </si>
  <si>
    <t>Angiography contrast medium delivery sets</t>
  </si>
  <si>
    <t>In this classification, this commodity indicates a product used as a delivery set for angiography contrast medium used in angiographic procedures in a medical setting.  US FDA regulates Angiography contrast medium delivery sets under 21 CFR 870.12 and under FDA product code DXT.  Most nations, for tariff and trade purposes, schedule these products under HS 901839.</t>
  </si>
  <si>
    <t>Cardiovascular sheath kits</t>
  </si>
  <si>
    <t>In this classification, this commodity indicates a product that is a prepackaged collection (either custom or standard) of the equipment and supplies used to perform cardiovascular sheath administrations procedure in a medical setting.  Most nations, for tariff and trade purposes, schedule these products under HS 901839.</t>
  </si>
  <si>
    <t>Angioscopic valvulotomes</t>
  </si>
  <si>
    <t>In this classification, this commodity indicates a product used as a device for use with an angioscope in heart valve procedures possibly including a detachable blade. in a medical setting.  Most nations, for tariff and trade purposes, schedule these products under HS 901890.</t>
  </si>
  <si>
    <t>Cardiovascular catheter sheathes</t>
  </si>
  <si>
    <t>In this classification, this commodity indicates a product used as a plastic tube of larger diameter than an intravenous catheter, used in the process of introducing the catheter to limit pain and increase accuracy in a cardiovascular procedure an in a medical setting.  Most nations, for tariff and trade purposes, schedule these products under HS 901839.</t>
  </si>
  <si>
    <t>In this classification, this commodity indicates a product used as a coil used in a vascular embolization procedure in a medical setting.  US FDA regulates Vascular coils under 21 CFR 892.1 and under FDA product code MOS.  Most nations, for tariff and trade purposes, schedule these products under HS 901819.</t>
  </si>
  <si>
    <t>Vascular filters</t>
  </si>
  <si>
    <t>In this classification, this commodity indicates a product used as a filter used in a vascular embolization procedure in a medical setting.  Most nations, for tariff and trade purposes, schedule these products under HS 901819.</t>
  </si>
  <si>
    <t>Cardiac catheterization lab equipment</t>
  </si>
  <si>
    <t>In this classification, this commodity indicates a product used as the devise and supplies that form the lab equipment associated with a cardiac catherization procedure in a medical setting.  Most nations, for tariff and trade purposes, schedule these products under HS 901839.</t>
  </si>
  <si>
    <t>Cardiac ablation catheters</t>
  </si>
  <si>
    <t>In this classification, this commodity indicates a product used as a flexible tube inserted through a narrow opening in a cardiac ablation procedure.  Most nations, for tariff and trade purposes, schedule these products under HS 901839.</t>
  </si>
  <si>
    <t>Endografts</t>
  </si>
  <si>
    <t>In this classification, this commodity indicates a product used as an x-ray device with high frequency generator coupled with a mains-fluctuations compensating timer in a medical setting.  Most nations, for tariff and trade purposes, schedule these products under HS 901819.</t>
  </si>
  <si>
    <t>Artherectomy catheters</t>
  </si>
  <si>
    <t>In this classification, this commodity indicates a product used as a flexible tube inserted through a narrow opening in a artherectomy procedure.  Most nations, for tariff and trade purposes, schedule these products under HS 901839.</t>
  </si>
  <si>
    <t>Vascular imaging snares</t>
  </si>
  <si>
    <t>In this classification, this commodity indicates a product used as an endovascular device that is used to remove foreign bodies from inside arteries and veins. The snare consists of several radiopaque loops of wire inside a catheter, which when extended flower out, and which collapse when withdrawn into the catheter in a medical setting.  Most nations, for tariff and trade purposes, schedule these products under HS 901819.</t>
  </si>
  <si>
    <t>Diagnostic or interventional vascular trays or packs</t>
  </si>
  <si>
    <t>In this classification, this commodity indicates a product used as a tray or pack of instruments and consumable supplies used during a diagnostic or interventional vascular procedure in a medical setting.  Most nations, for tariff and trade purposes, schedule these products under HS 392410.</t>
  </si>
  <si>
    <t>Embolization glues</t>
  </si>
  <si>
    <t>In this classification, this commodity indicates a product used as a glue involved in the artificial formation or development of an embolus in a medical setting.  Most nations, for tariff and trade purposes, schedule these products under HS 901819.</t>
  </si>
  <si>
    <t>Embolization spheres</t>
  </si>
  <si>
    <t>In this classification, this commodity indicates a product used as a sphere involved in the artificial formation or development of an embolus in a medical setting.  US FDA regulates Embolization spheres under 21 CFR 870.33 and under FDA product code KRD.  Most nations, for tariff and trade purposes, schedule these products under HS 901819.</t>
  </si>
  <si>
    <t>Arteriotomy site closure devices</t>
  </si>
  <si>
    <t>In this classification, this commodity indicates a product used as a device to close an opening or cut of an artery wall in a medical setting.  Most nations, for tariff and trade purposes, schedule these products under HS 902110.</t>
  </si>
  <si>
    <t>Thrombectomy or embolectomy catheters</t>
  </si>
  <si>
    <t>In this classification, this commodity indicates a product used as a flexible tube inserted through a narrow opening in a thronbectomy or embolectomy procedure.  US FDA regulates Thrombectomy or embolectomy catheters under 21 CFR 870.1250 and under FDA product code NRY.  Most nations, for tariff and trade purposes, schedule these products under HS 901839.</t>
  </si>
  <si>
    <t>Angiography guidewire torque devices</t>
  </si>
  <si>
    <t>In this classification, this commodity indicates a product used as a guidewire torqueing device used in examination by X-ray of blood or lymph vessels, carried out after introduction of a radiopaque substance in a medical setting.  Most nations, for tariff and trade purposes, schedule these products under HS 901819.</t>
  </si>
  <si>
    <t>Angiography introducer needles</t>
  </si>
  <si>
    <t>In this classification, this commodity indicates a product that is a hollow needle commonly used with a syringe to inject or extract substances or fluids associated with a procedure.  US FDA regulates Angiography introducer needles under 21 CFR 870.12 and under FDA product code DXT.  Most nations, for tariff and trade purposes, schedule these products under HS 901839.</t>
  </si>
  <si>
    <t>Angiography control valves and hemostatic valves</t>
  </si>
  <si>
    <t>In this classification, this commodity indicates a product used as a control valve or hemostatic valve used in examination by X-ray of blood or lymph vessels, carried out after introduction of a radiopaque substance in a medical setting.  US FDA regulates Angiography control valves and hemostatic valves under 21 CFR 870.1650 and under FDA product code OEQ.  Most nations, for tariff and trade purposes, schedule these products under HS 901839.</t>
  </si>
  <si>
    <t>Pericardiocentesis catheters</t>
  </si>
  <si>
    <t>In this classification, this commodity indicates a product used as a flexible tube inserted through a narrow opening in a parocardiocentesis procedure.  US FDA regulates Pericardiocentesis catheters under 21 CFR 870.1250 and under FDA product code DQY.  Most nations, for tariff and trade purposes, schedule these products under HS 901839.</t>
  </si>
  <si>
    <t>Electrophysiology catheters</t>
  </si>
  <si>
    <t>In this classification, this commodity indicates a product used as a flexible tube inserted through a narrow opening in a electrophsyiological procedure.  US FDA regulates Electrophysiology catheters under 21 CFR 870.1220 and under FDA product code NLH.  Most nations, for tariff and trade purposes, schedule these products under HS 901839.</t>
  </si>
  <si>
    <t>Catheter balloon repair kits</t>
  </si>
  <si>
    <t>In this classification, this commodity indicates a product that is a prepackaged collection (either custom or standard) of the equipment and supplies used to perform a catheter balloon repair procedure in a medical setting.  Most nations, for tariff and trade purposes, schedule these products under HS 901819.</t>
  </si>
  <si>
    <t>Intravascular occluding catheters</t>
  </si>
  <si>
    <t>In this classification, this commodity indicates a product used as a flexible tube inserted through a narrow opening in an angiography procedure.  Most nations, for tariff and trade purposes, schedule these products under HS 901839.</t>
  </si>
  <si>
    <t>Angiography catheters</t>
  </si>
  <si>
    <t>In this classification, this commodity indicates a product used as a flexible tube inserted through a narrow opening in an intravascular occluding procedure.  Most nations, for tariff and trade purposes, schedule these products under HS 901839.</t>
  </si>
  <si>
    <t>Apex or vibro cardiographs</t>
  </si>
  <si>
    <t>In this classification, this commodity indicates a product used as in the graphic recording of either of cardiac pulsations from the region of the apex, usually of the left ventricle, and resembling the ventricular pressure curve (noninvasive or the graphic recording of the vibrations of the chest wall of relatively high frequency that are produced by the action of the heart in a medical setting.  Most nations, for tariff and trade purposes, schedule these products under HS 901819.</t>
  </si>
  <si>
    <t>Arteriotomy pressure point pads</t>
  </si>
  <si>
    <t>In this classification, this commodity indicates a product used as an item designed for use in providing digital pressure over the site following femoral catheterization. It may also allow for the removal of the catheter or introducer with a minimum of blood loss in a medical setting.  Most nations, for tariff and trade purposes, schedule these products under HS 901819.</t>
  </si>
  <si>
    <t>Cardiovascular angiographic injectors and syringes</t>
  </si>
  <si>
    <t>In this classification, this commodity indicates a product used as either and injector or syringe in a cardiovascular angiographic procedure in a medical setting.  Most nations, for tariff and trade purposes, schedule these products under HS 901831.</t>
  </si>
  <si>
    <t>Cardiovascular catheter guidewire extensions</t>
  </si>
  <si>
    <t>In this classification, this commodity indicates a product used as guidewire extension for a flexible tube inserted through a narrow opening in a cardiovascular procedure.  Most nations, for tariff and trade purposes, schedule these products under HS 901839.</t>
  </si>
  <si>
    <t>Cardiovascular guidewire introducers</t>
  </si>
  <si>
    <t>In this classification, this commodity indicates a product used as an introducer for a guidewire extension for a flexible tube inserted through a narrow opening in a cardiovascular procedure.  Most nations, for tariff and trade purposes, schedule these products under HS 901819.</t>
  </si>
  <si>
    <t>Cardiovascular guidewire introducer kits</t>
  </si>
  <si>
    <t>In this classification, this commodity indicates a product that is a prepackaged collection (either custom or standard) of the equipment and supplies used to perform a cardiovascular guidewire introduction procedure in a medical setting.  Most nations, for tariff and trade purposes, schedule these products under HS 901819.</t>
  </si>
  <si>
    <t>Cardiovascular vessel dilators</t>
  </si>
  <si>
    <t>In this classification, this commodity indicates a product used as an in a medical setting.  Most nations, for tariff and trade purposes, schedule these products under HS 901819.</t>
  </si>
  <si>
    <t>Intravascular ultrasound catheters</t>
  </si>
  <si>
    <t>In this classification, this commodity indicates a product used as a flexible tube inserted through a narrow opening in an intravascular ultrasound procedure.  Most nations, for tariff and trade purposes, schedule these products under HS 901839.</t>
  </si>
  <si>
    <t>Steerable catheter control systems</t>
  </si>
  <si>
    <t>In this classification, this commodity indicates a system consisting of products, consumables and accessories that are used to execute a steerable catheter control procedure in a medical setting.  Most nations, for tariff and trade purposes, schedule these products under HS 901819.</t>
  </si>
  <si>
    <t>Diagnostic or interventional vascular catheter sets for general use</t>
  </si>
  <si>
    <t>In this classification, this commodity indicates a product used as a flexible tube inserted through a vein or artery in a diagnostic or interventional procedure.  Most nations, for tariff and trade purposes, schedule these products under HS 901819.</t>
  </si>
  <si>
    <t>Diagnostic or interventional vascular catheter introducer sets</t>
  </si>
  <si>
    <t>In this classification, this commodity indicates a set of products used to introduce a flexible tube inserted through a vein or artery in a diagnostic or interventional procedure.  Most nations, for tariff and trade purposes, schedule these products under HS 901819.</t>
  </si>
  <si>
    <t>Thrombectomy or embolectomy catheter sets</t>
  </si>
  <si>
    <t>In this classification, this commodity indicates a product used as a flexible tube inserted through a narrow opening in a thronbectomy or embolectomy procedure.  Most nations, for tariff and trade purposes, schedule these products under HS 901819.</t>
  </si>
  <si>
    <t>Removal devices of diagnostic or interventional vascular catheter sets</t>
  </si>
  <si>
    <t>In this classification, this commodity indicates a product used to remove a flexible tube inserted through a vein or artery in a diagnostic or interventional procedure.  Most nations, for tariff and trade purposes, schedule these products under HS 901819.</t>
  </si>
  <si>
    <t>Cardiovascular catheterization kits or sets</t>
  </si>
  <si>
    <t>In this classification, this commodity indicates a product that is a prepackaged collection (either custom or standard) of the equipment and supplies used to perform a cardiovascular catheterization procedure in a medical setting.  Most nations, for tariff and trade purposes, schedule these products under HS 901839.</t>
  </si>
  <si>
    <t>42203500</t>
  </si>
  <si>
    <t>Cardiac pacemakers and related products</t>
  </si>
  <si>
    <t>In this classification, this class includes, products, components, accessories, and supplies, utilized in Cardiac pacemaker based medical procedures.</t>
  </si>
  <si>
    <t>Cardiac pacemaker generators or cardiac resynchronization therapy pacemakers CRT-P</t>
  </si>
  <si>
    <t>In this classification, this commodity indicates a product used as a device used as a generator for either a cardiac pacemaker or a cardiac resynchronization therapy pacemakers crt-p in a medical setting.  Most nations, for tariff and trade purposes, schedule these products under HS 901819.</t>
  </si>
  <si>
    <t>Cardiac pacing leads or electrodes</t>
  </si>
  <si>
    <t>In this classification, this commodity indicates a product used as a pacing lead or electrode placed into the chamber of the heart to provide the channel for cardiac pacing from an electronic device in a medical setting.  US FDA regulates Cardiac pacing leads or electrodes under 21 CFR 870.3680 and under FDA product code DTB.  Most nations, for tariff and trade purposes, schedule these products under HS 901890.</t>
  </si>
  <si>
    <t>Cardiac pacing lead introducers or sets</t>
  </si>
  <si>
    <t>In this classification, this commodity indicates a product used as a set including several pacing leads or electrodes placed into the chamber of the heart to provide the channel for cardiac pacing from an electronic device in a medical setting.  US FDA regulates Cardiac pacing lead introducers or sets under 21 CFR 870.3620 and under FDA product code DTD.  Most nations, for tariff and trade purposes, schedule these products under HS 901819.</t>
  </si>
  <si>
    <t>Cardiac recorders</t>
  </si>
  <si>
    <t>In this classification, this commodity indicates a product used as a device to that is a battery-powered portable device that you control to tape-record the heart's electrical activity (ECG) in a medical setting.  Most nations, for tariff and trade purposes, schedule these products under HS 901890.</t>
  </si>
  <si>
    <t>Implantable cardioverter defibrillators ICD or cardiac resynchronization therapy defibrillators CRT-D</t>
  </si>
  <si>
    <t>In this classification, this commodity indicates a product used as s a device implantable inside the body, able to perform cardioversion, defibrillation and pacing of the heart in a medical setting.  Most nations, for tariff and trade purposes, schedule these products under HS 901890.</t>
  </si>
  <si>
    <t>Implantable cardiac defibrillator device ICD or cardiac resynchronization therapy defibrillator CRT D leads or electrodes</t>
  </si>
  <si>
    <t>In this classification, this commodity indicates a product used as the leads or electrodes used with a device implantable inside the body, able to perform cardioversion, defibrillation and pacing of the heart in a medical setting.  US FDA regulates Implantable cardiac defibrillator device ICD or cardiac resynchronization therapy defibrillator CRT D leads or electrodes under 21 CFR 870.5310 and under FDA product code MJK.  Most nations, for tariff and trade purposes, schedule these products under HS 901890.</t>
  </si>
  <si>
    <t>Cardiac pacemaker electrode function testers</t>
  </si>
  <si>
    <t>In this classification, this commodity indicates a product used as a device which is connected to an implanted pacemaker lead that supplies an accurately calibrated, variable pacing pulse for measuring the patient's pacing threshold and intracardiac R-wave potential in a medical setting.  Most nations, for tariff and trade purposes, schedule these products under HS 901890.</t>
  </si>
  <si>
    <t>Cardiac pacing lead or electrode accessories</t>
  </si>
  <si>
    <t>In this classification, this commodity indicates a product that is either an accessory or consumable associated with cardiac pacing lead or electrodes.  Most nations, for tariff and trade purposes, schedule these products under HS 842139.</t>
  </si>
  <si>
    <t>Transvenous pacing catheters</t>
  </si>
  <si>
    <t>In this classification, this commodity indicates a product used as a flexible tube inserted through a narrow opening inside veins in an transvenous pacing procedure.  Most nations, for tariff and trade purposes, schedule these products under HS 901839.</t>
  </si>
  <si>
    <t>Transvenous pacing catheter kits or sets</t>
  </si>
  <si>
    <t>In this classification, this commodity indicates a product that is a prepackaged collection (either custom or standard) of the equipment and supplies used to perform a transvenous pacing catheter placement procedure in a medical setting.  Most nations, for tariff and trade purposes, schedule these products under HS 901839.</t>
  </si>
  <si>
    <t>42203600</t>
  </si>
  <si>
    <t>Medical radiological imaging information and archiving products</t>
  </si>
  <si>
    <t>In this classification, this class includes, products, components, accessories, and supplies, utilized in radiological imaging information and archiving based medical procedures.</t>
  </si>
  <si>
    <t>Digital imaging network DIN system equipment</t>
  </si>
  <si>
    <t>In this classification, this commodity indicates a product used as the devices that form a network system to provision digital imaging procedures in a medical setting.  US FDA regulates Digital imaging network DIN system equipment under 21 CFR 892.2030 and under FDA product code LMA.  Most nations, for tariff and trade purposes, schedule these products under HS 901890.</t>
  </si>
  <si>
    <t>Digital imaging communications in medicine DICOM standard system equipment</t>
  </si>
  <si>
    <t>In this classification, this commodity indicates a product used as the devices that form a communication system to provision digital imaging procedures in a medical setting.  US FDA regulates Digital imaging communications in medicine DICOM standard system equipment under 21 CFR 892.2050 and under FDA product code LLZ.  Most nations, for tariff and trade purposes, schedule these products under HS 901890.</t>
  </si>
  <si>
    <t>Medical picture archiving computer systems PACS</t>
  </si>
  <si>
    <t>In this classification, this commodity indicates a system consisting of products, consumables and accessories that are used to execute a medical picture archiving computer PACS procedure in a medical setting.  US FDA regulates Medical picture archiving computer systems PACS under 21 CFR 892.2050 and under FDA product code LLZ.  Most nations, for tariff and trade purposes, schedule these products under HS 847130.</t>
  </si>
  <si>
    <t>Medical x ray film archiving system software</t>
  </si>
  <si>
    <t>In this classification, this commodity indicates a product used as software which enables the archiving of medical x ray films in a medical setting.  Most nations, for tariff and trade purposes, schedule these products under HS 852349.</t>
  </si>
  <si>
    <t>Teleradiography systems</t>
  </si>
  <si>
    <t>In this classification, this commodity indicates a product consisting of an imaging device using a tube held about six feet from the body.</t>
  </si>
  <si>
    <t>Computer aided detection software</t>
  </si>
  <si>
    <t>In this classification, this commodity indicates a product used as software for pattern recognition that identifies suspicious features on the image and brings them to the attention of the radiologist, in order to decrease false negative readings in a medical setting.  Most nations, for tariff and trade purposes, schedule these products under HS 852349.</t>
  </si>
  <si>
    <t>Medical image digitizers</t>
  </si>
  <si>
    <t>In this classification, this commodity indicates a product used to digitize film records of medical imaging procedures in a medical setting.  Most nations, for tariff and trade purposes, schedule these products under HS 847130.</t>
  </si>
  <si>
    <t>Medical imaging information and archiving servers</t>
  </si>
  <si>
    <t>In this classification, this commodity indicates a product used as a device that captures and archives information in a medical imaging procedure in a medical setting.  Most nations, for tariff and trade purposes, schedule these products under HS 847130.</t>
  </si>
  <si>
    <t>Medical imaging information and archiving remote viewing stations</t>
  </si>
  <si>
    <t>In this classification, this commodity indicates a product used as a viewer for information and images that have been archived in a medical imaging procedure in a medical setting.  Most nations, for tariff and trade purposes, schedule these products under HS 852841.</t>
  </si>
  <si>
    <t>Medical imaging information and archiving secure networks</t>
  </si>
  <si>
    <t>In this classification, this commodity indicates a product used as a secure network that transports, stores and makes accessible information and images created in a medical imaging procedure in a medical setting.  Most nations, for tariff and trade purposes, schedule these products under HS 847130.</t>
  </si>
  <si>
    <t>Medical imaging information and archiving interoperability modules</t>
  </si>
  <si>
    <t>In this classification, this commodity indicates a product used as an information technology module that extends the access to information and images created in a medical imaging procedure in a medical setting.  Most nations, for tariff and trade purposes, schedule these products under HS 847130.</t>
  </si>
  <si>
    <t>Medical imaging information and archiving workstations</t>
  </si>
  <si>
    <t>In this classification, this commodity indicates a product used as a workstation that can access to information and images created in a medical imaging procedure in a medical setting.  Most nations, for tariff and trade purposes, schedule these products under HS 847130.</t>
  </si>
  <si>
    <t>42203700</t>
  </si>
  <si>
    <t>Medical imaging processing equipment and supplies</t>
  </si>
  <si>
    <t>In this classification, this class includes, the equipment and supplies utilized in medical imaging processing based medical procedures.</t>
  </si>
  <si>
    <t>Medical x ray film daylight stampers or identification printers</t>
  </si>
  <si>
    <t>In this classification, this commodity indicates a product used as a wet daylight stamper or printer for images created during a medical imaging procedure in a medical setting.  Most nations, for tariff and trade purposes, schedule these products under HS 844331.</t>
  </si>
  <si>
    <t>Medical imaging wet darkroom or daylight processors</t>
  </si>
  <si>
    <t>In this classification, this commodity indicates a product used as a wet darkroom or daylight processor for images created during a medical imaging procedure in a medical setting.  Most nations, for tariff and trade purposes, schedule these products under HS 392690.</t>
  </si>
  <si>
    <t>Medical x ray passthrough boxes</t>
  </si>
  <si>
    <t>In this classification, this commodity indicates a product used as the part of an x ray process that allows light to pass through the film to capture details in a medical setting.  Most nations, for tariff and trade purposes, schedule these products under HS 901890.</t>
  </si>
  <si>
    <t>Medical toners or developers</t>
  </si>
  <si>
    <t>In this classification, this commodity indicates a product used as an either the toner to develop or the developer device for medical images in a medical setting.  Most nations, for tariff and trade purposes, schedule these products under HS 901890.</t>
  </si>
  <si>
    <t>Medical imaging dry laser printers or imagers</t>
  </si>
  <si>
    <t>In this classification, this commodity indicates a product used as a laser printer or imager for images created during a medical imaging procedure in a medical setting.  US FDA regulates Medical imaging dry laser printers or imagers under 21 CFR 892.2040 and under FDA product code LMC.  Most nations, for tariff and trade purposes, schedule these products under HS 844331.</t>
  </si>
  <si>
    <t>Medical x ray film processing chemical kits</t>
  </si>
  <si>
    <t>In this classification, this commodity indicates a product that is a prepackaged collection (either custom or standard) of the equipment and supplies used to perform a medical x ray processing procedure in a medical setting.  Most nations, for tariff and trade purposes, schedule these products under HS 901890.</t>
  </si>
  <si>
    <t>Medical x ray darkroom accessories</t>
  </si>
  <si>
    <t>In this classification, this commodity indicates a product that is either an accessory or consumable associated with medical x ray darkrooms.  Most nations, for tariff and trade purposes, schedule these products under HS 901890.</t>
  </si>
  <si>
    <t>Medical x ray film processing fixers</t>
  </si>
  <si>
    <t>In this classification, this commodity indicates a product used to dissolve out unexposed silver halide crystals from the x ray film processing procedure in a medical setting.  Most nations, for tariff and trade purposes, schedule these products under HS 901890.</t>
  </si>
  <si>
    <t>Combination displays and printers for x ray system calibrator sets</t>
  </si>
  <si>
    <t>In this classification, this commodity indicates a product used as a display and printer in combination used to calibrate x ray systems in a medical setting.  Most nations, for tariff and trade purposes, schedule these products under HS 844331.</t>
  </si>
  <si>
    <t>Medical x ray film markers</t>
  </si>
  <si>
    <t>In this classification, this commodity indicates a product used as a marking system for medical x rays that determine anatomical side of body, date of the procedure, and may include patients name in a medical setting.  US FDA regulates Medical x ray film markers under 21 CFR 892.1640 and under FDA product code JAC.  Most nations, for tariff and trade purposes, schedule these products under HS 901780.</t>
  </si>
  <si>
    <t>Medical x ray film dryers</t>
  </si>
  <si>
    <t>In this classification, this commodity indicates a product used as a dryer to complete the medical x ray photography procedure in a medical setting.  Most nations, for tariff and trade purposes, schedule these products under HS 901819.</t>
  </si>
  <si>
    <t>Medical x ray temperature controllers</t>
  </si>
  <si>
    <t>In this classification, this commodity indicates a product used as to aid medical x ray procedures under controlled relative humidity and temperature in a medical setting.  Most nations, for tariff and trade purposes, schedule these products under HS 901819.</t>
  </si>
  <si>
    <t>42203800</t>
  </si>
  <si>
    <t>Medical radiological positioning aids</t>
  </si>
  <si>
    <t>In this classification, this class includes, products, components, accessories, and supplies, utilized in aided radiological positioning based medical procedures.</t>
  </si>
  <si>
    <t>Medical computed tomography CT or CAT positioning aids</t>
  </si>
  <si>
    <t>In this classification, this commodity indicates a product used as the components and supplies required to correctly position a patient during a medical computed tomography ct or cat procedure in a medical setting.  Most nations, for tariff and trade purposes, schedule these products under HS 901819.</t>
  </si>
  <si>
    <t>Medical magnetic resonance imaging MRI positioning aids</t>
  </si>
  <si>
    <t>In this classification, this commodity indicates a product used as the components and supplies required to correctly position a patient during a Medical magnetic resonance imaging mri procedure in a medical setting.  Most nations, for tariff and trade purposes, schedule these products under HS 901819.</t>
  </si>
  <si>
    <t>Medical radiological positioning aids for general radiological use</t>
  </si>
  <si>
    <t>In this classification, this commodity indicates a product used as the components and supplies required to correctly position a patient during a medical radiological procedure in a medical setting.  Most nations, for tariff and trade purposes, schedule these products under HS 901819.</t>
  </si>
  <si>
    <t>Radiation therapy positioning aids</t>
  </si>
  <si>
    <t>In this classification, this commodity indicates a product used as the components and supplies required to correctly position a patient during a radiation therapy procedure in a medical setting.  Most nations, for tariff and trade purposes, schedule these products under HS 901819.</t>
  </si>
  <si>
    <t>Light-beam patient position monitors</t>
  </si>
  <si>
    <t>In this classification, this commodity indicates a product used as a monitor to visualize light beams conforming a patient's position while undergoing medical procedures in a medical setting.  Most nations, for tariff and trade purposes, schedule these products under HS 852849.</t>
  </si>
  <si>
    <t>Radiation therapy couches</t>
  </si>
  <si>
    <t>In this classification, this commodity indicates a product used as a couch for the patient undergoing radiation therapy in a medical setting.  Most nations, for tariff and trade purposes, schedule these products under HS 901819.</t>
  </si>
  <si>
    <t>42203900</t>
  </si>
  <si>
    <t>Medical radiation detection or monitoring products</t>
  </si>
  <si>
    <t>In this classification, this class includes products, components, accessories, and supplies utilized in radiation detection or monitoring based medical procedures.</t>
  </si>
  <si>
    <t>Medical radiation dosimeters</t>
  </si>
  <si>
    <t>In this classification, this commodity indicates a product used as dose radiation dose measurement devices used during medical radiological procedures in a medical setting.  US FDA regulates Medical radiation dosimeters under 21 CFR 892.5050 and under FDA product code IYE.  Most nations, for tariff and trade purposes, schedule these products under HS 901819.</t>
  </si>
  <si>
    <t>Medical radiation films or badges</t>
  </si>
  <si>
    <t>In this classification, this commodity indicates a product used as a device composed of a pack of radiographic film or films worn as a badge, used for the detection and approximate measurement of radiation exposure of personnel in a medical setting.  Most nations, for tariff and trade purposes, schedule these products under HS 901819.</t>
  </si>
  <si>
    <t>Medical neutron radiation therapy systems</t>
  </si>
  <si>
    <t>In this classification, this commodity indicates a system consisting of products, consumables and accessories that are used to execute a medical neutron radiation therapy procedure in a medical setting.  US FDA regulates Medical neutron radiation therapy systems under 21 CFR 892.53 and under FDA product code IWL.  Most nations, for tariff and trade purposes, schedule these products under HS 901819.</t>
  </si>
  <si>
    <t>Nuclear sealed calibration sources</t>
  </si>
  <si>
    <t>In this classification, this commodity indicates a product used as a device that re designed for calibrating and checking radiological spectrometers and counters in a medical setting.  Most nations, for tariff and trade purposes, schedule these products under HS 901819.</t>
  </si>
  <si>
    <t>Medical radiation dosimeter accessories</t>
  </si>
  <si>
    <t>In this classification, this commodity indicates a product that is either an accessory or consumable associated with medical radiation dosimeters.  Most nations, for tariff and trade purposes, schedule these products under HS 901819.</t>
  </si>
  <si>
    <t>Medical radiological wipe test counters</t>
  </si>
  <si>
    <t>In this classification, this commodity indicates a product used as a device used to measure for possible radioactive contamination in a variety of environments in a medical setting.  Most nations, for tariff and trade purposes, schedule these products under HS 901819.</t>
  </si>
  <si>
    <t>Microbeam alpha particle and proton irradiation systems</t>
  </si>
  <si>
    <t>In this classification, this commodity indicates a product used as a device that generates is a narrow beam of alpha particle or proton radiation, of micrometer or sub-micrometer dimensions in a medical setting.  Most nations, for tariff and trade purposes, schedule these products under HS 901819.</t>
  </si>
  <si>
    <t>42204000</t>
  </si>
  <si>
    <t>Medical radiological shielding and protection products</t>
  </si>
  <si>
    <t>In this classification, this class includes products, components, accessories, and supplies utilized in radiational shielding or protection based medical procedures.</t>
  </si>
  <si>
    <t>Medical radiological shielding apron racks</t>
  </si>
  <si>
    <t>In this classification, this commodity indicates a product used as an apron racks providing shielding from radiation during medical radiological procedures in a medical setting.  Most nations, for tariff and trade purposes, schedule these products under HS 901819.</t>
  </si>
  <si>
    <t>Medical radiological shielding aprons or masks or drapes</t>
  </si>
  <si>
    <t>In this classification, this commodity indicates a product used as an apron mask, or drape providing shielding from radiation during medical radiological procedures in a medical setting.  US FDA regulates Medical radiological shielding aprons or masks or drapes under 21 CFR 892.65 and under FDA product code KPY.  Most nations, for tariff and trade purposes, schedule these products under HS 901819.</t>
  </si>
  <si>
    <t>Medical radiological shielding portable containers for radioactive materials</t>
  </si>
  <si>
    <t>In this classification, this commodity indicates a product used as a portable container for radioactive materials providing shielding from radiation during medical radiological procedures in a medical setting.  Most nations, for tariff and trade purposes, schedule these products under HS 901819.</t>
  </si>
  <si>
    <t>Medical radiological shielding earplugs</t>
  </si>
  <si>
    <t>In this classification, this commodity indicates a product used as a pair of earplugs providing shielding from radiation during medical radiological procedures in a medical setting.  Most nations, for tariff and trade purposes, schedule these products under HS 901819.</t>
  </si>
  <si>
    <t>Medical radiological shielding gloves</t>
  </si>
  <si>
    <t>In this classification, this commodity indicates a product used as gloves providing shielding from radiation during medical radiological procedures in a medical setting.  Most nations, for tariff and trade purposes, schedule these products under HS 611610.</t>
  </si>
  <si>
    <t>Medical radiological shielding freestanding or portable screens or curtains</t>
  </si>
  <si>
    <t>In this classification, this commodity indicates a product used as freestanding, portable screens, or curtains providing shielding from radiation during medical radiological procedures in a medical setting.  Most nations, for tariff and trade purposes, schedule these products under HS 901819.</t>
  </si>
  <si>
    <t>Medical radiological shielding wall or ceiling or floor installed panels</t>
  </si>
  <si>
    <t>In this classification, this commodity indicates a product used as a wall or ceiling or floor installed panels providing shielding from radiation during medical radiological procedures in a medical setting.  Most nations, for tariff and trade purposes, schedule these products under HS 901819.</t>
  </si>
  <si>
    <t>Medical radiological shielding chambers or rooms or safes or cabinets</t>
  </si>
  <si>
    <t>In this classification, this commodity indicates a product used as shielding chambers rooms, safes, or cabinets during medical radiological procedures in a medical setting.  Most nations, for tariff and trade purposes, schedule these products under HS 940320.</t>
  </si>
  <si>
    <t>Medical radiological shielding eyewears</t>
  </si>
  <si>
    <t>In this classification, this commodity indicates a product used as shielding eyewear during medical radiological procedures in a medical setting.  Most nations, for tariff and trade purposes, schedule these products under HS 901819.</t>
  </si>
  <si>
    <t>Medical radiological shielding bench-tops or workspaces</t>
  </si>
  <si>
    <t>In this classification, this commodity indicates a product used as shield or container protecting bench-tops or workspaces from radiation used during medical radiological procedures in a medical setting.  Most nations, for tariff and trade purposes, schedule these products under HS 901819.</t>
  </si>
  <si>
    <t>Medical radiological dose calibrator shields</t>
  </si>
  <si>
    <t>In this classification, this commodity indicates a product used as shield or container dose calibrator for radioisotopes used during medical radiological procedures in a medical setting.  Most nations, for tariff and trade purposes, schedule these products under HS 901819.</t>
  </si>
  <si>
    <t>Medical radiological dose calibrators</t>
  </si>
  <si>
    <t>In this classification, this commodity indicates a product used as dose calibrator for radioisotopes used during medical radiological procedures in a medical setting.  Most nations, for tariff and trade purposes, schedule these products under HS 901819.</t>
  </si>
  <si>
    <t>Medical radiological dose-drawing frameworks or systems</t>
  </si>
  <si>
    <t>In this classification, this commodity indicates a system consisting of products, consumables and accessories that are used to execute a medical radiological dose-drawing frameworks or procedure in a medical setting.  Most nations, for tariff and trade purposes, schedule these products under HS 901819.</t>
  </si>
  <si>
    <t>Medical radiological lead blocks or bricks</t>
  </si>
  <si>
    <t>In this classification, this commodity indicates a product used as a container for radioactive materials that is lead lined and used during medical radiological procedures in a medical setting.  Most nations, for tariff and trade purposes, schedule these products under HS 901819.</t>
  </si>
  <si>
    <t>Medical radiological lead foils or sheets</t>
  </si>
  <si>
    <t>Medical radiological lead-lined storage pigs</t>
  </si>
  <si>
    <t>Medical radiological needle or syringe or vial dippers</t>
  </si>
  <si>
    <t>In this classification, this commodity indicates a product used as needle, syringe or dipper of radio isotopes during medical radiological procedures in a medical setting.  Most nations, for tariff and trade purposes, schedule these products under HS 901819.</t>
  </si>
  <si>
    <t>Medical radiological translucent lead window panes</t>
  </si>
  <si>
    <t>In this classification, this commodity indicates a product used as mostly transparent but fully protective window used during medical radiological procedures in a medical setting.  Most nations, for tariff and trade purposes, schedule these products under HS 901819.</t>
  </si>
  <si>
    <t>Radiopharmaceutical label or marking or tracking systems</t>
  </si>
  <si>
    <t>In this classification, this commodity indicates a system consisting of products, consumables and accessories that are used to execute a radiopharmaceutical labeling or marking or tracking procedure in a medical setting.  Most nations, for tariff and trade purposes, schedule these products under HS 482110.</t>
  </si>
  <si>
    <t>42204100</t>
  </si>
  <si>
    <t>Nuclear medicine hot lab equipment and related products</t>
  </si>
  <si>
    <t>In this classification, this class includes products, components, accessories, and supplies utilized in the provisioning of nuclear medicine hot labs.</t>
  </si>
  <si>
    <t>Medical radiological syringe or vial shield or holders or carriers</t>
  </si>
  <si>
    <t>In this classification, this commodity indicates a product used as shield for either a vial holding the radioisotopes or the syringe injecting those isotopes during medical radiological procedures in a medical setting.  Most nations, for tariff and trade purposes, schedule these products under HS 901819.</t>
  </si>
  <si>
    <t>42204200</t>
  </si>
  <si>
    <t>Medical radiological material handling devices and instruments</t>
  </si>
  <si>
    <t>Medical radiological nip-tongs</t>
  </si>
  <si>
    <t>In this classification, this commodity indicates a product used as a tong conformed to squeeze tissue tightly during medical radiological procedures in a medical setting.  Most nations, for tariff and trade purposes, schedule these products under HS 901819.</t>
  </si>
  <si>
    <t>Medical radiological rings</t>
  </si>
  <si>
    <t>In this classification, this commodity indicates a product used as an opening conforming ring during medical radiological procedures in a medical setting.  Most nations, for tariff and trade purposes, schedule these products under HS 901819.</t>
  </si>
  <si>
    <t>Medical radiological rulers</t>
  </si>
  <si>
    <t>In this classification, this commodity indicates a product used as a ruler during medical radiological procedures in a medical setting.  Most nations, for tariff and trade purposes, schedule these products under HS 901819.</t>
  </si>
  <si>
    <t>42204300</t>
  </si>
  <si>
    <t>Medical radiological diagnostic systems</t>
  </si>
  <si>
    <t>In this classification, this class includes products, components, accessories, and supplies utilized in radiological diagnosis based medical procedures.</t>
  </si>
  <si>
    <t>Medical radiological lung ventilation systems</t>
  </si>
  <si>
    <t>In this classification, this commodity indicates a system consisting of products, consumables and accessories that are used to execute a Medical radiological lung ventilation procedure in a medical setting.  Most nations, for tariff and trade purposes, schedule these products under HS 901819.</t>
  </si>
  <si>
    <t>Medical radiological xenon trap monitors</t>
  </si>
  <si>
    <t>In this classification, this commodity indicates a product that is a customized computer monitor that displays radiological xenon trap specific levels.  Most nations, for tariff and trade purposes, schedule these products under HS 852849.</t>
  </si>
  <si>
    <t>Medical radiological lung ventilation system accessories</t>
  </si>
  <si>
    <t>In this classification, this commodity indicates a product that is either an accessory or consumable associated with medical radiological lung ventilation systems.  Most nations, for tariff and trade purposes, schedule these products under HS 901819.</t>
  </si>
  <si>
    <t>Medical radiological thyroid uptake systems</t>
  </si>
  <si>
    <t>In this classification, this commodity indicates a system consisting of products, consumables and accessories that are used to execute a medical radiological thyroid uptake procedure in a medical setting.  Most nations, for tariff and trade purposes, schedule these products under HS 901819.</t>
  </si>
  <si>
    <t>Medical radiological thyroid uptake system accessories</t>
  </si>
  <si>
    <t>In this classification, this commodity indicates a product that is either an accessory or consumable associated with medical radiological thyroid uptake systems.  Most nations, for tariff and trade purposes, schedule these products under HS 901819.</t>
  </si>
  <si>
    <t>42210000</t>
  </si>
  <si>
    <t>Independent living aids for the physically challenged</t>
  </si>
  <si>
    <t>In this classification, this family includes the products and supplies that improve the living conditions of those who are physically challenged.</t>
  </si>
  <si>
    <t>42211500</t>
  </si>
  <si>
    <t>Ambulation and transfer and positioning aids for the physically challenged</t>
  </si>
  <si>
    <t>In this classification, this class includes products, components, accessories, and supplies utilized in ambulation, transfer and positioning aid procedures.</t>
  </si>
  <si>
    <t>Canes</t>
  </si>
  <si>
    <t>In this classification, this commodity indicates a product that is a stick like instrument that can help redistribute weight from a lower leg that is weak or painful, improve stability by increasing the base of support, and provide tactile information about the ground to improve balance.  US FDA regulates Canes under 21 CFR 890.3075 and under FDA product code IPS.  Most nations, for tariff and trade purposes, schedule these products under HS 902190.</t>
  </si>
  <si>
    <t>Crutches</t>
  </si>
  <si>
    <t>In this classification, this commodity indicates a product that is a pair of implements that function as a mobility aid that transfers weight from the legs to the upper body.  US FDA regulates Crutches under 21 CFR 890.3150 and under FDA product code IPR.  Most nations, for tariff and trade purposes, schedule these products under HS 660200.</t>
  </si>
  <si>
    <t>Positioning devices</t>
  </si>
  <si>
    <t>In this classification, this commodity indicates a product that is a device used to move or conform the position of someone who lacks the capability to move themselves.  Most nations, for tariff and trade purposes, schedule these products under HS 902190.</t>
  </si>
  <si>
    <t>Standers or standing cages or standing aids</t>
  </si>
  <si>
    <t>In this classification, this commodity indicates a product that is a product of upright or cage design or the associated devices used to have a person assume or maintain an upright position as specified.  US FDA regulates Standers or standing cages or standing aids under 21 CFR 890.39 and under FDA product code IPL.  Most nations, for tariff and trade purposes, schedule these products under HS 902190.</t>
  </si>
  <si>
    <t>Walker or rollator accessories</t>
  </si>
  <si>
    <t>In this classification, this commodity indicates a product that is either an accessory or consumable associated with walker or rollators.  US FDA regulates Walker or rollator accessories under 21 CFR 890.3825 and under FDA product code ITJ.  Most nations, for tariff and trade purposes, schedule these products under HS 660200.</t>
  </si>
  <si>
    <t>Walkers or rollators</t>
  </si>
  <si>
    <t>In this classification, this commodity indicates a product that is a device used to assist a person in walking by either step or rolling.  US FDA regulates Walkers or rollators under 21 CFR 890.3825 and under FDA product code ITJ.  Most nations, for tariff and trade purposes, schedule these products under HS 902110.</t>
  </si>
  <si>
    <t>Whole body sliding or turning devices</t>
  </si>
  <si>
    <t>In this classification, this commodity indicates a product that is a device conformed to move a patient by either sliding or turning them in a medical setting.  Most nations, for tariff and trade purposes, schedule these products under HS 902190.</t>
  </si>
  <si>
    <t>Multifunctional mobility devices</t>
  </si>
  <si>
    <t>In this classification, this commodity indicates a product that is a device that performs multiple movements assisting lower limb activities in patients with compromised lower limb capabilities.  Most nations, for tariff and trade purposes, schedule these products under HS 902190.</t>
  </si>
  <si>
    <t>Head or face protective helmets or devices or accessories for the physically challenged</t>
  </si>
  <si>
    <t>In this classification, this commodity indicates a product that is either an accessory or consumable associated with head or face protective helmets or devices for the physically challenged.  Most nations, for tariff and trade purposes, schedule these products under HS 902190.</t>
  </si>
  <si>
    <t>Cane accessories</t>
  </si>
  <si>
    <t>In this classification, this commodity indicates a product that is either an accessory or consumable associated with canes.  Most nations, for tariff and trade purposes, schedule these products under HS 902190.</t>
  </si>
  <si>
    <t>Crutch accessories</t>
  </si>
  <si>
    <t>In this classification, this commodity indicates a product that is either an accessory or consumable associated with crutches.  US FDA regulates Crutch accessories under 21 CFR 890.3150 and under FDA product code IPR.  Most nations, for tariff and trade purposes, schedule these products under HS 660200.</t>
  </si>
  <si>
    <t>Head or face protective helmet or device accessories for the physically challenged</t>
  </si>
  <si>
    <t>In this classification, this commodity indicates a product that is either an accessory or consumable associated with head or face protective helmet or device for the physically challenged.  Most nations, for tariff and trade purposes, schedule these products under HS 630790.</t>
  </si>
  <si>
    <t>Multifunctional mobility devices accessories</t>
  </si>
  <si>
    <t>In this classification, this commodity indicates a product that is either an accessory or consumable associated with multifunctional mobility devices.  Most nations, for tariff and trade purposes, schedule these products under HS 940290.</t>
  </si>
  <si>
    <t>Positioning chairs</t>
  </si>
  <si>
    <t>In this classification, this commodity indicates a product that is a chair that is adaptive to different positions as needed by someone with compromised mobility.  Most nations, for tariff and trade purposes, schedule these products under HS 940290.</t>
  </si>
  <si>
    <t>Standers or standing cage or standing aid accessories</t>
  </si>
  <si>
    <t>In this classification, this commodity indicates a product that is an accessory or consumable supply for a product of upright or cage design or the associated devices used to have a person assume or maintain an upright position as specified.  Most nations, for tariff and trade purposes, schedule these products under HS 940290.</t>
  </si>
  <si>
    <t>42211600</t>
  </si>
  <si>
    <t>Bathroom and bathing aids for the physically challenged</t>
  </si>
  <si>
    <t>In this classification, this class includes products, components, accessories, and supplies utilized in bathroom and bathing aid procedures.</t>
  </si>
  <si>
    <t>Bathboards for the physically challenged</t>
  </si>
  <si>
    <t>In this classification, this commodity indicates a product used as a bathboards for the physically challenged.  Most nations, for tariff and trade purposes, schedule these products under HS 940290.</t>
  </si>
  <si>
    <t>Bath brushes or sponges or scrubbers for the physically challenged</t>
  </si>
  <si>
    <t>In this classification, this commodity indicates a product used as a bath brushes or sponges or scrubbers for the physically challenged.  Most nations, for tariff and trade purposes, schedule these products under HS 300590.</t>
  </si>
  <si>
    <t>Bath lifts for the physically challenged</t>
  </si>
  <si>
    <t>In this classification, this commodity indicates a product used as a bath lifts for the physically challenged.  US FDA regulates Bath lifts for the physically challenged under 21 CFR 892.65 and under FDA product code KPY.  Most nations, for tariff and trade purposes, schedule these products under HS 940290.</t>
  </si>
  <si>
    <t>Bath mitts for the physically challenged</t>
  </si>
  <si>
    <t>In this classification, this commodity indicates a product used as a bath mitt for the physically challenged.  Most nations, for tariff and trade purposes, schedule these products under HS 611610.</t>
  </si>
  <si>
    <t>Bath pillows for the physically challenged</t>
  </si>
  <si>
    <t>In this classification, this commodity indicates a product used as a bath pillows for the physically challenged.  Most nations, for tariff and trade purposes, schedule these products under HS 940120.</t>
  </si>
  <si>
    <t>Commodes for the physically challenged</t>
  </si>
  <si>
    <t>In this classification, this commodity indicates a product used as a commode for the physically challenged.  US FDA regulates Commodes for the physically challenged under 21 CFR 890.5050 and under FDA product code ILS.  Most nations, for tariff and trade purposes, schedule these products under HS 902190.</t>
  </si>
  <si>
    <t>Elevated toilet seats for the physically challenged</t>
  </si>
  <si>
    <t>In this classification, this commodity indicates a product used as an elevated toilet seats for the physically challenged.  US FDA regulates Elevated toilet seats for the physically challenged under 21 CFR 892.65 and under FDA product code KPY.  Most nations, for tariff and trade purposes, schedule these products under HS 392220.</t>
  </si>
  <si>
    <t>Grab bars or tub safety rails for the physically challenged</t>
  </si>
  <si>
    <t>In this classification, this commodity indicates a product used as a grab bars or tub safety rails for the physically challenged.  Most nations, for tariff and trade purposes, schedule these products under HS 940169.</t>
  </si>
  <si>
    <t>Shower or bath chairs or seats for the physically challenged</t>
  </si>
  <si>
    <t>In this classification, this commodity indicates a product used as a shower or bath chairs or seats for the physically challenged.  Most nations, for tariff and trade purposes, schedule these products under HS 940169.</t>
  </si>
  <si>
    <t>Sitz baths for the physically challenged</t>
  </si>
  <si>
    <t>In this classification, this commodity indicates a product used as a sitz baths for the physically challenged.  Most nations, for tariff and trade purposes, schedule these products under HS 691010.</t>
  </si>
  <si>
    <t>Toilet arm supports for the physically challenged</t>
  </si>
  <si>
    <t>In this classification, this commodity indicates a product used as a toilet arm supports for the physically challenged.  Most nations, for tariff and trade purposes, schedule these products under HS 940169.</t>
  </si>
  <si>
    <t>Toilet frames for the physically challenged</t>
  </si>
  <si>
    <t>In this classification, this commodity indicates a product used as a toilet frames for the physically challenged.  Most nations, for tariff and trade purposes, schedule these products under HS 392220.</t>
  </si>
  <si>
    <t>Toilet seats for the physically challenged</t>
  </si>
  <si>
    <t>In this classification, this commodity indicates a product used as a toilet seats for the physically challenged.  Most nations, for tariff and trade purposes, schedule these products under HS 392220.</t>
  </si>
  <si>
    <t>Toilet seat lifters for the physically challenged</t>
  </si>
  <si>
    <t>In this classification, this commodity indicates a product used as a toilet seat lifter for the physically challenged.  Most nations, for tariff and trade purposes, schedule these products under HS 981700.</t>
  </si>
  <si>
    <t>Hygiene or stimulation toileting aids for the physically challenged</t>
  </si>
  <si>
    <t>In this classification, this commodity indicates a product used as a hygiene or stimulation toileting aids for the physically challenged.  Most nations, for tariff and trade purposes, schedule these products under HS 392220.</t>
  </si>
  <si>
    <t>Transfer benches for the physically challenged</t>
  </si>
  <si>
    <t>In this classification, this commodity indicates a product used as a transfer benches for the physically challenged.  US FDA regulates Transfer benches for the physically challenged under 21 CFR 890.5050 and under FDA product code IKX.  Most nations, for tariff and trade purposes, schedule these products under HS 940290.</t>
  </si>
  <si>
    <t>Bedwetting wrist alarm for the physically challenged</t>
  </si>
  <si>
    <t>In this classification, this commodity indicates a product used as a bedwetting wrist alarm for the physically challenged.  US FDA regulates Bedwetting wrist alarm for the physically challenged under 21 CFR 876.2040 and under FDA product code KPN.  Most nations, for tariff and trade purposes, schedule these products under HS 901811.</t>
  </si>
  <si>
    <t>Soap protector for eyes and ears for the physically challenged</t>
  </si>
  <si>
    <t>In this classification, this commodity indicates a product used as a soap protector for eyes and ears for the physically challenged.  Most nations, for tariff and trade purposes, schedule these products under HS 392690.</t>
  </si>
  <si>
    <t>Shampoo tray or basin for the physically challenged</t>
  </si>
  <si>
    <t>In this classification, this commodity indicates a product used as a shampoo tray or basin for the physically challenged.  Most nations, for tariff and trade purposes, schedule these products under HS 392410.</t>
  </si>
  <si>
    <t>Bath lift accessories for the physically challenged</t>
  </si>
  <si>
    <t>In this classification, this commodity indicates a product that is either an accessory or consumable associated with bath lift for the physically challenged.  Most nations, for tariff and trade purposes, schedule these products under HS 940290.</t>
  </si>
  <si>
    <t>Commode accessories for the physically challenged</t>
  </si>
  <si>
    <t>In this classification, this commodity indicates a product that is either an accessory or consumable associated with commode for the physically challenged.  Most nations, for tariff and trade purposes, schedule these products under HS 392220.</t>
  </si>
  <si>
    <t>42211700</t>
  </si>
  <si>
    <t>Communication aids for the physically challenged</t>
  </si>
  <si>
    <t>In this classification, this class includes, products, components, accessories, and supplies, utilized in Communication aid procedures.</t>
  </si>
  <si>
    <t>Adaptive communication switches for the physically challenged</t>
  </si>
  <si>
    <t>In this classification, this commodity indicates a product used as an adaptive communication switches for the physically challenged.  Most nations, for tariff and trade purposes, schedule these products under HS 901811.</t>
  </si>
  <si>
    <t>Braille devices for the physically challenged</t>
  </si>
  <si>
    <t>In this classification, this commodity indicates a product used as a braille device for the physically challenged.  Most nations, for tariff and trade purposes, schedule these products under HS 901811.</t>
  </si>
  <si>
    <t>Braille writing paper or plastic for physically challenged</t>
  </si>
  <si>
    <t>In this classification, this commodity indicates a product used as a braille writing paper or plastic for the physically challenged.  Most nations, for tariff and trade purposes, schedule these products under HS 901811.</t>
  </si>
  <si>
    <t>Headpointers or mouthsticks for the physically challenged</t>
  </si>
  <si>
    <t>In this classification, this commodity indicates a product used as a headpointers or mouthsticks for the physically challenged.  Most nations, for tariff and trade purposes, schedule these products under HS 901811.</t>
  </si>
  <si>
    <t>Hearing aids for the physically challenged</t>
  </si>
  <si>
    <t>In this classification, this commodity indicates a product used as a hearing aids for the physically challenged.  US FDA regulates Hearing aids for the physically challenged under 21 CFR 874.33 and under FDA product code ESD.  Most nations, for tariff and trade purposes, schedule these products under HS 901811.</t>
  </si>
  <si>
    <t>Letter or symbol boards for the physically challenged</t>
  </si>
  <si>
    <t>In this classification, this commodity indicates a product used as a letter or symbol boards for the physically challenged.  Most nations, for tariff and trade purposes, schedule these products under HS 901811.</t>
  </si>
  <si>
    <t>Telecommunication devices TDD or teletypewriters TTY for the physically challenged</t>
  </si>
  <si>
    <t>In this classification, this commodity indicates a product used as a telecommunication devices tdd or teletypewriters tty for the physically challenged.  US FDA regulates Telecommunication devices TDD or teletypewriters TTY for the physically challenged under 21 CFR 890.37 and under FDA product code ILP.  Most nations, for tariff and trade purposes, schedule these products under HS 901811.</t>
  </si>
  <si>
    <t>Telephone aids for the physically challenged</t>
  </si>
  <si>
    <t>In this classification, this commodity indicates a product used as a telephone aids for the physically challenged.  US FDA regulates Telephone aids for the physically challenged under 21 CFR 891.37 and under FDA product code ILP.  Most nations, for tariff and trade purposes, schedule these products under HS 902214.</t>
  </si>
  <si>
    <t>Typing aids for the physically challenged</t>
  </si>
  <si>
    <t>In this classification, this commodity indicates a product used as a typing aids for the physically challenged.  US FDA regulates Typing aids for the physically challenged under 21 CFR 890.3710 and under FDA product code ILQ.  Most nations, for tariff and trade purposes, schedule these products under HS 901811.</t>
  </si>
  <si>
    <t>Writing aids for the physically challenged</t>
  </si>
  <si>
    <t>In this classification, this commodity indicates a product used as a writing aids for the physically challenged.  US FDA regulates Writing aids for the physically challenged under 21 CFR 880.6430 and under FDA product code OHY.  Most nations, for tariff and trade purposes, schedule these products under HS 981700.</t>
  </si>
  <si>
    <t>Voice synthesizers for the physically challenged</t>
  </si>
  <si>
    <t>In this classification, this commodity indicates a product used as a voice synthesizer for the physically challenged.  Most nations, for tariff and trade purposes, schedule these products under HS 901811.</t>
  </si>
  <si>
    <t>Cases for hearing aids</t>
  </si>
  <si>
    <t>In this classification, this commodity indicates a product used as a case that stores or protects a hearing aid.  Most nations, for tariff and trade purposes, schedule these products under HS 420212.</t>
  </si>
  <si>
    <t>Anti-stammering devices</t>
  </si>
  <si>
    <t>In this classification, this commodity indicates a product used as a device providing altered auditory feedback that aids in the treatment of stammering.  Most nations, for tariff and trade purposes, schedule these products under HS 901811.</t>
  </si>
  <si>
    <t>Battery-powered artificial larynges</t>
  </si>
  <si>
    <t>In this classification, this commodity indicates a product used as an electrical powered (by battery) artificial larynx that produces clearer speech for those who have lost their voice box due to cancer of the larynx.  Most nations, for tariff and trade purposes, schedule these products under HS 901812.</t>
  </si>
  <si>
    <t>Powered communication systems</t>
  </si>
  <si>
    <t>In this classification, this commodity indicates a system consisting of products, consumables and accessories that are used to execute a powered communication procedure in a medical setting.  Most nations, for tariff and trade purposes, schedule these products under HS 901811.</t>
  </si>
  <si>
    <t>42211800</t>
  </si>
  <si>
    <t>Dressing and grooming aids for the physically challenged</t>
  </si>
  <si>
    <t>In this classification, this class includes, products, components, accessories, and supplies, utilized in Dressing and grooming aid procedures.</t>
  </si>
  <si>
    <t>Button hooks for the physically challenged</t>
  </si>
  <si>
    <t>In this classification, this commodity indicates a product used as a for the physically challenged.  Most nations, for tariff and trade purposes, schedule these products under HS 901811.</t>
  </si>
  <si>
    <t>Dressing kits for the physically challenged</t>
  </si>
  <si>
    <t>In this classification, this commodity indicates a product that is a prepackaged collection (either custom or standard) of the equipment and supplies used to perform a dressing procedure for the physically challenged in a medical setting.  Most nations, for tariff and trade purposes, schedule these products under HS 300510.</t>
  </si>
  <si>
    <t>Dressing sticks for the physically challenged</t>
  </si>
  <si>
    <t>In this classification, this commodity indicates a product used as a for the physically challenged.  Most nations, for tariff and trade purposes, schedule these products under HS 300510.</t>
  </si>
  <si>
    <t>Hairbrushes or combs for the physically challenged</t>
  </si>
  <si>
    <t>In this classification, this commodity indicates a product used as a for the physically challenged.  Most nations, for tariff and trade purposes, schedule these products under HS 960329.</t>
  </si>
  <si>
    <t>Inspection mirror for the physically challenged</t>
  </si>
  <si>
    <t>In this classification, this commodity indicates a product used as a for the physically challenged.  Most nations, for tariff and trade purposes, schedule these products under HS 830630.</t>
  </si>
  <si>
    <t>Lotion applicators for the physically challenged</t>
  </si>
  <si>
    <t>In this classification, this commodity indicates a product used as a for the physically challenged.  Most nations, for tariff and trade purposes, schedule these products under HS 330499.</t>
  </si>
  <si>
    <t>Mouth care for the physically challenged</t>
  </si>
  <si>
    <t>In this classification, this commodity indicates a product used as a for the physically challenged.  Most nations, for tariff and trade purposes, schedule these products under HS 330690.</t>
  </si>
  <si>
    <t>Nail clippers or files for the physically challenged</t>
  </si>
  <si>
    <t>In this classification, this commodity indicates a product used as a for the physically challenged.  Most nations, for tariff and trade purposes, schedule these products under HS 821420.</t>
  </si>
  <si>
    <t>Pant clips for the physically challenged</t>
  </si>
  <si>
    <t>In this classification, this commodity indicates a product used as a for the physically challenged.  Most nations, for tariff and trade purposes, schedule these products under HS 901839.</t>
  </si>
  <si>
    <t>Shoe fasteners for the physically challenged</t>
  </si>
  <si>
    <t>In this classification, this commodity indicates a product used as a for the physically challenged.  Most nations, for tariff and trade purposes, schedule these products under HS 901890.</t>
  </si>
  <si>
    <t>Shoe horns for the physically challenged</t>
  </si>
  <si>
    <t>In this classification, this commodity indicates a product used as a for the physically challenged.  Most nations, for tariff and trade purposes, schedule these products under HS 640399.</t>
  </si>
  <si>
    <t>Sock or stocking aids for the physically challenged</t>
  </si>
  <si>
    <t>In this classification, this commodity indicates a product used as a for the physically challenged.  Most nations, for tariff and trade purposes, schedule these products under HS 902214.</t>
  </si>
  <si>
    <t>Zipper pulls for the physically challenged</t>
  </si>
  <si>
    <t>In this classification, this commodity indicates a product used as a for the physically challenged.  Most nations, for tariff and trade purposes, schedule these products under HS 960720.</t>
  </si>
  <si>
    <t>42211900</t>
  </si>
  <si>
    <t>Eating and drinking and food preparation aids for the physically challenged</t>
  </si>
  <si>
    <t>In this classification, this class includes, products, components, accessories, and supplies, utilized in Eating and drinking and food preparation aid procedures.</t>
  </si>
  <si>
    <t>Anti slip materials for the physically challenged</t>
  </si>
  <si>
    <t>Assistive cooking devices for the physically challenged</t>
  </si>
  <si>
    <t>Can openers for the physically challenged</t>
  </si>
  <si>
    <t>In this classification, this commodity indicates a product used as a for the physically challenged.  US FDA regulates Can openers for the physically challenged under 21 CFR 890.5050 and under FDA product code IKW.  Most nations, for tariff and trade purposes, schedule these products under HS 850980.</t>
  </si>
  <si>
    <t>Choppers for the physically challenged</t>
  </si>
  <si>
    <t>Cups or mugs for the physically challenged</t>
  </si>
  <si>
    <t>Cutlery or utensil holders for the physically challenged</t>
  </si>
  <si>
    <t>Cutlery or utensils for the physically challenged</t>
  </si>
  <si>
    <t>Cutting or paring boards for the physically challenged</t>
  </si>
  <si>
    <t>Drink holders for the physically challenged</t>
  </si>
  <si>
    <t>Food catchers or bibs for the physically challenged</t>
  </si>
  <si>
    <t>Food guards for the physically challenged</t>
  </si>
  <si>
    <t>In this classification, this commodity indicates a product used as a for the physically challenged.  US FDA regulates Food guards for the physically challenged under 21 CFR 890.5050 and under FDA product code ILC.  Most nations, for tariff and trade purposes, schedule these products under HS 901811.</t>
  </si>
  <si>
    <t>Holders for kitchen devices for the physically challenged</t>
  </si>
  <si>
    <t>Jumbo digit timers for the physically challenged</t>
  </si>
  <si>
    <t>Measuring aids for the physically challenged</t>
  </si>
  <si>
    <t>In this classification, this commodity indicates a product used as measuring aids for the physically challenged.  Most nations, for tariff and trade purposes, schedule these products under HS 901811.</t>
  </si>
  <si>
    <t>Self feeders for the physically challenged</t>
  </si>
  <si>
    <t>In this classification, this commodity indicates a product used as self-feeders for the physically challenged.  Most nations, for tariff and trade purposes, schedule these products under HS 901811.</t>
  </si>
  <si>
    <t>Straws or straw holders for the physically challenged</t>
  </si>
  <si>
    <t>In this classification, this commodity indicates a product used as straws or straw for the physically challenged.  Most nations, for tariff and trade purposes, schedule these products under HS 901811.</t>
  </si>
  <si>
    <t>Tableware for the physically challenged</t>
  </si>
  <si>
    <t>In this classification, this commodity indicates a product used as tableware for the for the physically challenged.  Most nations, for tariff and trade purposes, schedule these products under HS 901811.</t>
  </si>
  <si>
    <t>Talking food scales for the physically challenged</t>
  </si>
  <si>
    <t>In this classification, this commodity indicates a product used as talking food scales for the physically challenged.  Most nations, for tariff and trade purposes, schedule these products under HS 901811.</t>
  </si>
  <si>
    <t>Self feeder accessories for the physically challenged</t>
  </si>
  <si>
    <t>In this classification, this commodity indicates a product that is either an accessory or consumable associated with self-feeder for the physically challenged.  Most nations, for tariff and trade purposes, schedule these products under HS 901811.</t>
  </si>
  <si>
    <t>42212000</t>
  </si>
  <si>
    <t>Housekeeping and homemaking aids for the physically challenged</t>
  </si>
  <si>
    <t>In this classification, this class includes, products, components, accessories, and supplies, utilized in Housekeeping and homemaking aid procedures.</t>
  </si>
  <si>
    <t>Door openers for the physically challenged</t>
  </si>
  <si>
    <t>In this classification, this commodity indicates a product used as door openers for the physically challenged.  US FDA regulates Door openers for the physically challenged under 21 CFR 890.5050 and under FDA product code IKW.  Most nations, for tariff and trade purposes, schedule these products under HS 830241.</t>
  </si>
  <si>
    <t>Key turners or holders for the physically challenged</t>
  </si>
  <si>
    <t>In this classification, this commodity indicates a product used as key turners for the physically challenged.  Most nations, for tariff and trade purposes, schedule these products under HS 392490.</t>
  </si>
  <si>
    <t>Knob turners for the physically challenged</t>
  </si>
  <si>
    <t>In this classification, this commodity indicates a product used as knob turners for the physically challenged.  Most nations, for tariff and trade purposes, schedule these products under HS 830241.</t>
  </si>
  <si>
    <t>Light switch extensions for the physically challenged</t>
  </si>
  <si>
    <t>In this classification, this commodity indicates a product used as light switch extensions for the physically challenged.  Most nations, for tariff and trade purposes, schedule these products under HS 853950.</t>
  </si>
  <si>
    <t>Long handled dustpans or brushes for the physically challenged</t>
  </si>
  <si>
    <t>In this classification, this commodity indicates a product used as long handled dustpans for the physically challenged.  Most nations, for tariff and trade purposes, schedule these products under HS 847990.</t>
  </si>
  <si>
    <t>Self opening scissors for the physically challenged</t>
  </si>
  <si>
    <t>In this classification, this commodity indicates a product used as self-opening scissors for the physically challenged.  Most nations, for tariff and trade purposes, schedule these products under HS 821300.</t>
  </si>
  <si>
    <t>Suction brushes for the physically challenged</t>
  </si>
  <si>
    <t>In this classification, this commodity indicates a product used as suction brushes for the physically challenged.  Most nations, for tariff and trade purposes, schedule these products under HS 960350.</t>
  </si>
  <si>
    <t>42212100</t>
  </si>
  <si>
    <t>Leisure and recreational aids for the physically challenged</t>
  </si>
  <si>
    <t>In this classification, this class includes, products, components, accessories, and supplies, utilized in Medication handling aid based medical procedures.</t>
  </si>
  <si>
    <t>Automatic card shufflers for the physically challenged</t>
  </si>
  <si>
    <t>In this classification, this commodity indicates a product used as automatic card shufflers for the physically challenged.  Most nations, for tariff and trade purposes, schedule these products under HS 950440.</t>
  </si>
  <si>
    <t>Board games for the physically challenged</t>
  </si>
  <si>
    <t>In this classification, this commodity indicates a product used as board games for the physically challenged.  Most nations, for tariff and trade purposes, schedule these products under HS 950490.</t>
  </si>
  <si>
    <t>Book holders for the physically challenged</t>
  </si>
  <si>
    <t>In this classification, this commodity indicates a product used as book holders for the physically challenged.  Most nations, for tariff and trade purposes, schedule these products under HS 392610.</t>
  </si>
  <si>
    <t>Braille or large face playing cards for the physically challenged</t>
  </si>
  <si>
    <t>In this classification, this commodity indicates a product used as braille or large for the physically challenged.  Most nations, for tariff and trade purposes, schedule these products under HS 950440.</t>
  </si>
  <si>
    <t>Camping equipment for the physically challenged</t>
  </si>
  <si>
    <t>In this classification, this commodity indicates a product used as camping equipment for the physically challenged.  Most nations, for tariff and trade purposes, schedule these products under HS 901839.</t>
  </si>
  <si>
    <t>Fishing or hunting aids for the physically challenged</t>
  </si>
  <si>
    <t>In this classification, this commodity indicates a product used as fishing or hunting for the physically challenged.  Most nations, for tariff and trade purposes, schedule these products under HS 950730.</t>
  </si>
  <si>
    <t>Flotation or swimming aids for the physically challenged</t>
  </si>
  <si>
    <t>In this classification, this commodity indicates a product used as flotation or swimming for the physically challenged.  Most nations, for tariff and trade purposes, schedule these products under HS 392690.</t>
  </si>
  <si>
    <t>Gardening tools for the physically challenged</t>
  </si>
  <si>
    <t>In this classification, this commodity indicates a product used as gardening tools for the physically challenged.  Most nations, for tariff and trade purposes, schedule these products under HS 820150.</t>
  </si>
  <si>
    <t>Handicraft tools or materials or equipment for the physically challenged</t>
  </si>
  <si>
    <t>In this classification, this commodity indicates a product used as handicraft tools for the physically challenged.  Most nations, for tariff and trade purposes, schedule these products under HS 392690.</t>
  </si>
  <si>
    <t>Page turners for the physically challenged</t>
  </si>
  <si>
    <t>In this classification, this commodity indicates a product used as page turners for the physically challenged.  US FDA regulates Page turners for the physically challenged under 21 CFR 890.37 and under FDA product code ILP.  Most nations, for tariff and trade purposes, schedule these products under HS 392690.</t>
  </si>
  <si>
    <t>Playing card holders for the physically challenged</t>
  </si>
  <si>
    <t>In this classification, this commodity indicates a product used as playing card holders for the physically challenged.  Most nations, for tariff and trade purposes, schedule these products under HS 981700.</t>
  </si>
  <si>
    <t>Sewing aids for the physically challenged</t>
  </si>
  <si>
    <t>In this classification, this commodity indicates a product used as sewing aids for the physically challenged.  Most nations, for tariff and trade purposes, schedule these products under HS 981700.</t>
  </si>
  <si>
    <t>Smokers aids for the physically challenged</t>
  </si>
  <si>
    <t>In this classification, this commodity indicates a product used as smokers aids for the physically challenged.  Most nations, for tariff and trade purposes, schedule these products under HS 981700.</t>
  </si>
  <si>
    <t>42212200</t>
  </si>
  <si>
    <t>Medication handling aids for the physically challenged</t>
  </si>
  <si>
    <t>Pill crushers or splitters for the physically challenged</t>
  </si>
  <si>
    <t>In this classification, this commodity indicates a product used as pill crushers for the physically challenged.  US FDA regulates Pill crushers or splitters for the physically challenged under 21 CFR 880.6430 and under FDA product code OHY.  Most nations, for tariff and trade purposes, schedule these products under HS 847982.</t>
  </si>
  <si>
    <t>Pill organizers for the physically challenged</t>
  </si>
  <si>
    <t>In this classification, this commodity indicates a product used as pill organizers for the physically challenged.  Most nations, for tariff and trade purposes, schedule these products under HS 981700.</t>
  </si>
  <si>
    <t>Pill reminders for the physically challenged</t>
  </si>
  <si>
    <t>In this classification, this commodity indicates a product used as pill reminders for the physically challenged.  Most nations, for tariff and trade purposes, schedule these products under HS 981700.</t>
  </si>
  <si>
    <t>Tube squeezers for the physically challenged</t>
  </si>
  <si>
    <t>In this classification, this commodity indicates a product used as tube squeezers for the physically challenged.  Most nations, for tariff and trade purposes, schedule these products under HS 981700.</t>
  </si>
  <si>
    <t>42212300</t>
  </si>
  <si>
    <t>Reaching and gripping aids for the physically challenged</t>
  </si>
  <si>
    <t>In this classification, this class includes, products, components, accessories, and supplies, utilized in Reaching and gripping aid based medical procedures.</t>
  </si>
  <si>
    <t>Grip materials or devices for the physically challenged</t>
  </si>
  <si>
    <t>In this classification, this commodity indicates a product used as grip materials for the physically challenged.  Most nations, for tariff and trade purposes, schedule these products under HS 981700.</t>
  </si>
  <si>
    <t>Holders for the physically challenged</t>
  </si>
  <si>
    <t>In this classification, this commodity indicates a product used as holders for the for the physically challenged.  Most nations, for tariff and trade purposes, schedule these products under HS 981700.</t>
  </si>
  <si>
    <t>Container openers for the physically challenged</t>
  </si>
  <si>
    <t>In this classification, this commodity indicates a product used as container openers for the physically challenged.  Most nations, for tariff and trade purposes, schedule these products under HS 981700.</t>
  </si>
  <si>
    <t>Reachers for the physically challenged</t>
  </si>
  <si>
    <t>In this classification, this commodity indicates a product used as reachers for the for the physically challenged.  US FDA regulates Reachers for the physically challenged under 21 CFR 890.5050 and under FDA product code IKW.  Most nations, for tariff and trade purposes, schedule these products under HS 981700.</t>
  </si>
  <si>
    <t>Insulin vial holders or protectors</t>
  </si>
  <si>
    <t>In this classification, this commodity indicates a product used as vial holder or protector for insulin in a medical setting.  Most nations, for tariff and trade purposes, schedule these products under HS 420232.</t>
  </si>
  <si>
    <t>Syringe adaptors or holders</t>
  </si>
  <si>
    <t>In this classification, this commodity indicates a product used as an adapter or holder for syringes in a medical setting.  Most nations, for tariff and trade purposes, schedule these products under HS 420232.</t>
  </si>
  <si>
    <t>42220000</t>
  </si>
  <si>
    <t>Intravenous and arterial administration products</t>
  </si>
  <si>
    <t>In this classification, this family includes the products used in the portion of medical interactions that involve intravenous and arterial administration based procedures.</t>
  </si>
  <si>
    <t>42221500</t>
  </si>
  <si>
    <t>Intravenous and arterial cannulas and catheters and accessories</t>
  </si>
  <si>
    <t>In this classification, this class includes, products, components, accessories, and supplies, utilized in Intravenous and arterial cannula and catheter based medical procedures.</t>
  </si>
  <si>
    <t>Arterial line catheters</t>
  </si>
  <si>
    <t>In this classification, this commodity indicates a product used as a flexible tube inserted through a narrow opening into an artery in an arterial lining procedure.  US FDA regulates Arterial line catheters under 21 CFR 870.5150 and under FDA product code DXE.  Most nations, for tariff and trade purposes, schedule these products under HS 901839.</t>
  </si>
  <si>
    <t>Arterial line continuous catheter flush valves</t>
  </si>
  <si>
    <t>In this classification, this commodity indicates a product used as continuous flush valve for a flexible tube inserted through a narrow opening into an artery in an arterial lining procedure.  Most nations, for tariff and trade purposes, schedule these products under HS 901839.</t>
  </si>
  <si>
    <t>Central venous catheters</t>
  </si>
  <si>
    <t>In this classification, this commodity indicates a product used as a flexible tube inserted through a narrow opening into a central vein in an arterial lining procedure.  US FDA regulates Central venous catheters under 21 CFR 880.5970 and under FDA product code LJS.  Most nations, for tariff and trade purposes, schedule these products under HS 901839.</t>
  </si>
  <si>
    <t>Peripherally inserted central catheters PICC</t>
  </si>
  <si>
    <t>In this classification, this commodity indicates a product used as a flexible tube peripherally inserted through a narrow opening into a central vein in an arterial lining procedure.  Most nations, for tariff and trade purposes, schedule these products under HS 901839.</t>
  </si>
  <si>
    <t>Umbilical catheters</t>
  </si>
  <si>
    <t>In this classification, this commodity indicates a product used as a flexible tube inserted through a narrow opening into the umbilical cord in various medical procedures.  US FDA regulates Umbilical catheters under 21 CFR 870.1370 and under FDA product code DQT.  Most nations, for tariff and trade purposes, schedule these products under HS 901839.</t>
  </si>
  <si>
    <t>Intravenous or arterial start kit without catheters</t>
  </si>
  <si>
    <t>In this classification, this commodity indicates a product used to start arterial or intravenous catherization but do not have the flexible tube inserted through a narrow opening into the vein or artery in various medical procedures.  Most nations, for tariff and trade purposes, schedule these products under HS 901890.</t>
  </si>
  <si>
    <t>Intravenous or arterial catheter skin care kits or sets</t>
  </si>
  <si>
    <t>In this classification, this commodity indicates a product that is a prepackaged collection (either custom or standard) of the equipment and supplies used to perform procedure in a medical setting.  Most nations, for tariff and trade purposes, schedule these products under HS 901890.</t>
  </si>
  <si>
    <t>Intravenous or arterial catheter trays</t>
  </si>
  <si>
    <t>In this classification, this commodity indicates a product that consists of used as a catheter tray used in an intravenous or arterial medical procedure.  Most nations, for tariff and trade purposes, schedule these products under HS 901831.</t>
  </si>
  <si>
    <t>Intravenous catheters</t>
  </si>
  <si>
    <t>In this classification, this commodity indicates a product used as a flexible tube inserted through a narrow opening into a vein in an intravenous procedure.  US FDA regulates Intravenous catheters under 21 CFR 880.52 and under FDA product code FOZ.  Most nations, for tariff and trade purposes, schedule these products under HS 901839.</t>
  </si>
  <si>
    <t>Pulmonary artery catheters</t>
  </si>
  <si>
    <t>In this classification, this commodity indicates a product used as a flexible tube inserted through a narrow opening into the pulmonary artery in an intravenous procedure.  Most nations, for tariff and trade purposes, schedule these products under HS 901839.</t>
  </si>
  <si>
    <t>Central venous catheter repair kit or sets</t>
  </si>
  <si>
    <t>In this classification, this commodity indicates a product used as a catheter repair kit or sets for central venous procedures in a medical setting.  US FDA regulates Central venous catheter repair kit or sets under 21 CFR 876.5540 and under FDA product code MPB.  Most nations, for tariff and trade purposes, schedule these products under HS 901890.</t>
  </si>
  <si>
    <t>Catheter tip occluders</t>
  </si>
  <si>
    <t>In this classification, this commodity indicates a product used as tip occluder for a catheter in a medical setting.  US FDA regulates Catheter tip occluders under 21 CFR 868.5120 and under FDA product code BSO.  Most nations, for tariff and trade purposes, schedule these products under HS 901890.</t>
  </si>
  <si>
    <t>Arterial cannula adjustable suture rings</t>
  </si>
  <si>
    <t>In this classification, this commodity indicates a product that is a thin tube inserted into a vein or body cavity to administer medicine, drain off fluid, or insert a surgical instrument associated with a procedure.  Most nations, for tariff and trade purposes, schedule these products under HS 300610.</t>
  </si>
  <si>
    <t>Arterial cannula dilator tip introducers or obturators</t>
  </si>
  <si>
    <t>In this classification, this commodity indicates a product that is used as a dilator tip introducers or obtruators for a thin tube inserted into a vein or body cavity to administer medicine, drain off fluid, or insert a surgical instrument associated with an arterial procedure.  Most nations, for tariff and trade purposes, schedule these products under HS 901831.</t>
  </si>
  <si>
    <t>High-flow coronary artery ostial cannulae</t>
  </si>
  <si>
    <t>Arterial cannula integrated pressure monitoring ports</t>
  </si>
  <si>
    <t>In this classification, this commodity indicates a product that is a pressure monitoring port for a thin tube inserted into a vein or body cavity to administer medicine, drain off fluid, or insert a surgical instrument associated with an arterial procedure.  Most nations, for tariff and trade purposes, schedule these products under HS 852849.</t>
  </si>
  <si>
    <t>Hepatic artery catheters</t>
  </si>
  <si>
    <t>In this classification, this commodity indicates a product used as a flexible tube inserted through a narrow opening into the hepatic artery in an intravenous procedure.  Most nations, for tariff and trade purposes, schedule these products under HS 901839.</t>
  </si>
  <si>
    <t>Left-heart catheters</t>
  </si>
  <si>
    <t>Arterial cannula hemostasis caps</t>
  </si>
  <si>
    <t>In this classification, this commodity indicates a product that is a hemostasis cap for thin tube inserted into a vein or body cavity to administer medicine, drain off fluid, or insert a surgical instrument associated with an intravenous or arterial procedure.  Most nations, for tariff and trade purposes, schedule these products under HS 901831.</t>
  </si>
  <si>
    <t>42221600</t>
  </si>
  <si>
    <t>Intravenous and arterial tubing and administration sets and related products</t>
  </si>
  <si>
    <t>In this classification, this class includes, products, components, accessories, and supplies, utilized in Intravenous and arterial tubing and administration based medical procedures.</t>
  </si>
  <si>
    <t>Intravenous or arterial administration air bubble detectors</t>
  </si>
  <si>
    <t>In this classification, this commodity indicates a product that consists of used in an administration air bubble detectors used in an intravenous or arterial medical procedure.  Most nations, for tariff and trade purposes, schedule these products under HS 901820.</t>
  </si>
  <si>
    <t>Intravenous or arterial administration ports or injection sites or caps or protectors</t>
  </si>
  <si>
    <t>In this classification, this commodity indicates a product that consists of used in an administration ports or injection sites or caps or protectors used in an intravenous or arterial medical procedure.  Most nations, for tariff and trade purposes, schedule these products under HS 901839.</t>
  </si>
  <si>
    <t>Intravenous or arterial extension tubing</t>
  </si>
  <si>
    <t>In this classification, this commodity indicates a product that consists of used in an extension tubing used in an intravenous or arterial medical procedure.  Most nations, for tariff and trade purposes, schedule these products under HS 901839.</t>
  </si>
  <si>
    <t>Intravenous or arterial tubing adapters or connectors or locks or caps or protectors</t>
  </si>
  <si>
    <t>In this classification, this commodity indicates a product that consists of tubing adapters or connectors or locks or caps or protectors used in an intravenous or arterial medical procedure.  Most nations, for tariff and trade purposes, schedule these products under HS 901831.</t>
  </si>
  <si>
    <t>Intravenous or arterial tubing check valves</t>
  </si>
  <si>
    <t>In this classification, this commodity indicates a product that consists of tubing check valves used in an intravenous or arterial medical procedure.  Most nations, for tariff and trade purposes, schedule these products under HS 848130.</t>
  </si>
  <si>
    <t>Intravenous or arterial tubing clamps</t>
  </si>
  <si>
    <t>In this classification, this commodity indicates a product that consists of tubing clamps used in an intravenous or arterial medical procedure.  Most nations, for tariff and trade purposes, schedule these products under HS 901820.</t>
  </si>
  <si>
    <t>Intravenous or arterial tubing filters or screens for general use</t>
  </si>
  <si>
    <t>In this classification, this commodity indicates a product that consists of tubing filters or screens for general use used in an intravenous or arterial medical procedure.  Most nations, for tariff and trade purposes, schedule these products under HS 901890.</t>
  </si>
  <si>
    <t>Intravenous or arterial tubing identification labels or tapes</t>
  </si>
  <si>
    <t>In this classification, this commodity indicates a product that consists of a tubing identification labels or tapes used in intravenous or arterial medical procedure.  Most nations, for tariff and trade purposes, schedule these products under HS 482110.</t>
  </si>
  <si>
    <t>Intravenous or arterial tubing administration sets</t>
  </si>
  <si>
    <t>In this classification, this commodity indicates a product that consists of a tubing administration sets used in intravenous or arterial medical procedure.  Most nations, for tariff and trade purposes, schedule these products under HS 901839.</t>
  </si>
  <si>
    <t>Intravenous tubing spike entry ports or caps or protectors</t>
  </si>
  <si>
    <t>In this classification, this commodity indicates a product used as tubing spike entry ports or caps or protectors in an intravenous procedure in a medical setting.  Most nations, for tariff and trade purposes, schedule these products under HS 901839.</t>
  </si>
  <si>
    <t>Intravenous tubing spikes or caps or protectors</t>
  </si>
  <si>
    <t>In this classification, this commodity indicates a product used as tubing spikes or caps or protectors in an intravenous procedure in a medical setting.  Most nations, for tariff and trade purposes, schedule these products under HS 901839.</t>
  </si>
  <si>
    <t>Intravenous or arterial tubing needleless injection ports or stopcocks or manifolds</t>
  </si>
  <si>
    <t>In this classification, this commodity indicates a product that consists of tubing needleless injection ports or stopcocks or manifolds used in an intravenous or arterial medical procedure.  Most nations, for tariff and trade purposes, schedule these products under HS 901839.</t>
  </si>
  <si>
    <t>Intravenous tubing transfer leg closures or snaps</t>
  </si>
  <si>
    <t>In this classification, this commodity indicates a product used as tubing transfer leg closures or snaps in an intravenous procedure in a medical setting.  Most nations, for tariff and trade purposes, schedule these products under HS 902110.</t>
  </si>
  <si>
    <t>Intravenous tubing with catheter administration kits</t>
  </si>
  <si>
    <t>In this classification, this commodity indicates a product that is a prepackaged collection (either custom or standard) of the equipment and supplies used to perform intravenous intubation or catherization procedure in a medical setting.  Most nations, for tariff and trade purposes, schedule these products under HS 901839.</t>
  </si>
  <si>
    <t>Secondary or piggyback medication intravenous tubing</t>
  </si>
  <si>
    <t>In this classification, this commodity indicates a product used as a secondary or piggyback medication intravenous tubing in an intravenous procedure in a medical setting.  Most nations, for tariff and trade purposes, schedule these products under HS 901839.</t>
  </si>
  <si>
    <t>Intravenous or arterial tubing extension sets</t>
  </si>
  <si>
    <t>In this classification, this commodity indicates a product that consists of tubing extension sets used in an intravenous or arterial medical procedure.  Most nations, for tariff and trade purposes, schedule these products under HS 901839.</t>
  </si>
  <si>
    <t>Needle resheathers</t>
  </si>
  <si>
    <t>In this classification, this commodity indicates a product provides a cover for the after use protection for a needles used in a medical setting Most nations, for tariff and trade purposes, schedule these products under HS 901832.</t>
  </si>
  <si>
    <t>Intravenous or arterial procedure trays</t>
  </si>
  <si>
    <t>In this classification, this commodity indicates a product that consists of procedure trays used in an intravenous or arterial medical procedure.  Most nations, for tariff and trade purposes, schedule these products under HS 901890.</t>
  </si>
  <si>
    <t>Needleless injection manifold kits</t>
  </si>
  <si>
    <t>In this classification, this commodity indicates a product that is a prepackaged collection (either custom or standard) of the equipment and supplies that enable needless injection manifolds use in a medical setting.  Most nations, for tariff and trade purposes, schedule these products under HS 901839.</t>
  </si>
  <si>
    <t>42221700</t>
  </si>
  <si>
    <t>Intravenous and arterial infusion bags and containers and related products</t>
  </si>
  <si>
    <t>In this classification, this class includes, products, components, accessories, and supplies, utilized in Intravenous and arterial infusion based medical procedures.</t>
  </si>
  <si>
    <t>Intravenous or arterial infusion bags or containers</t>
  </si>
  <si>
    <t>In this classification, this commodity indicates a product that consists of bags or containers used in an intravenous or arterial medical procedure.  Most nations, for tariff and trade purposes, schedule these products under HS 901839.</t>
  </si>
  <si>
    <t>Intravenous or arterial fluid warmers</t>
  </si>
  <si>
    <t>In this classification, this commodity indicates a product that is either an accessory or consumable associated with intravenous or arterial fluid warmers.  Most nations, for tariff and trade purposes, schedule these products under HS 901890.</t>
  </si>
  <si>
    <t>Intravenous or arterial pressure infusion bags</t>
  </si>
  <si>
    <t>In this classification, this commodity indicates a product that consists of pressure infusion bags used in an intravenous or arterial medical procedure.  Most nations, for tariff and trade purposes, schedule these products under HS 392690.</t>
  </si>
  <si>
    <t>Analgesia infusion vial assemblies</t>
  </si>
  <si>
    <t>In this classification, this commodity, indicates a product that is used as assemblies for a analgesia infusion vial use in a medical setting Most nations, for tariff and trade purposes, schedule these products under HS 901890.</t>
  </si>
  <si>
    <t>Intravenous or arterial infusion transfer bags or container spouts</t>
  </si>
  <si>
    <t>In this classification, this commodity indicates a product that consists of infusion transfer bags or container spouts used in an intravenous or arterial medical procedure.  Most nations, for tariff and trade purposes, schedule these products under HS 392690.</t>
  </si>
  <si>
    <t>Analgesic infusion sets or kits</t>
  </si>
  <si>
    <t>In this classification, this commodity indicates a product that is a prepackaged collection (either custom or standard) of the equipment and supplies used to perform an analgesic infusion procedure in a medical setting.  US FDA regulates Analgesic infusion sets or kits under 21 CFR 880.5440 and under FDA product code CAK.  Most nations, for tariff and trade purposes, schedule these products under HS 901890.</t>
  </si>
  <si>
    <t>Intravenous or arterial fluid warmer accessories</t>
  </si>
  <si>
    <t>Accessories included with intravenous or arterial fluid warmers</t>
  </si>
  <si>
    <t>42221800</t>
  </si>
  <si>
    <t>Intravenous and arterial catheter and needle positioning aids</t>
  </si>
  <si>
    <t>In this classification, this class includes, products, components, accessories, and supplies, utilized in Intravenous and arterial catheter and needle positioning based medical procedures.</t>
  </si>
  <si>
    <t>Intravenous or arterial arm board covers</t>
  </si>
  <si>
    <t>In this classification, this commodity indicates a product that consists of arm board covers used in an intravenous or arterial medical procedure.  US FDA regulates Intravenous or arterial arm board covers under 21 CFR 878.3910 and under FDA product code BTX.  Most nations, for tariff and trade purposes, schedule these products under HS 901890.</t>
  </si>
  <si>
    <t>Intravenous or arterial arm boards</t>
  </si>
  <si>
    <t>In this classification, this commodity indicates a product that consists of tubing needleless injection ports or stopcocks or manifolds used in an intravenous or arterial medical procedure.  US FDA regulates Intravenous or arterial arm boards under 21 CFR 878.3910 and under FDA product code BTX.  Most nations, for tariff and trade purposes, schedule these products under HS 901890.</t>
  </si>
  <si>
    <t>Intravenous or arterial catheter positioning tapes or dressings or straps or cuffs</t>
  </si>
  <si>
    <t>In this classification, this commodity indicates a product that consists of catheter positioning tapes or dressings or straps or cuffs used in an Intravenous or arterial medical procedure.  Most nations, for tariff and trade purposes, schedule these products under HS 300510.</t>
  </si>
  <si>
    <t>42221900</t>
  </si>
  <si>
    <t>Intravenous or arterial flow measurement and regulation products</t>
  </si>
  <si>
    <t>In this classification, this class includes, products, components, accessories, and supplies, utilized in Intravenous or arterial flow measurement and regulation based medical procedures.</t>
  </si>
  <si>
    <t>Dial calibrated intravenous flowmeters or regulators</t>
  </si>
  <si>
    <t>In this classification, this commodity indicates a product used as dial calibrated flowmeters or regulators in an intravenous procedure in a medical setting.  Most nations, for tariff and trade purposes, schedule these products under HS 902610.</t>
  </si>
  <si>
    <t>Intravenous drop counters or regulators</t>
  </si>
  <si>
    <t>In this classification, this commodity indicates a product used as drop counters or regulators in an intravenous procedure in a medical setting.  US FDA regulates Intravenous drop counters or regulators under 21 CFR 880.2420 and under FDA product code FLN.  Most nations, for tariff and trade purposes, schedule these products under HS 901890.</t>
  </si>
  <si>
    <t>Ultrasonic blood flow detectors</t>
  </si>
  <si>
    <t>In this classification, this commodity indicates a product used as a ultrasonic blood flow detector in a medical setting.  US FDA regulates Ultrasonic blood flow detectors under 21 CFR 870.21 and under FDA product code DPW.  Most nations, for tariff and trade purposes, schedule these products under HS 901812.</t>
  </si>
  <si>
    <t>Electromagnetic blood flowmeters</t>
  </si>
  <si>
    <t>In this classification, this commodity indicates a product used as a electromagnetic blood flowmeter in a medical setting.  US FDA regulates Electromagnetic blood flowmeters under 21 CFR 870.21 and under FDA product code DPW.  Most nations, for tariff and trade purposes, schedule these products under HS 901819.</t>
  </si>
  <si>
    <t>Laser blood flowmeters</t>
  </si>
  <si>
    <t>In this classification, this commodity indicates a product used as a laser blood flowmeter in a medical setting.  US FDA regulates Laser blood flowmeters under 21 CFR 870.21 and under FDA product code DPW.  Most nations, for tariff and trade purposes, schedule these products under HS 901320.</t>
  </si>
  <si>
    <t>Magnetic resonance blood flowmeters</t>
  </si>
  <si>
    <t>In this classification, this commodity indicates a product used as a magnetic resonance blood flowmeter in a medical setting.  US FDA regulates Magnetic resonance blood flowmeters under 21 CFR 870.21 and under FDA product code DPW.  Most nations, for tariff and trade purposes, schedule these products under HS 902610.</t>
  </si>
  <si>
    <t>Cardiovascular blood flowmeters</t>
  </si>
  <si>
    <t>In this classification, this commodity indicates a product used as a cardiovascular blood flowmeter in a medical setting.  US FDA regulates Cardiovascular blood flowmeters under 21 CFR 870.21 and under FDA product code DPW.  Most nations, for tariff and trade purposes, schedule these products under HS 901819.</t>
  </si>
  <si>
    <t>Cassette-intravenous injection sets</t>
  </si>
  <si>
    <t>In this classification, this commodity indicates a product used as cassette injection sets in an intravenous procedure in a medical setting.  Most nations, for tariff and trade purposes, schedule these products under HS 901890.</t>
  </si>
  <si>
    <t>Chemotherapy dosage regulators</t>
  </si>
  <si>
    <t>In this classification, this commodity that indicates a product that is a regulator for chemotherapy dosages used in a medical setting Most nations, for tariff and trade purposes, schedule these products under HS 901890.</t>
  </si>
  <si>
    <t>Extravascular blood-flow probes</t>
  </si>
  <si>
    <t>In this classification, this commodity indicates a product used as an extravascular blood-flow probe in a medical setting.  Most nations, for tariff and trade purposes, schedule these products under HS 901890.</t>
  </si>
  <si>
    <t>Flow directed catheters</t>
  </si>
  <si>
    <t>42222000</t>
  </si>
  <si>
    <t>Intravenous infusion pumps and its analyzers and sensors and its accessories</t>
  </si>
  <si>
    <t>In this classification, this class includes, products, components, accessories, and supplies, utilized in Intravenous infusion pump and its analyzers and sensors based medical procedures.</t>
  </si>
  <si>
    <t>Intravenous infusion pumps for general use</t>
  </si>
  <si>
    <t>In this classification, this commodity indicates a product used as infusion pumps for general use in an intravenous procedure in a medical setting.  US FDA regulates Intravenous infusion pumps for general use under 21 CFR 880.5725 and under FDA product code FRN.  Most nations, for tariff and trade purposes, schedule these products under HS 841370.</t>
  </si>
  <si>
    <t>Intravenous syringe infusion pumps</t>
  </si>
  <si>
    <t>In this classification, this commodity indicates a product used as syringe infusion pumps in an intravenous procedure in a medical setting.  US FDA regulates Intravenous syringe infusion pumps under 21 CFR 880.5725 and under FDA product code FRN.  Most nations, for tariff and trade purposes, schedule these products under HS 841370.</t>
  </si>
  <si>
    <t>Multichannel intravenous infusion pumps</t>
  </si>
  <si>
    <t>In this classification, this commodity indicates a product used as multichannel infusion pumps intravenous procedure in a medical setting.  US FDA regulates Multichannel intravenous infusion pumps under 21 CFR 880.5725 and under FDA product code FRN.  Most nations, for tariff and trade purposes, schedule these products under HS 841370.</t>
  </si>
  <si>
    <t>Patient controlled analgesia infusion pumps</t>
  </si>
  <si>
    <t>In this classification, this commodity indicates a product used by a patent to control analgesic infusion pumps in a medical setting.  US FDA regulates Patient controlled analgesia infusion pumps under 21 CFR 880.5725 and under FDA product code FRN.  Most nations, for tariff and trade purposes, schedule these products under HS 901890.</t>
  </si>
  <si>
    <t>Intravenous pump parts or accessories</t>
  </si>
  <si>
    <t>In this classification, this commodity indicates a product that is either an accessory or consumable associated with intravenous pump parts.  US FDA regulates Intravenous pump parts or accessories under 21 CFR 880.5725 and under FDA product code FRN.  Most nations, for tariff and trade purposes, schedule these products under HS 901890.</t>
  </si>
  <si>
    <t>Intravenous infusion pump analyzers or sensors</t>
  </si>
  <si>
    <t>In this classification, this commodity indicates a product used as infusion pump analyzers or sensors in an intravenous procedure in a medical setting.  US FDA regulates Intravenous infusion pump analyzers or sensors under 21 CFR 880.5725 and under FDA product code FRN.  Most nations, for tariff and trade purposes, schedule these products under HS 903020.</t>
  </si>
  <si>
    <t>Intravenous infusion pump transducers</t>
  </si>
  <si>
    <t>In this classification, this commodity indicates a product used as infusion pump transducers in an intravenous procedure in a medical setting.  Most nations, for tariff and trade purposes, schedule these products under HS 901890.</t>
  </si>
  <si>
    <t>Infusion pump kits</t>
  </si>
  <si>
    <t>In this classification, this commodity indicates a product that is a prepackaged collection (either custom or standard) of the equipment and supplies that enable infusion pumps use in a medical setting.  Most nations, for tariff and trade purposes, schedule these products under HS 901890.</t>
  </si>
  <si>
    <t>Syringe actuators for an injector</t>
  </si>
  <si>
    <t>In this classification, this commodity indicates a product used as an actuator for a syringe used in a medical setting Most nations, for tariff and trade purposes, schedule these products under HS 901890.</t>
  </si>
  <si>
    <t>Intravenous infusion pump clamp block assemblies</t>
  </si>
  <si>
    <t>In this classification, this commodity indicates a product used as infusion pump clamp block assemblies in an intravenous procedure in a medical setting.  Most nations, for tariff and trade purposes, schedule these products under HS 901890.</t>
  </si>
  <si>
    <t>General hospital analytical sampling infusion pumps</t>
  </si>
  <si>
    <t>In this classification, this commodity indicates a product used bas an analytical sampling infusion pump in a medical setting Most nations, for tariff and trade purposes, schedule these products under HS 841370.</t>
  </si>
  <si>
    <t>Infusion pump kit accessories</t>
  </si>
  <si>
    <t>In this classification, this commodity indicates a product that is either an accessory or consumable associated with infusion pump kits.  Most nations, for tariff and trade purposes, schedule these products under HS 901890.</t>
  </si>
  <si>
    <t>42222100</t>
  </si>
  <si>
    <t>Intravenous and arterial equipment suspension and transport systems</t>
  </si>
  <si>
    <t>In this classification, this class includes, systems, components, accessories, and supplies, utilized in Intravenous and arterial equipment suspension and transport based medical procedures.</t>
  </si>
  <si>
    <t>Intravenous or arterial line equipment hangers</t>
  </si>
  <si>
    <t>In this classification, this commodity indicates a product that consists of line equipment hangers used in an intravenous or arterial medical procedure.  Most nations, for tariff and trade purposes, schedule these products under HS 901890.</t>
  </si>
  <si>
    <t>Mounted tracks or racks for intravenous infusion gravity systems</t>
  </si>
  <si>
    <t>In this classification, this commodity indicates a system consisting of products, consumables and accessories that are used to execute a mounted tracks or racks for intravenous infusion gravity procedure in a medical setting.  Most nations, for tariff and trade purposes, schedule these products under HS 901890.</t>
  </si>
  <si>
    <t>Intravenous infusion poles for wheelchairs</t>
  </si>
  <si>
    <t>In this classification, this commodity indicates a product used as a wheelchair infusion pole used in an intravenous procedure in a medical setting.  Most nations, for tariff and trade purposes, schedule these products under HS 940290.</t>
  </si>
  <si>
    <t>Intravenous or arterial line poles or stands</t>
  </si>
  <si>
    <t>In this classification, this commodity indicates a product that consists of line poles or stands used in an intravenous or arterial medical procedure.  Most nations, for tariff and trade purposes, schedule these products under HS 901890.</t>
  </si>
  <si>
    <t>Intravenous or arterial line pole or stand accessories</t>
  </si>
  <si>
    <t>In this classification, this commodity indicates a product that is either an accessory or consumable associated with intravenous or arterial line pole or stands.  Most nations, for tariff and trade purposes, schedule these products under HS 901890.</t>
  </si>
  <si>
    <t>42222200</t>
  </si>
  <si>
    <t>Needleless intravenous injection and withdrawal systems</t>
  </si>
  <si>
    <t>In this classification, this class includes, systems, components, accessories, and supplies, utilized in needleless intravenous injection and withdrawal based medical procedures.</t>
  </si>
  <si>
    <t>Needleless intravenous injection syringe sets or injection cannulae</t>
  </si>
  <si>
    <t>In this classification, this commodity indicates a product that is needleless intravenous injection syringe set or a thin tube inserted into a vein or body cavity to administer medicine, drain off fluid, or insert a surgical instrument associated with an intravenous procedure.  Most nations, for tariff and trade purposes, schedule these products under HS 901890.</t>
  </si>
  <si>
    <t>Needleless vial or bag withdrawal cannulas or adapters or decanters</t>
  </si>
  <si>
    <t>In this classification, this commodity indicates a product that is needleless vial or bag or a thin tube inserted into a vein or body cavity to administer medicine, drain off fluid, or insert a surgical instrument associated with an intravenous procedure.  Most nations, for tariff and trade purposes, schedule these products under HS 901890.</t>
  </si>
  <si>
    <t>42222300</t>
  </si>
  <si>
    <t>Blood administration and transfusion products</t>
  </si>
  <si>
    <t>In this classification, this class includes, products, components, accessories, and supplies, utilized in Blood administration and transfusion based medical procedures.</t>
  </si>
  <si>
    <t>Blood transfusion administration kits</t>
  </si>
  <si>
    <t>In this classification, this commodity indicates a product that is a prepackaged collection (either custom or standard) of the equipment and supplies used to perform a blood transfusion administration procedure in a medical setting.  US FDA regulates Blood transfusion administration kits under 21 CFR 880.5440 and under FDA product code BRZ.  Most nations, for tariff and trade purposes, schedule these products under HS 901890.</t>
  </si>
  <si>
    <t>Blood transfusion filters or screens</t>
  </si>
  <si>
    <t>In this classification, this commodity indicates a product that is either an accessory or consumable associated with blood transfusion filters or screens.  US FDA regulates Blood transfusion filters or screens or accessories under 21 CFR 880.5440 and under FDA product code BRZ.  Most nations, for tariff and trade purposes, schedule these products under HS 901890.</t>
  </si>
  <si>
    <t>Blood administration or transfusion identification systems</t>
  </si>
  <si>
    <t>In this classification, this commodity indicates a system consisting of products, consumables and accessories that are used to execute a blood administration or transfusion, identification procedure in a medical setting.  US FDA regulates Blood administration or transfusion identification systems under 21 CFR 864.9205 and under FDA product code BSA.  Most nations, for tariff and trade purposes, schedule these products under HS 901819.</t>
  </si>
  <si>
    <t>Blood administration or transfusion tubing</t>
  </si>
  <si>
    <t>In this classification, this commodity indicates a product used as a blood administration or transfusion tubing in a medical setting.  US FDA regulates Blood administration or transfusion tubing under 21 CFR 880.5440 and under FDA product code BRZ.  Most nations, for tariff and trade purposes, schedule these products under HS 901839.</t>
  </si>
  <si>
    <t>Blood administration or transfusion tubing clamps</t>
  </si>
  <si>
    <t>In this classification, this commodity indicates a product used as a blood administration or transfusion tubing clamp in a medical setting.  Most nations, for tariff and trade purposes, schedule these products under HS 901839.</t>
  </si>
  <si>
    <t>Blood warming or transfusion systems</t>
  </si>
  <si>
    <t>In this classification, this commodity indicates a system consisting of products, consumables and accessories that are used to execute a blood warming or transfusion procedure in a medical setting.  US FDA regulates Blood warming or transfusion systems under 21 CFR 864.9205 and under FDA product code BSA.  Most nations, for tariff and trade purposes, schedule these products under HS 901890.</t>
  </si>
  <si>
    <t>Blood exchange-transfusion kits</t>
  </si>
  <si>
    <t>In this classification, this commodity indicates a product that is a prepackaged collection (either custom or standard) of the equipment and supplies used to perform a blood exchange-transfusion procedure in a medical setting.  Most nations, for tariff and trade purposes, schedule these products under HS 901890.</t>
  </si>
  <si>
    <t>Angiographic fluid administration-waste collection systems</t>
  </si>
  <si>
    <t>In this classification, this commodity indicates a system consisting of products, consumables and accessories that are used to execute an angiographic fluid administration-waste collection procedure in a medical setting.  Most nations, for tariff and trade purposes, schedule these products under HS 901890.</t>
  </si>
  <si>
    <t>Blood cell collection recovery packs</t>
  </si>
  <si>
    <t>In this classification, this commodity indicates a product used as a blood cell collection recovery pack in a medical setting.  Most nations, for tariff and trade purposes, schedule these products under HS 901890.</t>
  </si>
  <si>
    <t>Blood transfusion filter or screen accessories</t>
  </si>
  <si>
    <t>Accessories included with lood transfusion filters or screens.</t>
  </si>
  <si>
    <t>42230000</t>
  </si>
  <si>
    <t>Clinical nutrition</t>
  </si>
  <si>
    <t>In this classification, this family includes medical equipment, components, instruments and appliances as well as accessories used in the medical treatment that is focused on the clinical nutrition of a patient.</t>
  </si>
  <si>
    <t>42231500</t>
  </si>
  <si>
    <t>Enteral feeding equipment and supplies</t>
  </si>
  <si>
    <t>In this classification, this class includes the equipment and supplies utilized in enteral feeding based medical procedures.</t>
  </si>
  <si>
    <t>Enteral feeding infusion pumps</t>
  </si>
  <si>
    <t>In this classification, this commodity indicates a product used as an infusion pump in an enteral feeding process in a medical setting.  US FDA regulates Enteral feeding infusion pumps under 21 CFR 880.5725 and under FDA product code LZH.  Most nations, for tariff and trade purposes, schedule these products under HS 901890.</t>
  </si>
  <si>
    <t>Enteral feeding administration sets</t>
  </si>
  <si>
    <t>In this classification, this commodity indicates a product used as an administration set in an enteral feeding process in a medical setting.  US FDA regulates Enteral feeding administration sets under 21 CFR 876.5980 and under FDA product code PIF.  Most nations, for tariff and trade purposes, schedule these products under HS 901839.</t>
  </si>
  <si>
    <t>Enteral feeding irrigation sets or trays</t>
  </si>
  <si>
    <t>In this classification, this commodity indicates a product used as an irrigation set or tray in an enteral feeding process in a medical setting.  US FDA regulates Enteral feeding irrigation sets or trays under 21 CFR 876.5980 and under FDA product code PIF.  Most nations, for tariff and trade purposes, schedule these products under HS 901890.</t>
  </si>
  <si>
    <t>Enteral nutrition bags or containers</t>
  </si>
  <si>
    <t>In this classification, this commodity indicates a product used as a nutrition bag or container in an enteral feeding process in a medical setting.  US FDA regulates Enteral nutrition bags or containers under 21 CFR 876.5980 and under FDA product code PIF.  Most nations, for tariff and trade purposes, schedule these products under HS 392690.</t>
  </si>
  <si>
    <t>Enteral feeding set adapters or connectors or extensions</t>
  </si>
  <si>
    <t>In this classification, this commodity indicates a product used as a set of adapters, connectors or extensions in an enteral feeding process in a medical setting.  Most nations, for tariff and trade purposes, schedule these products under HS 901890.</t>
  </si>
  <si>
    <t>Nasoenteric tube securing devices</t>
  </si>
  <si>
    <t>In this classification, this commodity indicates a product that is used as a securing device for a tube used in a nasoenteric in a medical setting.  Most nations, for tariff and trade purposes, schedule these products under HS 901890.</t>
  </si>
  <si>
    <t>Enteral tube cleaning brushes</t>
  </si>
  <si>
    <t>In this classification, this commodity indicates a product that is used as a brush to clean a tube used in a nasoenteric in a medical setting.  Most nations, for tariff and trade purposes, schedule these products under HS 901890.</t>
  </si>
  <si>
    <t>Enteral feeding set valves</t>
  </si>
  <si>
    <t>In this classification, this commodity indicates a product used as a set of valves in an enteral feeding process in a medical setting.  US FDA regulates Enteral feeding set valves under 21 CFR 876.5980 and under FDA product code FPD.  Most nations, for tariff and trade purposes, schedule these products under HS 901839.</t>
  </si>
  <si>
    <t>Enteral nutrition weighing chambers</t>
  </si>
  <si>
    <t>In this classification, this commodity indicates a product used as a nutrition weighing chamber in an enteral feeding process in a medical setting.  Most nations, for tariff and trade purposes, schedule these products under HS 901890.</t>
  </si>
  <si>
    <t>Enteral feeding infusion pump tubing sets</t>
  </si>
  <si>
    <t>In this classification, this commodity indicates a product used as a set of tubing for and infusion pump in an enteral feeding process in a medical setting.  US FDA regulates Enteral feeding infusion pump tubing sets under 21 CFR 870.12 and under FDA product code DQO.  Most nations, for tariff and trade purposes, schedule these products under HS 901839.</t>
  </si>
  <si>
    <t>42231600</t>
  </si>
  <si>
    <t>Gastrostomy and jejunostomy access devices or accessories</t>
  </si>
  <si>
    <t>In this classification, this class includes, products, components, accessories, and supplies, utilized in Gastrostomy and jejunostomy access based medical procedures.</t>
  </si>
  <si>
    <t>Gastrostomy tubes or kits for general use</t>
  </si>
  <si>
    <t>In this classification, this commodity indicates a product that is a prepackaged collection (either custom or standard) of the equipment and supplies used to perform a gastronomy intubation procedure in a medical setting.  US FDA regulates Gastrostomy tubes or kits for general use under 21 CFR 876.5980 and under FDA product code FPD.  Most nations, for tariff and trade purposes, schedule these products under HS 901890.</t>
  </si>
  <si>
    <t>Gastric percutaneous tubes or kits</t>
  </si>
  <si>
    <t>In this classification, this commodity indicates a product that is a prepackaged collection (either custom or standard) of the equipment and supplies used to perform a gastric percutaneous intubation procedure in a medical setting.  Most nations, for tariff and trade purposes, schedule these products under HS 901839.</t>
  </si>
  <si>
    <t>Jejunostomy tubes or kits</t>
  </si>
  <si>
    <t>In this classification, this commodity indicates a product that is a prepackaged collection (either custom or standard) of the equipment and supplies used to perform procedure in a medical setting.  Most nations, for tariff and trade purposes, schedule these products under HS 901839.</t>
  </si>
  <si>
    <t>Gastric access buttons</t>
  </si>
  <si>
    <t>In this classification, this commodity indicates a product used as a an access point for a gastro intestinal tube to be inserted in a medical setting Most nations, for tariff and trade purposes, schedule these products under HS 901890.</t>
  </si>
  <si>
    <t>Gastrostomy or jejunostomy tube holders</t>
  </si>
  <si>
    <t>In this classification, this commodity indicates a product that is used as a tube holder in a gastrostomy or jejunostomy procedure in a medical setting.  Most nations, for tariff and trade purposes, schedule these products under HS 901890.</t>
  </si>
  <si>
    <t>Colon decompression kits</t>
  </si>
  <si>
    <t>Jejunostomy catheter and needle sets</t>
  </si>
  <si>
    <t>In this classification, this commodity indicates a product containing needles and also a flexible tube inserted through a narrow opening into a body cavity in an jejunostomy procedure.  US FDA regulates Jejunostomy catheter and needle sets under 21 CFR 876.5980 and under FDA product code FEF.  Most nations, for tariff and trade purposes, schedule these products under HS 901839.</t>
  </si>
  <si>
    <t>Gastrostomy feeding tube kits</t>
  </si>
  <si>
    <t>Colonic irrigation systems</t>
  </si>
  <si>
    <t>In this classification, this commodity indicates a system consisting of products, consumables and accessories that are used to execute a colonic irrigation procedure in a medical setting.  Most nations, for tariff and trade purposes, schedule these products under HS 901890.</t>
  </si>
  <si>
    <t>Duodenal tube balloons</t>
  </si>
  <si>
    <t>In this classification, this commodity indicates a product that is used as a balloon tube used in a duodenal procedure in a medical setting.  Most nations, for tariff and trade purposes, schedule these products under HS 901890.</t>
  </si>
  <si>
    <t>Duodenal tube tips</t>
  </si>
  <si>
    <t>In this classification, this commodity indicates a product that is used as the tip for a tube used in a duodenal procedure in a medical setting.  Most nations, for tariff and trade purposes, schedule these products under HS 901890.</t>
  </si>
  <si>
    <t>Gastric lavage tubes or kits</t>
  </si>
  <si>
    <t>In this classification, this commodity indicates a product.  Most nations, for tariff and trade purposes, schedule these products under HS 901839.</t>
  </si>
  <si>
    <t>General well being colonic irrigation systems</t>
  </si>
  <si>
    <t>In this classification, this commodity indicates a system consisting of products, consumables and accessories that are used to execute a general well-being colonic irrigation procedure in a medical setting.  Most nations, for tariff and trade purposes, schedule these products under HS 901890.</t>
  </si>
  <si>
    <t>Intragastric hypothermia apparatus</t>
  </si>
  <si>
    <t>In this classification, this commodity indicates a product used as an instrument that provides cooling of the upper digestive tract  in a medical setting Most nations, for tariff and trade purposes, schedule these products under HS 901890.</t>
  </si>
  <si>
    <t>Jejunostomy tube holders</t>
  </si>
  <si>
    <t>In this classification, this commodity indicates a product that is used as a tube holder in an esophageal procedure in a medical setting.  Most nations, for tariff and trade purposes, schedule these products under HS 901890.</t>
  </si>
  <si>
    <t>Sterile lavage sets</t>
  </si>
  <si>
    <t>In this classification, this commodity indicates a set of instruments and consumables used in a sterile lavage procedure in a medical setting Most nations, for tariff and trade purposes, schedule these products under HS 901890.</t>
  </si>
  <si>
    <t>Stoma measuring devices</t>
  </si>
  <si>
    <t>In this classification, this commodity indicates a product used as a device to measure the dimension of an external stoma in a medical setting Most nations, for tariff and trade purposes, schedule these products under HS 901890.</t>
  </si>
  <si>
    <t>42231700</t>
  </si>
  <si>
    <t>Nasoenteric tubes</t>
  </si>
  <si>
    <t>In this classification, this class includes products utilized as nasoenteric tubes used in medical procedures</t>
  </si>
  <si>
    <t>Nasogastric tubes</t>
  </si>
  <si>
    <t>In this classification, this commodity indicates a product that is used as a tube in a nasogastric procedure in a medical setting.  US FDA regulates Nasogastric tubes under 21 CFR 876.5980 and under FDA product code BSS.  Most nations, for tariff and trade purposes, schedule these products under HS 901839.</t>
  </si>
  <si>
    <t>Nasojejunal tubes</t>
  </si>
  <si>
    <t>In this classification, this commodity indicates a product that is used as a tube in an esophageal procedure in a medical setting.  Most nations, for tariff and trade purposes, schedule these products under HS 901839.</t>
  </si>
  <si>
    <t>Gastric decompression tubes</t>
  </si>
  <si>
    <t>In this classification, this commodity indicates a product that is used as a tube in a gastric decompression procedure in a medical setting.  US FDA regulates Gastric decompression tubes under 21 CFR 876.5980 and under FDA product code FEF.  Most nations, for tariff and trade purposes, schedule these products under HS 901839.</t>
  </si>
  <si>
    <t>Nasogastric filters</t>
  </si>
  <si>
    <t>In this classification, this commodity indicates a product used as a filter used in association a procedure reaching or supplying the stomach via the nose in a medical setting Most nations, for tariff and trade purposes, schedule these products under HS 901890.</t>
  </si>
  <si>
    <t>42231800</t>
  </si>
  <si>
    <t>Formulas and products for nutritional support</t>
  </si>
  <si>
    <t>In this classification, this class includes products, components, accessories, and supplies utilized in formulas and products for nutritional procedures.</t>
  </si>
  <si>
    <t>Adult supplemental formulas or bars or puddings for general use</t>
  </si>
  <si>
    <t>In this classification, this commodity used as a set of formulas, bars, or puddings in an adult supplemental nutrition procedure in a medical setting Most nations, for tariff and trade purposes, schedule these products under HS 190190.</t>
  </si>
  <si>
    <t>Pediatric supplemental formulas or bars or puddings for general use</t>
  </si>
  <si>
    <t>In this classification, this commodity indicates a product used as a supplemental formulas, bars, or pudding focused on specific disease used by children.  Most nations, for tariff and trade purposes, schedule these products under HS 190190.</t>
  </si>
  <si>
    <t>Adult disease specific supplemental formulas or bars or puddings</t>
  </si>
  <si>
    <t>In this classification, this commodity used as a formula, bar, or pudding in an adult supplemental nutrition procedure in a medical setting Most nations, for tariff and trade purposes, schedule these products under HS 940290.</t>
  </si>
  <si>
    <t>Pediatric disease specific supplemental formulas or bars or puddings</t>
  </si>
  <si>
    <t>In this classification, this commodity indicates a product used as a supplemental formulas, bars, or pudding used by children.  Most nations, for tariff and trade purposes, schedule these products under HS 940290.</t>
  </si>
  <si>
    <t>Medical nutrition food or liquid thickeners</t>
  </si>
  <si>
    <t>In this classification, this commodity indicates a product that is used as a medically related nutrition food or liquid thickener Most nations, for tariff and trade purposes, schedule these products under HS 190120.</t>
  </si>
  <si>
    <t>Nursing bottle nipples</t>
  </si>
  <si>
    <t>In this classification, this commodity indicates a product used as a replaceable nipple for a nursing bottle  in a medical setting Most nations, for tariff and trade purposes, schedule these products under HS 401490.</t>
  </si>
  <si>
    <t>Feeding bottles</t>
  </si>
  <si>
    <t>In this classification, this commodity indicates a product that is either an accessory or consumable associated with feeding bottles.  US FDA regulates Feeding bottles or accessories under 21 CFR 884.5150 and under FDA product code HGX.  Most nations, for tariff and trade purposes, schedule these products under HS 701090.</t>
  </si>
  <si>
    <t>Feeding bottle accessories</t>
  </si>
  <si>
    <t>Accessories included with feeding bottles.</t>
  </si>
  <si>
    <t>42231900</t>
  </si>
  <si>
    <t>Breast feeding equipment and accessories and supplies</t>
  </si>
  <si>
    <t>In this classification, this class includes, equipment, components, accessories, and supplies, utilized in Breast feeding equipment and accessories based medical procedures.</t>
  </si>
  <si>
    <t>Breast pumps</t>
  </si>
  <si>
    <t>In this classification, this commodity indicates a product used as a breast pump in a medical setting.  US FDA regulates Breast pumps under 21 CFR 884.5150 and under FDA product code HGX.  Most nations, for tariff and trade purposes, schedule these products under HS 841381.</t>
  </si>
  <si>
    <t>Breast shells or shields</t>
  </si>
  <si>
    <t>In this classification, this commodity indicates a product used as a breast shell or shield in a medical setting.  US FDA regulates Breast shells or shields under 21 CFR 880.5630 and under FDA product code HFS.  Most nations, for tariff and trade purposes, schedule these products under HS 392690.</t>
  </si>
  <si>
    <t>Breast pump kits</t>
  </si>
  <si>
    <t>In this classification, this commodity indicates a product that is a prepackaged collection (either custom or standard) of the equipment and supplies used to perform a breast pumping procedure in a medical setting.  US FDA regulates Breast pump kits under 21 CFR 884.5150 and under FDA product code HGX.  Most nations, for tariff and trade purposes, schedule these products under HS 841381.</t>
  </si>
  <si>
    <t>Breast feeding pillows</t>
  </si>
  <si>
    <t>In this classification, this commodity indicates a product used as a breast feeding pillow in a medical setting Most nations, for tariff and trade purposes, schedule these products under HS 940120.</t>
  </si>
  <si>
    <t>Breast pump accessories or accessory kits</t>
  </si>
  <si>
    <t>In this classification, this commodity indicates a product that is either an accessory or consumable associated with breast pumps.  Most nations, for tariff and trade purposes, schedule these products under HS 902190.</t>
  </si>
  <si>
    <t>Breast milk warmers</t>
  </si>
  <si>
    <t>In this classification, this commodity indicates a product used as a breast milk warmer in a medical setting Most nations, for tariff and trade purposes, schedule these products under HS 732111.</t>
  </si>
  <si>
    <t>42232000</t>
  </si>
  <si>
    <t>Tablet crushers and cutters and related products</t>
  </si>
  <si>
    <t>In this classification, this class includes, products, components, accessories, and supplies, utilized in Tablet crushing and cutting procedures.</t>
  </si>
  <si>
    <t>Tablet crushers</t>
  </si>
  <si>
    <t>In this classification, this commodity indicates a product that is either an accessory or consumable associated with tablet crushers.  US FDA regulates Tablet crushers or accessories under 21 CFR 880.6430 and under FDA product code OHY.  Most nations, for tariff and trade purposes, schedule these products under HS 847982.</t>
  </si>
  <si>
    <t>Tablet crusher dispensers</t>
  </si>
  <si>
    <t>In this classification, this commodity indicates a product that is either an accessory or consumable associated with tablet crusher dispensers.  US FDA regulates Tablet crusher dispensers or accessories under 21 CFR 880.6430 and under FDA product code NXB.  Most nations, for tariff and trade purposes, schedule these products under HS 847982.</t>
  </si>
  <si>
    <t>Tablet cutters</t>
  </si>
  <si>
    <t>In this classification, this commodity indicates a product that is either an accessory or consumable associated with tablet cutters.  US FDA regulates Tablet cutters or accessories under 21 CFR 880.6430 and under FDA product code OHY.  Most nations, for tariff and trade purposes, schedule these products under HS 847982.</t>
  </si>
  <si>
    <t>Tablet crusher accessories</t>
  </si>
  <si>
    <t>Accessories included with tablet crushers.</t>
  </si>
  <si>
    <t>Tablet crusher dispenser accessories</t>
  </si>
  <si>
    <t>Accessories included with tablet crusher dispensers.</t>
  </si>
  <si>
    <t>Tablet cutter accessories</t>
  </si>
  <si>
    <t>Accessories included with tablet cutters.</t>
  </si>
  <si>
    <t>42240000</t>
  </si>
  <si>
    <t>Orthopedic and prosthetic and sports medicine products</t>
  </si>
  <si>
    <t>In this classification, this family includes the products and supplies used in the portion of medical interactions that focused of an orthopedic, prosthetic, or sports related nature.</t>
  </si>
  <si>
    <t>42241500</t>
  </si>
  <si>
    <t>Casting and splinting supplies</t>
  </si>
  <si>
    <t>In this classification, this class includes, products, components, accessories, and supplies, utilized in Casting and splinting based medical procedures.</t>
  </si>
  <si>
    <t>Cast footwears</t>
  </si>
  <si>
    <t>In this classification, this commodity indicates a product used as footwear in association with the creation and maintenance of a cast in a medical setting.  Most nations, for tariff and trade purposes, schedule these products under HS 901890.</t>
  </si>
  <si>
    <t>Cast or splint padding materials</t>
  </si>
  <si>
    <t>In this classification, this commodity indicates a product used as padding material in association with the creation and maintenance of a cast in a medical setting.  Most nations, for tariff and trade purposes, schedule these products under HS 901890.</t>
  </si>
  <si>
    <t>Cast or splint protectors</t>
  </si>
  <si>
    <t>In this classification, this commodity indicates a product used as stockinet or liner in association with the creation and maintenance of a cast or splint in a medical setting.  Most nations, for tariff and trade purposes, schedule these products under HS 901890.</t>
  </si>
  <si>
    <t>Cast or splint stockinet or liners</t>
  </si>
  <si>
    <t>In this classification, this commodity indicates a product used as protectors in association with the creation and maintenance of a cast or splint in a medical setting.  Most nations, for tariff and trade purposes, schedule these products under HS 981700.</t>
  </si>
  <si>
    <t>Orthopedic casting rolls or tapes</t>
  </si>
  <si>
    <t>In this classification, this commodity indicates a product used as rolls or tapes in association with the creation and maintenance of a cast in a medical setting.  Most nations, for tariff and trade purposes, schedule these products under HS 850980.</t>
  </si>
  <si>
    <t>Orthopedic casting material for splints</t>
  </si>
  <si>
    <t>In this classification, this commodity indicates a product used as orthopedic casting material in association with the creation and maintenance of a splint in a medical setting.  Most nations, for tariff and trade purposes, schedule these products under HS 901890.</t>
  </si>
  <si>
    <t>Orthopedic splint systems</t>
  </si>
  <si>
    <t>In this classification, this commodity indicates a system consisting of products, consumables and accessories that are used to execute an orthopedic splint procedure in a medical setting.  Most nations, for tariff and trade purposes, schedule these products under HS 901890.</t>
  </si>
  <si>
    <t>Thermoplastic orthoses components</t>
  </si>
  <si>
    <t>In this classification, this commodity indicates a product used as component of an externally applied device made of thermoplastics that is designed and fitted to the body to achieve either control biomechanical alignment correct or accommodate deformity, or protect and support an injury  in a medical setting Most nations, for tariff and trade purposes, schedule these products under HS 901890.</t>
  </si>
  <si>
    <t>Thermoplastic splint kits or materials</t>
  </si>
  <si>
    <t>In this classification, this commodity indicates a product that is a prepackaged collection (either custom or standard) of the equipment and supplies that enable thermoplastic splints use in a medical setting.  Most nations, for tariff and trade purposes, schedule these products under HS 901890.</t>
  </si>
  <si>
    <t>Traction splint sets</t>
  </si>
  <si>
    <t>In this classification, this commodity indicates a product used as a splint set in association with traction treatment procedures in a medical setting.  US FDA regulates Traction splint sets under 21 CFR 888.5850 and under FDA product code HST.  Most nations, for tariff and trade purposes, schedule these products under HS 901890.</t>
  </si>
  <si>
    <t>Cast or splint bonding materials</t>
  </si>
  <si>
    <t>In this classification, this commodity indicates a product used as bonding material in association with the creation and maintenance of a cast or splint in a medical setting.  Most nations, for tariff and trade purposes, schedule these products under HS 901890.</t>
  </si>
  <si>
    <t>Carrier and storage cases for splints or precut splints or splint systems</t>
  </si>
  <si>
    <t>In this classification, this commodity indicates a system consisting of products, consumables and accessories that are used to execute a carrier and storage cases for splints or precut splints or splint procedure in a medical setting.  Most nations, for tariff and trade purposes, schedule these products under HS 901890.</t>
  </si>
  <si>
    <t>Instrument rolls for splint sets</t>
  </si>
  <si>
    <t>In this classification, this commodity indicates a product used as an instrument roll containing the instruments for a splint set in a medical setting Most nations, for tariff and trade purposes, schedule these products under HS 901890.</t>
  </si>
  <si>
    <t>Marker for splinting materials</t>
  </si>
  <si>
    <t>In this classification, this commodity indicates a product used as a marker for the dimension of a splint being implemented on a patient in a medical setting Most nations, for tariff and trade purposes, schedule these products under HS 901890.</t>
  </si>
  <si>
    <t>Cast spreaders</t>
  </si>
  <si>
    <t>In this classification, this commodity indicates a product used as an in association with the creation and maintenance of a cast in a medical setting.  Most nations, for tariff and trade purposes, schedule these products under HS 901890.</t>
  </si>
  <si>
    <t>Rigid pneumatic structure orthosis</t>
  </si>
  <si>
    <t>In this classification, this commodity indicates a product used as a  device intended for medical purposes to provide whole body support by means of a pressurized suit to help thoracic paraplegics walk in a medical setting Most nations, for tariff and trade purposes, schedule these products under HS 901890.</t>
  </si>
  <si>
    <t>Instrument rolls for splint accessories</t>
  </si>
  <si>
    <t>In this classification, this commodity indicates a product that is either an accessory or consumable associated with instrument rolls for splints.  Most nations, for tariff and trade purposes, schedule these products under HS 901811.</t>
  </si>
  <si>
    <t>Casting or splinting accessories</t>
  </si>
  <si>
    <t>In this classification, this commodity indicates a product that is either an accessory or consumable associated with casting or splintings.  Most nations, for tariff and trade purposes, schedule these products under HS 901890.</t>
  </si>
  <si>
    <t>42241600</t>
  </si>
  <si>
    <t>Casting equipment and parts and accessories</t>
  </si>
  <si>
    <t>In this classification, this class includes equipment, parts and accessories utilized in casting and splinting based medical procedures.</t>
  </si>
  <si>
    <t>Cast cutters or saws</t>
  </si>
  <si>
    <t>In this classification, this commodity indicates a product used as a cutter or saw used in conjunction with a casting procedure in a medical setting.  US FDA regulates Cast cutters or saws under 21 CFR 888.5940 and under FDA product code LGF.  Most nations, for tariff and trade purposes, schedule these products under HS 901890.</t>
  </si>
  <si>
    <t>Cast removal systems</t>
  </si>
  <si>
    <t>In this classification, this commodity indicates a system consisting of products, consumables and accessories that are used to execute a cast removal procedure in a medical setting.  US FDA regulates Cast removal systems under 21 CFR 888.5960 and under FDA product code LGH.  Most nations, for tariff and trade purposes, schedule these products under HS 901890.</t>
  </si>
  <si>
    <t>Cast vacuums</t>
  </si>
  <si>
    <t>In this classification, this commodity indicates a product used as a vacuum used in conjunction with a casting procedure in a medical setting Most nations, for tariff and trade purposes, schedule these products under HS 901890.</t>
  </si>
  <si>
    <t>Cast impression trays</t>
  </si>
  <si>
    <t>In this classification, this commodity indicates a product used as an impression tray used in conjunction with a casting procedure in a medical setting Most nations, for tariff and trade purposes, schedule these products under HS 392410.</t>
  </si>
  <si>
    <t>42241700</t>
  </si>
  <si>
    <t>Orthopedic softgoods for lower extremity</t>
  </si>
  <si>
    <t>In this classification, this class includes, products, components, accessories, and supplies, utilized in medical procedures utilizing on orthopedic softgoods for lower extremity.</t>
  </si>
  <si>
    <t>Ankle or foot orthopedic softgoods</t>
  </si>
  <si>
    <t>In this classification, this commodity indicates a product mostly nondurable goods as represented especially by textile products used in association with orthopedic treatment of the ankle or foot in a medical setting.  US FDA regulates Ankle or foot orthopedic softgoods under 21 CFR 878.48 and under FDA product code EMF.  Most nations, for tariff and trade purposes, schedule these products under HS 902110.</t>
  </si>
  <si>
    <t>Hip orthopedic softgoods</t>
  </si>
  <si>
    <t>In this classification, this commodity indicates a product mostly nondurable goods as represented especially by textile products used in association with orthopedic treatment of the hip in a medical setting.  Most nations, for tariff and trade purposes, schedule these products under HS 901890.</t>
  </si>
  <si>
    <t>Knee braces or supports</t>
  </si>
  <si>
    <t>In this classification, this commodity indicates a product used as a brace or support conformed for a human knee in a medical setting Most nations, for tariff and trade purposes, schedule these products under HS 901890.</t>
  </si>
  <si>
    <t>Leg orthopedic softgoods</t>
  </si>
  <si>
    <t>In this classification, this commodity indicates a product mostly nondurable goods as represented especially by textile products used in association with orthopedic treatment of the leg in a medical setting.  Most nations, for tariff and trade purposes, schedule these products under HS 901890.</t>
  </si>
  <si>
    <t>Orthotics or foot care products</t>
  </si>
  <si>
    <t>In this classification, this commodity indicates a product used as to an externally applied device used to modify the structural and functional characteristics of the neuromuscular and skeletal system focusing on the foot  along with associated foot care products in a medical setting Most nations, for tariff and trade purposes, schedule these products under HS 901890.</t>
  </si>
  <si>
    <t>Walking braces</t>
  </si>
  <si>
    <t>In this classification, this commodity indicates a product used as a brace or boot  commonly used for stress fractures, shin splints, broken foot or ankle bones, and severe ankle sprains in a medical setting.  US FDA regulates Walking braces under 21 CFR 872.4565 and under FDA product code EML.  Most nations, for tariff and trade purposes, schedule these products under HS 821420.</t>
  </si>
  <si>
    <t>Femoral fracture pillows</t>
  </si>
  <si>
    <t>In this classification, this commodity indicates a product used as a pillow that conforms or restricts the position of a patient with a femoral fracture in a medical setting Most nations, for tariff and trade purposes, schedule these products under HS 901890.</t>
  </si>
  <si>
    <t>Post operative shoes</t>
  </si>
  <si>
    <t>In this classification, this commodity indicates a product used as a disposable shoe configured to be used after an operative procedure in a medical setting Most nations, for tariff and trade purposes, schedule these products under HS 901890.</t>
  </si>
  <si>
    <t>Cryotherapeutic ankle cuffs</t>
  </si>
  <si>
    <t>In this classification, this commodity indicates a product used as a in a ankle cuff cryotherapeutic procedure in a medical setting Most nations, for tariff and trade purposes, schedule these products under HS 901890.</t>
  </si>
  <si>
    <t>Cryotherapeutic knee cuffs</t>
  </si>
  <si>
    <t>In this classification, this commodity indicates a product used as a knee cuff in a cryotherapeutic procedure in a medical setting Most nations, for tariff and trade purposes, schedule these products under HS 901890.</t>
  </si>
  <si>
    <t>Orthopedic prosthetic foams</t>
  </si>
  <si>
    <t>In this classification, this commodity indicates a product used as a foam insert in a prosthetic procedure in a medical setting.  Most nations, for tariff and trade purposes, schedule these products under HS 901890.</t>
  </si>
  <si>
    <t>Prosthetic device accessories</t>
  </si>
  <si>
    <t>In this classification, this commodity indicates a product that is either an accessory or consumable associated with prosthetic devices.  Most nations, for tariff and trade purposes, schedule these products under HS 901890.</t>
  </si>
  <si>
    <t>Orthopedic softgood for lower extremity accessories</t>
  </si>
  <si>
    <t>In this classification, this commodity indicates a product comprised of mostly nondurable goods as represented especially by textile products used in association with orthopedic treatment of the lower extremities in a medical setting.  Most nations, for tariff and trade purposes, schedule orthopedic softgood for lower extremity accessories under HS 901890.</t>
  </si>
  <si>
    <t>42241800</t>
  </si>
  <si>
    <t>Orthopedic softgoods for upper extremity and torso</t>
  </si>
  <si>
    <t>In this classification, this class includes, products, components, accessories, and supplies, utilized in medical procedures utilizing on orthopedic softgoods for upper extremity and torso.</t>
  </si>
  <si>
    <t>Arm orthopedic softgoods</t>
  </si>
  <si>
    <t>In this classification, this commodity indicates a product mostly nondurable goods as represented especially by textile products used in association with orthopedic treatment of the arm in a medical setting.  Most nations, for tariff and trade purposes, schedule these products under HS 901890.</t>
  </si>
  <si>
    <t>Back or lumbar or sacral orthopedic softgoods</t>
  </si>
  <si>
    <t>In this classification, this commodity indicates a product mostly nondurable goods as represented especially by textile products used in association with orthopedic treatment of the in a medical setting.  Most nations, for tariff and trade purposes, schedule these products under HS 902190.</t>
  </si>
  <si>
    <t>Cervical collars or neck braces</t>
  </si>
  <si>
    <t>In this classification, this commodity indicates a product used as a collar or brace used to support as well as restrict movement of the cervices or neck in a medical setting Most nations, for tariff and trade purposes, schedule these products under HS 901890.</t>
  </si>
  <si>
    <t>Clavicle orthopedic softgoods</t>
  </si>
  <si>
    <t>In this classification, this commodity indicates a product mostly nondurable goods as represented especially by textile products used in association with orthopedic treatment of the clavicle in a medical setting.  Most nations, for tariff and trade purposes, schedule these products under HS 901890.</t>
  </si>
  <si>
    <t>Elbow orthopedic softgoods</t>
  </si>
  <si>
    <t>In this classification, this commodity indicates a product mostly nondurable goods as represented especially by textile products used in association with orthopedic treatment of the elbow in a medical setting.  Most nations, for tariff and trade purposes, schedule these products under HS 901890.</t>
  </si>
  <si>
    <t>Forearm or wrist or thumb orthopedic softgoods</t>
  </si>
  <si>
    <t>In this classification, this commodity indicates a product mostly nondurable goods as represented especially by textile products used in association with orthopedic treatment of the forearm, wrist or thumb in a medical setting.  Most nations, for tariff and trade purposes, schedule these products under HS 901890.</t>
  </si>
  <si>
    <t>Hand or finger orthopedic softgoods</t>
  </si>
  <si>
    <t>In this classification, this commodity indicates a product mostly nondurable goods as represented especially by textile products used in association with orthopedic treatment of the hand or finger in a medical setting.  Most nations, for tariff and trade purposes, schedule these products under HS 901890.</t>
  </si>
  <si>
    <t>Ribs or abdomen orthopedic softgoods</t>
  </si>
  <si>
    <t>In this classification, this commodity indicates a product mostly nondurable goods as represented especially by textile products used in association with orthopedic treatment of the ribs or abdomen in a medical setting.  Most nations, for tariff and trade purposes, schedule these products under HS 901890.</t>
  </si>
  <si>
    <t>Shoulder orthopedic softgoods</t>
  </si>
  <si>
    <t>In this classification, this commodity indicates a product mostly nondurable goods as represented especially by textile products used in association with orthopedic treatment of the shoulder in a medical setting.  Most nations, for tariff and trade purposes, schedule these products under HS 901890.</t>
  </si>
  <si>
    <t>Hernia truss</t>
  </si>
  <si>
    <t>In this classification, this commodity indicates a product used as a truss to bind a torso and mid section that supports and restricts movement that would exacerbate a hernia in a medical setting Most nations, for tariff and trade purposes, schedule these products under HS 902110.</t>
  </si>
  <si>
    <t>42241900</t>
  </si>
  <si>
    <t>Outrigger and dynamic splinting supplies</t>
  </si>
  <si>
    <t>In this classification, this class includes, products, components, accessories, and supplies, utilized in outrigger and dynamic splinting based medical procedures.</t>
  </si>
  <si>
    <t>Outrigger splint kits</t>
  </si>
  <si>
    <t>In this classification, this commodity indicates a product that is a prepackaged collection (either custom or standard) of the equipment and supplies that enable outrigger splint use in a medical setting.  US FDA regulates outrigger splint kits under 21 CFR 890.3475 and under FDA product code ILH.  Most nations, for tariff and trade purposes, schedule these products under HS 842310.</t>
  </si>
  <si>
    <t>Outrigger splint parts</t>
  </si>
  <si>
    <t>In this classification, this commodity indicates a product used as a splint with external components that allow for predetermined positioning of the area being splinter  in a medical setting.  US FDA regulates Outrigger splint parts under 21 CFR 890.3475 and under FDA product code ILH.  Most nations, for tariff and trade purposes, schedule these products under HS 842310.</t>
  </si>
  <si>
    <t>42242000</t>
  </si>
  <si>
    <t>Prosthetic devices or accessories and supplies</t>
  </si>
  <si>
    <t>In this classification, this class includes, products, components, accessories, and supplies, utilized in Prosthetic based medical procedures.</t>
  </si>
  <si>
    <t>In this classification, this commodity indicates a product used as a lower extremity device in a prosthetic procedure in a medical setting.  US FDA regulates Lower extremity prosthetic devices under 21 CFR 888.3350 and under FDA product code JDI.  Most nations, for tariff and trade purposes, schedule these products under HS 901890.</t>
  </si>
  <si>
    <t>In this classification, this commodity indicates a product used as a upper extremity device in a prosthetic procedure in a medical setting.  Most nations, for tariff and trade purposes, schedule these products under HS 901890.</t>
  </si>
  <si>
    <t>Prosthetic clamping devices</t>
  </si>
  <si>
    <t>In this classification, this commodity indicates a product used as a device in a prosthetic procedure in a medical setting.  Most nations, for tariff and trade purposes, schedule these products under HS 901890.</t>
  </si>
  <si>
    <t>In this classification, this commodity indicates a product used as a  tubular medical or clothing accessories with a blind end that are fashioned similar to socks, usually without a heel in a medical setting Most nations, for tariff and trade purposes, schedule these products under HS 901832.</t>
  </si>
  <si>
    <t>In this classification, this commodity indicates a product that is either an accessory or consumable associated with prosthetic clamping devices.  Most nations, for tariff and trade purposes, schedule these products under HS 901890.</t>
  </si>
  <si>
    <t>Orthopedic upper limb appliances</t>
  </si>
  <si>
    <t>In this classification, this commodity indicates a product that is used as an upper limb appliance in and orthopedic procedure, in a medical setting.  Most nations, for tariff and trade purposes, schedule these products under HS 821300.</t>
  </si>
  <si>
    <t>42242100</t>
  </si>
  <si>
    <t>Orthopedic traction supplies and accessories</t>
  </si>
  <si>
    <t>In this classification, this class includes, products, components, accessories, and supplies, utilized in Orthopedic traction based medical procedures.</t>
  </si>
  <si>
    <t>Arm traction supplies</t>
  </si>
  <si>
    <t>In this classification, this commodity indicates a product used as consumable supplies in association with an arm focused traction treatment procedures in a medical setting.  Most nations, for tariff and trade purposes, schedule these products under HS 901811.</t>
  </si>
  <si>
    <t>Hand or finger traction supplies</t>
  </si>
  <si>
    <t>In this classification, this commodity indicates a product used as consumable supplies in association with a hand or finger focused traction treatment procedures in a medical setting.  Most nations, for tariff and trade purposes, schedule these products under HS 901811.</t>
  </si>
  <si>
    <t>Head or neck traction supplies</t>
  </si>
  <si>
    <t>In this classification, this commodity indicates a product used as consumable supplies in association with a head or neck focused traction treatment procedures in a medical setting.  Most nations, for tariff and trade purposes, schedule these products under HS 901811.</t>
  </si>
  <si>
    <t>Leg traction supplies</t>
  </si>
  <si>
    <t>In this classification, this commodity indicates a product used as consumable supplies in association with a leg focused traction treatment procedures in a medical setting.  Most nations, for tariff and trade purposes, schedule these products under HS 901811.</t>
  </si>
  <si>
    <t>Pelvis or back traction supplies</t>
  </si>
  <si>
    <t>In this classification, this commodity indicates a product used as consumable supplies in association with a pelvic or back focused traction treatment procedures in a medical setting.  Most nations, for tariff and trade purposes, schedule these products under HS 901811.</t>
  </si>
  <si>
    <t>Pivotal traction therapy supplies</t>
  </si>
  <si>
    <t>In this classification, this commodity indicates a product used as therapy supplies in association with orthopedic traction treatment procedures in a medical setting.  Most nations, for tariff and trade purposes, schedule these products under HS 901811.</t>
  </si>
  <si>
    <t>Orthopedic traction hardware or weights</t>
  </si>
  <si>
    <t>In this classification, this commodity indicates a product used as orthopedic hardware or weights in association with traction treatment procedures in a medical setting.  Most nations, for tariff and trade purposes, schedule these products under HS 901890.</t>
  </si>
  <si>
    <t>Orthopedic traction softgoods for general use</t>
  </si>
  <si>
    <t>In this classification, this commodity indicates a product mostly nondurable goods as represented especially by textile products used in association with orthopedic traction treatment for general use in a medical setting.  Most nations, for tariff and trade purposes, schedule these products under HS 901890.</t>
  </si>
  <si>
    <t>42250000</t>
  </si>
  <si>
    <t>Physical and occupational therapy and rehabilitation products</t>
  </si>
  <si>
    <t>In this classification, this family includes the products and supplies used in the portion of medical interactions that focused of a physical or occupational therapy or rehabilitation related nature.</t>
  </si>
  <si>
    <t>42251500</t>
  </si>
  <si>
    <t>Cognitive and dexterity and perceptual and sensory evaluation and therapy products</t>
  </si>
  <si>
    <t>In this classification, this class includes, products, components, accessories, and supplies, utilized in cognitive and dexterity and perceptual and sensory evaluation and therapy based medical procedures.</t>
  </si>
  <si>
    <t>Dressing education products</t>
  </si>
  <si>
    <t>In this classification, this commodity indicates a product used as a education system focused on dressing management in a medical setting Most nations, for tariff and trade purposes, schedule these products under HS 491110.</t>
  </si>
  <si>
    <t>Cognitive or dexterity or perceptual or sensory evaluation or testing products</t>
  </si>
  <si>
    <t>In this classification, this commodity indicates a product used as a product associated with the testing or evaluating of cognitive, dexterity, sensory or perceptual capacity  in a medical setting Most nations, for tariff and trade purposes, schedule these products under HS 491110.</t>
  </si>
  <si>
    <t>Therapeutic games</t>
  </si>
  <si>
    <t>In this classification, this commodity indicates a product used as a game to aid in therapeutic activities in a medical setting.  Most nations, for tariff and trade purposes, schedule these products under HS 901910.</t>
  </si>
  <si>
    <t>Therapeutic pegboards or activity boards</t>
  </si>
  <si>
    <t>In this classification, this commodity indicates a product used as a pegboard or activity board to aid in therapeutic activities in a medical setting.  Most nations, for tariff and trade purposes, schedule these products under HS 901910.</t>
  </si>
  <si>
    <t>Therapeutic puzzles</t>
  </si>
  <si>
    <t>In this classification, this commodity indicates a product used as a puzzle to aid in therapeutic activities in a medical setting.  Most nations, for tariff and trade purposes, schedule these products under HS 901910.</t>
  </si>
  <si>
    <t>Therapeutic decorating boxes</t>
  </si>
  <si>
    <t>In this classification, this commodity indicates a product used as a decorating box to aid in therapeutic activities in a medical setting.  Most nations, for tariff and trade purposes, schedule these products under HS 901839.</t>
  </si>
  <si>
    <t>42251600</t>
  </si>
  <si>
    <t>Rehabilitation exercise devices and equipment</t>
  </si>
  <si>
    <t>In this classification, this class includes, equipment, products, components, accessories, and supplies, utilized in Rehabilitation exercise procedures.</t>
  </si>
  <si>
    <t>Balance beams or boards or bolsters or rockers for rehabilitation or therapy</t>
  </si>
  <si>
    <t>In this classification, this commodity that indicates a product that is used as a balance beam, board, bolster, or rocker for rehabilitation or therapeutic procedures in a medical setting Most nations, for tariff and trade purposes, schedule these products under HS 901910.</t>
  </si>
  <si>
    <t>Climbing devices for rehabilitation or therapy</t>
  </si>
  <si>
    <t>In this classification, this commodity that indicates a product that is used as a climbing device for rehabilitation or therapeutic procedures in a medical setting Most nations, for tariff and trade purposes, schedule these products under HS 901910.</t>
  </si>
  <si>
    <t>Continuous passive motion CPM devices</t>
  </si>
  <si>
    <t>In this classification, this commodity indicates a product used as a device which constantly moves the joint through a controlled range of motion; the exact range is dependent upon the joint, but in most cases the range of motion is increased over time in a medical setting Most nations, for tariff and trade purposes, schedule these products under HS 901910.</t>
  </si>
  <si>
    <t>Extremity exercise skates for rehabilitation or therapy</t>
  </si>
  <si>
    <t>In this classification, this commodity that indicates a product that is used as an extremity exercise skate for rehabilitation or therapeutic procedures in a medical setting Most nations, for tariff and trade purposes, schedule these products under HS 901831.</t>
  </si>
  <si>
    <t>Pedal exercisers for rehabilitation or therapy</t>
  </si>
  <si>
    <t>In this classification, this commodity that indicates a product that is used as a pedal exerciser for rehabilitation or therapeutic procedures in a medical setting Most nations, for tariff and trade purposes, schedule these products under HS 901910.</t>
  </si>
  <si>
    <t>Powder boards for rehabilitation or therapy</t>
  </si>
  <si>
    <t>In this classification, this commodity that indicates a product that is used as a powder board for rehabilitation or therapeutic procedures in a medical setting Most nations, for tariff and trade purposes, schedule these products under HS 901839.</t>
  </si>
  <si>
    <t>Pulleys for rehabilitation or therapy</t>
  </si>
  <si>
    <t>In this classification, this commodity that indicates a product that is used as a pulley for rehabilitation or therapeutic procedures in a medical setting Most nations, for tariff and trade purposes, schedule these products under HS 901910.</t>
  </si>
  <si>
    <t>Resistive exercise bands or putty or tubing for rehabilitation or therapy</t>
  </si>
  <si>
    <t>In this classification, this commodity that indicates a product that is used as a resistive exercise band, putty, or tubing for rehabilitation or therapeutic procedures in a medical setting Most nations, for tariff and trade purposes, schedule these products under HS 901839.</t>
  </si>
  <si>
    <t>Skateboards or figure eight boards for rehabilitation or therapy</t>
  </si>
  <si>
    <t>In this classification, this commodity that indicates a product that is used as a skateboards or figure eight board for rehabilitation or therapeutic procedures in a medical setting Most nations, for tariff and trade purposes, schedule these products under HS 901839.</t>
  </si>
  <si>
    <t>Therapeutic balls</t>
  </si>
  <si>
    <t>In this classification, this commodity indicates a product used as a set of balls to aid in therapeutic activities in a medical setting.  Most nations, for tariff and trade purposes, schedule these products under HS 901839.</t>
  </si>
  <si>
    <t>Vestibular motion devices for rehabilitation or therapy</t>
  </si>
  <si>
    <t>In this classification, this commodity that indicates a product that is used as a for rehabilitation or therapeutic procedures associated with vestibular motion functions in a medical setting Most nations, for tariff and trade purposes, schedule these products under HS 901910.</t>
  </si>
  <si>
    <t>Weights or sets for rehabilitation or therapy</t>
  </si>
  <si>
    <t>In this classification, this commodity that indicates a product that is used as a weight set for rehabilitation or therapeutic procedures in a medical setting Most nations, for tariff and trade purposes, schedule these products under HS 901910.</t>
  </si>
  <si>
    <t>Treadmill exercisers for rehabilitation or therapy</t>
  </si>
  <si>
    <t>In this classification, this commodity that indicates a product that is used as a for rehabilitation or therapeutic procedures in a medical setting Most nations, for tariff and trade purposes, schedule these products under HS 901839.</t>
  </si>
  <si>
    <t>Sandbags or sandbag sets for rehabilitation or therapy</t>
  </si>
  <si>
    <t>In this classification, this commodity that indicates a product that is used as a sand bag or sandbag set for rehabilitation or therapeutic procedures in a medical setting Most nations, for tariff and trade purposes, schedule these products under HS 901839.</t>
  </si>
  <si>
    <t>Weight belts or kits for rehabilitation or therapy</t>
  </si>
  <si>
    <t>In this classification, this commodity indicates a product that is a prepackaged collection (either custom or standard) of the equipment and supplies that enable weight belt use in a rehabilatory medical setting.  Most nations, for tariff and trade purposes, schedule these products under HS 901839.</t>
  </si>
  <si>
    <t>Electric vibrators for rehabilitation or therapy</t>
  </si>
  <si>
    <t>In this classification, this commodity indicates a product that is a prepackaged collection (either custom or standard) of the equipment and supplies that enable weight belt use in a rehabilatory medical setting Most nations, for tariff and trade purposes, schedule these products under HS 901910.</t>
  </si>
  <si>
    <t>Therapeutic cushion seats</t>
  </si>
  <si>
    <t>In this classification, this commodity that indicates a product that is used as an electric vibrator for rehabilitation or therapeutic procedures in a medical setting Most nations, for tariff and trade purposes, schedule these products under HS 940290.</t>
  </si>
  <si>
    <t>Wrist exercisers for rehabilitation or therapy</t>
  </si>
  <si>
    <t>In this classification, this commodity that indicates a product that is used as a wrist exerciser for rehabilitation or therapeutic procedures in a medical setting Most nations, for tariff and trade purposes, schedule these products under HS 901910.</t>
  </si>
  <si>
    <t>Therapeutic ceramic clays</t>
  </si>
  <si>
    <t>In this classification, this commodity indicates a product used as a ceramic clay to aid in therapeutic activities in a medical setting.  Most nations, for tariff and trade purposes, schedule these products under HS 901890.</t>
  </si>
  <si>
    <t>Mats or platforms for rehabilitation or therapy</t>
  </si>
  <si>
    <t>In this classification, this commodity that indicates a product that is used as a mat or platform for rehabilitation or therapeutic procedures in a medical setting Most nations, for tariff and trade purposes, schedule these products under HS 901890.</t>
  </si>
  <si>
    <t>Boot exercisers for rehabilitation or therapy</t>
  </si>
  <si>
    <t>In this classification, this commodity that indicates a product that is used as a boot exerciser for rehabilitation or therapeutic procedures in a medical setting Most nations, for tariff and trade purposes, schedule these products under HS 901910.</t>
  </si>
  <si>
    <t>Lung exercisers for rehabilitation or therapy</t>
  </si>
  <si>
    <t>In this classification, this commodity that indicates a product that is used as a lung exerciser for rehabilitation or therapeutic procedures in a medical setting.  US FDA regulates Lung exercisers for rehabilitation or therapy under 21 CFR 868.5690 and under FDA product code BWF.  Most nations, for tariff and trade purposes, schedule these products under HS 901910.</t>
  </si>
  <si>
    <t>Ultrasonic therapy apparatus or supplies</t>
  </si>
  <si>
    <t>In this classification, this commodity indicates a product used as a device that  produces high-frequency sound waves that travel deep into tissue and create gentle therapeutic heat or the associated consumables for such an apparatus  in a medical setting Most nations, for tariff and trade purposes, schedule these products under HS 901811.</t>
  </si>
  <si>
    <t>Weight machines for rehabilitation or therapy</t>
  </si>
  <si>
    <t>In this classification, this commodity that indicates a product that is used as a weight machine for rehabilitation or therapeutic procedures in a medical setting Most nations, for tariff and trade purposes, schedule these products under HS 901910.</t>
  </si>
  <si>
    <t>Jaw exercise equipments</t>
  </si>
  <si>
    <t>In this classification, this commodity indicates a piece of equipment used to exercise the jaw in a medical setting Most nations, for tariff and trade purposes, schedule these products under HS 901910.</t>
  </si>
  <si>
    <t>Rehabilitation exercise component accessories</t>
  </si>
  <si>
    <t>In this classification, this commodity indicates a product that is either an accessory or consumable associated with rehabilitation exercise components.  Most nations, for tariff and trade purposes, schedule these products under HS 901910.</t>
  </si>
  <si>
    <t>Finger exercisers for rehabilitation or therapy</t>
  </si>
  <si>
    <t>In this classification, this commodity that indicates a product that is used as a finger exerciser for rehabilitation or therapeutic procedures in a medical setting Most nations, for tariff and trade purposes, schedule these products under HS 901910.</t>
  </si>
  <si>
    <t>Measuring exercise equipments</t>
  </si>
  <si>
    <t>In this classification, this commodity indicates a piece of equipment used to measure the amount of exercise being done the in a medical setting.  Most nations, for tariff and trade purposes, schedule these products under HS 901910.</t>
  </si>
  <si>
    <t>External limb overload warning devices</t>
  </si>
  <si>
    <t>In this classification, this commodity indicates a product used as a  device intended for medical purposes to warn a patient of an overload or an underload in the amount of pressure placed on a leg  in a medical setting Most nations, for tariff and trade purposes, schedule these products under HS 901910.</t>
  </si>
  <si>
    <t>Prone patient scooter boards for rehabilitation or therapy</t>
  </si>
  <si>
    <t>In this classification, this commodity that indicates a product that is used as a prone patient scooter board for rehabilitation or therapeutic procedures in a medical setting Most nations, for tariff and trade purposes, schedule these products under HS 901910.</t>
  </si>
  <si>
    <t>Orthopedic scar pumps</t>
  </si>
  <si>
    <t>In this classification, this commodity indicates a product that is used as a scar pump in an orthopedic procedure, in a medical setting.  Most nations, for tariff and trade purposes, schedule these products under HS 901890.</t>
  </si>
  <si>
    <t>Continuous passive motion CPM device accessories</t>
  </si>
  <si>
    <t>In this classification, this commodity indicates a product used as an accessory for a continuous passive motion CPM device used in a medical setting.</t>
  </si>
  <si>
    <t>42251700</t>
  </si>
  <si>
    <t>Gait training products</t>
  </si>
  <si>
    <t>In this classification, this class includes, products, components, accessories, and supplies, utilized in gait training procedures.</t>
  </si>
  <si>
    <t>Gait belts for rehabilitation or therapy</t>
  </si>
  <si>
    <t>In this classification, this commodity that indicates a product that is used as a gait belt for rehabilitation or therapeutic procedures in a medical setting Most nations, for tariff and trade purposes, schedule these products under HS 901910.</t>
  </si>
  <si>
    <t>Training ramps for rehabilitation or therapy</t>
  </si>
  <si>
    <t>In this classification, this commodity that indicates a product that is used as a training ramp for rehabilitation or therapeutic procedures in a medical setting Most nations, for tariff and trade purposes, schedule these products under HS 901910.</t>
  </si>
  <si>
    <t>Training stairs for rehabilitation or therapy</t>
  </si>
  <si>
    <t>In this classification, this commodity that indicates a product that is used as a training stair for rehabilitation or therapeutic procedures in a medical setting Most nations, for tariff and trade purposes, schedule these products under HS 901910.</t>
  </si>
  <si>
    <t>Gait bars for rehabilitation or therapy</t>
  </si>
  <si>
    <t>In this classification, this commodity that indicates a product that is used as a gait bar for rehabilitation or therapeutic procedures in a medical setting Most nations, for tariff and trade purposes, schedule these products under HS 901910.</t>
  </si>
  <si>
    <t>Parallel bars for rehabilitation or therapy</t>
  </si>
  <si>
    <t>In this classification, this commodity that indicates a product that is used as a set of parallel bars for rehabilitation or therapeutic procedures in a medical setting Most nations, for tariff and trade purposes, schedule these products under HS 901910.</t>
  </si>
  <si>
    <t>Gait training walkers or bikers or exercisers</t>
  </si>
  <si>
    <t>In this classification, this commodity indicates a product used as a  device of various forms used to help patients in requiring a proper walking gait after an injury in a medical setting Most nations, for tariff and trade purposes, schedule these products under HS 901910.</t>
  </si>
  <si>
    <t>Gait training product accessories</t>
  </si>
  <si>
    <t>In this classification, this commodity indicates a product used as an accessory for gait training products used  in a medical setting.</t>
  </si>
  <si>
    <t>42251800</t>
  </si>
  <si>
    <t>Work hardening equipment for rehabilitation or therapy</t>
  </si>
  <si>
    <t>In this classification, this class includes, products, components, accessories, and supplies, utilized in Work hardening equipment for rehabilitation or therapy procedures.</t>
  </si>
  <si>
    <t>Bolt boards for rehabilitation or therapy</t>
  </si>
  <si>
    <t>In this classification, this commodity indicates a product that is either an accessory or consumable associated with bolt board for rehabilitation or therapeutic purposes Most nations, for tariff and trade purposes, schedule these products under HS 901910.</t>
  </si>
  <si>
    <t>Lift boxes for rehabilitation or therapy</t>
  </si>
  <si>
    <t>In this classification, this commodity indicates a product that is either an accessory or consumable associated with lift box for rehabilitation or therapeutic purposes Most nations, for tariff and trade purposes, schedule these products under HS 901910.</t>
  </si>
  <si>
    <t>Pipe trees for rehabilitation or therapy</t>
  </si>
  <si>
    <t>In this classification, this commodity indicates a product that is either an accessory or consumable associated with pipetree for rehabilitation or therapeutic purposes Most nations, for tariff and trade purposes, schedule these products under HS 901910.</t>
  </si>
  <si>
    <t>Push or pull carts for rehabilitation or therapy</t>
  </si>
  <si>
    <t>In this classification, this commodity indicates a product that is either an accessory or consumable associated with work table or station for rehabilitation or therapeutic purposes Most nations, for tariff and trade purposes, schedule these products under HS 940290.</t>
  </si>
  <si>
    <t>Work tables or stations or accessories for rehabilitation or therapy</t>
  </si>
  <si>
    <t>In this classification, this commodity indicates a product that is either an accessory or consumable associated with work tables or stations or for rehabilitation or therapies.  Most nations, for tariff and trade purposes, schedule these products under HS 940290.</t>
  </si>
  <si>
    <t>Push or pull cart accessories for rehabilitation or therapy</t>
  </si>
  <si>
    <t>In this classification, this commodity indicates a product that is either an accessory or consumable associated with push or pull cart for rehabilitation or therapies.  Most nations, for tariff and trade purposes, schedule these products under HS 901910.</t>
  </si>
  <si>
    <t>Bolt board accessories for rehabilitation or therapy</t>
  </si>
  <si>
    <t>In this classification, this commodity indicates a product that is either an accessory or consumable associated with bolt board for rehabilitation or therapies.  Most nations, for tariff and trade purposes, schedule these products under HS 901910.</t>
  </si>
  <si>
    <t>Lift box accessories for rehabilitation or therapy</t>
  </si>
  <si>
    <t>In this classification, this commodity indicates a product that is either an accessory or consumable associated with lift box for rehabilitation or therapies.  Most nations, for tariff and trade purposes, schedule these products under HS 901910.</t>
  </si>
  <si>
    <t>Pipe tree accessories for rehabilitation or therapy</t>
  </si>
  <si>
    <t>In this classification, this commodity indicates a product that is either an accessory or consumable associated with pipe treefore rehabilitation or therapies.  Most nations, for tariff and trade purposes, schedule these products under HS 901910.</t>
  </si>
  <si>
    <t>Work table or station accessories for rehabilitation or therapy</t>
  </si>
  <si>
    <t>In this classification, this commodity indicates a product that is either an accessory or consumable associated with work table or station for rehabilitation or therapies.  Most nations, for tariff and trade purposes, schedule these products under HS 901910.</t>
  </si>
  <si>
    <t>42260000</t>
  </si>
  <si>
    <t>Postmortem and mortuary equipment and supplies</t>
  </si>
  <si>
    <t>In this classification, this family includes the products and supplies used in the portion of medical interactions that is focused on postmortem and mortuary centered procedures.</t>
  </si>
  <si>
    <t>42261500</t>
  </si>
  <si>
    <t>Pathology dissection instruments and supplies</t>
  </si>
  <si>
    <t>In this classification, this class includes, products, components, accessories, and supplies, utilized in Pathology dissection based medical procedures.</t>
  </si>
  <si>
    <t>Autopsy scissors</t>
  </si>
  <si>
    <t>In this classification, this commodity that is a product used as a scissor in association with autopsy procedures in a medical setting.  Most nations, for tariff and trade purposes, schedule these products under HS 901890.</t>
  </si>
  <si>
    <t>Autopsy dissection forceps for general use</t>
  </si>
  <si>
    <t>In this classification, this commodity that is a product used as a dissection forcep in association with autopsy procedures in a medical setting.  Most nations, for tariff and trade purposes, schedule these products under HS 901890.</t>
  </si>
  <si>
    <t>Autopsy bullet probes</t>
  </si>
  <si>
    <t>In this classification, this commodity that is a product used as a bullet probe in association with autopsy procedures in a medical setting.  Most nations, for tariff and trade purposes, schedule these products under HS 901890.</t>
  </si>
  <si>
    <t>Autopsy thread or needle pullers</t>
  </si>
  <si>
    <t>In this classification, this commodity that is a product used as a thread or needle puller in association with autopsy procedures in a medical setting.  Most nations, for tariff and trade purposes, schedule these products under HS 901832.</t>
  </si>
  <si>
    <t>Autopsy knives or blades</t>
  </si>
  <si>
    <t>In this classification, this commodity that is a product used as a knife or blade in association with autopsy procedures in a medical setting.  US FDA regulates Autopsy knives or blades under 21 CFR 878.48 and under FDA product code LRO.  Most nations, for tariff and trade purposes, schedule these products under HS 901890.</t>
  </si>
  <si>
    <t>Autopsy chisels or osteotomes</t>
  </si>
  <si>
    <t>In this classification, this commodity that is a product used as a chisel or osteotome in association with autopsy procedures in a medical setting.  US FDA regulates Autopsy chisels or osteotomes under 21 CFR 878.1340 and under FDA product code OFC.  Most nations, for tariff and trade purposes, schedule these products under HS 901890.</t>
  </si>
  <si>
    <t>Postmortem threads</t>
  </si>
  <si>
    <t>In this classification, this commodity indicates a product used as thred for postmortem procedures in a medical setting Most nations, for tariff and trade purposes, schedule these products under HS 502521.</t>
  </si>
  <si>
    <t>Postmortem needles</t>
  </si>
  <si>
    <t>Autopsy dissection kits</t>
  </si>
  <si>
    <t>In this classification, this commodity indicates a product that is a prepackaged collection (either custom or standard) of the equipment and supplies used to perform an autopsy dissection procedure in a medical setting.  US FDA regulates Autopsy dissection kits under 21 CFR 872.4120 and under FDA product code DWI.  Most nations, for tariff and trade purposes, schedule these products under HS 901890.</t>
  </si>
  <si>
    <t>Postmortem incision clips</t>
  </si>
  <si>
    <t>In this classification, this commodity indicates a product used as an incision clips for postmortem surgical procedures in a medical setting Most nations, for tariff and trade purposes, schedule these products under HS 901839.</t>
  </si>
  <si>
    <t>Autopsy vein directors</t>
  </si>
  <si>
    <t>In this classification, this commodity that is a product used as a vein director in association with autopsy procedures in a medical setting.  US FDA regulates Autopsy vein directors under 21 CFR 878.4820 and under FDA product code DWH.  Most nations, for tariff and trade purposes, schedule these products under HS 901839.</t>
  </si>
  <si>
    <t>Autopsy saws</t>
  </si>
  <si>
    <t>In this classification, this commodity that is a product used as a saw in association with autopsy procedures in a medical setting.  US FDA regulates Autopsy saws under 21 CFR 872.4120 and under FDA product code DWI.  Most nations, for tariff and trade purposes, schedule these products under HS 901890.</t>
  </si>
  <si>
    <t>Autopsy saw blades</t>
  </si>
  <si>
    <t>In this classification, this commodity that is a product used as a saw blade in association with autopsy procedures in a medical setting.  US FDA regulates Autopsy saw blades under 21 CFR 878.4820 and under FDA product code DWH.  Most nations, for tariff and trade purposes, schedule these products under HS 901890.</t>
  </si>
  <si>
    <t>Dissection boards or pads</t>
  </si>
  <si>
    <t>In this classification, this commodity indicates a product used as aboard or pad used for the dissection of human body parts  in a medical setting Most nations, for tariff and trade purposes, schedule these products under HS 329690.</t>
  </si>
  <si>
    <t>Instrument rolls for postmortem surgical instruments</t>
  </si>
  <si>
    <t>In this classification, this commodity indicates a product used as an instrument rolls for postmortem surgical instruments in a medical setting Most nations, for tariff and trade purposes, schedule these products under HS 901811.</t>
  </si>
  <si>
    <t>42261600</t>
  </si>
  <si>
    <t>Autopsy equipment and supplies</t>
  </si>
  <si>
    <t>In this classification, this class includes, the equipment and supplies utilized in autopsy based medical procedures.</t>
  </si>
  <si>
    <t>Bone dust collectors</t>
  </si>
  <si>
    <t>In this classification, this commodity indicates a product used as a device used to collect bone debris, removing it from the operating field, during surgical  or other procedures  that involve drilling, cutting, sawing bone, in a medical setting.  US FDA regulates Bone dust collectors under 21 CFR 880.69 and under FDA product code FPP.  Most nations, for tariff and trade purposes, schedule these products under HS 901890.</t>
  </si>
  <si>
    <t>Medical body bags</t>
  </si>
  <si>
    <t>In this classification, this commodity indicates a product that is used as a medically related body bagsUS FDA regulates Medical body bags under 21 CFR 878.4040 and under FDA product code OKF.  Most nations, for tariff and trade purposes, schedule these products under HS 392690.</t>
  </si>
  <si>
    <t>Autopsy head rests</t>
  </si>
  <si>
    <t>In this classification, this commodity that is a product used as a head rest in association with autopsy procedures in a medical setting.  Most nations, for tariff and trade purposes, schedule these products under HS 392690.</t>
  </si>
  <si>
    <t>Autopsy body boards</t>
  </si>
  <si>
    <t>In this classification, this commodity that is a product used as an in association with autopsy procedures in a medical setting.  US FDA regulates Autopsy body boards under 21 CFR 880.69 and under FDA product code FPP.  Most nations, for tariff and trade purposes, schedule these products under HS 329690.</t>
  </si>
  <si>
    <t>Autopsy hanging scales</t>
  </si>
  <si>
    <t>In this classification, this commodity that is a product used as a hanging scale in association with autopsy procedures in a medical setting.  Most nations, for tariff and trade purposes, schedule these products under HS 842310.</t>
  </si>
  <si>
    <t>Autopsy specimen bags or containers</t>
  </si>
  <si>
    <t>In this classification, this commodity that is a product used as a specimen bags or container in association with autopsy procedures in a medical setting.  Most nations, for tariff and trade purposes, schedule these products under HS 392690.</t>
  </si>
  <si>
    <t>Autopsy infectious disease kits</t>
  </si>
  <si>
    <t>In this classification, this commodity indicates a production this classification, this commodity indicates a product that is a prepackaged collection (either custom or standard) of the equipment and supplies used to perform autopsy infectious disease examination procedure in a medical setting.  US FDA regulates Autopsy infectious disease kits under 21 CFR 878.4040 and under FDA product code OKH.  Most nations, for tariff and trade purposes, schedule these products under HS 630790.</t>
  </si>
  <si>
    <t>Postmortem identification tags or bracelets</t>
  </si>
  <si>
    <t>In this classification, this commodity indicates a product used as an identification tag or bracelet for postmortem procedures in a medical setting.  US FDA regulates Postmortem identification tags or bracelets under 21 CFR 878.4960 and under FDA product code LGX.  Most nations, for tariff and trade purposes, schedule these products under HS 831000.</t>
  </si>
  <si>
    <t>Autopsy fluid collection vacuum aspirators or tubing</t>
  </si>
  <si>
    <t>In this classification, this commodity that is a product used as a fluid collection vacuum aspirator or tubing in association with autopsy procedures in a medical setting.  Most nations, for tariff and trade purposes, schedule these products under HS 901839.</t>
  </si>
  <si>
    <t>Postmortem rectal thermometers</t>
  </si>
  <si>
    <t>In this classification, this commodity indicates a product used as an rectal thermometer for postmortem procedures in a medical setting.  US FDA regulates Postmortem rectal thermometers under 21 CFR 880.2920 and under FDA product code FLK.  Most nations, for tariff and trade purposes, schedule these products under HS 902511.</t>
  </si>
  <si>
    <t>Postmortem finger straighteners</t>
  </si>
  <si>
    <t>In this classification, this commodity indicates a product used as an finger straightener for postmortem procedures in a medical setting Most nations, for tariff and trade purposes, schedule these products under HS 901890.</t>
  </si>
  <si>
    <t>Cadaver tissue builder kits</t>
  </si>
  <si>
    <t>In this classification, this commodity indicates a product that is a prepackaged collection (either custom or standard) of the equipment and supplies used to perform cadaver tissue building procedure in a medical setting.  Most nations, for tariff and trade purposes, schedule these products under HS 901890.</t>
  </si>
  <si>
    <t>42261700</t>
  </si>
  <si>
    <t>Autopsy furniture</t>
  </si>
  <si>
    <t>In this classification, this class includes, products, components, accessories, and supplies, utilized as autopsy furniture.</t>
  </si>
  <si>
    <t>Autopsy grossing workstations</t>
  </si>
  <si>
    <t>In this classification, this commodity that is a product used as a grossing workstation in association with autopsy procedures in a medical setting.  US FDA regulates Autopsy grossing workstations under 21 CFR 878.4960 and under FDA product code LGX.  Most nations, for tariff and trade purposes, schedule these products under HS 940290.</t>
  </si>
  <si>
    <t>Autopsy sinks</t>
  </si>
  <si>
    <t>In this classification, this commodity that is a product used as a sink in association with autopsy procedures in a medical setting.  Most nations, for tariff and trade purposes, schedule these products under HS 901890.</t>
  </si>
  <si>
    <t>Autopsy tables</t>
  </si>
  <si>
    <t>In this classification, this commodity that is a product used as a table in association with autopsy procedures in a medical setting.  Most nations, for tariff and trade purposes, schedule these products under HS 940290.</t>
  </si>
  <si>
    <t>Necropsy tables</t>
  </si>
  <si>
    <t>In this classification, this commodity indicates a product used as a table conformed specifically for \ a surgical examination of a dead body in a medical setting Most nations, for tariff and trade purposes, schedule these products under HS 940290.</t>
  </si>
  <si>
    <t>Postmortem animal dissection tables</t>
  </si>
  <si>
    <t>In this classification, this commodity indicates a product used as an incision clips for postmortem surgical procedures in a medical setting Most nations, for tariff and trade purposes, schedule these products under HS 940290.</t>
  </si>
  <si>
    <t>Embalming workstations</t>
  </si>
  <si>
    <t>In this classification, this commodity indicates a product used as a workstation in an embalming station in a medical setting Most nations, for tariff and trade purposes, schedule these products under HS 901839.</t>
  </si>
  <si>
    <t>Autopsy down draft workstations</t>
  </si>
  <si>
    <t>In this classification, this commodity that is a product used as a down draft workstation in association with autopsy procedures in a medical setting.  US FDA regulates Autopsy down draft workstations under 21 CFR 878.4960 and under FDA product code LGX.  Most nations, for tariff and trade purposes, schedule these products under HS 940290.</t>
  </si>
  <si>
    <t>Autopsy workstation or furniture accessories</t>
  </si>
  <si>
    <t>In this classification, this commodity is a product used as an accessory to grossing workstations and associated furniture in association with autopsy procedures in a medical setting.  US FDA regulates autopsy grossing workstations under 21 CFR 878.4960 and under FDA product code LGX. Most nations, for tariff and trade purposes, schedule grossing workstations under HS 940290.</t>
  </si>
  <si>
    <t>42261800</t>
  </si>
  <si>
    <t>Cadaver transport and storage equipment and supplies</t>
  </si>
  <si>
    <t>In this classification, this class includes the equipment and supplies utilized in cadaver transport and storage based medical procedures.</t>
  </si>
  <si>
    <t>Cadaver storage racks</t>
  </si>
  <si>
    <t>In this classification, this commodity indicates a product used as a storage rack having to do with cadaver, in a medical setting.  Most nations, for tariff and trade purposes, schedule these products under HS 901890.</t>
  </si>
  <si>
    <t>Cadaver carriers</t>
  </si>
  <si>
    <t>In this classification, this commodity indicates a product used as a carrier having to do with cadaver, in a medical setting.  Most nations, for tariff and trade purposes, schedule these products under HS 901890.</t>
  </si>
  <si>
    <t>Cadaver scissor lift trolleys</t>
  </si>
  <si>
    <t>In this classification, this commodity indicates a product used as a scissor lift trolley having to do with cadaver, in a medical setting.  Most nations, for tariff and trade purposes, schedule these products under HS 901839.</t>
  </si>
  <si>
    <t>Morgue cabinet refrigerators</t>
  </si>
  <si>
    <t>In this classification, this commodity indicates a product used as a cabinet refrigerator in a morgue Most nations, for tariff and trade purposes, schedule these products under HS 901839.</t>
  </si>
  <si>
    <t>Morgue walk in refrigerators</t>
  </si>
  <si>
    <t>In this classification, this commodity indicates a product used as a walk in refrigerator in a morgue Most nations, for tariff and trade purposes, schedule these products under HS 901839.</t>
  </si>
  <si>
    <t>Morgue freezers</t>
  </si>
  <si>
    <t>In this classification, this commodity indicates a product used as a freezer in a morgue Most nations, for tariff and trade purposes, schedule these products under HS 901839.</t>
  </si>
  <si>
    <t>Autopsy carts</t>
  </si>
  <si>
    <t>In this classification, this commodity that is a product used as an in association with autopsy procedures in a medical setting.  Most nations, for tariff and trade purposes, schedule these products under HS 940290.</t>
  </si>
  <si>
    <t>Cadaver trays</t>
  </si>
  <si>
    <t>In this classification, this commodity indicates a product used as a tray having to do with cadaver, in a medical setting.  Most nations, for tariff and trade purposes, schedule these products under HS 901839.</t>
  </si>
  <si>
    <t>Cadaver lifter or transfer devices</t>
  </si>
  <si>
    <t>In this classification, this commodity indicates a product used as a lift or transfer device having to do with cadaver, in a medical setting.  Most nations, for tariff and trade purposes, schedule these products under HS 901811.</t>
  </si>
  <si>
    <t>Body transport containers</t>
  </si>
  <si>
    <t>In this classification, this commodity indicates a product used as a container conformed for the intermediate transportation of a dead human body  in a medical setting Most nations, for tariff and trade purposes, schedule these products under HS 901839.</t>
  </si>
  <si>
    <t>42261900</t>
  </si>
  <si>
    <t>Clinical forensics equipment and supplies</t>
  </si>
  <si>
    <t>In this classification, this class includes, the equipment and supplies utilized in clinical based forensic medical procedures.</t>
  </si>
  <si>
    <t>Postmortem fingerprint or impression materials</t>
  </si>
  <si>
    <t>In this classification, this commodity indicates a product used as an fingerprint or impression material for postmortem procedures in a medical setting Most nations, for tariff and trade purposes, schedule these products under HS 901839.</t>
  </si>
  <si>
    <t>Antiputrefaction masks</t>
  </si>
  <si>
    <t>In this classification, this commodity indicates a product used as a  mask to forestall putrefication of eyes, nasal passage mouth and face of a person in a medical setting Most nations, for tariff and trade purposes, schedule these products under HS 901811.</t>
  </si>
  <si>
    <t>Postmortem blood detection kits or supplies</t>
  </si>
  <si>
    <t>In this classification, this commodity indicates a product that is a prepackaged collection (either custom or standard) of the equipment and supplies used to perform a postmortem blood detection procedure in a medical setting.  Most nations, for tariff and trade purposes, schedule these products under HS 901811.</t>
  </si>
  <si>
    <t>Biological evidence collection kits</t>
  </si>
  <si>
    <t>In this classification, this commodity indicates a product that is a prepackaged collection (either custom or standard) of the equipment and supplies used to perform a biological evidence collection procedure in a medical setting.  Most nations, for tariff and trade purposes, schedule these products under HS 901811.</t>
  </si>
  <si>
    <t>42262000</t>
  </si>
  <si>
    <t>Embalming equipment and supplies</t>
  </si>
  <si>
    <t>In this classification, this class includes, the equipment and supplies utilized in embalming based medical procedures.</t>
  </si>
  <si>
    <t>Embalming cavity injectors</t>
  </si>
  <si>
    <t>In this classification, this commodity indicates a product used as a cavity injector in an embalming station in a medical setting Most nations, for tariff and trade purposes, schedule these products under HS 901832.</t>
  </si>
  <si>
    <t>Embalming vein drainage tubes</t>
  </si>
  <si>
    <t>In this classification, this commodity indicates a product that is used as a tube for draining veins in an embalming procedure in a medical setting.  Most nations, for tariff and trade purposes, schedule these products under HS 901839.</t>
  </si>
  <si>
    <t>Embalming fluids or chemical treatments</t>
  </si>
  <si>
    <t>In this classification, this commodity indicates a product used as embalming fluid or chemical treatment in an embalming station in a medical setting Most nations, for tariff and trade purposes, schedule these products under HS 300339.</t>
  </si>
  <si>
    <t>Embalming injecting tubes</t>
  </si>
  <si>
    <t>In this classification, this commodity indicates a product that is used as a tube for injecting embalming fluid in an embalming procedure in a medical setting.  Most nations, for tariff and trade purposes, schedule these products under HS 901839.</t>
  </si>
  <si>
    <t>Embalming sinks</t>
  </si>
  <si>
    <t>In this classification, this commodity indicates a product used as a sink in an embalming station in a medical setting Most nations, for tariff and trade purposes, schedule these products under HS 901811.</t>
  </si>
  <si>
    <t>Embalming kits</t>
  </si>
  <si>
    <t>In this classification, this commodity indicates a product that is a prepackaged collection (either custom or standard) of the equipment and supplies used to perform embalming procedure in a medical setting.  US FDA regulates Embalming kits under 21 CFR 878.48 and under FDA product code KDD.  Most nations, for tariff and trade purposes, schedule these products under HS 901890.</t>
  </si>
  <si>
    <t>Embalming injector needles</t>
  </si>
  <si>
    <t>Eye caps</t>
  </si>
  <si>
    <t>In this classification, this commodity indicates a product used as a protective eye cap in various procedures in a medical setting Most nations, for tariff and trade purposes, schedule these products under HS 901811.</t>
  </si>
  <si>
    <t>Embalming sink accessories</t>
  </si>
  <si>
    <t>In this classification, this commodity indicates a product used as an accessory for a sink in an embalming station in a medical setting.  Most nations, for tariff and trade purposes, schedule embalming sink accessories under HS 901811.</t>
  </si>
  <si>
    <t>42262100</t>
  </si>
  <si>
    <t>Mortuary equipment and supplies</t>
  </si>
  <si>
    <t>In this classification, this class includes, the equipment and supplies utilized in mortuary management procedures.</t>
  </si>
  <si>
    <t>Mortuary outfits</t>
  </si>
  <si>
    <t>In this classification, this commodity indicates a product used as a outfit of clothing in association with mortuary services.  Most nations, for tariff and trade purposes, schedule these products under HS 401490.</t>
  </si>
  <si>
    <t>Mortuary packs</t>
  </si>
  <si>
    <t>In this classification, this commodity indicates a product used as a storage pack in association with mortuary services.  Most nations, for tariff and trade purposes, schedule these products under HS 901890.</t>
  </si>
  <si>
    <t>Mortuary wraps</t>
  </si>
  <si>
    <t>In this classification, this commodity indicates a product used as a wrap in association with mortuary services.  Most nations, for tariff and trade purposes, schedule these products under HS 901890.</t>
  </si>
  <si>
    <t>Mortuary aspirators</t>
  </si>
  <si>
    <t>In this classification, this commodity indicates a product used as an aspirator in association with mortuary services.  Most nations, for tariff and trade purposes, schedule these products under HS 901890.</t>
  </si>
  <si>
    <t>Mortuary hardening compounds</t>
  </si>
  <si>
    <t>In this classification, this commodity indicates a product used as hardening compound in association with mortuary services.  Most nations, for tariff and trade purposes, schedule these products under HS 901890.</t>
  </si>
  <si>
    <t>42270000</t>
  </si>
  <si>
    <t>Respiratory and anesthesia and resuscitation products</t>
  </si>
  <si>
    <t>In this classification, this family includes the products used in the portion of medical interactions that involve respiratory or anesthetic management and resuscitation based procedures.</t>
  </si>
  <si>
    <t>42271500</t>
  </si>
  <si>
    <t>Respiratory monitoring products</t>
  </si>
  <si>
    <t>In this classification, this class includes, products, components, accessories, and supplies, utilized in Respiratory monitoring based medical procedures.</t>
  </si>
  <si>
    <t>Apnea monitors</t>
  </si>
  <si>
    <t>In this classification, this commodity indicates a product that is a customized computer monitor that displays apnea specific levels.  US FDA regulates Apnea monitors under 21 CFR 868.2375 and under FDA product code BZQ.  Most nations, for tariff and trade purposes, schedule these products under HS 901811.</t>
  </si>
  <si>
    <t>Arterial blood gas monitors</t>
  </si>
  <si>
    <t>In this classification, this commodity indicates a product that is a customized computer monitor that displays arterial blood gas specific levels.  US FDA regulates Arterial blood gas monitors under 21 CFR 868.1150 and under FDA product code CCC.  Most nations, for tariff and trade purposes, schedule these products under HS 852849.</t>
  </si>
  <si>
    <t>End tidal carbon dioxide monitors</t>
  </si>
  <si>
    <t>In this classification, this commodity indicates a product that is a customized computer monitor that displays end tidal carbon dioxide specific levels.  US FDA regulates End tidal carbon dioxide monitors under 21 CFR 868.14 and under FDA product code CCK.  Most nations, for tariff and trade purposes, schedule these products under HS 852849.</t>
  </si>
  <si>
    <t>Esophageal stethoscopes</t>
  </si>
  <si>
    <t>In this classification, this commodity indicates a product used as a non powered device that is inserted into a patient's esophagus to enable the user to listen to heart and breath sounds in a medical setting.  US FDA regulates Esophageal stethoscopes under 21 CFR 868.1920 and under FDA product code BZT.  Most nations, for tariff and trade purposes, schedule these products under HS 392690.</t>
  </si>
  <si>
    <t>Respiratory monitoring kits</t>
  </si>
  <si>
    <t>In this classification, this commodity indicates in this classification, this commodity indicates a product that is a prepackaged collection (either custom or standard) of the equipment and supplies used to perform respiratory monitoring in a medical setting. a product.  US FDA regulates Respiratory monitoring kits under 21 CFR 868.1850 and under FDA product code BZK.  Most nations, for tariff and trade purposes, schedule these products under HS 841381.</t>
  </si>
  <si>
    <t>Arterial blood sampling kits</t>
  </si>
  <si>
    <t>In this classification, this commodity indicates a product that is a prepackaged collection (either custom or standard) of the equipment and supplies used to perform an arterial blood sampling procedure in a medical setting.  Most nations, for tariff and trade purposes, schedule these products under HS 847982.</t>
  </si>
  <si>
    <t>Blood gas monitoring cells</t>
  </si>
  <si>
    <t>In this classification, this commodity indicates a product used as a blood gas monitoring cell in a medical setting.  Most nations, for tariff and trade purposes, schedule these products under HS 847982.</t>
  </si>
  <si>
    <t>Blood gas monitoring sensors</t>
  </si>
  <si>
    <t>In this classification, this commodity indicates a product used as a blood gas monitoring sensor in a medical setting.  Most nations, for tariff and trade purposes, schedule these products under HS 852849.</t>
  </si>
  <si>
    <t>Pulmonary testing system diffusion sample bags</t>
  </si>
  <si>
    <t>In this classification, this commodity indicates a product used as a testing system diffusion sample bag in association with a pulmonary procedure in a medical setting Most nations, for tariff and trade purposes, schedule these products under HS 392690.</t>
  </si>
  <si>
    <t>Ventilatory effort recorders</t>
  </si>
  <si>
    <t>In this classification, this commodity indicates a product used as a recorded of ventilatory capability in patients in a medical setting Most nations, for tariff and trade purposes, schedule these products under HS 901811.</t>
  </si>
  <si>
    <t>Apnea monitor accessories</t>
  </si>
  <si>
    <t>In this classification, this commodity indicates a product that is either an accessory or consumable associated with apnea monitors.  Most nations, for tariff and trade purposes, schedule these products under HS 847982.</t>
  </si>
  <si>
    <t>Arterial blood gas monitor accessories</t>
  </si>
  <si>
    <t>In this classification, this commodity indicates a product that is either an accessory or consumable associated with arterial blood gas monitors.  Most nations, for tariff and trade purposes, schedule these products under HS 902110.</t>
  </si>
  <si>
    <t>End tidal carbon dioxide monitor supplies</t>
  </si>
  <si>
    <t>In this classification, this commodity indicates a product used as the consumable supplies used in a conjunction with a end tidal carbon dioxide monitor  in a medical setting Most nations, for tariff and trade purposes, schedule these products under HS 902110.</t>
  </si>
  <si>
    <t>Respiratory monitoring kit accessories</t>
  </si>
  <si>
    <t>In this classification, this commodity indicates a product that is either an accessory or consumable associated with respiratory monitoring kits.  Most nations, for tariff and trade purposes, schedule these products under HS 901811.</t>
  </si>
  <si>
    <t>42271600</t>
  </si>
  <si>
    <t>Pulmonary function testing and treatment products</t>
  </si>
  <si>
    <t>In this classification, this class includes, products, components, accessories, and supplies, utilized in Pulmonary function testing and treatment based medical procedures.</t>
  </si>
  <si>
    <t>Spirometers</t>
  </si>
  <si>
    <t>In this classification, this commodity indicates a product used as an instrument for measuring the air capacity of the lungs in a medical setting.  US FDA regulates Spirometers under 21 CFR 868.1840 and under FDA product code BWF.  Most nations, for tariff and trade purposes, schedule these products under HS 901920.</t>
  </si>
  <si>
    <t>Bedside pulmonary function screeners</t>
  </si>
  <si>
    <t>In this classification, this commodity indicates a product used as a bedside function screener in association with a pulmonary procedure in a medical setting.  US FDA regulates Bedside pulmonary function screeners under 21 CFR 868.1880 and under FDA product code BTY.  Most nations, for tariff and trade purposes, schedule these products under HS 902000.</t>
  </si>
  <si>
    <t>Peak flowmeters</t>
  </si>
  <si>
    <t>In this classification, this commodity indicates a product used as a calibrated instrument used to measure lung capacity in monitoring breathing disorders such as asthma  in a medical setting.  US FDA regulates Peak flowmeters under 21 CFR 868.1860 and under FDA product code BZH.  Most nations, for tariff and trade purposes, schedule these products under HS 901811.</t>
  </si>
  <si>
    <t>Pulmonary function calculators</t>
  </si>
  <si>
    <t>In this classification, this commodity indicates a product used as a function calculator in association with a pulmonary procedure in a medical setting.  US FDA regulates Pulmonary function calculators under 21 CFR 868.1880 and under FDA product code BTY.  Most nations, for tariff and trade purposes, schedule these products under HS 902000.</t>
  </si>
  <si>
    <t>Pulmonary calibration devices</t>
  </si>
  <si>
    <t>In this classification, this commodity indicates a product used as a calibration device in association with a pulmonary procedure in a medical setting Most nations, for tariff and trade purposes, schedule these products under HS 901811.</t>
  </si>
  <si>
    <t>Pulmonary functioning tubing</t>
  </si>
  <si>
    <t>In this classification, this commodity indicates a product used as a functioning tubing in association with a pulmonary procedure in a medical setting Most nations, for tariff and trade purposes, schedule these products under HS 901839.</t>
  </si>
  <si>
    <t>Pulmonary stress test products</t>
  </si>
  <si>
    <t>In this classification, this commodity indicates a product used as a stress test product in association with a pulmonary procedure in a medical setting Most nations, for tariff and trade purposes, schedule these products under HS 901811.</t>
  </si>
  <si>
    <t>Sleep study monitors</t>
  </si>
  <si>
    <t>In this classification, this commodity indicates a product that is a customized computer monitor that displays arterial blood gas specific levels.  US FDA regulates Sleep study monitors under 21 CFR 868.2375 and under FDA product code MNR.  Most nations, for tariff and trade purposes, schedule these products under HS 852849.</t>
  </si>
  <si>
    <t>Transcutaneous monitors or related products</t>
  </si>
  <si>
    <t>In this classification, this commodity indicates a product that is a customized computer monitor that displays transcutaneous specific levels.  US FDA regulates Transcutaneous monitors or related products under 21 CFR 868.25 and under FDA product code KLK.  Most nations, for tariff and trade purposes, schedule these products under HS 852849.</t>
  </si>
  <si>
    <t>Pulmonary ventilation monitors</t>
  </si>
  <si>
    <t>In this classification, this commodity indicates a product that is a customized computer monitor that displays pulmonary ventilation specific levels.  Most nations, for tariff and trade purposes, schedule these products under HS 852849.</t>
  </si>
  <si>
    <t>Pulmonary gas analyzers or monitors</t>
  </si>
  <si>
    <t>In this classification, this commodity indicates a product that is a customized computer monitor that displays pulmonary ventilation specific levels.  US FDA regulates Pulmonary gas analyzers or monitors under 21 CFR 868.1075 and under FDA product code BSE.  Most nations, for tariff and trade purposes, schedule these products under HS 901819.</t>
  </si>
  <si>
    <t>Pulmonary pressure monitors</t>
  </si>
  <si>
    <t>In this classification, this commodity indicates a product that is a customized computer monitor that displays pulmonary pressure specific levels.  Most nations, for tariff and trade purposes, schedule these products under HS 901819.</t>
  </si>
  <si>
    <t>Respiratory temperature monitors</t>
  </si>
  <si>
    <t>In this classification, this commodity indicates a product that is a customized computer monitor that displays respiratory temperature specific levels.  Most nations, for tariff and trade purposes, schedule these products under HS 901819.</t>
  </si>
  <si>
    <t>Pneumotachometers</t>
  </si>
  <si>
    <t>In this classification, this commodity indicates a product used as a transducer for measuring exhaled air flow of a patient  in a medical setting.  US FDA regulates Pneumotachometers under 21 CFR 868.2550 and under FDA product code JAX.  Most nations, for tariff and trade purposes, schedule these products under HS 901819.</t>
  </si>
  <si>
    <t>Pulmonary function monitor filters</t>
  </si>
  <si>
    <t>In this classification, this commodity indicates a product used as a function monitor filter in association with a pulmonary procedure in a medical setting Most nations, for tariff and trade purposes, schedule these products under HS 901811.</t>
  </si>
  <si>
    <t>Chest percussors</t>
  </si>
  <si>
    <t>In this classification, this commodity indicates a product used as a device used to strike a chest rhythmically in a therapeutic procedure in a medical setting Most nations, for tariff and trade purposes, schedule these products under HS 901811.</t>
  </si>
  <si>
    <t>Spirometer recording pens</t>
  </si>
  <si>
    <t>In this classification, this commodity indicates a product used as a recording pens in conjunction with a spirometer in a medical setting.  US FDA regulates Spirometer recording pens under 21 CFR 868.1880 and under FDA product code BTY.  Most nations, for tariff and trade purposes, schedule these products under HS 901890.</t>
  </si>
  <si>
    <t>Inspiratory muscle trainers</t>
  </si>
  <si>
    <t>In this classification, this commodity indicates a product used as a device that can be used to specifically warm-up inspiratory muscles prior to exercise in a medical setting Most nations, for tariff and trade purposes, schedule these products under HS 901811.</t>
  </si>
  <si>
    <t>Lung water monitors</t>
  </si>
  <si>
    <t>In this classification, this commodity indicates a product that is a customized computer monitor that displays lung water specific levels.  Most nations, for tariff and trade purposes, schedule these products under HS 901890.</t>
  </si>
  <si>
    <t>Positive expiratory pressure PEP therapy devices</t>
  </si>
  <si>
    <t>In this classification, this commodity indicates a product used as to improve exhalation by requiring extra pressure to exhale in a medical setting Most nations, for tariff and trade purposes, schedule these products under HS 901811.</t>
  </si>
  <si>
    <t>Airway clearance vests</t>
  </si>
  <si>
    <t>In this classification, this commodity indicates a product used as a vest to maintain clearances in an airway management procedure in a medical setting Most nations, for tariff and trade purposes, schedule these products under HS 901811.</t>
  </si>
  <si>
    <t>Blow bottles</t>
  </si>
  <si>
    <t>In this classification, this commodity indicates a product used as a therapeutic breathing device that is bottle shaped in a medical setting Most nations, for tariff and trade purposes, schedule these products under HS 701090.</t>
  </si>
  <si>
    <t>Gaseous-phase argon gas analyzers</t>
  </si>
  <si>
    <t>In this classification, this commodity indicates a product used as a device that analyzes argon gas in a medical setting Most nations, for tariff and trade purposes, schedule these products under HS 903020.</t>
  </si>
  <si>
    <t>Gaseous-phase carbon-dioxide gas analyzers</t>
  </si>
  <si>
    <t>In this classification, this commodity indicates a product used as a device that analyzes carbon-dioxide gas in a medical setting Most nations, for tariff and trade purposes, schedule these products under HS 901890.</t>
  </si>
  <si>
    <t>Gas flow transducers</t>
  </si>
  <si>
    <t>In this classification, this commodity indicates a product used as a device to measure air and liquid flow velocity in a medicals setting Most nations, for tariff and trade purposes, schedule these products under HS 903020.</t>
  </si>
  <si>
    <t>Gaseous-phase carbon-monoxide gas analyzers</t>
  </si>
  <si>
    <t>In this classification, this commodity indicates a product used as a device that analyzes carbon-monoxide gas in a medical setting Most nations, for tariff and trade purposes, schedule these products under HS 903020.</t>
  </si>
  <si>
    <t>Gaseous-phase helium gas analyzers</t>
  </si>
  <si>
    <t>In this classification, this commodity indicates a product used as a device that analyzes helium gas in a medical setting Most nations, for tariff and trade purposes, schedule these products under HS 903020.</t>
  </si>
  <si>
    <t>Gaseous-phase neon gas analyzers</t>
  </si>
  <si>
    <t>In this classification, this commodity indicates a product used as a device that analyzes neon gas in a medical setting Most nations, for tariff and trade purposes, schedule these products under HS 903020.</t>
  </si>
  <si>
    <t>Gaseous-phase nitrogen gas analyzers</t>
  </si>
  <si>
    <t>In this classification, this commodity indicates a product used as a device that analyzes nitrogen gas in a medical setting Most nations, for tariff and trade purposes, schedule these products under HS 903020.</t>
  </si>
  <si>
    <t>Gaseous-phase oxygen gas analyzers</t>
  </si>
  <si>
    <t>In this classification, this commodity indicates a product used as a device that analyzes oxygen gas in a medical setting.  Most nations, for tariff and trade purposes, schedule these products under HS 903020.</t>
  </si>
  <si>
    <t>Nitric oxide analyzers</t>
  </si>
  <si>
    <t>In this classification, this commodity indicates a product used as a device that analyzes nitric oxide in association with various procedures  in a medical setting Most nations, for tariff and trade purposes, schedule these products under HS 903020.</t>
  </si>
  <si>
    <t>Nitrogen dioxide analyzers</t>
  </si>
  <si>
    <t>In this classification, this commodity indicates a product used as a device that analyzes nitrogen dioxide in association with various procedures  in a medical setting Most nations, for tariff and trade purposes, schedule these products under HS 903020.</t>
  </si>
  <si>
    <t>Spirometer mouthpiece adapters</t>
  </si>
  <si>
    <t>In this classification, this commodity indicates a product used as a mouthpiece adapter in conjunction with a spirometer in a medical setting.  Most nations, for tariff and trade purposes, schedule these products under HS 901811.</t>
  </si>
  <si>
    <t>Gaseous-phase hydrogen gas analyzers</t>
  </si>
  <si>
    <t>In this classification, this commodity indicates a product used as a device that analyzes hydrogen gas in a medical setting.  Most nations, for tariff and trade purposes, schedule these products under HS 903020.</t>
  </si>
  <si>
    <t>Spirometer electronic alarms</t>
  </si>
  <si>
    <t>In this classification, this commodity indicates a product used as an electronic alarm in conjunction with a spirometer in a medical setting.  Most nations, for tariff and trade purposes, schedule these products under HS 901890.</t>
  </si>
  <si>
    <t>Spirometer flowhead sealing ring kits</t>
  </si>
  <si>
    <t>In this classification, this commodity indicates a product that is a prepackaged collection (either custom or standard) of the equipment and supplies that enable spirometer flowhead sealing ring use in a medical setting.  Most nations, for tariff and trade purposes, schedule these products under HS 902610.</t>
  </si>
  <si>
    <t>Spirometer marking stylus</t>
  </si>
  <si>
    <t>In this classification, this commodity indicates a product used as a marking stylus in conjunction with a spirometer in a medical setting.  Most nations, for tariff and trade purposes, schedule these products under HS 901720.</t>
  </si>
  <si>
    <t>Spirometer bulbs</t>
  </si>
  <si>
    <t>In this classification, this commodity indicates a product used as a bulb in conjunction with a spirometer in a medical setting.  Most nations, for tariff and trade purposes, schedule these products under HS 901811.</t>
  </si>
  <si>
    <t>Spirometer mouthpieces</t>
  </si>
  <si>
    <t>In this classification, this commodity indicates a product used as a mouthpiece in conjunction with a spirometer in a medical setting.  US FDA regulates Spirometer mouthpieces under 21 CFR 868.1840 and under FDA product code BWF.  Most nations, for tariff and trade purposes, schedule these products under HS 901920.</t>
  </si>
  <si>
    <t>Spirometer nose clip refill sponges</t>
  </si>
  <si>
    <t>In this classification, this commodity indicates a product used as a nose clip refill sponge in conjunction with a spirometer in a medical setting.  Most nations, for tariff and trade purposes, schedule these products under HS 300590.</t>
  </si>
  <si>
    <t>Spirometer recording papers</t>
  </si>
  <si>
    <t>In this classification, this commodity indicates a product used as a recording paper in conjunction with a spirometer in a medical setting.  US FDA regulates Spirometer recording papers under 21 CFR 868.1840 and under FDA product code BWF.  Most nations, for tariff and trade purposes, schedule these products under HS 480220.</t>
  </si>
  <si>
    <t>Spirometry peak flow meters</t>
  </si>
  <si>
    <t>In this classification, this commodity indicates a product used as a device  to assess how well your lungs work by measuring how much air you inhale, how much you exhale and how quickly you exhale. in a medical setting Most nations, for tariff and trade purposes, schedule these products under HS 901811.</t>
  </si>
  <si>
    <t>Gaseous-phase argon glossopharyngeal gas analyzers</t>
  </si>
  <si>
    <t>In this classification, this commodity indicates a product used as a device that analyzes argon glossopharyngeal gas in a medical setting.  Most nations, for tariff and trade purposes, schedule these products under HS 901811.</t>
  </si>
  <si>
    <t>Spirometer accessories or supplies</t>
  </si>
  <si>
    <t>In this classification, this commodity indicates a product that is either an accessory or consumable associated with spirometer or supplies.  Most nations, for tariff and trade purposes, schedule these products under HS 901811.</t>
  </si>
  <si>
    <t>Sleep study monitor accessories</t>
  </si>
  <si>
    <t>In this classification, this commodity indicates a product that is either an accessory or consumable associated with sleep study monitors.  Most nations, for tariff and trade purposes, schedule these products under HS 901811.</t>
  </si>
  <si>
    <t>Gaseous-phase water vapor gas analyzers</t>
  </si>
  <si>
    <t>In this classification, this commodity indicates a product used as a device that analyzes water vapor gas in a medical setting.  Most nations, for tariff and trade purposes, schedule these products under HS 901811.</t>
  </si>
  <si>
    <t>Pulmonary functioning tubing accessories</t>
  </si>
  <si>
    <t>In this classification, this commodity indicates a product that is either an accessory or consumable associated with pulmonary functioning tubings.  Most nations, for tariff and trade purposes, schedule these products under HS 901839.</t>
  </si>
  <si>
    <t>42271700</t>
  </si>
  <si>
    <t>Oxygen therapy delivery systems and devices</t>
  </si>
  <si>
    <t>In this classification, this class includes, systems, components, accessories, and supplies, utilized in oxygen therapy delivery based medical procedures.</t>
  </si>
  <si>
    <t>Medical gas cylinders or related devices</t>
  </si>
  <si>
    <t>In this classification, this commodity indicates a product that is used as a medically related gas cylinder or related devices Most nations, for tariff and trade purposes, schedule these products under HS 901811.</t>
  </si>
  <si>
    <t>Oxygen concentrators</t>
  </si>
  <si>
    <t>In this classification, this commodity indicates a product used as a device which concentrates the oxygen from a gas supply (typically ambient air) to supply an oxygen enriched gas stream in a medical setting.  US FDA regulates Oxygen concentrators under 21 CFR 868.5440 and under FDA product code CAW.  Most nations, for tariff and trade purposes, schedule these products under HS 901920.</t>
  </si>
  <si>
    <t>Oxygen air blenders</t>
  </si>
  <si>
    <t>In this classification, this commodity indicates a product used as a device which blends oxygen with other gases from a gas supply to supply an oxygen enriched gas stream in a medical setting.  Most nations, for tariff and trade purposes, schedule these products under HS 901811.</t>
  </si>
  <si>
    <t>Oxygen timers</t>
  </si>
  <si>
    <t>In this classification, this commodity indicates a product used as a timer used in association with oxygen concentration and blending procedures in a medical setting.  Most nations, for tariff and trade purposes, schedule these products under HS 901811.</t>
  </si>
  <si>
    <t>Oxygen delivery connectors or adapters</t>
  </si>
  <si>
    <t>In this classification, this commodity indicates a product used as a connector or adapter associated with an oxygen or blended gas delivery system in a medical setting.  Most nations, for tariff and trade purposes, schedule these products under HS 901811.</t>
  </si>
  <si>
    <t>Respiratory therapy compressors</t>
  </si>
  <si>
    <t>In this classification, this commodity indicates a product used as a compressor n a respiratory therapy procedure in a medical setting Most nations, for tariff and trade purposes, schedule these products under HS 901811.</t>
  </si>
  <si>
    <t>Flow sensors or regulators or components</t>
  </si>
  <si>
    <t>In this classification, this commodity indicates a product used as a  device or their components used for sensing or regulating the rate of fluid flow  in a medical setting Most nations, for tariff and trade purposes, schedule these products under HS 901811.</t>
  </si>
  <si>
    <t>Medical oxygen masks or parts</t>
  </si>
  <si>
    <t>In this classification, this commodity indicates a product that is used as a medically related oxygen masks or their partsUS FDA regulates Medical oxygen masks or parts under 21 CFR 868.5580 and under FDA product code BYG.  Most nations, for tariff and trade purposes, schedule these products under HS 901811.</t>
  </si>
  <si>
    <t>Medical nasal cannulae</t>
  </si>
  <si>
    <t>In this classification, this commodity indicates a product that is a hollow needle commonly used with a syringe to inject or extract substances or fluids associated with a medical nasal procedure.  Most nations, for tariff and trade purposes, schedule these products under HS 901831.</t>
  </si>
  <si>
    <t>Medical nasal catheters or catheterization kits</t>
  </si>
  <si>
    <t>In this classification, this commodity indicates a product that is a prepackaged collection (either custom or standard) of the equipment and supplies used to perform nasal catherization procedure in a medical setting.  Most nations, for tariff and trade purposes, schedule these products under HS 901839.</t>
  </si>
  <si>
    <t>Medical head hoods</t>
  </si>
  <si>
    <t>In this classification, this commodity indicates a product that is used as a medically related head hood Most nations, for tariff and trade purposes, schedule these products under HS 901811.</t>
  </si>
  <si>
    <t>Medical aerosol tents</t>
  </si>
  <si>
    <t>In this classification, this commodity indicates a product that is used as a medically related aerosol tentUS FDA regulates Medical aerosol tents under 21 CFR 868.5710 and under FDA product code FNC.  Most nations, for tariff and trade purposes, schedule these products under HS 901811.</t>
  </si>
  <si>
    <t>Medical hyperbaric chambers</t>
  </si>
  <si>
    <t>In this classification, this commodity indicates a product that is used as a medically related hyperbaric chamberUS FDA regulates Medical hyperbaric chambers under 21 CFR 868.5470 and under FDA product code CBF.  Most nations, for tariff and trade purposes, schedule these products under HS 901811.</t>
  </si>
  <si>
    <t>Medical incubators</t>
  </si>
  <si>
    <t>In this classification, this commodity indicates a product that is used as a medically related incubator Most nations, for tariff and trade purposes, schedule these products under HS 901811.</t>
  </si>
  <si>
    <t>Medical oxygen tubing or connectors</t>
  </si>
  <si>
    <t>In this classification, this commodity indicates a product that is used as a medically related oxygen tubing or connector Most nations, for tariff and trade purposes, schedule these products under HS 901839.</t>
  </si>
  <si>
    <t>Cases for nasal insufflators</t>
  </si>
  <si>
    <t>In this classification, this commodity indicates a product used as a case to protect the applicator of fluids involved in a nasal insufflation procedure in a medical setting Most nations, for tariff and trade purposes, schedule these products under HS 901811.</t>
  </si>
  <si>
    <t>Inhalators or sets</t>
  </si>
  <si>
    <t>In this classification, this commodity indicates a product or set of products used as an inhalator in a medical setting Most nations, for tariff and trade purposes, schedule these products under HS 901811.</t>
  </si>
  <si>
    <t>Oxygen therapy delivery system products</t>
  </si>
  <si>
    <t>In this classification, this commodity indicates a product used as a  consumable or accessory associated with an oxygen therapy delivery system in a medical setting.  Most nations, for tariff and trade purposes, schedule these products under HS 901811.</t>
  </si>
  <si>
    <t>Oxygen insufflators</t>
  </si>
  <si>
    <t>In this classification, this commodity indicates a product used as an instrument for oxygen insufflation in a medical setting.  Most nations, for tariff and trade purposes, schedule these products under HS 901811.</t>
  </si>
  <si>
    <t>Liquid oxygen converters</t>
  </si>
  <si>
    <t>In this classification, this commodity indicates a product used as a device that converts liquid oxygen to gaseous oxygen for delivery to a patient in a medical setting.  Most nations, for tariff and trade purposes, schedule these products under HS 901811.</t>
  </si>
  <si>
    <t>Oxygen concentrator filters</t>
  </si>
  <si>
    <t>In this classification, this commodity indicates a product used as a filter for concentrated oxygen from a gas supply (typically ambient air) to supply an oxygen enriched gas stream in a medical setting.  US FDA regulates Oxygen concentrator filters under 21 CFR 868.5440 and under FDA product code CAW.  Most nations, for tariff and trade purposes, schedule these products under HS 902000.</t>
  </si>
  <si>
    <t>Oxygen uptake computers</t>
  </si>
  <si>
    <t>In this classification, this commodity indicates a product used as a in a medical setting.  Most nations, for tariff and trade purposes, schedule these products under HS 901811.</t>
  </si>
  <si>
    <t>Oxygen tents</t>
  </si>
  <si>
    <t>In this classification, this commodity indicates a product used as a tent like enclosure within which the air supply can be enriched with oxygen to aid a patient's breathing in a medical setting.  Most nations, for tariff and trade purposes, schedule these products under HS 901811.</t>
  </si>
  <si>
    <t>Portable oxygen generators</t>
  </si>
  <si>
    <t>In this classification, this commodity indicates a product used as a device that generates enriched oxygen for use in patient oxygen concentrator and delivery systems in a medical setting.  Most nations, for tariff and trade purposes, schedule these products under HS 901811.</t>
  </si>
  <si>
    <t>Artificial airway speaking valves</t>
  </si>
  <si>
    <t>In this classification, this commodity indicates a product used as a speaking valve to assist patient speaking in an artificial airway management procedure in a medical setting Most nations, for tariff and trade purposes, schedule these products under HS 901811.</t>
  </si>
  <si>
    <t>Oxygen insufflator accessories</t>
  </si>
  <si>
    <t>In this classification, this commodity indicates a product that is either an accessory or consumable associated with oxygen insufflators.  Most nations, for tariff and trade purposes, schedule these products under HS 901811.</t>
  </si>
  <si>
    <t>Oxygen therapy delivery system product accessories or supplies</t>
  </si>
  <si>
    <t>In this classification, this commodity indicates a product that is either an accessory or consumable associated with oxygen therapy delivery system product or supplies.  Most nations, for tariff and trade purposes, schedule these products under HS 901811.</t>
  </si>
  <si>
    <t>42271800</t>
  </si>
  <si>
    <t>Respiratory humidity and aerosol therapy products</t>
  </si>
  <si>
    <t>In this classification, this class includes, products, components, accessories, and supplies, utilized in Respiratory humidity and aerosol therapy based medical procedures.</t>
  </si>
  <si>
    <t>Respiratory humidifiers or vaporizers</t>
  </si>
  <si>
    <t>In this classification, this commodity indicates a product used as a vaporizer or humidifier in a respiratory therapy in a medical setting.  US FDA regulates Respiratory humidifiers or vaporizers under 21 CFR 868.5270 and under FDA product code BTT.  Most nations, for tariff and trade purposes, schedule these products under HS 901890.</t>
  </si>
  <si>
    <t>Nebulizers</t>
  </si>
  <si>
    <t>In this classification, this commodity indicates a product used as  a drug delivery device used to administer medication in the form of a mist inhaled into the lungs  in a medical setting.  US FDA regulates Nebulizers under 21 CFR 868.5450 and under FDA product code OGG.  Most nations, for tariff and trade purposes, schedule these products under HS 901920.</t>
  </si>
  <si>
    <t>Transfer sets for respiratory therapy</t>
  </si>
  <si>
    <t>In this classification, this commodity indicates a product used as transfer set n a respiratory therapy procedure in a medical setting Most nations, for tariff and trade purposes, schedule these products under HS 901811.</t>
  </si>
  <si>
    <t>Resipratory atomizers</t>
  </si>
  <si>
    <t>In this classification, this commodity indicates a product used as a drug delivery system that converts powders or fluids into very fine atom like deliverable  in a medical setting Most nations, for tariff and trade purposes, schedule these products under HS 901811.</t>
  </si>
  <si>
    <t>Respiratory humidifier or vaporizer accessories</t>
  </si>
  <si>
    <t>In this classification, this commodity indicates a product that is either an accessory or consumable associated with respiratory humidifier or vaporizers.  Most nations, for tariff and trade purposes, schedule these products under HS 901811.</t>
  </si>
  <si>
    <t>Nebulizer accessories</t>
  </si>
  <si>
    <t>In this classification, this commodity indicates a product that is either an accessory or consumable associated with nebulizers.  Most nations, for tariff and trade purposes, schedule these products under HS 901811.</t>
  </si>
  <si>
    <t>Metered dose inhaler spacers or holding chambers</t>
  </si>
  <si>
    <t>In this classification, this commodity indicates a product used as a spacer or holding chamber for a device that delivers metered dosage of drugs and medicaments in a medical setting Most nations, for tariff and trade purposes, schedule these products under HS 901819.</t>
  </si>
  <si>
    <t>42271900</t>
  </si>
  <si>
    <t>Airway management products</t>
  </si>
  <si>
    <t>In this classification, this class includes, products, components, accessories, and supplies, utilized in Airway management based medical procedures.</t>
  </si>
  <si>
    <t>Esophageal tubes</t>
  </si>
  <si>
    <t>In this classification, this commodity indicates a product that is used as a tube in an esophageal procedure in a medical setting.  US FDA regulates Esophageal tubes under 21 CFR 868.5650 and under FDA product code CAO.  Most nations, for tariff and trade purposes, schedule these products under HS 901839.</t>
  </si>
  <si>
    <t>Endotracheal tubes</t>
  </si>
  <si>
    <t>In this classification, this commodity indicates a product that is used as a tube in an endotracheal procedure in a medical setting.  US FDA regulates Endotracheal tubes under 21 CFR 868.5730 and under FDA product code BSK.  Most nations, for tariff and trade purposes, schedule these products under HS 901839.</t>
  </si>
  <si>
    <t>Tracheostomy tubes</t>
  </si>
  <si>
    <t>In this classification, this commodity indicates a product that is used as a tube in a tracheostomy procedure in a medical setting.  US FDA regulates Tracheostomy tubes under 21 CFR 868.58 and under FDA product code JOH.  Most nations, for tariff and trade purposes, schedule these products under HS 901839.</t>
  </si>
  <si>
    <t>Endobronchial tubes</t>
  </si>
  <si>
    <t>In this classification, this commodity indicates a product that is used as a tube in an endobronchial procedure in a medical setting.  US FDA regulates Endobronchial tubes under 21 CFR 868.5720 and under FDA product code BTS.  Most nations, for tariff and trade purposes, schedule these products under HS 901839.</t>
  </si>
  <si>
    <t>Endotracheal or tracheostomy tube repair kits</t>
  </si>
  <si>
    <t>In this classification, this commodity indicates a product that is a prepackaged collection (either custom or standard) of the equipment and supplies used to perform an endotracheal or tracheostomy tube repair procedure in a medical setting.  US FDA regulates Endotracheal or tracheostomy tube repair kits under 21 CFR 868.5730 and under FDA product code BSK.  Most nations, for tariff and trade purposes, schedule these products under HS 901839.</t>
  </si>
  <si>
    <t>Respiratory aspirator products</t>
  </si>
  <si>
    <t>In this classification, this commodity indicates a product used as a aspirator in a respiratory therapy in a medical setting Most nations, for tariff and trade purposes, schedule these products under HS 901811.</t>
  </si>
  <si>
    <t>Artificial airway holders</t>
  </si>
  <si>
    <t>In this classification, this commodity indicates a product used as a holder for an artificial airway in an airway management procedure in a medical setting.  US FDA regulates Artificial airway holders under 21 CFR 868.5090 and under FDA product code BTQ.  Most nations, for tariff and trade purposes, schedule these products under HS 902000.</t>
  </si>
  <si>
    <t>Artificial airway accessories</t>
  </si>
  <si>
    <t>In this classification, this commodity indicates a product that is either an accessory or consumable associated with artificial airways.  US FDA regulates Artificial airway accessories under 21 CFR 868.51 and under FDA product code BTQ.  Most nations, for tariff and trade purposes, schedule these products under HS 902000.</t>
  </si>
  <si>
    <t>Endotracheal or tracheotomy sets</t>
  </si>
  <si>
    <t>In this classification, this commodity indicates a set of instruments and consumables used in a endotracheal or tracheotomy procedure in a medical setting.  US FDA regulates Endotracheal or tracheotomy sets under 21 CFR 868.58 and under FDA product code OGW.  Most nations, for tariff and trade purposes, schedule these products under HS 901920.</t>
  </si>
  <si>
    <t>Respiratory manometer kits</t>
  </si>
  <si>
    <t>In this classification, this commodity indicates a product that is a prepackaged collection (either custom or standard) of the equipment and supplies that enable respiratory manometer use in a medical setting.  Most nations, for tariff and trade purposes, schedule these products under HS 901811.</t>
  </si>
  <si>
    <t>Nasopharyngeal tubes or airways</t>
  </si>
  <si>
    <t>In this classification, this commodity indicates a product that is used as a tube or airway in a nasopharyngeal procedure in a medical setting.  US FDA regulates Nasopharyngeal tubes or airways under 21 CFR 868.51 and under FDA product code BTQ.  Most nations, for tariff and trade purposes, schedule these products under HS 901839.</t>
  </si>
  <si>
    <t>Pharyngeal airways or airways kits</t>
  </si>
  <si>
    <t>In this classification, this commodity indicates a product that is a prepackaged collection (either custom or standard) of the equipment and supplies that enable pharyngeal airway use in a medical setting.  US FDA regulates Pharyngeal airways or airways kits under 21 CFR 868.6810 and under FDA product code OFO.  Most nations, for tariff and trade purposes, schedule these products under HS 901811.</t>
  </si>
  <si>
    <t>Airway pressure gages</t>
  </si>
  <si>
    <t>In this classification, this commodity indicates a product used as a pressure gage in an airway management procedure in a medical setting.  US FDA regulates Airway pressure gages under 21 CFR 868.1780 and under FDA product code CSP.  Most nations, for tariff and trade purposes, schedule these products under HS 901920.</t>
  </si>
  <si>
    <t>Tracheostomy accessories</t>
  </si>
  <si>
    <t>In this classification, this commodity indicates a product that is either an accessory or consumable associated with tracheostomies.  US FDA regulates Tracheostomy accessories under 21 CFR 868.58 and under FDA product code BTO.  Most nations, for tariff and trade purposes, schedule these products under HS 901920.</t>
  </si>
  <si>
    <t>Pharyngometers</t>
  </si>
  <si>
    <t>In this classification, this commodity indicates a product used as a device that provides valuable information about airway size and stability  in a medical setting Most nations, for tariff and trade purposes, schedule these products under HS 901890.</t>
  </si>
  <si>
    <t>Airway monitoring systems</t>
  </si>
  <si>
    <t>In this classification, this commodity indicates a system consisting of products, consumables and accessories that are used to execute an airway monitoring procedure in a medical setting.  Most nations, for tariff and trade purposes, schedule these products under HS 852849.</t>
  </si>
  <si>
    <t>Artificial noses and heat and moisture condensers</t>
  </si>
  <si>
    <t>In this classification, this commodity indicates a product used as a device intended to be positioned over a tracheotomy (a surgically created opening in the throat) or tracheal tube (a tube inserted into the trachea) to warm and humidify gases breathed in by a patient. in a medical setting Most nations, for tariff and trade purposes, schedule these products under HS 901811.</t>
  </si>
  <si>
    <t>Nasopharyngeal airway kits</t>
  </si>
  <si>
    <t>In this classification, this commodity indicates a product that is a prepackaged collection (either custom or standard) of the equipment and supplies that enable nasopharyngeal airway use in a medical setting.  Most nations, for tariff and trade purposes, schedule these products under HS 901890.</t>
  </si>
  <si>
    <t>Tracheal or tracheostomy tube cuff spreaders</t>
  </si>
  <si>
    <t>In this classification, this commodity indicates a product that is used as a tube cuff spreader in a tracheal or tracheostomy procedure in a medical setting.  Most nations, for tariff and trade purposes, schedule these products under HS 901890.</t>
  </si>
  <si>
    <t>Artificial airway fenestrators</t>
  </si>
  <si>
    <t>In this classification, this commodity indicates a product used as a fenestrator used in an artificial airway management procedure in a medical setting Most nations, for tariff and trade purposes, schedule these products under HS 901890.</t>
  </si>
  <si>
    <t>Supraglottic ventilatory devices</t>
  </si>
  <si>
    <t>In this classification, this commodity indicates a product used to mange difficult airway conditions it is placed blindly in the lower pharynx overlying the glottis of the patient in a medical setting Most nations, for tariff and trade purposes, schedule these products under HS 901890.</t>
  </si>
  <si>
    <t>Jet ventilation devices</t>
  </si>
  <si>
    <t>In this classification, this commodity indicates a product used as device to manage airway passages in a medical setting Most nations, for tariff and trade purposes, schedule these products under HS 901890.</t>
  </si>
  <si>
    <t>Emergency cricothyrotomy kits</t>
  </si>
  <si>
    <t>In this classification, this commodity indicates a product that is a prepackaged collection (either custom or standard) of the equipment and supplies used to perform an emergency cricothyrotomy procedure in a medical setting.  Most nations, for tariff and trade purposes, schedule these products under HS 901890.</t>
  </si>
  <si>
    <t>Mucosal atomization devices</t>
  </si>
  <si>
    <t>In this classification, this commodity indicates a product used as a device providing very small molecule fluids to aid in mucous dilution in a patient in a medical setting Most nations, for tariff and trade purposes, schedule these products under HS 901890.</t>
  </si>
  <si>
    <t>Orogastric tubes</t>
  </si>
  <si>
    <t>In this classification, this commodity indicates a product that is used as a tube in an or gastric procedure in a medical setting.  Most nations, for tariff and trade purposes, schedule these products under HS 901839.</t>
  </si>
  <si>
    <t>Laryngectomy kits</t>
  </si>
  <si>
    <t>In this classification, this commodity indicates a product that is a prepackaged collection (either custom or standard) of the equipment and supplies used to perform a laryngectomy procedure in a medical setting.  Most nations, for tariff and trade purposes, schedule these products under HS 901890.</t>
  </si>
  <si>
    <t>Oxygen flow modulator sets</t>
  </si>
  <si>
    <t>In this classification, this commodity indicates a product used as with emergency transtracheal catheter ventilation when conventional ventilation by mask or endotracheal tube cannot be performed on a patient in a medical setting.  Most nations, for tariff and trade purposes, schedule these products under HS 901839.</t>
  </si>
  <si>
    <t>Percutaneous dilatational or dilational tracheostomy sets</t>
  </si>
  <si>
    <t>In this classification, this commodity indicates a product that is used as a set of instruments and components and supplied used in a is the placement of a tracheostomy tube without direct surgical visualization of the trachea in a medical setting Most nations, for tariff and trade purposes, schedule these products under HS 901890.</t>
  </si>
  <si>
    <t>Pharyngeal tissue retractors</t>
  </si>
  <si>
    <t>In this classification, this commodity indicates a product used as a retratcor for pharyngeal tissue  in a medical setting Most nations, for tariff and trade purposes, schedule these products under HS 901890.</t>
  </si>
  <si>
    <t>Mucus extractors and specimen traps</t>
  </si>
  <si>
    <t>In this classification, this commodity indicates a product used as a extractor or specimen trap for mucus taken from a patient in a medical setting Most nations, for tariff and trade purposes, schedule these products under HS 901890.</t>
  </si>
  <si>
    <t>Laryngectomy tube accessories</t>
  </si>
  <si>
    <t>In this classification, this commodity indicates a product that is either an accessory or consumable associated with laryngectomy tubes.  Most nations, for tariff and trade purposes, schedule these products under HS 901890.</t>
  </si>
  <si>
    <t>Laryngectomy tubes</t>
  </si>
  <si>
    <t>In this classification, this commodity indicates a product that is used as a tube in a laryngectomy procedure in a medical setting.  Most nations, for tariff and trade purposes, schedule these products under HS 901839.</t>
  </si>
  <si>
    <t>Jet ventilation device accessories</t>
  </si>
  <si>
    <t>In this classification, this commodity indicates a product that is either an accessory or consumable associated with jet ventilation devices.  Most nations, for tariff and trade purposes, schedule these products under HS 901890.</t>
  </si>
  <si>
    <t>Pharyngometer accessories</t>
  </si>
  <si>
    <t>In this classification, this commodity indicates a product that is either an accessory or consumable associated with pharyngometers.  Most nations, for tariff and trade purposes, schedule these products under HS 901890.</t>
  </si>
  <si>
    <t>Respiratory aspirator product accessories</t>
  </si>
  <si>
    <t>In this classification, this commodity indicates a product that is either an accessory or consumable associated with respiratory aspirator products.  Most nations, for tariff and trade purposes, schedule these products under HS 392690.</t>
  </si>
  <si>
    <t>42272000</t>
  </si>
  <si>
    <t>Intubation supplies</t>
  </si>
  <si>
    <t>In this classification, this class includes, products, components, accessories, and supplies, utilized in Intubation based medical procedures.</t>
  </si>
  <si>
    <t>Intubation laryngoscopes</t>
  </si>
  <si>
    <t>In this classification, this commodity indicates a product used as a laryngoscope in an intubation procedure in a medical setting.  US FDA regulates Intubation laryngoscopes under 21 CFR 874.4760 and under FDA product code EQN.  Most nations, for tariff and trade purposes, schedule these products under HS 392690.</t>
  </si>
  <si>
    <t>Bite blocks</t>
  </si>
  <si>
    <t>In this classification, this commodity indicates a product used as a device to promote symmetrical jaw strength in a medical setting.  US FDA regulates Bite blocks under 21 CFR 876.15 and under FDA product code MNK.  Most nations, for tariff and trade purposes, schedule these products under HS 630790.</t>
  </si>
  <si>
    <t>Intubation stylets</t>
  </si>
  <si>
    <t>In this classification, this commodity indicates a product used as a stylet in an intubation procedure in a medical setting.  US FDA regulates Intubation stylets under 21 CFR 868.5790 and under FDA product code BSR.  Most nations, for tariff and trade purposes, schedule these products under HS 901839.</t>
  </si>
  <si>
    <t>Intubation forceps</t>
  </si>
  <si>
    <t>In this classification, this commodity indicates a product used as a pair of forceps in an intubation procedure in a medical setting.  US FDA regulates Intubation forceps under 21 CFR 869.5790 and under FDA product code BSR.  Most nations, for tariff and trade purposes, schedule these products under HS 901890.</t>
  </si>
  <si>
    <t>Introducers</t>
  </si>
  <si>
    <t>In this classification, this commodity indicates a product used as an instrument or stylet used to insert a catheter, an endotracheal tube, or similar flexible device into the body  in a medical setting.  US FDA regulates Introducers under 21 CFR 876.15 and under FDA product code NWU.  Most nations, for tariff and trade purposes, schedule these products under HS 901890.</t>
  </si>
  <si>
    <t>Bender tools</t>
  </si>
  <si>
    <t>In this classification, this commodity indicates a product used as a tool designed to bend by providing pressure to medical instruments  in a medical setting.  US FDA regulates Bender tools under 21 CFR 888.4540 and under FDA product code HXW.  Most nations, for tariff and trade purposes, schedule these products under HS 901890.</t>
  </si>
  <si>
    <t>Intubation gauges or guides</t>
  </si>
  <si>
    <t>In this classification, this commodity indicates a product used as a guide or gage in an intubation procedure in a medical setting.  US FDA regulates Intubation gauges or guides under 21 CFR 868.14 and under FDA product code OGK.  Most nations, for tariff and trade purposes, schedule these products under HS 940290.</t>
  </si>
  <si>
    <t>Patient carbon dioxide detectors</t>
  </si>
  <si>
    <t>In this classification, this commodity indicates a product used as a device designed to sense and report carbon dioxide levels in a patient in a medical setting Most nations, for tariff and trade purposes, schedule these products under HS 940290.</t>
  </si>
  <si>
    <t>Intubator components</t>
  </si>
  <si>
    <t>In this classification, this commodity indicates a product used as an intubator component in an intubation procedure in a medical setting Most nations, for tariff and trade purposes, schedule these products under HS 901890.</t>
  </si>
  <si>
    <t>Intubation laryngoscope accessories</t>
  </si>
  <si>
    <t>In this classification, this commodity indicates a product that is either an accessory or consumable associated with intubation laryngoscopes.  Most nations, for tariff and trade purposes, schedule these products under HS 901890.</t>
  </si>
  <si>
    <t>Intubator component accessories</t>
  </si>
  <si>
    <t>In this classification, this commodity indicates a product that is either an accessory or consumable associated with intubator components.  Most nations, for tariff and trade purposes, schedule these products under HS 901839.</t>
  </si>
  <si>
    <t>42272100</t>
  </si>
  <si>
    <t>Negative mechanical pressure ventilators</t>
  </si>
  <si>
    <t>In this classification, this class includes, products, components, accessories, and supplies, utilized in negative mechanical pressure ventilation based medical procedures.</t>
  </si>
  <si>
    <t>Iron lungs</t>
  </si>
  <si>
    <t>In this classification, this commodity indicates a product used as a  negative pressure ventilator that enables a person to breathe when normal muscle control has been lost or the work of breathing exceeds the person's ability. in a medical setting Most nations, for tariff and trade purposes, schedule these products under HS 901890.</t>
  </si>
  <si>
    <t>Chest cuirass products</t>
  </si>
  <si>
    <t>In this classification, this commodity indicates a product used as  part of a non-invasive method of negative pressure ventilation which requires the patient to wear an upper body shell or cuirass in a medical setting.  US FDA regulates Chest cuirass products under 21 CFR 868.5935 and under FDA product code BYT.  Most nations, for tariff and trade purposes, schedule these products under HS 901890.</t>
  </si>
  <si>
    <t>Negative mechanical pressure ventilator accessories</t>
  </si>
  <si>
    <t>In this classification, this commodity indicates a product that is either an accessory or consumable associated with negative mechanical pressure ventilators.  Most nations, for tariff and trade purposes, schedule these products under HS 901890.</t>
  </si>
  <si>
    <t>42272200</t>
  </si>
  <si>
    <t>Positive mechanical pressure ventilators and accessories</t>
  </si>
  <si>
    <t>In this classification, this class includes, products, components, accessories, and supplies, utilized in positive mechanical pressure ventilation based medical procedures.</t>
  </si>
  <si>
    <t>Intermittent positive pressure breathing IPPB machines</t>
  </si>
  <si>
    <t>In this classification, this commodity indicates a product used as a is a respiratory therapy treatment for people who are hypoventilating.it also is used to expand the lungs, deliver aerosol medications, and in some circumstances ventilate the patient in a medical setting.  US FDA regulates Intermittent positive pressure breathing IPPB machines under 21 CFR 868.5905 and under FDA product code NHJ.  Most nations, for tariff and trade purposes, schedule these products under HS 901890.</t>
  </si>
  <si>
    <t>Non invasive continuous positive air pressure machines</t>
  </si>
  <si>
    <t>In this classification, this commodity indicates a product used as a machine that is a form of bilevel positive airway pressure , which applies mild air pressure on a continuous basis to keep the airways continuously open in people who are able to breathe spontaneously on their own in a medical setting.  US FDA regulates Non invasive continuous positive air pressure machines under 21 CFR 872.5410 and under FDA product code DZD.  Most nations, for tariff and trade purposes, schedule these products under HS 480220.</t>
  </si>
  <si>
    <t>Non invasive bi level machines</t>
  </si>
  <si>
    <t>In this classification, this commodity indicates a product used as a machine that is a form of positive airway pressure ventilator, which applies mild air pressure on a continuous basis to keep the airways continuously open in people who are able to breathe spontaneously on their own in a medical setting Most nations, for tariff and trade purposes, schedule these products under HS 901890.</t>
  </si>
  <si>
    <t>Transport ventilators</t>
  </si>
  <si>
    <t>In this classification, this commodity indicates a product used as an appliance for artificial respiration used in a transport scenario in a medical setting.  US FDA regulates Transport ventilators under 21 CFR 868.5895 and under FDA product code CBK.  Most nations, for tariff and trade purposes, schedule these products under HS 901890.</t>
  </si>
  <si>
    <t>Intensive care ventilators</t>
  </si>
  <si>
    <t>In this classification, this commodity indicates a product used as an appliance for artificial respiration used in the intensive care unit in a medical setting.  US FDA regulates Intensive care ventilators under 21 CFR 868.5895 and under FDA product code CBK.  Most nations, for tariff and trade purposes, schedule these products under HS 901890.</t>
  </si>
  <si>
    <t>High frequency ventilators</t>
  </si>
  <si>
    <t>In this classification, this commodity indicates a product used as an high frequency appliance for artificial respiration in a medical setting.  US FDA regulates High frequency ventilators under 21 CFR 868.5895 and under FDA product code CBK.  Most nations, for tariff and trade purposes, schedule these products under HS 901890.</t>
  </si>
  <si>
    <t>Home care ventilators</t>
  </si>
  <si>
    <t>In this classification, this commodity indicates a product used as an appliance for artificial respiration in a home care scenario in a medical setting.  US FDA regulates Home care ventilators under 21 CFR 868.5895 and under FDA product code CBK.  Most nations, for tariff and trade purposes, schedule these products under HS 901890.</t>
  </si>
  <si>
    <t>Ventilator circuits</t>
  </si>
  <si>
    <t>In this classification, this commodity indicates a product used as an appliance for artificial respiration in a medical setting Most nations, for tariff and trade purposes, schedule these products under HS 901890.</t>
  </si>
  <si>
    <t>Hyperinflation products</t>
  </si>
  <si>
    <t>In this classification, this commodity indicates a product used as a airway management tool utilizing hyperventilation to expand airways that have collapsed in a medical setting.  US FDA regulates Hyperinflation products under 21 CFR 868.5905 and under FDA product code NHK.  Most nations, for tariff and trade purposes, schedule these products under HS 901890.</t>
  </si>
  <si>
    <t>Positive end expiratory pressure PEEP valves</t>
  </si>
  <si>
    <t>In this classification, this commodity indicates a product used as a method of ventilation in which airway pressure is maintained above atmospheric pressure at the end of exhalation by means of a mechanical impedance, usually a valve, within the circuit in a medical setting.  US FDA regulates Positive end expiratory pressure PEEP valves under 21 CFR 868.5695 and under FDA product code BYE.  Most nations, for tariff and trade purposes, schedule these products under HS 901890.</t>
  </si>
  <si>
    <t>Continuous positive airway pressure CPAP masks or straps</t>
  </si>
  <si>
    <t>In this classification, this commodity indicates a product used as a mask or strap that maintains continuous positive airway pressure in an artificial airway management procedure in a medical setting.  US FDA regulates Continuous positive airway pressure CPAP masks or straps under 21 CFR 868.5905 and under FDA product code BZD.  Most nations, for tariff and trade purposes, schedule these products under HS 901890.</t>
  </si>
  <si>
    <t>Ventilator testing supplies</t>
  </si>
  <si>
    <t>In this classification, this commodity indicates a product used for testing patients relative to the use of an appliance for artificial respiration in a medical setting Most nations, for tariff and trade purposes, schedule these products under HS 901811.</t>
  </si>
  <si>
    <t>Ventilator thermometers</t>
  </si>
  <si>
    <t>In this classification, this commodity indicates a product used as an thermometer for an appliance for artificial respiration in a medical setting Most nations, for tariff and trade purposes, schedule these products under HS 902511.</t>
  </si>
  <si>
    <t>Ventilator water traps</t>
  </si>
  <si>
    <t>In this classification, this commodity indicates a product used as the water trap used in an appliance for artificial respiration in a medical setting Most nations, for tariff and trade purposes, schedule these products under HS 901890.</t>
  </si>
  <si>
    <t>Ventilator gas sampling ports or lines</t>
  </si>
  <si>
    <t>In this classification, this commodity indicates a product used to sample through a port or deliver through a line ventilator gas in a medical setting. or  Most nations, for tariff and trade purposes, schedule these products under HS 901890.</t>
  </si>
  <si>
    <t>Ventilator heat or moisture exchangers or filters</t>
  </si>
  <si>
    <t>In this classification, this commodity indicates a product used as an heat or moisture exchangers or filter in an appliance for artificial respiration in a medical setting Most nations, for tariff and trade purposes, schedule these products under HS 901890.</t>
  </si>
  <si>
    <t>Ventilator accessories</t>
  </si>
  <si>
    <t>In this classification, this commodity indicates a product that is either an accessory or consumable associated with ventilators.  Most nations, for tariff and trade purposes, schedule these products under HS 901890.</t>
  </si>
  <si>
    <t>Ventilator weaning products</t>
  </si>
  <si>
    <t>In this classification, this commodity indicates a product used to wean a patient of an appliance for artificial respiration in a medical setting Most nations, for tariff and trade purposes, schedule these products under HS 901832.</t>
  </si>
  <si>
    <t>Breathing apparatus accessories or supplies</t>
  </si>
  <si>
    <t>In this classification, this commodity indicates a product that is either an accessory or consumable associated with breathing apparatus or supplies.  Most nations, for tariff and trade purposes, schedule these products under HS 901811.</t>
  </si>
  <si>
    <t>Ventilator circuit kits</t>
  </si>
  <si>
    <t>In this classification, this commodity indicates a product that is a prepackaged collection (either custom or standard) of the equipment and supplies that enable ventilator circuit use in a medical setting.  US FDA regulates Ventilator circuit kits under 21 CFR 868.5240 and under FDA product code CAI.  Most nations, for tariff and trade purposes, schedule these products under HS 901920.</t>
  </si>
  <si>
    <t>Bi level positive airway pressure Bi PAP accessories</t>
  </si>
  <si>
    <t>In this classification, this commodity indicates a product that is either an accessory or consumable associated with bi level positive airway pressure bi paps.  Most nations, for tariff and trade purposes, schedule these products under HS 901920.</t>
  </si>
  <si>
    <t>Anesthesia breathing circuit accessories</t>
  </si>
  <si>
    <t>In this classification, this commodity indicates a product that is either an accessory or consumable associated with anesthesia breathing circuits.  Most nations, for tariff and trade purposes, schedule these products under HS 901890.</t>
  </si>
  <si>
    <t>Artificial airway continuous positive airway pressure (cpap) catheters</t>
  </si>
  <si>
    <t>In this classification, this commodity indicates a product used as a flexible tube inserted through a narrow opening into a body cavity in an artificial airway procedure.  Most nations, for tariff and trade purposes, schedule these products under HS 901839.</t>
  </si>
  <si>
    <t>Artificial airway cpap catheter mounts</t>
  </si>
  <si>
    <t>In this classification, this commodity indicates a product used the mounts for an as a flexible tube inserted through a narrow opening into a body cavity in an artificial airway procedure.  Most nations, for tariff and trade purposes, schedule these products under HS 901890.</t>
  </si>
  <si>
    <t>Anesthesia breathing circuits</t>
  </si>
  <si>
    <t>In this classification, this commodity indicates a product used as a breathing circuit for an anesthesia apparatus used in a medical setting Most nations, for tariff and trade purposes, schedule these products under HS 901890.</t>
  </si>
  <si>
    <t>Ventilator circuit accessories</t>
  </si>
  <si>
    <t>In this classification, this commodity indicates a product that is either an accessory or consumable associated with ventilator circuits.  Most nations, for tariff and trade purposes, schedule these products under HS 901890.</t>
  </si>
  <si>
    <t>42272300</t>
  </si>
  <si>
    <t>Resuscitation supplies</t>
  </si>
  <si>
    <t>In this classification, this class includes, products, components, accessories, and supplies, utilized in Resuscitation based medical procedures.</t>
  </si>
  <si>
    <t>Manual resuscitators</t>
  </si>
  <si>
    <t>In this classification, this commodity indicates a product that is capable of manually resuscitating a patient in a medical setting.  US FDA regulates Manual resuscitators under 21 CFR 868.5915 and under FDA product code BTM.  Most nations, for tariff and trade purposes, schedule these products under HS 901890.</t>
  </si>
  <si>
    <t>Pneumatic resuscitators</t>
  </si>
  <si>
    <t>In this classification, this commodity indicates a product that is capable of pneumatically resuscitating a patient in a medical setting Most nations, for tariff and trade purposes, schedule these products under HS 901890.</t>
  </si>
  <si>
    <t>Resuscitation masks</t>
  </si>
  <si>
    <t>In this classification, this commodity indicates a the components of a product that is capable of manually resuscitating a patient in a medical setting Most nations, for tariff and trade purposes, schedule these products under HS 901890.</t>
  </si>
  <si>
    <t>Resuscitator components</t>
  </si>
  <si>
    <t>In this classification, this commodity indicates a the mask portion product that is capable of manually resuscitating a patient in a medical setting Most nations, for tariff and trade purposes, schedule these products under HS 901890.</t>
  </si>
  <si>
    <t>Resuscitation connectors</t>
  </si>
  <si>
    <t>In this classification, this commodity indicates a the connectors used by a product that is capable of manually resuscitating a patient in a medical setting Most nations, for tariff and trade purposes, schedule these products under HS 901890.</t>
  </si>
  <si>
    <t>Resuscitation kits</t>
  </si>
  <si>
    <t>In this classification, this commodity indicates a product that is a prepackaged collection (either custom or standard) of the equipment and supplies used to perform a resuscitation procedure in a medical setting.  Most nations, for tariff and trade purposes, schedule these products under HS 901890.</t>
  </si>
  <si>
    <t>Cases for resuscitation apparatus</t>
  </si>
  <si>
    <t>In this classification, this commodity indicates a the protective case for a product that is capable of manually resuscitating a patient in a medical setting Most nations, for tariff and trade purposes, schedule these products under HS 901890.</t>
  </si>
  <si>
    <t>Resuscitation mask accessories</t>
  </si>
  <si>
    <t>In this classification, this commodity indicates a product that is either an accessory or consumable associated with resuscitation masks.  Most nations, for tariff and trade purposes, schedule these products under HS 901890.</t>
  </si>
  <si>
    <t>Resuscitator component accessories</t>
  </si>
  <si>
    <t>In this classification, this commodity indicates a product that is either an accessory or consumable associated with resuscitator components.  Most nations, for tariff and trade purposes, schedule these products under HS 901890.</t>
  </si>
  <si>
    <t>Cases for resuscitation apparatus accessories</t>
  </si>
  <si>
    <t>In this classification, this commodity indicates a product that is either an accessory or consumable associated with cases for resuscitation apparatus.  Most nations, for tariff and trade purposes, schedule these products under HS 901890.</t>
  </si>
  <si>
    <t>42272500</t>
  </si>
  <si>
    <t>Anesthesia apparatus and accessories and supplies</t>
  </si>
  <si>
    <t>In this classification, this class includes, apparatus, components, accessories, and supplies, utilized in Anesthesia based medical procedures.</t>
  </si>
  <si>
    <t>Gas anesthesia apparatus or machines</t>
  </si>
  <si>
    <t>In this classification, this commodity indicates a product used as a apparatus or machine used to dispense anesthesia during an anesthetic procedure in a medical setting Most nations, for tariff and trade purposes, schedule these products under HS 901890.</t>
  </si>
  <si>
    <t>Absorber units for gas anesthesia apparatus or machines</t>
  </si>
  <si>
    <t>in this classification, this commodity indicates a product that is a device used in the absorption of gas anesthesia in a medical setting.  US FDA regulates Absorber units for gas anesthesia apparatus or machines under 21 CFR 868.5310 and under FDA product code BSF.  Most nations, for tariff and trade purposes, schedule these products under HS 901920.</t>
  </si>
  <si>
    <t>Anesthesia inhalers or inhaler units</t>
  </si>
  <si>
    <t>in this classification, this commodity indicates a product that is a device used as an anesthesia inhaling procedure in a medical setting.  Most nations, for tariff and trade purposes, schedule these products under HS 901920.</t>
  </si>
  <si>
    <t>Gas anesthesia apparatus tubes or tubing assemblies or tube fittings</t>
  </si>
  <si>
    <t>In this classification, this commodity indicates a product that is used as a tube or tubing used by gas anesthesia apparatus in a medical setting.  Most nations, for tariff and trade purposes, schedule these products under HS 901839.</t>
  </si>
  <si>
    <t>Anesthesia apparatus screen filters</t>
  </si>
  <si>
    <t>In this classification, this commodity indicates a product used as a screen filter for an anesthesia apparatus used in a medical setting Most nations, for tariff and trade purposes, schedule these products under HS 901819.</t>
  </si>
  <si>
    <t>Temperature control for anesthesia apparatus</t>
  </si>
  <si>
    <t>In this classification, this commodity indicates a product used as a temperature control for an anesthesia apparatus used in a medical setting Most nations, for tariff and trade purposes, schedule these products under HS 901920.</t>
  </si>
  <si>
    <t>Anesthesia machine calibrators</t>
  </si>
  <si>
    <t>In this classification, this commodity indicates a product used as a calibrator for an anesthesia machine used in a medical setting Most nations, for tariff and trade purposes, schedule these products under HS 901819.</t>
  </si>
  <si>
    <t>Anesthesia machine upgrade kits</t>
  </si>
  <si>
    <t>In this classification, this commodity indicates a product that is a prepackaged collection (either custom or standard) of the equipment and supplies used to perform anesthesia machine upgrade procedure in a medical setting.  US FDA regulates Anesthesia machine upgrade kits under 21 CFR 868.5160 and under FDA product code BSZ.  Most nations, for tariff and trade purposes, schedule these products under HS 901890.</t>
  </si>
  <si>
    <t>Anesthesia inhalation breathing gases mixers</t>
  </si>
  <si>
    <t>In this classification, this commodity indicates a product used as a breathing gas mixer for an anesthesia apparatus used in a medical setting Most nations, for tariff and trade purposes, schedule these products under HS 901920.</t>
  </si>
  <si>
    <t>Anesthetic gas masks</t>
  </si>
  <si>
    <t>In this classification, this commodity indicates a product used as a gas mask during an anesthetic procedure in a medical setting Most nations, for tariff and trade purposes, schedule these products under HS 902000.</t>
  </si>
  <si>
    <t>Ultrasonic air embolism monitors</t>
  </si>
  <si>
    <t>In this classification, this commodity indicates a product that is a customized computer monitor that displays ultrasonic air embolism specific levels.  Most nations, for tariff and trade purposes, schedule these products under HS 852849.</t>
  </si>
  <si>
    <t>Electric peripheral nerve stimulators</t>
  </si>
  <si>
    <t>In this classification, this commodity indicates a product used as a small electrical device (a wire-like electrode) next to one of the peripheral nerves located beyond the brain or spinal cord. The electrode delivers rapid electrical pulses that are felt like mild tingles (so-called paresthesias) in a medical setting Most nations, for tariff and trade purposes, schedule these products under HS 901920.</t>
  </si>
  <si>
    <t>Algesimeters</t>
  </si>
  <si>
    <t>In this classification, this commodity indicates a product used as an instrument used in determining acuteness of pain perception in a medical setting Most nations, for tariff and trade purposes, schedule these products under HS 901920.</t>
  </si>
  <si>
    <t>Anesthesia machine upgrade kit accessories</t>
  </si>
  <si>
    <t>In this classification, this commodity indicates a product that is either an accessory or consumable associated with anesthesia machine upgrade kits.  Most nations, for tariff and trade purposes, schedule these products under HS 901920.</t>
  </si>
  <si>
    <t>Anesthesia inhaler or inhaler unit accessories</t>
  </si>
  <si>
    <t>In this classification, this commodity indicates a product that is either an accessory or consumable associated with anesthesia inhaler or inhaler units.  Most nations, for tariff and trade purposes, schedule these products under HS 901920.</t>
  </si>
  <si>
    <t>Gas anesthesia apparatus or mahcine accessories</t>
  </si>
  <si>
    <t>In this classification, this commodity indicates a product that is either an accessory or consumable associated with gas anesthesia apparatus or machines.  Most nations, for tariff and trade purposes, schedule these products under HS 902000.</t>
  </si>
  <si>
    <t>Gas anesthesia apparatus tube or tubing assembly or tube fitting accessories</t>
  </si>
  <si>
    <t>In this classification, this commodity indicates a product that is either an accessory or consumable associated with gas anesthesia apparatus tube or tubing assembly or tube fittings.  Most nations, for tariff and trade purposes, schedule these products under HS 901839.</t>
  </si>
  <si>
    <t>Anesthesia machine calibrator accessories</t>
  </si>
  <si>
    <t>In this classification, this commodity indicates a product that is either an accessory or consumable associated with anesthesia machine calibrators.  Most nations, for tariff and trade purposes, schedule these products under HS 901920.</t>
  </si>
  <si>
    <t>Ether delivery apparatus or machines</t>
  </si>
  <si>
    <t>In this classification, this commodity indicates a product used as a in a medical setting Most nations, for tariff and trade purposes, schedule these products under HS 902000.</t>
  </si>
  <si>
    <t>Bispectral index monitor accessories</t>
  </si>
  <si>
    <t>In this classification, this commodity indicates a product that are the accessories for a customized computer monitor that displays bispecteral index specific levels.  Most nations, for tariff and trade purposes, schedule these products under HS 852849.</t>
  </si>
  <si>
    <t>Bispectral index monitors</t>
  </si>
  <si>
    <t>In this classification, this commodity indicates a product used as a in a medical setting Most nations, for tariff and trade purposes, schedule these products under HS 852849.</t>
  </si>
  <si>
    <t>Gaseous-phase anesthetic nitrous-oxide gas delivery systems</t>
  </si>
  <si>
    <t>In this classification, this commodity indicates a system consisting of products, consumables and accessories that are used to execute a gaseous-phase anesthetic nitrous-oxide gas delivery procedure in a medical setting.  Most nations, for tariff and trade purposes, schedule these products under HS 901890.</t>
  </si>
  <si>
    <t>Gaseous-phase anesthetic concentration desflurane gas analyzers</t>
  </si>
  <si>
    <t>In this classification, this commodity indicates a product used as a device that analyzes anesthetic concentration desflurane gas in a medical setting.  Most nations, for tariff and trade purposes, schedule these products under HS 901890.</t>
  </si>
  <si>
    <t>Gaseous-phase anesthetic concentration enflurane gas analyzers</t>
  </si>
  <si>
    <t>In this classification, this commodity indicates a product used as a device that analyzes anesthetic concentration enflurane gas  in a medical setting.  Most nations, for tariff and trade purposes, schedule these products under HS 901890.</t>
  </si>
  <si>
    <t>Gaseous-phase anesthetic concentration halothane gas analyzers</t>
  </si>
  <si>
    <t>In this classification, this commodity indicates a product used as a device that analyzes anesthetic concentration halothane gas gas in a medical setting.  Most nations, for tariff and trade purposes, schedule these products under HS 901890.</t>
  </si>
  <si>
    <t>Gaseous-phase anesthetic concentration isoflurane gas analyzers</t>
  </si>
  <si>
    <t>In this classification, this commodity indiates a product used as a device that analyzes anesthetic concentration isoflurane gas in a medical setting.  Most nations, for tariff and trade purposes, schedule these products under HS 901890.</t>
  </si>
  <si>
    <t>Gaseous-phase anesthetic concentration nitrous-oxide gas analyzers</t>
  </si>
  <si>
    <t>In this classification, this commodity indiates a product used as a device that analyzes anesthetic concentration nitrous-oxide gas in a medical setting.  Most nations, for tariff and trade purposes, schedule these products under HS 901890.</t>
  </si>
  <si>
    <t>Gaseous-phase anesthetic desflurane gas delivery systems</t>
  </si>
  <si>
    <t>In this classification, this commodity indicates a system consisting of products, consumables and accessories that are used to execute a gaseous-phase anesthetic desflurane gas delivery procedure in a medical setting.  Most nations, for tariff and trade purposes, schedule these products under HS 901890.</t>
  </si>
  <si>
    <t>Gaseous-phase anesthetic enflurane gas delivery systems</t>
  </si>
  <si>
    <t>In this classification, this commodity indicates a system consisting of products, consumables and accessories that are used to execute a gaseous-phase anesthetic enflurane gas delivery procedure in a medical setting.  Most nations, for tariff and trade purposes, schedule these products under HS 901890.</t>
  </si>
  <si>
    <t>Gaseous-phase anesthetic halothane gas delivery systems</t>
  </si>
  <si>
    <t>In this classification, this commodity indicates a system consisting of products, consumables and accessories that are used to execute a gaseous-phase anesthetic halothane gas delivery procedure in a medical setting.  Most nations, for tariff and trade purposes, schedule these products under HS 901890.</t>
  </si>
  <si>
    <t>Gaseous-phase anesthetic isoflurane gas delivery systems</t>
  </si>
  <si>
    <t>In this classification, this commodity indicates a system consisting of products, consumables and accessories that are used to execute a gaseous-phase anesthetic isoflurane gas delivery procedure in a medical setting.  Most nations, for tariff and trade purposes, schedule these products under HS 901890.</t>
  </si>
  <si>
    <t>Gaseous-phase anesthetic concentration sevofluane gas analyzers</t>
  </si>
  <si>
    <t>In this classification, this commodity indiates a product used as a device that analyzes anesthetic concentration sevofluane gas in a medical setting.  Most nations, for tariff and trade purposes, schedule these products under HS 901890.</t>
  </si>
  <si>
    <t>Ether delivery apparatus or machine accessories</t>
  </si>
  <si>
    <t>In this classification, this commodity indicates a product that is either an accessory or consumable associated with ether delivery apparatus or machines.  Most nations, for tariff and trade purposes, schedule these products under HS 901890.</t>
  </si>
  <si>
    <t>Gaseous-phase anesthetic sevoflurane gas delivery systems</t>
  </si>
  <si>
    <t>In this classification, this commodity indicates a system consisting of products, consumables and accessories that are used to execute a gaseous-phase anesthetic sevoflurane gas delivery procedure in a medical setting.  Most nations, for tariff and trade purposes, schedule these products under HS 901890.</t>
  </si>
  <si>
    <t>42280000</t>
  </si>
  <si>
    <t>Medical cleaning and sterilization products</t>
  </si>
  <si>
    <t>In this classification, this family includes the products used in the portion of medical interactions that involve medical cleaning and sterilization based procedures.</t>
  </si>
  <si>
    <t>42281500</t>
  </si>
  <si>
    <t>Autoclave and sterilizer equipment and accessories</t>
  </si>
  <si>
    <t>In this classification, this class includes, apparatus, components, accessories, and supplies, utilized in sterilization based medical procedures.</t>
  </si>
  <si>
    <t>Chemical or gas sterilizers</t>
  </si>
  <si>
    <t>In this classification, this commodity indicates a product that is machine, used to destroy microorganisms in or on, usually by the use of chemicals or gas, in a medical setting.  US FDA regulates Chemical or gas sterilizers under 21 CFR 88.686 and under FDA product code ECC.  Most nations, for tariff and trade purposes, schedule these products under HS 841920.</t>
  </si>
  <si>
    <t>Dry heat or hot air sterilizers</t>
  </si>
  <si>
    <t>In this classification, this commodity indicates a product that is machine, used to destroy microorganisms in or on, usually by bringing to a high temperature by the use, dry heat, or hot air, in a medical setting.  US FDA regulates Dry heat or hot air sterilizers under 21 CFR 880.6870 and under FDA product code KCT.  Most nations, for tariff and trade purposes, schedule these products under HS 841920.</t>
  </si>
  <si>
    <t>Filter sterilizers</t>
  </si>
  <si>
    <t>In this classification, this commodity indicates a product that is a machine used to destroy microorganisms in or on, usually by bringing to a high temperature with steam, dry heat, or boiling liquid, specifically for filters in a medical setting.  Most nations, for tariff and trade purposes, schedule these products under HS 841920.</t>
  </si>
  <si>
    <t>Glass bead sterilizers</t>
  </si>
  <si>
    <t>In this classification, this commodity indicates a product that is glass bead based, used to destroy microorganisms in or on, usually by bringing to a high temperature with steam, dry heat, or boiling liquid, in a medical setting.  US FDA regulates Glass bead sterilizers under 21 CFR 880.6730 and under FDA product code ECC.  Most nations, for tariff and trade purposes, schedule these products under HS 841920.</t>
  </si>
  <si>
    <t>Lifting handles for sterilizer containers or trays</t>
  </si>
  <si>
    <t>In this classification, this commodity indicates a product used as a lifting handle for a sterilizer container or tray in a medical setting.  US FDA regulates Lifting handles for sterilizer containers or trays under 21 CFR 880.6850 and under FDA product code KCT.  Most nations, for tariff and trade purposes, schedule these products under HS 392690.</t>
  </si>
  <si>
    <t>Radiation sterilizers</t>
  </si>
  <si>
    <t>In this classification, this commodity indicates a product that is radiation based, used to destroy microorganisms in or on, usually by bringing to a high temperature with steam, dry heat, or boiling liquid, in a medical setting.  Most nations, for tariff and trade purposes, schedule these products under HS 841920.</t>
  </si>
  <si>
    <t>Steam autoclaves or sterilizers</t>
  </si>
  <si>
    <t>In this classification, this commodity indicates a product that is steam based, used to destroy microorganisms in or on, usually by bringing to a high temperature with steam, dry heat, or boiling liquid, in a medical setting.  US FDA regulates Steam autoclaves or sterilizers under 21 CFR 880.6880 and under FDA product code FLE.  Most nations, for tariff and trade purposes, schedule these products under HS 841920.</t>
  </si>
  <si>
    <t>In this classification, this commodity indicates a product that is used as container or tray associated with the sterilization process in a medical setting.  US FDA regulates Sterilization containers or trays under 21 CFR 880.6850 and under FDA product code KCT.  Most nations, for tariff and trade purposes, schedule these products under HS 392690.</t>
  </si>
  <si>
    <t>In this classification, this commodity indicates a product that is used as an equipment clip or rack or stringer associated with the sterilization process in a medical setting.  Most nations, for tariff and trade purposes, schedule these products under HS 901811.</t>
  </si>
  <si>
    <t>Sterilization lamps</t>
  </si>
  <si>
    <t>In this classification, this commodity indicates a product that is used as lamps associated with the sterilization process in a medical setting.  Most nations, for tariff and trade purposes, schedule these products under HS 901920.</t>
  </si>
  <si>
    <t>Sterilization lids</t>
  </si>
  <si>
    <t>In this classification, this commodity indicates a product that is used as lids associated with the sterilization process in a medical setting.  Most nations, for tariff and trade purposes, schedule these products under HS 901920.</t>
  </si>
  <si>
    <t>Sterilization nameplates</t>
  </si>
  <si>
    <t>In this classification, this commodity indicates a product that is used as nameplates associated with the sterilization process in a medical setting.  Most nations, for tariff and trade purposes, schedule these products under HS 901890.</t>
  </si>
  <si>
    <t>Sanitizer heaters</t>
  </si>
  <si>
    <t>In this classification, this commodity indicates a product used as a in a medical setting Most nations, for tariff and trade purposes, schedule these products under HS 730441.</t>
  </si>
  <si>
    <t>Sterilization cabinets</t>
  </si>
  <si>
    <t>In this classification, this commodity indicates a product that is used as cabinets storing instruments, or equipment or consumable supplies associated with the sterilization process in a medical setting.  US FDA regulates Sterilization cabinets under 21 CFR 872.6710 and under FDA product code ECC.  Most nations, for tariff and trade purposes, schedule these products under HS 841920.</t>
  </si>
  <si>
    <t>Sterilization water recovery systems</t>
  </si>
  <si>
    <t>In this classification, this commodity indicates a system consisting of products, consumables and accessories that are used to execute a sterilization water recovery procedure in a medical setting.  US FDA regulates Sterilization water recovery systems under 21 CFR 880.6880 and under FDA product code FLE.  Most nations, for tariff and trade purposes, schedule these products under HS 841920.</t>
  </si>
  <si>
    <t>Sterilization cannula bars</t>
  </si>
  <si>
    <t>In this classification, this commodity indicates a product that is a hollow needle commonly used with a syringe to inject or extract liquids or sediment associated with a sterilization procedure.  Most nations, for tariff and trade purposes, schedule these products under HS 901831.</t>
  </si>
  <si>
    <t>Needle sterilizers</t>
  </si>
  <si>
    <t>In this classification, this commodity indicates a product that is a machine used to destroy microorganisms in or on, usually by bringing to a high temperature with steam, dry heat, or boiling liquid, specifically for needles in a medical setting.  US FDA regulates Needle sterilizers under 21 CFR 880.6850 and under FDA product code KCT.  Most nations, for tariff and trade purposes, schedule these products under HS 841920.</t>
  </si>
  <si>
    <t>Sterilization sets</t>
  </si>
  <si>
    <t>In this classification, this commodity indicates a product that is used as a set of instruments and or consumable supplies associated with the sterilization process in a medical setting.  Most nations, for tariff and trade purposes, schedule these products under HS 841920.</t>
  </si>
  <si>
    <t>Sterilization instruments or sterilization cases inserts</t>
  </si>
  <si>
    <t>In this classification, this commodity indicates a product that is used as instruments or case inserts associated with the sterilization process in a medical setting.  US FDA regulates Sterilization instruments or sterilization cases inserts under 21 CFR 880.6860 and under FDA product code MLR.  Most nations, for tariff and trade purposes, schedule these products under HS 841920.</t>
  </si>
  <si>
    <t>Sterilization filter sleeves</t>
  </si>
  <si>
    <t>In this classification, this commodity indicates a product that is used as sleeves for filters associated with the sterilization process in a medical setting.  Most nations, for tariff and trade purposes, schedule these products under HS 841920.</t>
  </si>
  <si>
    <t>Sterilization adapters or adapter assemblies</t>
  </si>
  <si>
    <t>In this classification, this commodity indicates a product that is used as associated with the sterilization process in a medical setting.  Most nations, for tariff and trade purposes, schedule these products under HS 841920.</t>
  </si>
  <si>
    <t>Sterilization gas or chemical or radiation aerators</t>
  </si>
  <si>
    <t>In this classification, this commodity indicates a product that is used as aerators for gas, chemicals, or radiation associated with the sterilization process in a medical setting.  Most nations, for tariff and trade purposes, schedule these products under HS 841920.</t>
  </si>
  <si>
    <t>Biological indicator test incubator</t>
  </si>
  <si>
    <t>In this classification, this commodity in indicates a product used a test incubator for a biological specimen in a medical setting Most nations, for tariff and trade purposes, schedule these products under HS 841920.</t>
  </si>
  <si>
    <t>Sterilizer sterilant concentrate or cassette or cartridge</t>
  </si>
  <si>
    <t>In this classification, this commodity indicates a product used as sterilant concentrate or cassette or cartridge for a sterilizer used in a medical setting Most nations, for tariff and trade purposes, schedule these products under HS 841920.</t>
  </si>
  <si>
    <t>Chemical or gas sterilizer accessories</t>
  </si>
  <si>
    <t>In this classification, this commodity indicates a product that is either an accessory or consumable associated with chemical or gas sterilizers.  Most nations, for tariff and trade purposes, schedule these products under HS 841920.</t>
  </si>
  <si>
    <t>Dry heat or hot air sterilizer accessories</t>
  </si>
  <si>
    <t>In this classification, this commodity indicates a product that is either an accessory or consumable associated with dry heat or hot air sterilizers.  US FDA regulates Dry heat or hot air sterilizer accessories under 21 CFR 880.6870 and under FDA product code KMH.  Most nations, for tariff and trade purposes, schedule these products under HS 841920.</t>
  </si>
  <si>
    <t>Steam autoclave or sterilizer accessories</t>
  </si>
  <si>
    <t>In this classification, this commodity indicates a product that is either an accessory or consumable associated with steam autoclave or sterilizers.  Most nations, for tariff and trade purposes, schedule these products under HS 841920.</t>
  </si>
  <si>
    <t>Ultraviolet sterilizers</t>
  </si>
  <si>
    <t>In this classification, this commodity indicates a product that is based, used to destroy microorganisms in or on, usually by bringing to a high temperature with steam, dry heat, or boiling liquid, in a medical setting.  Most nations, for tariff and trade purposes, schedule these products under HS 841920.</t>
  </si>
  <si>
    <t>Gas plasma sterilizers</t>
  </si>
  <si>
    <t>In this classification, this commodity indicates a product that is gas plasma based, used to destroy microorganisms in or on, usually by bringing to a high temperature with steam, dry heat, or boiling liquid, in a medical setting.  US FDA regulates Gas plasma sterilizers under 21 CFR 880.6890 and under FDA product code FLF.  Most nations, for tariff and trade purposes, schedule these products under HS 841920.</t>
  </si>
  <si>
    <t>Biological indicator test incubators is this the same as 42281526</t>
  </si>
  <si>
    <t>Sterilization filters for sterilization instruments</t>
  </si>
  <si>
    <t>In this classification, this commodity indicates a product that is used as filters for instruments associated with the sterilization process in a medical setting.  Most nations, for tariff and trade purposes, schedule these products under HS 841920.</t>
  </si>
  <si>
    <t>Sterilization filters for sterilization cases</t>
  </si>
  <si>
    <t>In this classification, this commodity indicates a product that is used as filters for storage containers associated with the sterilization process in a medical setting.  Most nations, for tariff and trade purposes, schedule these products under HS 841920.</t>
  </si>
  <si>
    <t>42281600</t>
  </si>
  <si>
    <t>Cold sterilization and disinfectant solutions</t>
  </si>
  <si>
    <t>In this classification, this class includes equipment, components, accessories, and supplies utilized in disinfecting or cold sterilization based medical procedures.</t>
  </si>
  <si>
    <t>Medical device or instrument disinfectants</t>
  </si>
  <si>
    <t>In this classification, this commodity indicates a product that is used as a medically related device or instrument disinfectantUS FDA regulates Medical device or instrument disinfectants under 21 CFR 880.6890 and under FDA product code LRJ.  Most nations, for tariff and trade purposes, schedule these products under HS 380894.</t>
  </si>
  <si>
    <t>Medical surface disinfectants</t>
  </si>
  <si>
    <t>In this classification, this commodity indicates a product that is used as a medically related surface disinfectantUS FDA regulates Medical surface disinfectants under 21 CFR 880.6890 and under FDA product code LRJ.  Most nations, for tariff and trade purposes, schedule these products under HS 380894.</t>
  </si>
  <si>
    <t>Medical antisetting compounds</t>
  </si>
  <si>
    <t>In this classification, this commodity indicates a product that is used as a medically related antisetting compound Most nations, for tariff and trade purposes, schedule these products under HS 901920.</t>
  </si>
  <si>
    <t>Medical gas fumigators</t>
  </si>
  <si>
    <t>In this classification, this commodity indicates a product that is used as a medically related gas fumigatorUS FDA regulates Medical gas fumigators under 21 CFR 880.6860 and under FDA product code ECC.  Most nations, for tariff and trade purposes, schedule these products under HS 841920.</t>
  </si>
  <si>
    <t>Medical device or instrument sterilants</t>
  </si>
  <si>
    <t>In this classification, this commodity indicates a product that is used as a medically related device or instrument sterilant Most nations, for tariff and trade purposes, schedule these products under HS 841920.</t>
  </si>
  <si>
    <t>42281700</t>
  </si>
  <si>
    <t>Disinfecting or presterilization cleaning equipment and solutions</t>
  </si>
  <si>
    <t>In this classification, this class includes, equipment, components, accessories, and supplies, utilized in disinfecting or presterilization based medical procedures.</t>
  </si>
  <si>
    <t>Chamber cleaners for autoclaves or sterilizers</t>
  </si>
  <si>
    <t>In this classification, this commodity indicates a product that is a machine used to destroy microorganisms in or on, usually by bringing to a high temperature with steam, dry heat, or boiling liquid, specifically for chamber cleaning in a medical setting.  Most nations, for tariff and trade purposes, schedule these products under HS 841920.</t>
  </si>
  <si>
    <t>Instrument care kits</t>
  </si>
  <si>
    <t>In this classification, this commodity indicates a product that is a prepackaged collection (either custom or standard) of the equipment and supplies used to perform procedure in a medical setting.  Most nations, for tariff and trade purposes, schedule these products under HS 901811.</t>
  </si>
  <si>
    <t>Instrument cleaners or detergents</t>
  </si>
  <si>
    <t>In this classification, this commodity indicates a product used as a cleaner or detergent of medical instruments in a medical setting Most nations, for tariff and trade purposes, schedule these products under HS 901920.</t>
  </si>
  <si>
    <t>Instrument lubricants or milks</t>
  </si>
  <si>
    <t>In this classification, this commodity indicates a product used as a pad that removes stains from medical instruments in a medical setting Most nations, for tariff and trade purposes, schedule these products under HS 902000.</t>
  </si>
  <si>
    <t>Instrument stain remover pads</t>
  </si>
  <si>
    <t>In this classification, this commodity indicates a product used as a lubricant or lubricating milk for medical instrument in a medical setting.  US FDA regulates Instrument stain remover pads under 21 CFR 880.28 and under FDA product code LRT.  Most nations, for tariff and trade purposes, schedule these products under HS 680510.</t>
  </si>
  <si>
    <t>Sterilization cart cleaners</t>
  </si>
  <si>
    <t>In this classification, this commodity indicates a product that is used as a cart cleaners associated with the sterilization process in a medical setting.  US FDA regulates Sterilization cart cleaners under 21 CFR 880.6890 and under FDA product code LRJ.  Most nations, for tariff and trade purposes, schedule these products under HS 380894.</t>
  </si>
  <si>
    <t>Sterilization cleaning brushes</t>
  </si>
  <si>
    <t>In this classification, this commodity indicates a product that is used as brushes for cleaning associated with the sterilization process in a medical setting.  Most nations, for tariff and trade purposes, schedule these products under HS 902000.</t>
  </si>
  <si>
    <t>Sterilization deodorants</t>
  </si>
  <si>
    <t>In this classification, this commodity indicates a product that is used as deodorants associated with the sterilization process in a medical setting.  Most nations, for tariff and trade purposes, schedule these products under HS 902121.</t>
  </si>
  <si>
    <t>Sterilization liquid descalers</t>
  </si>
  <si>
    <t>In this classification, this commodity indicates a product that is used as liquid descalers associated with the sterilization process in a medical setting.  Most nations, for tariff and trade purposes, schedule these products under HS 901920.</t>
  </si>
  <si>
    <t>Sterilization drain pans</t>
  </si>
  <si>
    <t>In this classification, this commodity indicates a product that is used as drain pans associated with the sterilization process in a medical setting.  Most nations, for tariff and trade purposes, schedule these products under HS 901839.</t>
  </si>
  <si>
    <t>Body waste receptacle washers</t>
  </si>
  <si>
    <t>In this classification, this commodity indicates a product used as a washer for body waste receptacles in a medical setting Most nations, for tariff and trade purposes, schedule these products under HS 901811.</t>
  </si>
  <si>
    <t>42281800</t>
  </si>
  <si>
    <t>Sterilization indicators and controls</t>
  </si>
  <si>
    <t>In this classification, this class includes, products, components, accessories, and supplies, utilized in Sterilization indication and control based medical procedures.</t>
  </si>
  <si>
    <t>Disinfectant test strips</t>
  </si>
  <si>
    <t>In this classification, this commodity indicates a product that is used as a disinfectant test strip in a medical setting.  US FDA regulates Disinfectant test strips under 21 CFR 880.28 and under FDA product code JQJ.  Most nations, for tariff and trade purposes, schedule these products under HS 380894.</t>
  </si>
  <si>
    <t>Sterilization labels</t>
  </si>
  <si>
    <t>In this classification, this commodity indicates a product that is used as labels associated with the sterilization process in a medical setting.  US FDA regulates Sterilization labels under 21 CFR 880.28 and under FDA product code LR.  Most nations, for tariff and trade purposes, schedule these products under HS 482110.</t>
  </si>
  <si>
    <t>Sterilization biological kits</t>
  </si>
  <si>
    <t>In this classification, this commodity indicates a product that is a prepackaged collection (either custom or standard) of the equipment and supplies that enable sterilization biologic use in a medical setting.  Most nations, for tariff and trade purposes, schedule these products under HS 382200.</t>
  </si>
  <si>
    <t>Sterilization controls</t>
  </si>
  <si>
    <t>In this classification, this commodity indicates a product that is used as a control system associated with the sterilization process in a medical setting.  US FDA regulates Sterilization controls under 21 CFR 880.28 and under FDA product code JOJ.  Most nations, for tariff and trade purposes, schedule these products under HS 382200.</t>
  </si>
  <si>
    <t>Sterilization indicator records</t>
  </si>
  <si>
    <t>In this classification, this commodity indicates a product that is used as indicator records associated with the sterilization process in a medical setting.  US FDA regulates Sterilization indicator records under 21 CFR 880.28 and under FDA product code FRC.  Most nations, for tariff and trade purposes, schedule these products under HS 382200.</t>
  </si>
  <si>
    <t>Sterilization indicator strips</t>
  </si>
  <si>
    <t>In this classification, this commodity indicates a product that is used as indicator strips associated with the sterilization process in a medical setting.  US FDA regulates Sterilization indicator strips under 21 CFR 880.28 and under FDA product code JOJ.  Most nations, for tariff and trade purposes, schedule these products under HS 382200.</t>
  </si>
  <si>
    <t>Sterilization indicator tapes</t>
  </si>
  <si>
    <t>In this classification, this commodity indicates a product that is used as associated with the sterilization process in a medical setting.  US FDA regulates Sterilization indicator tapes under 21 CFR 880.28 and under FDA product code JOJ.  Most nations, for tariff and trade purposes, schedule these products under HS 300590.</t>
  </si>
  <si>
    <t>Sterilization papers or sheets</t>
  </si>
  <si>
    <t>In this classification, this commodity indicates a product that is used as papers or sheets associated with the sterilization process in a medical setting.  US FDA regulates Sterilization papers or sheets under 21 CFR 880.28 and under FDA product code FRC.  Most nations, for tariff and trade purposes, schedule these products under HS 481700.</t>
  </si>
  <si>
    <t>Sterilization record storage envelopes</t>
  </si>
  <si>
    <t>In this classification, this commodity indicates a product that is used as a record storage envelope associated with the sterilization process in a medical setting.  US FDA regulates Sterilization record storage envelopes under 21 CFR 880.6850 and under FDA product code KCT.  Most nations, for tariff and trade purposes, schedule these products under HS 901811.</t>
  </si>
  <si>
    <t>Sterilization test packs</t>
  </si>
  <si>
    <t>In this classification, this commodity indicates a product that is either an accessory or consumable associated with sterilization test packs ands.  US FDA regulates Sterilization test packs and accessories under 21 CFR 880.28 and under FDA product code FRC.  Most nations, for tariff and trade purposes, schedule these products under HS 382200.</t>
  </si>
  <si>
    <t>Sterilization container locks</t>
  </si>
  <si>
    <t>In this classification, this commodity indicates a product that is used as a container lock associated with the sterilization process in a medical setting.  US FDA regulates Sterilization container locks under 21 CFR 880.6850 and under FDA product code KCT.  Most nations, for tariff and trade purposes, schedule these products under HS 901811.</t>
  </si>
  <si>
    <t>Sterilization storage environment indicators</t>
  </si>
  <si>
    <t>In this classification, this commodity indicates a product that is used as an environment indicator associated with the sterilization process in a medical setting.  Most nations, for tariff and trade purposes, schedule these products under HS 901920.</t>
  </si>
  <si>
    <t>Sterilization test pack accessories</t>
  </si>
  <si>
    <t>Accessories included with sterilization test packs.</t>
  </si>
  <si>
    <t>42281900</t>
  </si>
  <si>
    <t>Sterilization wraps and packaging supplies</t>
  </si>
  <si>
    <t>In this classification, this class includes, products, components, accessories, and supplies, utilized in Sterilization wrapping and packaging based medical procedures.</t>
  </si>
  <si>
    <t>Holders or carts for sterilization wrappers or pouches</t>
  </si>
  <si>
    <t>In this classification, this commodity indicates a product that is used as a holder or cart associated with the sterilization process in a medical setting.  Most nations, for tariff and trade purposes, schedule these products under HS 940290.</t>
  </si>
  <si>
    <t>Sterilization wraps or overwraps</t>
  </si>
  <si>
    <t>In this classification, this commodity indicates a product that is used as a wrap or overwrap associated with the sterilization process in a medical setting.  US FDA regulates Sterilization wraps or overwraps under 21 CFR 880.6850 and under FDA product code FRG.  Most nations, for tariff and trade purposes, schedule these products under HS 901811.</t>
  </si>
  <si>
    <t>Sterilization dust covers</t>
  </si>
  <si>
    <t>In this classification, this commodity indicates a product that is used as a dust cover associated with the sterilization process in a medical setting.  Most nations, for tariff and trade purposes, schedule these products under HS 901832.</t>
  </si>
  <si>
    <t>Sterilization pouches</t>
  </si>
  <si>
    <t>In this classification, this commodity indicates a product that is used as a pouch associated with the sterilization process in a medical setting.  US FDA regulates Sterilization pouches under 21 CFR 880.6850 and under FDA product code FRG.  Most nations, for tariff and trade purposes, schedule these products under HS 481730.</t>
  </si>
  <si>
    <t>Sterilization heat sealers</t>
  </si>
  <si>
    <t>In this classification, this commodity indicates a product that is used as a heat sealer associated with the sterilization process in a medical setting.  Most nations, for tariff and trade purposes, schedule these products under HS 901811.</t>
  </si>
  <si>
    <t>Sterilization instrument bands</t>
  </si>
  <si>
    <t>In this classification, this commodity indicates a product that is used as an instrument band associated with the sterilization process in a medical setting.  Most nations, for tariff and trade purposes, schedule these products under HS 901811.</t>
  </si>
  <si>
    <t>Sterilization instrument protectors</t>
  </si>
  <si>
    <t>In this classification, this commodity indicates a product that is used as a protector associated with the sterilization process in a medical setting.  Most nations, for tariff and trade purposes, schedule these products under HS 901811.</t>
  </si>
  <si>
    <t>Sterilization instrument tray liners</t>
  </si>
  <si>
    <t>In this classification, this commodity indicates a product that is used as an instrument tray liner associated with the sterilization process in a medical setting.  US FDA regulates Sterilization instrument tray liners under 21 CFR 880.6850 and under FDA product code KCT.  Most nations, for tariff and trade purposes, schedule these products under HS 901811.</t>
  </si>
  <si>
    <t>Sterilization labeling guns</t>
  </si>
  <si>
    <t>In this classification, this commodity indicates a product that is used as a labeling gun associated with the sterilization process in a medical setting.  Most nations, for tariff and trade purposes, schedule these products under HS 482110.</t>
  </si>
  <si>
    <t>Sterilization towels</t>
  </si>
  <si>
    <t>In this classification, this commodity indicates a product that is used as a towel associated with the sterilization process in a medical setting.  US FDA regulates Sterilization towels under 21 CFR 878.4370 and under FDA product code KKX.  Most nations, for tariff and trade purposes, schedule these products under HS 901811.</t>
  </si>
  <si>
    <t>Sterilization tubing</t>
  </si>
  <si>
    <t>In this classification, this commodity indicates a product that is used as tubing associated with the sterilization process in a medical setting.  US FDA regulates Sterilization tubing under 21 CFR 880.6850 and under FDA product code FRG.  Most nations, for tariff and trade purposes, schedule these products under HS 901839.</t>
  </si>
  <si>
    <t>Sterilization disposable containers</t>
  </si>
  <si>
    <t>In this classification, this commodity indicates a product that is used as disposable containers associated with the sterilization process in a medical setting.  US FDA regulates Sterilization disposable containers under 21 CFR 880.6850 and under FDA product code KCT.  Most nations, for tariff and trade purposes, schedule these products under HS 392690.</t>
  </si>
  <si>
    <t>Sterilization reels</t>
  </si>
  <si>
    <t>In this classification, this commodity indicates a product that is used as a reel associated with the sterilization process in a medical setting.  US FDA regulates Sterilization reels under 21 CFR 880.6850 and under FDA product code FRG.  Most nations, for tariff and trade purposes, schedule these products under HS 392690.</t>
  </si>
  <si>
    <t>Sterilization bags</t>
  </si>
  <si>
    <t>In this classification, this commodity indicates a product that is used as a bag associated with the sterilization process in a medical setting.  US FDA regulates Sterilization bags under 21 CFR 880.6850 and under FDA product code FRG.  Most nations, for tariff and trade purposes, schedule these products under HS 392690.</t>
  </si>
  <si>
    <t>Sterilization labels or tapes</t>
  </si>
  <si>
    <t>In this classification, this commodity indicates a product that is used as label or tape associated with the sterilization process in a medical setting.  Most nations, for tariff and trade purposes, schedule these products under HS 482110.</t>
  </si>
  <si>
    <t>42282000</t>
  </si>
  <si>
    <t>Instrument cleaning devices and accessories</t>
  </si>
  <si>
    <t>In this classification, this class includes, products, components, accessories, and supplies, utilized in Instrument cleaning procedures.</t>
  </si>
  <si>
    <t>Automated endoscope reprocessor systems AERs</t>
  </si>
  <si>
    <t>In this classification, this commodity indicates a system consisting of products, consumables and accessories that are used to execute an automated endoscope reprocessor (AERs) procedure in a medical setting.  Most nations, for tariff and trade purposes, schedule these products under HS 901890.</t>
  </si>
  <si>
    <t>Disinfectant soaking pans</t>
  </si>
  <si>
    <t>In this classification, this commodity indicates a product that is used as a disinfectant soaking pan in a medical setting Most nations, for tariff and trade purposes, schedule these products under HS 380894.</t>
  </si>
  <si>
    <t>Electron-beam sterilizers</t>
  </si>
  <si>
    <t>In this classification, this commodity indicates a product that is electronic beams based, used to destroy microorganisms in or on, usually by bringing to a high temperature with steam, dry heat, or boiling liquid, in a medical setting.  Most nations, for tariff and trade purposes, schedule these products under HS 841920.</t>
  </si>
  <si>
    <t>Endoscope flushing systems</t>
  </si>
  <si>
    <t>In this classification, this commodity indicates a system consisting of products, consumables and accessories that are used to execute an endoscope flushing procedure in a medical setting.  Most nations, for tariff and trade purposes, schedule these products under HS 901890.</t>
  </si>
  <si>
    <t>Endoscope pull-through cleaning systems</t>
  </si>
  <si>
    <t>In this classification, this commodity indicates a system consisting of products, consumables and accessories that are used to execute an endoscope pull-through cleaning procedure in a medical setting.  Most nations, for tariff and trade purposes, schedule these products under HS 901819.</t>
  </si>
  <si>
    <t>Filtration sterilizers</t>
  </si>
  <si>
    <t>In this classification, this commodity indicates a product that is filtration based, used to destroy microorganisms in or on, usually by bringing to a high temperature with steam, dry heat, or boiling liquid, in a medical setting.  Most nations, for tariff and trade purposes, schedule these products under HS 841920.</t>
  </si>
  <si>
    <t>Flash sterilizers</t>
  </si>
  <si>
    <t>In this classification, this commodity indicates a product that is a machine that is used to quickly destroy microorganisms in or on, usually by bringing to a high temperature with steam, dry heat, or boiling liquid, in a medical setting.  Most nations, for tariff and trade purposes, schedule these products under HS 841920.</t>
  </si>
  <si>
    <t>Immersion and rotary cleaning systems</t>
  </si>
  <si>
    <t>In this classification, this commodity indicates a system consisting of products, consumables and accessories that are used to execute an immersion and rotary cleaning procedure in a medical setting.  Most nations, for tariff and trade purposes, schedule these products under HS 901890.</t>
  </si>
  <si>
    <t>Gamma-ray sterilizers</t>
  </si>
  <si>
    <t>In this classification, this commodity indicates a product that is machine, used to destroy microorganisms in or on, usually by bringing to a high temperature with steam, dry heat, or boiling liquid, in a medical setting.  Most nations, for tariff and trade purposes, schedule these products under HS 841920.</t>
  </si>
  <si>
    <t>Medical equipment and instrument disinfectant washing equipment</t>
  </si>
  <si>
    <t>In this classification, this commodity indicates a product that is used as a medically related equipment and instrument disinfectant washing equipment Most nations, for tariff and trade purposes, schedule these products under HS 901811.</t>
  </si>
  <si>
    <t>Microwave sterilizers</t>
  </si>
  <si>
    <t>Passivation equipment</t>
  </si>
  <si>
    <t>In this classification, this commodity indicates a piece of equipment used to apply a light coat of a protective material, such as metal oxide, to create a shell against corrosion in a medical setting Most nations, for tariff and trade purposes, schedule these products under HS 901920.</t>
  </si>
  <si>
    <t>Ozone sterilizers</t>
  </si>
  <si>
    <t>Pasteurization disinfection systems</t>
  </si>
  <si>
    <t>In this classification, this commodity indicates a system consisting of products, consumables and accessories that are used to execute a pasteurization disinfection procedure in a medical setting.  Most nations, for tariff and trade purposes, schedule these products under HS 841920.</t>
  </si>
  <si>
    <t>Penicylinders</t>
  </si>
  <si>
    <t>In this classification, this commodity indicates a product used as a small cylinder that can be coated with bacteria as part of scientific experiments with antibiotics in a medical setting Most nations, for tariff and trade purposes, schedule these products under HS 901920.</t>
  </si>
  <si>
    <t>Soak-and-spray cleaning systems</t>
  </si>
  <si>
    <t>In this classification, this commodity indicates a system consisting of products, consumables and accessories that are used to execute a soak-and-spray cleaning procedure in a medical setting.  Most nations, for tariff and trade purposes, schedule these products under HS 901890.</t>
  </si>
  <si>
    <t>Ultrasonic cleaning equipment</t>
  </si>
  <si>
    <t>In this classification, this commodity indicates a piece of equipment used to clean ultrasonic systems, units, or components in a medical setting Most nations, for tariff and trade purposes, schedule these products under HS 901920.</t>
  </si>
  <si>
    <t>Ultrasonic tanks and tumblers</t>
  </si>
  <si>
    <t>In this classification, this commodity indicates a product used as a tank for cleaning and a tumbler that cleans through vibration Ultrasonic equipment and instruments in a medical setting Most nations, for tariff and trade purposes, schedule these products under HS 901920.</t>
  </si>
  <si>
    <t>X-ray sterilizers</t>
  </si>
  <si>
    <t>Instrument cleaning device accessories</t>
  </si>
  <si>
    <t>In this classification, this commodity indicates a product used as a component or attachment for an instrument cleaning device used during a surgical procedure in a medical setting.   Most nations, for tariff and trade purposes, schedule instrument cleaning device accessories under HS 902129.</t>
  </si>
  <si>
    <t>42290000</t>
  </si>
  <si>
    <t>Surgical products</t>
  </si>
  <si>
    <t>In this classification, this family includes the products used in the portion of medical interactions that involve surgical procedures.</t>
  </si>
  <si>
    <t>42291500</t>
  </si>
  <si>
    <t>Surgical bone biopsy instruments and related products</t>
  </si>
  <si>
    <t>In this classification, this class includes, products, components, accessories, and supplies, utilized in bone biopsy based medical surgical procedures.</t>
  </si>
  <si>
    <t>Surgical bone biopsy mills or related products</t>
  </si>
  <si>
    <t>In this classification, this commodity indicates a product used as a surgical bone biopsy mill or related product during a surgical procedure in a medical setting Most nations, for tariff and trade purposes, schedule these products under HS 901819.</t>
  </si>
  <si>
    <t>Surgical bone biopsy trephines</t>
  </si>
  <si>
    <t>In this classification, this commodity indicates a product used as a bone biopsy trephine during a surgical procedure in a medical setting Most nations, for tariff and trade purposes, schedule these products under HS 901819.</t>
  </si>
  <si>
    <t>Surgical planer accessories</t>
  </si>
  <si>
    <t>In this classification, this commodity indicates a product that is either an accessory or consumable associated with surgical planer s.  Most nations, for tariff and trade purposes, schedule these products under HS 901819.</t>
  </si>
  <si>
    <t>42291600</t>
  </si>
  <si>
    <t>Surgical cutting instruments and snares and related products</t>
  </si>
  <si>
    <t>In this classification, this class includes, products, components, accessories, and supplies, utilized in cutting and snaring surgical procedures.</t>
  </si>
  <si>
    <t>Surgical bolt or cable or pin or wire cutter instruments</t>
  </si>
  <si>
    <t>In this classification, this commodity indicates a product used as a bolt, cable, pin, or wire cutter instrument during a surgical procedure in a medical setting.  US FDA regulates surgical bolt or cable or pin or wire cutter instruments under 21 CFR 874.3540 and under FDA product code HXW.  Most nations, for tariff and trade purposes, schedule these products under HS 901890.</t>
  </si>
  <si>
    <t>In this classification, this commodity indicates a product used as a bone cutting forceps during a surgical procedure in a medical setting.  US FDA regulates surgical bone cutting forceps under 21 CFR 872.4565 and under FDA product code EML.  Most nations, for tariff and trade purposes, schedule these products under HS 820210.</t>
  </si>
  <si>
    <t>Surgical bone hand saws or wire saws or saw handles</t>
  </si>
  <si>
    <t>In this classification, this commodity indicates a product used as a bone hand saw, wire saw, or saw handle during a surgical procedure in a medical setting.  US FDA regulates surgical bone hand saws or wire saws or saw handles under 21 CFR 874.4420 and under FDA product code JYR.  Most nations, for tariff and trade purposes, schedule these products under HS 901819.</t>
  </si>
  <si>
    <t>In this classification, this commodity indicates a product used as a broach during a surgical procedure in a medical setting Most nations, for tariff and trade purposes, schedule these products under HS 901819.</t>
  </si>
  <si>
    <t>In this classification, this commodity indicates a product used as a chisel or gouge during a surgical procedure in a medical setting.  US FDA regulates surgical chisels or gouges under 21 CFR 874.4420 and under FDA product code GAC.  Most nations, for tariff and trade purposes, schedule these products under HS 901890.</t>
  </si>
  <si>
    <t>Surgical curettes or loops or curette sets</t>
  </si>
  <si>
    <t>In this classification, this commodity indicates a product used as a curette, loop, or curette set during a surgical procedure in a medical setting.  US FDA regulates surgical curettes or loops or curette sets under 21 CFR 872.4565 and under FDA product code EKE.  Most nations, for tariff and trade purposes, schedule these products under HS 901920.</t>
  </si>
  <si>
    <t>Surgical cutting blocks or boards or platforms</t>
  </si>
  <si>
    <t>In this classification, this commodity indicates a product used as a cutting block, board, or platform during a surgical procedure in a medical setting Most nations, for tariff and trade purposes, schedule these products under HS 901920.</t>
  </si>
  <si>
    <t>Surgical nippers</t>
  </si>
  <si>
    <t>In this classification, this commodity indicates a product used as a nipper during a surgical procedure in a medical setting.  US FDA regulates surgical nippers under 21 CFR 874.4420 and under FDA product code JYR.  Most nations, for tariff and trade purposes, schedule these products under HS 901890.</t>
  </si>
  <si>
    <t>Surgical planes</t>
  </si>
  <si>
    <t>In this classification, this commodity indicates a product used as a plane during a surgical procedure in a medical setting Most nations, for tariff and trade purposes, schedule these products under HS 901819.</t>
  </si>
  <si>
    <t>In this classification, this commodity indicates a product used as a rasp or file during a surgical procedure in a medical setting.  US FDA regulates surgical rasps or files under 21 CFR 874.4420 and under FDA product code GAC.  Most nations, for tariff and trade purposes, schedule these products under HS 901890.</t>
  </si>
  <si>
    <t>Surgical rongeurs</t>
  </si>
  <si>
    <t>In this classification, this commodity indicates a product used as a ronguer during a surgical procedure in a medical setting.  US FDA regulates surgical rongeurs under 21 CFR 872.4565 and under FDA product code EMH.  Most nations, for tariff and trade purposes, schedule these products under HS 901890.</t>
  </si>
  <si>
    <t>Surgical scalpels or knives or blades or trephines</t>
  </si>
  <si>
    <t>In this classification, this commodity indicates a product used as a scalpel, knife, or blade during a surgical procedure in a medical setting.  US FDA regulates surgical scalpels or knives or blades or trephines under 21 CFR 874.4420 and under FDA product code EMF.  Most nations, for tariff and trade purposes, schedule these products under HS 901890.</t>
  </si>
  <si>
    <t>Surgical scissors</t>
  </si>
  <si>
    <t>In this classification, this commodity indicates a product used as a scissor during a surgical procedure in a medical setting.  US FDA regulates surgical scissors under 21 CFR 874.3540 and under FDA product code HDJ.  Most nations, for tariff and trade purposes, schedule these products under HS 901890.</t>
  </si>
  <si>
    <t>Surgical shears</t>
  </si>
  <si>
    <t>In this classification, this commodity indicates a product used as surgical shears during a surgical procedure in a medical setting.  US FDA regulates surgical shears under 21 CFR 878.48 and under FDA product code LRW.  Most nations, for tariff and trade purposes, schedule these products under HS 901890.</t>
  </si>
  <si>
    <t>Surgical snares or snare wires</t>
  </si>
  <si>
    <t>In this classification, this commodity indicates a product used as surgical snares or snare wires during a surgical procedure in a medical setting.  US FDA regulates surgical snares or snare wires under 21 CFR 874.4420 and under FDA product code FDI.  Most nations, for tariff and trade purposes, schedule these products under HS 901890.</t>
  </si>
  <si>
    <t>Surgical spuds</t>
  </si>
  <si>
    <t>In this classification, this commodity indicates a product used as surgical spuds during a surgical procedure in a medical setting.  Most nations, for tariff and trade purposes, schedule these products under HS 901819.</t>
  </si>
  <si>
    <t>Surgical tomes</t>
  </si>
  <si>
    <t>In this classification, this commodity indicates a product used as surgical tomes during a surgical procedure in a medical setting.  Most nations, for tariff and trade purposes, schedule these products under HS 901819.</t>
  </si>
  <si>
    <t>Finger ring removers or cutters</t>
  </si>
  <si>
    <t>In this classification, this commodity indicates a product used as finger ring removers or cutters during a surgical procedure in a medical setting.  US FDA regulates Finger ring removers or cutters under 21 CFR 880.62 and under FDA product code FNS.  Most nations, for tariff and trade purposes, schedule these products under HS 901839.</t>
  </si>
  <si>
    <t>In this classification, this commodity indicates a product that is either an accessory or consumable associated with surgical burr.  Most nations, for tariff and trade purposes, schedule these products under HS 901819.</t>
  </si>
  <si>
    <t>Bone dowel cutting instruments</t>
  </si>
  <si>
    <t>In this classification, this commodity indicates a product used as bone dowel cutting instruments during a surgical procedure in a medical setting.  Most nations, for tariff and trade purposes, schedule these products under HS 901890.</t>
  </si>
  <si>
    <t>Surgical piston cutting jigs</t>
  </si>
  <si>
    <t>In this classification, this commodity indicates a product used as surgical piston cutting jigs during a surgical procedure in a medical setting.  Most nations, for tariff and trade purposes, schedule these products under HS 901890.</t>
  </si>
  <si>
    <t>Surgical knife handles</t>
  </si>
  <si>
    <t>In this classification, this commodity indicates a product used as a knife handle during a surgical procedure in a medical setting.  Most nations, for tariff and trade purposes, schedule these products under HS 901819.</t>
  </si>
  <si>
    <t>Surgical cutting instrument protective shields</t>
  </si>
  <si>
    <t>In this classification, this commodity indicates a product used as a cutting instrument protective shield during a surgical procedure in a medical setting.  Most nations, for tariff and trade purposes, schedule these products under HS 901890.</t>
  </si>
  <si>
    <t>In this classification, this commodity indicates a product that is either an accessory or consumable associated with surgical scalpels or knives or blades or trephines.  Most nations, for tariff and trade purposes, schedule these products under HS 901890.</t>
  </si>
  <si>
    <t>Surgical burr accessories</t>
  </si>
  <si>
    <t>Accessories included with surgical burrs.</t>
  </si>
  <si>
    <t>42291700</t>
  </si>
  <si>
    <t>Surgical hand drills and reamers and puncturing instruments and accessories and related products</t>
  </si>
  <si>
    <t>In this classification, this class includes products, components, accessories, and supplies utilized as hand drills, reamers, puncturing instruments and accessories used in medical procedures.</t>
  </si>
  <si>
    <t>Surgical hand or twist drills or drill kits</t>
  </si>
  <si>
    <t>In this classification, this commodity indicates a product that is a prepackaged collection (either custom or standard) of the equipment and supplies that enable surgical hand or twist drill use in a medical setting.  US FDA regulates surgical hand or twist drills or drill kits under 21 CFR 872.4120 and under FDA product code DZH.  Most nations, for tariff and trade purposes, schedule these products under HS 901890.</t>
  </si>
  <si>
    <t>In this classification, this commodity indicates a product used as a hand reamer or awl during a surgical procedure in a medical setting.  Most nations, for tariff and trade purposes, schedule these products under HS 901920.</t>
  </si>
  <si>
    <t>Surgical perforators</t>
  </si>
  <si>
    <t>In this classification, this commodity indicates a product used as a perforator during a surgical procedure in a medical setting.  Most nations, for tariff and trade purposes, schedule these products under HS 901920.</t>
  </si>
  <si>
    <t>In this classification, this commodity indicates a product that is either an accessory or consumable associated with surgical drill bit.  Most nations, for tariff and trade purposes, schedule these products under HS 901920.</t>
  </si>
  <si>
    <t>Surgical non powered saw blades</t>
  </si>
  <si>
    <t>In this classification, this commodity indicates a product used as a non-powered saw blade during a surgical procedure in a medical setting.  Most nations, for tariff and trade purposes, schedule these products under HS 901920.</t>
  </si>
  <si>
    <t>Ventricular cannulas or needles</t>
  </si>
  <si>
    <t>In this classification, this commodity indicates a product that is a metal tube or hollow needle commonly used with a syringe to inject or extract substances or fluids associated with a ventricular procedure.  Most nations, for tariff and trade purposes, schedule these products under HS 901831.</t>
  </si>
  <si>
    <t>Surgical hand or twist drill or drill kit accessories</t>
  </si>
  <si>
    <t>In this classification, this commodity indicates a product that is either an accessory or consumable associated with surgical hand or twist drill or drill kits.  Most nations, for tariff and trade purposes, schedule these products under HS 901920.</t>
  </si>
  <si>
    <t>Surgical punches or punch holders</t>
  </si>
  <si>
    <t>In this classification, this commodity indicates a product used as a punch or punch holder during a surgical procedure in a medical setting.  US FDA regulates surgical punches or punch holders under 21 CFR 872.4565 and under FDA product code EME.  Most nations, for tariff and trade purposes, schedule these products under HS 901890.</t>
  </si>
  <si>
    <t>Surgical saw blade accessories</t>
  </si>
  <si>
    <t>In this classification, this commodity indicates a product that is either an accessory or consumable associated with surgical saw blades.  Most nations, for tariff and trade purposes, schedule these products under HS 901920.</t>
  </si>
  <si>
    <t>Surgical hollow mill or screw remover sets</t>
  </si>
  <si>
    <t>In this classification, this commodity indicates a product used as a hollow mill or screw remover sets during a surgical procedure in a medical setting.  Most nations, for tariff and trade purposes, schedule these products under HS 901920.</t>
  </si>
  <si>
    <t>Surgical punch or punch holder accessories</t>
  </si>
  <si>
    <t>In this classification, this commodity indicates a product used as an accessory for a  punch or punch holder used during a surgical procedure in a medical setting.  US FDA regulates surgical punches or punch holders under 21 CFR 872.4565 and under FDA product code EME.  Most nations, for tariff and trade purposes, schedule surgical punch or punch holder accessories under HS 901890.</t>
  </si>
  <si>
    <t>42291800</t>
  </si>
  <si>
    <t>Surgical clamps and forceps and surgical ligators and related instruments</t>
  </si>
  <si>
    <t>In this classification, this class includes products, components, accessories, and supplies utilized as clamps, forceps or ligators in surgical procedures.</t>
  </si>
  <si>
    <t>Surgical band ligator appliers or bands or related products</t>
  </si>
  <si>
    <t>In this classification, this commodity indicates a product used as a band ligator applier or band or related products during a surgical procedure in a medical setting.  Most nations, for tariff and trade purposes, schedule these products under HS 901920.</t>
  </si>
  <si>
    <t>Surgical clamps or clips or forceps</t>
  </si>
  <si>
    <t>In this classification, this commodity indicates a product used as a clamp, clip, or forcep during a surgical procedure in a medical setting.  US FDA regulates surgical clamps or clips or forceps under 21 CFR 870.4450 and under FDA product code DXC.  Most nations, for tariff and trade purposes, schedule these products under HS 901890.</t>
  </si>
  <si>
    <t>Circumcision clamps or bells</t>
  </si>
  <si>
    <t>In this classification, this commodity indicates a product used as a Circumcision clamps or bells during a surgical procedure in a medical setting.  US FDA regulates Circumcision clamps or bells under 21 CFR 884.4530 and under FDA product code HFX.  Most nations, for tariff and trade purposes, schedule these products under HS 901920.</t>
  </si>
  <si>
    <t>Newborn umbilical cord clamps or cutters or clamp cutters</t>
  </si>
  <si>
    <t>In this classification, this commodity indicates a product used as a newborn umbilical cord clamp or cutter or clamp cutter during a surgical procedure in a medical setting.  US FDA regulates Newborn Umbilical cord clamps or cutters or clamp cutters under 21 CFR 884.4530 and under FDA product code HFW.  Most nations, for tariff and trade purposes, schedule these products under HS 901920.</t>
  </si>
  <si>
    <t>Bandage clips</t>
  </si>
  <si>
    <t>In this classification, this commodity indicates a product used as a Bandage clip during a surgical procedure in a medical setting.  Most nations, for tariff and trade purposes, schedule these products under HS 901920.</t>
  </si>
  <si>
    <t>Surgical clip reloading racks</t>
  </si>
  <si>
    <t>In this classification, this commodity indicates a product used as a clip reloading rack during a surgical procedure in a medical setting.  Most nations, for tariff and trade purposes, schedule these products under HS 901920.</t>
  </si>
  <si>
    <t>Surgical clamp or forcep or surgical ligator accessories</t>
  </si>
  <si>
    <t>In this classification, this commodity indicates a product used as an accessory for a clamp, forcep, or ligator during a surgical procedure in a medical setting.  US FDA regulates surgical clamps or clips or forceps under 21 CFR 870.4450 and under FDA product code DXC.  Most nations, for tariff and trade purposes, schedule surgical clamp or forcep or surgical ligator accessories under HS 901890.</t>
  </si>
  <si>
    <t>42291900</t>
  </si>
  <si>
    <t>Surgical instrument and tube holders and positioners</t>
  </si>
  <si>
    <t>In this classification, this class includes, products, components, accessories, and supplies, utilized as instrument and tube holders and positioners in surgical procedures.</t>
  </si>
  <si>
    <t>Surgical instrument holders or positioners</t>
  </si>
  <si>
    <t>In this classification, this commodity indicates a product used as an instrument holder or positioner during a surgical procedure in a medical setting.  Most nations, for tariff and trade purposes, schedule these products under HS 901811.</t>
  </si>
  <si>
    <t>Surgical tube holders or positioners</t>
  </si>
  <si>
    <t>In this classification, this commodity indicates a product that is used as a tube holder or positioner in a surgical procedure in a medical setting.  Most nations, for tariff and trade purposes, schedule these products under HS 901819.</t>
  </si>
  <si>
    <t>42292000</t>
  </si>
  <si>
    <t>Surgical mirrors and related products</t>
  </si>
  <si>
    <t>In this classification, this class includes, products, components, accessories, and supplies, utilized as mirrors in surgical procedures.</t>
  </si>
  <si>
    <t>Surgical mirrors</t>
  </si>
  <si>
    <t>In this classification, this commodity indicates a product used as a mirror during a surgical procedure in a medical setting.  US FDA regulates surgical mirrors under 21 CFR 874.4350 and under FDA product code EQH.  Most nations, for tariff and trade purposes, schedule these products under HS 901920.</t>
  </si>
  <si>
    <t>Artificial eyes</t>
  </si>
  <si>
    <t>In this classification, this commodity indicates a product used as an Artificial eye during a surgical procedure in a medical setting.  Most nations, for tariff and trade purposes, schedule these products under HS 981700.</t>
  </si>
  <si>
    <t>Surgical mirror accessories</t>
  </si>
  <si>
    <t>In this classification, this commodity indicates a product that is either an accessory or consumable associated with surgical mirrors.  Most nations, for tariff and trade purposes, schedule these products under HS 901920.</t>
  </si>
  <si>
    <t>42292100</t>
  </si>
  <si>
    <t>Surgical inserters and extractors and related products</t>
  </si>
  <si>
    <t>In this classification, this class includes, products, components, accessories, and supplies, utilized as inserters and extractors in surgical procedures.</t>
  </si>
  <si>
    <t>Surgical inserters or inserters kits</t>
  </si>
  <si>
    <t>In this classification, this commodity indicates a product that is a prepackaged collection (either custom or standard) of the equipment and supplies that enable surgical this classification, this commodity indicates a product that is a prepackaged collection (either custom or standard) of the equipment and supplies used to perform surgical insertion procedure in a medical setting. use in a medical setting.  Most nations, for tariff and trade purposes, schedule these products under HS 901920.</t>
  </si>
  <si>
    <t>In this classification, this commodity indicates a product used as an extractor during a surgical procedure in a medical setting.  Most nations, for tariff and trade purposes, schedule these products under HS 901920.</t>
  </si>
  <si>
    <t>Surgical combination inserters extractors</t>
  </si>
  <si>
    <t>In this classification, this commodity indicates a product used as a combination inserter extractor during a surgical procedure in a medical setting.  Most nations, for tariff and trade purposes, schedule these products under HS 901920.</t>
  </si>
  <si>
    <t>Surgical combination impactors extractors</t>
  </si>
  <si>
    <t>In this classification, this commodity indicates a product used as a combination impactor extractor during a surgical procedure in a medical setting.  Most nations, for tariff and trade purposes, schedule these products under HS 901920.</t>
  </si>
  <si>
    <t>Bone pin driver-bender-extractors</t>
  </si>
  <si>
    <t>In this classification, this commodity indicates a product used as a bone pin driver-bender-extractor during a surgical procedure in a medical setting.  Most nations, for tariff and trade purposes, schedule these products under HS 901920.</t>
  </si>
  <si>
    <t>42292300</t>
  </si>
  <si>
    <t>Surgical bending irons and crimpers and pliers and tensioners and wrenches and related products</t>
  </si>
  <si>
    <t>In this classification, this class includes, products, components, accessories, and supplies, utilized as surgical bending irons and crimpers and pliers and tensioners and wrenches in surgical procedures.</t>
  </si>
  <si>
    <t>Surgical bending instruments</t>
  </si>
  <si>
    <t>In this classification, this commodity indicates a product used as a bending instrument during a surgical procedure in a medical setting.  US FDA regulates surgical bending instruments under 21 CFR 974.3540 and under FDA product code HXP.  Most nations, for tariff and trade purposes, schedule these products under HS 901811.</t>
  </si>
  <si>
    <t>Surgical crimpers</t>
  </si>
  <si>
    <t>In this classification, this commodity indicates a product used as a crimper during a surgical procedure in a medical setting.  Most nations, for tariff and trade purposes, schedule these products under HS 901920.</t>
  </si>
  <si>
    <t>Surgical pliers</t>
  </si>
  <si>
    <t>In this classification, this commodity indicates a product used as a plier during a surgical procedure in a medical setting.  US FDA regulates surgical pliers under 21 CFR 872.4565 and under FDA product code EJY.  Most nations, for tariff and trade purposes, schedule these products under HS 901890.</t>
  </si>
  <si>
    <t>Surgical tensioners</t>
  </si>
  <si>
    <t>In this classification, this commodity indicates a product used as a tensioner during a surgical procedure in a medical setting.  Most nations, for tariff and trade purposes, schedule these products under HS 901920.</t>
  </si>
  <si>
    <t>Surgical vice grips</t>
  </si>
  <si>
    <t>In this classification, this commodity indicates a product used as a vice grip during a surgical procedure in a medical setting.  US FDA regulates surgical vice grips under 21 CFR 888.4540 and under FDA product code HXG.  Most nations, for tariff and trade purposes, schedule these products under HS 901990.</t>
  </si>
  <si>
    <t>Surgical wire holding forceps or twisters</t>
  </si>
  <si>
    <t>In this classification, this commodity indicates a product used as a wire holding forcep or twister during a surgical procedure in a medical setting.  Most nations, for tariff and trade purposes, schedule these products under HS 901890.</t>
  </si>
  <si>
    <t>In this classification, this commodity indicates a product used as a wrench during a surgical procedure in a medical setting.  Most nations, for tariff and trade purposes, schedule these products under HS 901819.</t>
  </si>
  <si>
    <t>Surgical bending instrument accessories</t>
  </si>
  <si>
    <t>In this classification, this commodity indicates a product that is either an accessory or consumable associated with surgical bending instruments.  Most nations, for tariff and trade purposes, schedule these products under HS 901811.</t>
  </si>
  <si>
    <t>42292400</t>
  </si>
  <si>
    <t>Surgical taps and drivers and related products</t>
  </si>
  <si>
    <t>In this classification, this class includes, products, components, accessories, and supplies, utilized as taps and drivers in surgical procedures.</t>
  </si>
  <si>
    <t>In this classification, this commodity indicates a product used as a tap during a surgical procedure in a medical setting.  Most nations, for tariff and trade purposes, schedule these products under HS 901920.</t>
  </si>
  <si>
    <t>In this classification, this commodity indicates a product used as a driver during a surgical procedure in a medical setting.  Most nations, for tariff and trade purposes, schedule these products under HS 901920.</t>
  </si>
  <si>
    <t>Surgical ratchet handles</t>
  </si>
  <si>
    <t>In this classification, this commodity indicates a product used as a ratchet handle during a surgical procedure in a medical setting.  Most nations, for tariff and trade purposes, schedule these products under HS 901920.</t>
  </si>
  <si>
    <t>Surgical driver accessories</t>
  </si>
  <si>
    <t>In this classification, this commodity indicates a product that is either an accessory or consumable associated with surgical drivers.  Most nations, for tariff and trade purposes, schedule these products under HS 901920.</t>
  </si>
  <si>
    <t>Surgical drill countersinks</t>
  </si>
  <si>
    <t>In this classification, this commodity indicates a product used as a drill countersink during a surgical procedure in a medical setting.  Most nations, for tariff and trade purposes, schedule these products under HS 901920.</t>
  </si>
  <si>
    <t>42292500</t>
  </si>
  <si>
    <t>Surgical hammers and mallets and impactors and presses and related products</t>
  </si>
  <si>
    <t>In this classification, this class includes, products, components, accessories, and supplies, utilized as surgical hammers and mallets and impactors and presses in surgical procedures.</t>
  </si>
  <si>
    <t>In this classification, this commodity indicates a product used as a tamp during a surgical procedure in a medical setting.  US FDA regulates surgical tamps under 21 CFR 888.4540 and under FDA product code HXG.  Most nations, for tariff and trade purposes, schedule these products under HS 901990.</t>
  </si>
  <si>
    <t>In this classification, this commodity indicates a product used as a hammer or mallet during a surgical procedure in a medical setting.  US FDA regulates surgical hammers or mallets under 21 CFR 878.48 and under FDA product code FZY.  Most nations, for tariff and trade purposes, schedule these products under HS 901890.</t>
  </si>
  <si>
    <t>In this classification, this commodity indicates a product used as an impactor or packer during a surgical procedure in a medical setting.  Most nations, for tariff and trade purposes, schedule these products under HS 901920.</t>
  </si>
  <si>
    <t>Surgical presses</t>
  </si>
  <si>
    <t>In this classification, this commodity indicates a product used as a press during a surgical procedure in a medical setting.  Most nations, for tariff and trade purposes, schedule these products under HS 901920.</t>
  </si>
  <si>
    <t>Surgical hammer or mallet caps</t>
  </si>
  <si>
    <t>In this classification, this commodity indicates a product used as a hammer or mallet cap during a surgical procedure in a medical setting.  US FDA regulates surgical hammer or mallet caps under 21 CFR 878.48 and under FDA product code GFJ.  Most nations, for tariff and trade purposes, schedule these products under HS 830990.</t>
  </si>
  <si>
    <t>Skull plate anvils</t>
  </si>
  <si>
    <t>In this classification, this commodity indicates a product used as a kull plate anvil during a surgical procedure in a medical setting.  Most nations, for tariff and trade purposes, schedule these products under HS 901920.</t>
  </si>
  <si>
    <t>Autopsy mallets</t>
  </si>
  <si>
    <t>In this classification, this commodity indicates a product used as an autopsy mallet during an autopsy procedure in a medical setting.  Most nations, for tariff and trade purposes, schedule these products under HS 901920.</t>
  </si>
  <si>
    <t>42292600</t>
  </si>
  <si>
    <t>Surgical dilators and probes and grooves and related products</t>
  </si>
  <si>
    <t>In this classification, this class includes, products, components, accessories, and supplies, utilized as surgical dilators and probes and grooves in surgical procedures.</t>
  </si>
  <si>
    <t>Surgical dilators</t>
  </si>
  <si>
    <t>In this classification, this commodity indicates a product used as a dilator during a surgical procedure in a medical setting.  Most nations, for tariff and trade purposes, schedule these products under HS 901920.</t>
  </si>
  <si>
    <t>Surgical grooves</t>
  </si>
  <si>
    <t>In this classification, this commodity indicates a product used as a groove during a surgical procedure in a medical setting.  Most nations, for tariff and trade purposes, schedule these products under HS 901920.</t>
  </si>
  <si>
    <t>Surgical probes or directors</t>
  </si>
  <si>
    <t>In this classification, this commodity indicates a product used as a probe or director during a surgical procedure in a medical setting.  US FDA regulates surgical probes or directors under 21 CFR 878.44 and under FDA product code GEI.  Most nations, for tariff and trade purposes, schedule these products under HS 901890.</t>
  </si>
  <si>
    <t>Surgical dilator or probe or groove accessories</t>
  </si>
  <si>
    <t>In this classification, this commodity indicates a product used as a component or attachment for an instrument cleaning device used during a surgical procedure in a medical setting.  US FDA regulates surgical probes or directors under 21 CFR 878.44 and under FDA product code GEI.  Most nations, for tariff and trade purposes, schedule surgical dilator or probe or groove accessories under HS 901920 and 901890.</t>
  </si>
  <si>
    <t>42292700</t>
  </si>
  <si>
    <t>Surgical dissectors and elevators and picks and related products</t>
  </si>
  <si>
    <t>In this classification, this class includes, products, components, accessories, and supplies, utilized as surgical dissectors and elevators and picks in surgical procedures.</t>
  </si>
  <si>
    <t>In this classification, this commodity indicates a product used as a dissector during a surgical procedure in a medical setting.  US FDA regulates surgical dissectors under 21 CFR 878.48 and under FDA product code GDI.  Most nations, for tariff and trade purposes, schedule these products under HS 901890.</t>
  </si>
  <si>
    <t>Surgical elevators or levers</t>
  </si>
  <si>
    <t>In this classification, this commodity indicates a product used as an elevator or lever during a surgical procedure in a medical setting.  US FDA regulates surgical elevators or levers under 21 CFR 878.48 and under FDA product code GEG.  Most nations, for tariff and trade purposes, schedule these products under HS 901920.</t>
  </si>
  <si>
    <t>Surgical lifters</t>
  </si>
  <si>
    <t>In this classification, this commodity indicates a product used as a lifter during a surgical procedure in a medical setting.  Most nations, for tariff and trade purposes, schedule these products under HS 901920.</t>
  </si>
  <si>
    <t>Surgical picks</t>
  </si>
  <si>
    <t>In this classification, this commodity indicates a product used as a pick during a surgical procedure in a medical setting.  Most nations, for tariff and trade purposes, schedule these products under HS 901920.</t>
  </si>
  <si>
    <t>42292800</t>
  </si>
  <si>
    <t>Surgical marking instruments</t>
  </si>
  <si>
    <t>In this classification, this class includes, products, components, accessories, and supplies, utilized as marking instruments in surgical procedures.</t>
  </si>
  <si>
    <t>Ophthalmic marking instruments</t>
  </si>
  <si>
    <t>In this classification, this commodity indicates a product used as an instrument to mark tissue during an ophthalmic procedure in a medical setting.  Most nations, for tariff and trade purposes, schedule these products under HS 901811.</t>
  </si>
  <si>
    <t>Surgical marking instruments for general use</t>
  </si>
  <si>
    <t>In this classification, this commodity indicates a product used as a marking instruments for general use during a surgical procedure in a medical setting.  US FDA regulates surgical marking instruments for general use under 21 CFR 878.4660 and under FDA product code FZZ.  Most nations, for tariff and trade purposes, schedule these products under HS 901811.</t>
  </si>
  <si>
    <t>Biopsy sealing and marking devices</t>
  </si>
  <si>
    <t>In this classification, this commodity indicates a product used as an instrument to mark and seal tissue during a biopsy procedure in a medical setting.  Most nations, for tariff and trade purposes, schedule these products under HS 901811.</t>
  </si>
  <si>
    <t>42292900</t>
  </si>
  <si>
    <t>Suture and surgical tissue closure instruments and related products</t>
  </si>
  <si>
    <t>In this classification, this class includes, products, components, accessories, and supplies, utilized as suture and surgical tissue closure instruments in surgical procedures.</t>
  </si>
  <si>
    <t>Surgical cerclage instruments</t>
  </si>
  <si>
    <t>In this classification, this commodity indicates a product used as a cerclage instruments during a surgical procedure in a medical setting.  US FDA regulates surgical cerclage instruments under 21 CFR 888.3010 and under FDA product code JDQ.  Most nations, for tariff and trade purposes, schedule these products under HS 901811.</t>
  </si>
  <si>
    <t>Surgical needle holders</t>
  </si>
  <si>
    <t>In this classification, this commodity indicates a product used as a needle holder during a surgical procedure in a medical setting.  US FDA regulates surgical needle holders under 21 CFR 888.4540 and under FDA product code FHQ.  Most nations, for tariff and trade purposes, schedule these products under HS 901832.</t>
  </si>
  <si>
    <t>In this classification, this commodity indicates a product used as a suture or wire passer or related products during a surgical procedure in a medical setting.  US FDA regulates surgical suture or wire passers or related products under 21 CFR 878.4493 and under FDA product code GAM.  Most nations, for tariff and trade purposes, schedule these products under HS 901832.</t>
  </si>
  <si>
    <t>Skin stretching systems</t>
  </si>
  <si>
    <t>In this classification, this commodity indicates a system consisting of products, consumables and accessories that are used to execute a skin stretching procedure in a medical setting.  US FDA regulates Skin stretching systems under 21 CFR 878.4320 and under FDA product code GAG.  Most nations, for tariff and trade purposes, schedule these products under HS 901890.</t>
  </si>
  <si>
    <t>Surgical purstring devices</t>
  </si>
  <si>
    <t>In this classification, this commodity indicates a product used as a purstring device during a surgical procedure in a medical setting.  US FDA regulates surgical purstring devices under 21 CFR 878.48 and under FDA product code GAR.  Most nations, for tariff and trade purposes, schedule these products under HS 901920.</t>
  </si>
  <si>
    <t>Suture adjusters</t>
  </si>
  <si>
    <t>In this classification, this commodity indicates a product used as a suture adjuster during a surgical procedure in a medical setting.  Most nations, for tariff and trade purposes, schedule these products under HS 901832.</t>
  </si>
  <si>
    <t>Suture hooks</t>
  </si>
  <si>
    <t>In this classification, this commodity indicates a product used as a suture hook during a surgical procedure in a medical setting.  Most nations, for tariff and trade purposes, schedule these products under HS 901832.</t>
  </si>
  <si>
    <t>Suture clips</t>
  </si>
  <si>
    <t>In this classification, this commodity indicates a product used as a suture clip during a surgical procedure in a medical setting.  Most nations, for tariff and trade purposes, schedule these products under HS 901832.</t>
  </si>
  <si>
    <t>Suture guides</t>
  </si>
  <si>
    <t>In this classification, this commodity indicates a product used as a suture guide during a surgical procedure in a medical setting.  Most nations, for tariff and trade purposes, schedule these products under HS 901832.</t>
  </si>
  <si>
    <t>Surgical cerclage instrument accessories</t>
  </si>
  <si>
    <t>In this classification, this commodity indicates a product that is either an accessory or consumable associated with surgical cerclage instruments.  Most nations, for tariff and trade purposes, schedule these products under HS 901811.</t>
  </si>
  <si>
    <t>Suture can covers</t>
  </si>
  <si>
    <t>In this classification, this commodity indicates a product used as a suture can cover during a surgical procedure in a medical setting.  Most nations, for tariff and trade purposes, schedule these products under HS 901832.</t>
  </si>
  <si>
    <t>42293000</t>
  </si>
  <si>
    <t>Surgical measuring devices and related products</t>
  </si>
  <si>
    <t>In this classification, this class includes, products, components, accessories, and supplies, utilized as surgical measuring devices in surgical procedures.</t>
  </si>
  <si>
    <t>Surgical calipers or rulers or protractors</t>
  </si>
  <si>
    <t>In this classification, this commodity indicates a product used as a caliper, ruler, or protractor during a surgical procedure in a medical setting.  US FDA regulates surgical calipers or rulers or protractors under 21 CFR 878.48 and under FDA product code FTY.  Most nations, for tariff and trade purposes, schedule these products under HS 901730.</t>
  </si>
  <si>
    <t>Surgical measuring gauges or rods</t>
  </si>
  <si>
    <t>In this classification, this commodity indicates a product used as a measuring gauge or rod during a surgical procedure in a medical setting.  Most nations, for tariff and trade purposes, schedule these products under HS 901920.</t>
  </si>
  <si>
    <t>In this classification, this commodity indicates a product used as a graft measuring instrument during a surgical procedure in a medical setting.  Most nations, for tariff and trade purposes, schedule these products under HS 901811.</t>
  </si>
  <si>
    <t>In this classification, this commodity indicates a product used as a sizing instrument or template during a surgical procedure in a medical setting.  Most nations, for tariff and trade purposes, schedule these products under HS 901811.</t>
  </si>
  <si>
    <t>Surgical valve sizing instruments</t>
  </si>
  <si>
    <t>In this classification, this commodity indicates a product used as a valve sizing instrument during a surgical procedure in a medical setting.  Most nations, for tariff and trade purposes, schedule these products under HS 901811.</t>
  </si>
  <si>
    <t>Surgical measuring tapes</t>
  </si>
  <si>
    <t>In this classification, this commodity indicates a product used as a measuring tape during a surgical procedure in a medical setting.  US FDA regulates surgical measuring tapes under 21 CFR 878.48 and under FDA product code FTY.  Most nations, for tariff and trade purposes, schedule these products under HS 907080.</t>
  </si>
  <si>
    <t>Internal pelvimeters</t>
  </si>
  <si>
    <t>In this classification, this commodity indicates a product used as an internal pelvimeter during a surgical procedure in a medical setting.  Most nations, for tariff and trade purposes, schedule these products under HS 901920.</t>
  </si>
  <si>
    <t>Surgical punctometers</t>
  </si>
  <si>
    <t>In this classification, this commodity indicates a product used as a punctometer during a surgical procedure in a medical setting.  Most nations, for tariff and trade purposes, schedule these products under HS 901920.</t>
  </si>
  <si>
    <t>42293100</t>
  </si>
  <si>
    <t>Surgical retractors and related products</t>
  </si>
  <si>
    <t>In this classification, this class includes, products, components, accessories, and supplies, utilized as surgical retractors in surgical procedures.</t>
  </si>
  <si>
    <t>Surgical retraction hooks</t>
  </si>
  <si>
    <t>In this classification, this commodity indicates a product used as retractor hooks in association with a surgical procedure in a medical setting.  Most nations, for tariff and trade purposes, schedule these products under HS 901920.</t>
  </si>
  <si>
    <t>Surgical mouth gags</t>
  </si>
  <si>
    <t>In this classification, this commodity indicates a product used as a mouth gag during a surgical procedure in a medical setting.  US FDA regulates surgical mouth gags under 21 CFR 874.4420 and under FDA product code KBN.  Most nations, for tariff and trade purposes, schedule these products under HS 901920.</t>
  </si>
  <si>
    <t>Surgical retractor sets</t>
  </si>
  <si>
    <t>In this classification, this commodity indicates a product used as a retractor set during a surgical procedure in a medical setting.  US FDA regulates surgical retractor sets under 21 CFR 878.48 and under FDA product code GAD.  Most nations, for tariff and trade purposes, schedule these products under HS 901890.</t>
  </si>
  <si>
    <t>In this classification, this commodity indicates a product used as a retractor during a surgical procedure in a medical setting.  US FDA regulates surgical retractors under 21 CFR 878.48 and under FDA product code GAD.  Most nations, for tariff and trade purposes, schedule these products under HS 901890.</t>
  </si>
  <si>
    <t>Surgical stabilizers</t>
  </si>
  <si>
    <t>In this classification, this commodity indicates a product used as a stabilizer during a surgical procedure in a medical setting.  US FDA regulates surgical stabilizers under 21 CFR 876.15 and under FDA product code NAY.  Most nations, for tariff and trade purposes, schedule these products under HS 901920.</t>
  </si>
  <si>
    <t>Surgical tissue protectors</t>
  </si>
  <si>
    <t>In this classification, this commodity indicates a product used as a tissue protector during a surgical procedure in a medical setting.  Most nations, for tariff and trade purposes, schedule these products under HS 901920.</t>
  </si>
  <si>
    <t>Surgical retractor rings</t>
  </si>
  <si>
    <t>In this classification, this commodity indicates a product used as a retractor ring during a surgical procedure in a medical setting.  US FDA regulates surgical retractor rings under 21 CFR 882.48 and under FDA product code GZT.  Most nations, for tariff and trade purposes, schedule these products under HS 901920.</t>
  </si>
  <si>
    <t>Retractor accessories</t>
  </si>
  <si>
    <t>In this classification, this commodity indicates a product that is either an accessory or consumable associated with retractors.  Most nations, for tariff and trade purposes, schedule these products under HS 901920.</t>
  </si>
  <si>
    <t>Surgical mouth gag accessories</t>
  </si>
  <si>
    <t>In this classification, this commodity indicates a product that is either an accessory or consumable associated with surgical mouth gags.  Most nations, for tariff and trade purposes, schedule these products under HS 901920.</t>
  </si>
  <si>
    <t>42293300</t>
  </si>
  <si>
    <t>Surgical distraction and compression and combination instruments and related product</t>
  </si>
  <si>
    <t>In this classification, this class includes, products, components, accessories, and supplies, utilized as surgical distraction and compression and combination instruments in surgical procedures.</t>
  </si>
  <si>
    <t>Surgical distractors</t>
  </si>
  <si>
    <t>In this classification, this commodity indicates a product used as a distractor during a surgical procedure in a medical setting.  US FDA regulates surgical distractors under 21 CFR 888.3040 and under FDA product code HTY.  Most nations, for tariff and trade purposes, schedule these products under HS 901920.</t>
  </si>
  <si>
    <t>Surgical separators</t>
  </si>
  <si>
    <t>In this classification, this commodity indicates a product used as a separator during a surgical procedure in a medical setting.  Most nations, for tariff and trade purposes, schedule these products under HS 901920.</t>
  </si>
  <si>
    <t>Surgical speculas</t>
  </si>
  <si>
    <t>In this classification, this commodity indicates a product that is a tool designed to inspect human body parts involved in a surgery.  US FDA regulates surgical speculas under 21 CFR 876.4730 and under FDA product code FFQ.  Most nations, for tariff and trade purposes, schedule these products under HS 901890.</t>
  </si>
  <si>
    <t>Surgical spreaders</t>
  </si>
  <si>
    <t>In this classification, this commodity indicates a product used as a spreader during a surgical procedure in a medical setting.  Most nations, for tariff and trade purposes, schedule these products under HS 901920.</t>
  </si>
  <si>
    <t>Surgical distractIon and compression instrument accessories</t>
  </si>
  <si>
    <t>In this classification, this commodity indicates a product that is either an accessory or consumable associated with surgical distraction and compression instruments.  Most nations, for tariff and trade purposes, schedule these products under HS 901811.</t>
  </si>
  <si>
    <t>Surgical combination compressors distractors</t>
  </si>
  <si>
    <t>In this classification, this commodity indicates a product used as a combination compressor and distractor during a surgical procedure in a medical setting.  Most nations, for tariff and trade purposes, schedule these products under HS 901811.</t>
  </si>
  <si>
    <t>Surgical approximators</t>
  </si>
  <si>
    <t>In this classification, this commodity indicates a product used as an approximator during a surgical procedure in a medical setting.  Most nations, for tariff and trade purposes, schedule these products under HS 901811.</t>
  </si>
  <si>
    <t>Surgical compressors</t>
  </si>
  <si>
    <t>In this classification, this commodity indicates a product used as a compressor during a surgical procedure in a medical setting.  Most nations, for tariff and trade purposes, schedule these products under HS 901811.</t>
  </si>
  <si>
    <t>Surgical depressors</t>
  </si>
  <si>
    <t>In this classification, this commodity indicates a product used as a depressor during a surgical procedure in a medical setting.  Most nations, for tariff and trade purposes, schedule these products under HS 901811.</t>
  </si>
  <si>
    <t>42293400</t>
  </si>
  <si>
    <t>Surgical manipulators and implant positioners and related products</t>
  </si>
  <si>
    <t>In this classification, this class includes, products, components, accessories, and supplies, utilized as manipulators and implant positioners in surgical procedures.</t>
  </si>
  <si>
    <t>Surgical guides</t>
  </si>
  <si>
    <t>In this classification, this commodity indicates a product used as a guide during a surgical procedure in a medical setting.  US FDA regulates surgical guides under 21 CFR 878.48 and under FDA product code FXZ.  Most nations, for tariff and trade purposes, schedule these products under HS 901890.</t>
  </si>
  <si>
    <t>Surgical pushers</t>
  </si>
  <si>
    <t>In this classification, this commodity indicates a product used as a pusher during a surgical procedure in a medical setting.  Most nations, for tariff and trade purposes, schedule these products under HS 901811.</t>
  </si>
  <si>
    <t>Surgical manipulating instruments</t>
  </si>
  <si>
    <t>In this classification, this commodity indicates a product used as a manipulating instrument during a surgical procedure in a medical setting.  Most nations, for tariff and trade purposes, schedule these products under HS 901811.</t>
  </si>
  <si>
    <t>In this classification, this commodity indicates a product used as an implant positioner and holder during a surgical procedure in a medical setting.  Most nations, for tariff and trade purposes, schedule these products under HS 901811.</t>
  </si>
  <si>
    <t>Ureteral or urethral filiforms</t>
  </si>
  <si>
    <t>In this classification, this commodity indicates a product used as a ureteral or urethral filiform during a surgical procedure in a medical setting.  Most nations, for tariff and trade purposes, schedule these products under HS 901920.</t>
  </si>
  <si>
    <t>Urethral or ureteral followers</t>
  </si>
  <si>
    <t>In this classification, this commodity indicates a product used as a urethral or ureteral follower during a surgical procedure in a medical setting.  Most nations, for tariff and trade purposes, schedule these products under HS 901920.</t>
  </si>
  <si>
    <t>Intramedullary instruments</t>
  </si>
  <si>
    <t>In this classification, this commodity indicates a product used as an intramedullary instrument during a surgical procedure in a medical setting.  Most nations, for tariff and trade purposes, schedule these products under HS 901811.</t>
  </si>
  <si>
    <t>Intramedullary instrument accessories</t>
  </si>
  <si>
    <t>In this classification, this commodity indicates a product that is either an accessory or consumable associated with intramedullary instruments.  Most nations, for tariff and trade purposes, schedule these products under HS 901811.</t>
  </si>
  <si>
    <t>Spinal system corkscrews</t>
  </si>
  <si>
    <t>In this classification, this commodity indicates a product used as a spinal system corkscrew during a surgical procedure in a medical setting.  Most nations, for tariff and trade purposes, schedule these products under HS 902129.</t>
  </si>
  <si>
    <t>Surgical myoma screws</t>
  </si>
  <si>
    <t>In this classification, this commodity indicates a product used as a myoma screw during a surgical procedure in a medical setting.  US FDA regulates surgical myoma screws under 21 CFR 884.4530 and under FDA product code HHQ.  Most nations, for tariff and trade purposes, schedule these products under HS 902129.</t>
  </si>
  <si>
    <t>42293500</t>
  </si>
  <si>
    <t>Surgical suction and irrigation products</t>
  </si>
  <si>
    <t>In this classification, this class includes, products, components, accessories, and supplies, utilized as suction and irrigation tools in surgical procedures.</t>
  </si>
  <si>
    <t>Irrigation or suction handpieces or cannulas or tips or catheters</t>
  </si>
  <si>
    <t>In this classification, this commodity indicates a product that is an irrigation or suction handpiece used in conjunction with hollow needle commonly used with a syringe to inject or extract substances or fluids associated with a procedure.  Most nations, for tariff and trade purposes, schedule these products under HS 901831.</t>
  </si>
  <si>
    <t>Surgical vacuum extraction devices or curettes or related products</t>
  </si>
  <si>
    <t>In this classification, this commodity indicates a product used as vacuum extraction devices or curettes or related products in association with a surgical procedure in a medical setting.  Most nations, for tariff and trade purposes, schedule these products under HS 901811.</t>
  </si>
  <si>
    <t>Ophthalmic irrigation or aspiration supplies</t>
  </si>
  <si>
    <t>In this classification, this commodity indicates a product that is either an accessory or consumable associated with ophthalmic irrigation or aspiration supplies.  US FDA regulates Ophthalmic irrigation or aspiration supplies or accessories under 21 CFR 886.4150 and under FDA product code HQE.  Most nations, for tariff and trade purposes, schedule these products under HS 901920.</t>
  </si>
  <si>
    <t>Surgical suction drain probes</t>
  </si>
  <si>
    <t>In this classification, this commodity indicates a product used as a suction drain probe during a surgical procedure in a medical setting.  US FDA regulates surgical suction drain probes under 21 CFR 878.4580 and under FDA product code GBC.  Most nations, for tariff and trade purposes, schedule these products under HS 821300.</t>
  </si>
  <si>
    <t>Surgical suction bulbs</t>
  </si>
  <si>
    <t>In this classification, this commodity indicates a product used as a suction bulb during a surgical procedure in a medical setting.  Most nations, for tariff and trade purposes, schedule these products under HS 901920.</t>
  </si>
  <si>
    <t>Surgical suction reservoirs</t>
  </si>
  <si>
    <t>In this classification, this commodity indicates a product used as a suction reservoir during a surgical procedure in a medical setting.  US FDA regulates surgical suction reservoirs under 21 CFR 876.15 and under FDA product code OCX.  Most nations, for tariff and trade purposes, schedule these products under HS 901920.</t>
  </si>
  <si>
    <t>Surgical irrigation sets</t>
  </si>
  <si>
    <t>In this classification, this commodity indicates a product that is either an accessory or consumable associated with surgical irrigation sets.  US FDA regulates surgical irrigation sets or accessories under 21 CFR 888.11 and under FDA product code HRX.  Most nations, for tariff and trade purposes, schedule these products under HS 901920.</t>
  </si>
  <si>
    <t>Carts for suction machines or appliances</t>
  </si>
  <si>
    <t>In this classification, this commodity indicates a product used as a cart for suction machine or appliance during a surgical procedure in a medical setting.  Most nations, for tariff and trade purposes, schedule these products under HS 940290.</t>
  </si>
  <si>
    <t>Medical or surgical suction or vacuum appliance accessories</t>
  </si>
  <si>
    <t>In this classification, this commodity indicates a product that is either an accessory or consumable associated with medical or surgical suction or vacuum appliances.  Most nations, for tariff and trade purposes, schedule these products under HS 901920.</t>
  </si>
  <si>
    <t>Snake-bite suction kits</t>
  </si>
  <si>
    <t>In this classification, this commodity indicates a product that is a prepackaged collection (either custom or standard) of the equipment and supplies used to perform snake bite venom suction procedure in a medical setting.  Most nations, for tariff and trade purposes, schedule these products under HS 901920.</t>
  </si>
  <si>
    <t>Suction biopsy instruments</t>
  </si>
  <si>
    <t>In this classification, this commodity indicates a product used as a suction biopsy instrument during a surgical procedure in a medical setting.  Most nations, for tariff and trade purposes, schedule these products under HS 901811.</t>
  </si>
  <si>
    <t>Medical or surgical suction container liners</t>
  </si>
  <si>
    <t>In this classification, this commodity indicates a product used as a medical or surgical suction container liner during a medical or surgical procedure in a medical setting.  Most nations, for tariff and trade purposes, schedule these products under HS 901920.</t>
  </si>
  <si>
    <t>Medical or surgical suction tubings</t>
  </si>
  <si>
    <t>In this classification, this commodity indicates a product used as medical or surgical suction tubing during a medical or surgical procedure in a medical setting.  Most nations, for tariff and trade purposes, schedule these products under HS 901839.</t>
  </si>
  <si>
    <t>Ultrasonic surgical aspirator accessories</t>
  </si>
  <si>
    <t>In this classification, this commodity indicates a product that is either an accessory or consumable associated with ultrasonic surgical aspirators.  Most nations, for tariff and trade purposes, schedule these products under HS 901920.</t>
  </si>
  <si>
    <t>Ultrasonic surgical aspirators</t>
  </si>
  <si>
    <t>In this classification, this commodity indicates a product used as an ultrasonic surgical aspirator during a medical procedure in a medical setting.  Most nations, for tariff and trade purposes, schedule these products under HS 901811.</t>
  </si>
  <si>
    <t>Surgical irrigation pump equipment or pulsed lavage with or without suction</t>
  </si>
  <si>
    <t>In this classification, this commodity indicates a product used as an irrigation pump equipment or pulsed lavage with or without suction during a surgical procedure in a medical setting.  Most nations, for tariff and trade purposes, schedule these products under HS 901811.</t>
  </si>
  <si>
    <t>Medical fluid solidifiers</t>
  </si>
  <si>
    <t>In this classification, this commodity indicates a product used as medical fluid solidifiers during a medical procedure in a medical setting.  Most nations, for tariff and trade purposes, schedule these products under HS 901811.</t>
  </si>
  <si>
    <t>Irrigation or suction handpiece or cannula or tip or catheter accessories</t>
  </si>
  <si>
    <t>In this classification, this commodity indicates a product that is either an accessory or consumable associated with irrigation or suction handpiece or cannula or tip or catheters.  Most nations, for tariff and trade purposes, schedule these products under HS 901920.</t>
  </si>
  <si>
    <t>Medical or surgical suction containers</t>
  </si>
  <si>
    <t>In this classification, this commodity indicates a product used as a medical or surgical suction container during a medical or surgical procedure in a medical setting.  Most nations, for tariff and trade purposes, schedule these products under HS 901920.</t>
  </si>
  <si>
    <t>Medical or surgical suction or vacuum appliances</t>
  </si>
  <si>
    <t>In this classification, this commodity indicates a product used as a Medical or surgical suction or vacuum appliances during a surgical procedure in a medical setting.  Most nations, for tariff and trade purposes, schedule these products under HS 901920.</t>
  </si>
  <si>
    <t>Medical or surgical suction sets or kits</t>
  </si>
  <si>
    <t>In this classification, this commodity indicates a product that is a prepackaged collection (either custom or standard) of the equipment and supplies used to perform a medical or surgical suction procedure in a medical setting.  Most nations, for tariff and trade purposes, schedule these products under HS 901920.</t>
  </si>
  <si>
    <t>Cases for medical suction cannulae</t>
  </si>
  <si>
    <t>In this classification, this commodity indicates a product that is a hollow needle commonly used with a syringe to inject or extract substances or fluids associated with a procedure.  Most nations, for tariff and trade purposes, schedule these products under HS 901831.</t>
  </si>
  <si>
    <t>Medical or surgical floor suction mats or apparatus</t>
  </si>
  <si>
    <t>In this classification, this commodity indicates a product used as a Medical or surgical floor suction mats or apparatus during a surgical procedure in a medical setting.  Most nations, for tariff and trade purposes, schedule these products under HS 901920.</t>
  </si>
  <si>
    <t>Ophthalmic irrigation or aspiration accessories</t>
  </si>
  <si>
    <t>Accessories included with ophthalmic irrigation or aspiration equipment.</t>
  </si>
  <si>
    <t>Surgical irrigation set accessories</t>
  </si>
  <si>
    <t>Accessories included with surgical irrigation sets.</t>
  </si>
  <si>
    <t>42293600</t>
  </si>
  <si>
    <t>Surgical bougies and sounds and related products</t>
  </si>
  <si>
    <t>In this classification, this class includes, products, components, accessories, and supplies, utilized as bougies and sounds in surgical procedures.</t>
  </si>
  <si>
    <t>Surgical bougies</t>
  </si>
  <si>
    <t>In this classification, this commodity indicates a product used as a bougie during a surgical procedure in a medical setting.  US FDA regulates surgical bougies under 21 CFR 876.5365 and under FDA product code KNQ.  Most nations, for tariff and trade purposes, schedule these products under HS 901920.</t>
  </si>
  <si>
    <t>Surgical sounds</t>
  </si>
  <si>
    <t>In this classification, this commodity indicates a product used as a sound during a surgical procedure in a medical setting.  US FDA regulates surgical sounds under 21 CFR 874.4710 and under FDA product code EOX.  Most nations, for tariff and trade purposes, schedule these products under HS 901920.</t>
  </si>
  <si>
    <t>Surgical bougie sets</t>
  </si>
  <si>
    <t>In this classification, this commodity indicates a product used as a set of bougies during a surgical procedure in a medical setting.  Most nations, for tariff and trade purposes, schedule these products under HS 901920.</t>
  </si>
  <si>
    <t>Surgical sound sets</t>
  </si>
  <si>
    <t>In this classification, this commodity indicates a product used as a set of sounds during a surgical procedure in a medical setting.  Most nations, for tariff and trade purposes, schedule these products under HS 901920.</t>
  </si>
  <si>
    <t>42293700</t>
  </si>
  <si>
    <t>Surgical crushers and excavators and morselizers and related products</t>
  </si>
  <si>
    <t>In this classification, this class includes, products, components, accessories, and supplies, utilized as crushers and excavators and morselizers in surgical procedures.</t>
  </si>
  <si>
    <t>Surgical crushers</t>
  </si>
  <si>
    <t>In this classification, this commodity indicates a product used as a crusher during a surgical procedure in a medical setting.  Most nations, for tariff and trade purposes, schedule these products under HS 901920.</t>
  </si>
  <si>
    <t>Surgical excavators</t>
  </si>
  <si>
    <t>In this classification, this commodity indicates a product used as an excavator during a surgical procedure in a medical setting.  Most nations, for tariff and trade purposes, schedule these products under HS 901920.</t>
  </si>
  <si>
    <t>Surgical morselizers</t>
  </si>
  <si>
    <t>In this classification, this commodity indicates a product used as a morselizer during a surgical procedure in a medical setting.  Most nations, for tariff and trade purposes, schedule these products under HS 901920.</t>
  </si>
  <si>
    <t>42293800</t>
  </si>
  <si>
    <t>Surgical passers and searchers and tunnelers and strippers and related products</t>
  </si>
  <si>
    <t>In this classification, this class includes, products, components, accessories, and supplies, utilized as passers and searchers and tunnelers and strippers in surgical procedures.</t>
  </si>
  <si>
    <t>Surgical passers</t>
  </si>
  <si>
    <t>In this classification, this commodity indicates a product used as a passer during a surgical procedure in a medical setting.  US FDA regulates surgical passers under 21 CFR 882.4545 and under FDA product code Gyk.  Most nations, for tariff and trade purposes, schedule these products under HS 901920.</t>
  </si>
  <si>
    <t>Surgical searchers</t>
  </si>
  <si>
    <t>In this classification, this commodity indicates a product used as a searcher during a surgical procedure in a medical setting.  Most nations, for tariff and trade purposes, schedule these products under HS 901920.</t>
  </si>
  <si>
    <t>Surgical strippers</t>
  </si>
  <si>
    <t>In this classification, this commodity indicates a product used as a stripper during a surgical procedure in a medical setting.  Most nations, for tariff and trade purposes, schedule these products under HS 901920.</t>
  </si>
  <si>
    <t>Surgical tunnelers</t>
  </si>
  <si>
    <t>In this classification, this commodity indicates a product used as a tunneler during a surgical procedure in a medical setting.  Most nations, for tariff and trade purposes, schedule these products under HS 901920.</t>
  </si>
  <si>
    <t>Blood collection tubing stripper-sealer-cutters</t>
  </si>
  <si>
    <t>In this classification, this commodity indicates a product used as a blood collection tubing stripper-sealer-cutters during a medical procedure in a medical setting.  Most nations, for tariff and trade purposes, schedule these products under HS 901839.</t>
  </si>
  <si>
    <t>Surgical stripper sets</t>
  </si>
  <si>
    <t>In this classification, this commodity indicates a product used as a set of strippers during a surgical procedure in a medical setting.  Most nations, for tariff and trade purposes, schedule these products under HS 901920.</t>
  </si>
  <si>
    <t>Surgical tunneler accessories</t>
  </si>
  <si>
    <t>In this classification, this commodity indicates a product that is either an accessory or consumable associated with surgical tunnelers.  Most nations, for tariff and trade purposes, schedule these products under HS 901920.</t>
  </si>
  <si>
    <t>42293900</t>
  </si>
  <si>
    <t>Surgical wound packing instruments and related products</t>
  </si>
  <si>
    <t>In this classification, this class includes, products, components, accessories, and supplies, utilized as wound packing instruments in surgical procedures.</t>
  </si>
  <si>
    <t>Surgical laparotomy rings</t>
  </si>
  <si>
    <t>In this classification, this commodity indicates a product used as a laparotomy ring during a surgical procedure in a medical setting.  Most nations, for tariff and trade purposes, schedule these products under HS 901811.</t>
  </si>
  <si>
    <t>Surgical wound packing instruments</t>
  </si>
  <si>
    <t>In this classification, this commodity indicates a product used as a wound packing instrument during a surgical procedure in a medical setting.surgical wound packing instruments under 21 CFR and under FDA product code FRO.  Most nations, for tariff and trade purposes, schedule these products under HS 901811.</t>
  </si>
  <si>
    <t>42294000</t>
  </si>
  <si>
    <t>Surgical spatulas and spoons and scoops and related products</t>
  </si>
  <si>
    <t>In this classification, this class includes, products, components, accessories, and supplies, utilized as spatulas and spoons and scoops surgical procedures.</t>
  </si>
  <si>
    <t>Surgical scoops</t>
  </si>
  <si>
    <t>In this classification, this commodity indicates a product used as a scoop during a surgical procedure in a medical setting.  Most nations, for tariff and trade purposes, schedule these products under HS 901920.</t>
  </si>
  <si>
    <t>Surgical spatulas</t>
  </si>
  <si>
    <t>In this classification, this commodity indicates a product used as a spatula during a surgical procedure in a medical setting.  Most nations, for tariff and trade purposes, schedule these products under HS 901920.</t>
  </si>
  <si>
    <t>Surgical spoons</t>
  </si>
  <si>
    <t>In this classification, this commodity indicates a product used as a spoon during a surgical procedure in a medical setting.  Most nations, for tariff and trade purposes, schedule these products under HS 901920.</t>
  </si>
  <si>
    <t>42294100</t>
  </si>
  <si>
    <t>Surgical skeletal traction devices and related products</t>
  </si>
  <si>
    <t>In this classification, this class includes, products, components, accessories, and supplies, utilized in skeletal traction based medical surgical procedures.</t>
  </si>
  <si>
    <t>Surgical traction bows or pin tractor loops or related products</t>
  </si>
  <si>
    <t>In this classification, this commodity indicates a product used as bows or pin tractor loops or related products in association with a surgical traction treatment procedure in a medical setting.  Most nations, for tariff and trade purposes, schedule these products under HS 901920.</t>
  </si>
  <si>
    <t>Surgical skull traction devices or related products</t>
  </si>
  <si>
    <t>In this classification, this commodity indicates a product used as a devices or related products in association with surgical skull traction treatment procedures in a medical setting.  Most nations, for tariff and trade purposes, schedule these products under HS 901920.</t>
  </si>
  <si>
    <t>Surgical traction halters</t>
  </si>
  <si>
    <t>In this classification, this commodity indicates a product used as a surgical traction halter in association with traction treatment procedures in a medical setting.  Most nations, for tariff and trade purposes, schedule these products under HS 901920.</t>
  </si>
  <si>
    <t>42294200</t>
  </si>
  <si>
    <t>Surgical instrument sets and systems and trays</t>
  </si>
  <si>
    <t>In this classification, this class includes, products, components, accessories, and supplies, utilized as instrumentation in medical surgical procedures.</t>
  </si>
  <si>
    <t>Cardiovascular or thoracic surgical instrument sets</t>
  </si>
  <si>
    <t>In this classification, this commodity indicates a product used as a cardiovascular or thoracic surgical set of instruments during a surgical procedure in a medical setting.  US FDA regulates Cardiovascular or thoracic surgical instrument sets under 21 CFR 870.45 and under FDA product code OFA.  Most nations, for tariff and trade purposes, schedule these products under HS 901811.</t>
  </si>
  <si>
    <t>External fixation instrument sets or systems</t>
  </si>
  <si>
    <t>In this classification, this commodity indicates a system consisting of products, consumables and accessories that are used to execute an external fixation instrument sets or procedure in a medical setting.  US FDA regulates External fixation instrument sets or systems under 21 CFR 888.3030 and under FDA product code KTT.  Most nations, for tariff and trade purposes, schedule these products under HS 902110.</t>
  </si>
  <si>
    <t>General surgical instrument sets</t>
  </si>
  <si>
    <t>In this classification, this commodity indicates a product used as a set of general surgical instruments during a surgical procedure in a medical setting.  US FDA regulates General surgical instrument sets under 21 CFR 878.48 and under FDA product code KDD.  Most nations, for tariff and trade purposes, schedule these products under HS 901890.</t>
  </si>
  <si>
    <t>Micro or delicate or plastic surgery instrument sets</t>
  </si>
  <si>
    <t>In this classification, this commodity indicates a product used as a set of micro or delicate or plastic surgery instruments during a surgical procedure in a medical setting.  US FDA regulates Micro or delicate or plastic surgery instrument sets under 21 CFR 876.15 and under FDA product code GCJ.  Most nations, for tariff and trade purposes, schedule these products under HS 901890.</t>
  </si>
  <si>
    <t>Neurosurgical or spinal instrument sets</t>
  </si>
  <si>
    <t>In this classification, this commodity indicates a product used as a set of Neurosurgical or spinal instrument during a surgical procedure in a medical setting.  US FDA regulates Neurosurgical or spinal instrument sets under 21 CFR 888.3060 and under FDA product code KWP.  Most nations, for tariff and trade purposes, schedule these products under HS 901890.</t>
  </si>
  <si>
    <t>Ophthalmic surgery instrument sets</t>
  </si>
  <si>
    <t>In this classification, this commodity indicates a product used as a set of Ophthalmic surgery instrument during a surgical procedure in a medical setting.  US FDA regulates Ophthalmic surgery instrument sets under 21 CFR 878.48 and under FDA product code KDD.  Most nations, for tariff and trade purposes, schedule these products under HS 901890.</t>
  </si>
  <si>
    <t>Maxillofacial surgical instrument sets</t>
  </si>
  <si>
    <t>In this classification, this commodity indicates a product used as a set of Maxillofacial surgical instrument during a surgical procedure in a medical setting.  US FDA regulates Maxillofacial surgical instrument sets under 21 CFR 872.4565 and under FDA product code DZN.  Most nations, for tariff and trade purposes, schedule these products under HS 901890.</t>
  </si>
  <si>
    <t>Otolaryngological surgical instrument sets</t>
  </si>
  <si>
    <t>In this classification, this commodity indicates a product used as a set of Otolaryngological surgical instrument during a surgical procedure in a medical setting.  US FDA regulates Otolaryngological surgical instrument sets under 21 CFR 874.4420 and under FDA product code OGR.  Most nations, for tariff and trade purposes, schedule these products under HS 901849.</t>
  </si>
  <si>
    <t>Surgical custom or specialty instrument or procedure trays</t>
  </si>
  <si>
    <t>In this classification, this commodity indicates a product used as a set of custom or specialty instrument or procedure trays during a surgical procedure in a medical setting.  Most nations, for tariff and trade purposes, schedule these products under HS 392410.</t>
  </si>
  <si>
    <t>Urological surgical instrument sets</t>
  </si>
  <si>
    <t>In this classification, this commodity indicates a product used as a set of urological surgical instruments during a surgical procedure in a medical setting.  US FDA regulates Urological surgical instrument sets under 21 CFR 878.48 and under FDA product code KDD.  Most nations, for tariff and trade purposes, schedule these products under HS 901849.</t>
  </si>
  <si>
    <t>Laparotomy surgical instrument sets</t>
  </si>
  <si>
    <t>In this classification, this commodity indicates a product used as a set of laparotomy surgical instruments during a surgical procedure in a medical setting.  US FDA regulates Laparotomy surgical instrument sets under 21 CFR 878.48 and under FDA product code KDD.  Most nations, for tariff and trade purposes, schedule these products under HS 901849.</t>
  </si>
  <si>
    <t>Tracheotomy surgical instrument sets</t>
  </si>
  <si>
    <t>In this classification, this commodity indicates a product used as a set of tracheotomy surgical instruments during a surgical procedure in a medical setting.  US FDA regulates Tracheotomy surgical instrument sets under 21 CFR 878.48 and under FDA product code KDD.  Most nations, for tariff and trade purposes, schedule these products under HS 901849.</t>
  </si>
  <si>
    <t>Craniotomy surgical instrument sets</t>
  </si>
  <si>
    <t>In this classification, this commodity indicates a product used as a set of craniotomy surgical instruments during a surgical procedure in a medical setting.  US FDA regulates Craniotomy surgical instrument sets under 21 CFR 882.43 and under FDA product code HBB.  Most nations, for tariff and trade purposes, schedule these products under HS 630790.</t>
  </si>
  <si>
    <t>Angiography surgical instrument sets</t>
  </si>
  <si>
    <t>In this classification, this commodity indicates a product used as a set of angiography surgical instruments during a surgical procedure in a medical setting.  US FDA regulates Angiography surgical instrument sets under 21 CFR 870.1650 and under FDA product code OEQ.  Most nations, for tariff and trade purposes, schedule these products under HS 901839.</t>
  </si>
  <si>
    <t>Gastroscopy surgical instrument sets</t>
  </si>
  <si>
    <t>In this classification, this commodity indicates a product used as a set of gastroscopy surgical instruments during a surgical procedure in a medical setting.  Most nations, for tariff and trade purposes, schedule these products under HS 901890.</t>
  </si>
  <si>
    <t>Ear nose and throat ENT surgical instrument sets</t>
  </si>
  <si>
    <t>In this classification, this commodity indicates a product used as a set of ear nose and throat ent surgical instruments during a surgical procedure in a medical setting.  Most nations, for tariff and trade purposes, schedule these products under HS 901811.</t>
  </si>
  <si>
    <t>In this classification, this commodity indicates a product used as a set of orthopedic surgical instruments during a surgical procedure in a medical setting.  Orthopedic surgical instrument sets under 21 CFR and under FDA product code HBB.</t>
  </si>
  <si>
    <t>Shunt system implantation instrument sets</t>
  </si>
  <si>
    <t>In this classification, this commodity indicates a product used as a set of shunt system implantation instruments during a surgical procedure in a medical setting.  Most nations, for tariff and trade purposes, schedule these products under HS 901890.</t>
  </si>
  <si>
    <t>Introducers or guide pins or guidewires or glidewires or guide rods</t>
  </si>
  <si>
    <t>In this classification, this commodity indicates a product used as an Introducers or guide pins or guidewires or glidewires or guide rods during a surgical procedure in a medical setting.  Most nations, for tariff and trade purposes, schedule these products under HS 901890.</t>
  </si>
  <si>
    <t>42294300</t>
  </si>
  <si>
    <t>Minimally invasive breast biopsy instruments and supplies and equipment</t>
  </si>
  <si>
    <t>In this classification, this class includes, products, components, accessories, and supplies, utilized minimally invasive breast biopsy procedures.</t>
  </si>
  <si>
    <t>Minimally invasive breast biopsy drivers or firing modules</t>
  </si>
  <si>
    <t>In this classification, this commodity indicates a product used as a Minimally invasive breast biopsy drivers or firing modules during a surgical procedure in a medical setting.  Most nations, for tariff and trade purposes, schedule these products under HS 901890.</t>
  </si>
  <si>
    <t>Minimally invasive breast biopsy premium loading units</t>
  </si>
  <si>
    <t>in this classification, this commodity indicates a product that is a device used minimally invasive breast biopsy premium loading procedure in a medical setting.  Most nations, for tariff and trade purposes, schedule these products under HS 901890.</t>
  </si>
  <si>
    <t>Minimally invasive breast biopsy needle guides</t>
  </si>
  <si>
    <t>In this classification, this commodity indicates a product used as a minimally invasive breast biopsy needle guides during a surgical procedure in a medical setting.  US FDA regulates Minimally invasive breast biopsy needle guides under 21 CFR 876.1075 and under FDA product code FCG.  Most nations, for tariff and trade purposes, schedule these products under HS 901890.</t>
  </si>
  <si>
    <t>Minimally invasive breast biopsy marker instruments</t>
  </si>
  <si>
    <t>In this classification, this commodity indicates a product used as a minimally invasive breast biopsy marker instrument during a surgical procedure in a medical setting.  US FDA regulates Minimally invasive breast biopsy marker instruments under 21 CFR 878.43 and under FDA product code FZP.  Most nations, for tariff and trade purposes, schedule these products under HS 901890.</t>
  </si>
  <si>
    <t>Minimally invasive breast biopsy vacuum units</t>
  </si>
  <si>
    <t>in this classification, this commodity indicates a product that is a device used minimally invasive breast biopsy vacuuming procedure in a medical setting.  Most nations, for tariff and trade purposes, schedule these products under HS 901890.</t>
  </si>
  <si>
    <t>Breast localization needles</t>
  </si>
  <si>
    <t>In this classification, this commodity indicates a product that is a hollow needle commonly used with a syringe to inject or extract substances or fluids associated with a breast localization procedure.  US FDA regulates Breast localization needles under 21 CFR 880.5570 and under FDA product code FMI.  Most nations, for tariff and trade purposes, schedule these products under HS 901832.</t>
  </si>
  <si>
    <t>Minimally invasive breast biopsy driver or firing module accessories</t>
  </si>
  <si>
    <t>In this classification, this commodity indicates a product that is either an accessory or consumable associated with minimally invasive breast biopsy driver or firing modules.  Most nations, for tariff and trade purposes, schedule these products under HS 901890.</t>
  </si>
  <si>
    <t>Minimally invasive breast biopsy vacuum unit accessories</t>
  </si>
  <si>
    <t>In this classification, this commodity indicates a product that is either an accessory or consumable associated with minimally invasive breast biopsy vacuum units.  Most nations, for tariff and trade purposes, schedule these products under HS 901890.</t>
  </si>
  <si>
    <t>42294400</t>
  </si>
  <si>
    <t>Vascular and cardiac systems</t>
  </si>
  <si>
    <t>In this classification, this class includes, systems, components, accessories, and supplies, utilized in vascular and cardiac procedures.</t>
  </si>
  <si>
    <t>Vein harvest kits or systems</t>
  </si>
  <si>
    <t>In this classification, this commodity indicates a product that is a prepackaged collection (either custom or standard) of the equipment and supplies used to perform a vein harvesting procedure in a medical setting.  US FDA regulates Vein harvest kits or systems under 21 CFR 878.48 and under FDA product code GAD.  Most nations, for tariff and trade purposes, schedule these products under HS 901890.</t>
  </si>
  <si>
    <t>Coronary visualization systems</t>
  </si>
  <si>
    <t>In this classification, this commodity indicates a system consisting of products, consumables and accessories that are used to execute a coronary visualization procedure in a medical setting.  Most nations, for tariff and trade purposes, schedule these products under HS 901890.</t>
  </si>
  <si>
    <t>42294500</t>
  </si>
  <si>
    <t>Ophthalmic specialty instruments and related products</t>
  </si>
  <si>
    <t>In this classification, this class includes, instruments, components, accessories, and supplies, utilized in specialized ophthalmic procedures.</t>
  </si>
  <si>
    <t>Eyelid weights for ophthalmic surgery</t>
  </si>
  <si>
    <t>In this classification, this commodity indicates a product used as an eyelid weight for ophthalmic surgery during an ophthalmic surgical procedure in a medical setting.Eyelid weights for ophthalmic surgery under 21 CFR and under FDA product code MML.  Most nations, for tariff and trade purposes, schedule these products under HS 902110.</t>
  </si>
  <si>
    <t>Fixation rings for ophthalmic surgery</t>
  </si>
  <si>
    <t>In this classification, this commodity indicates a product used as a fixation ring for ophthalmic surgery during a surgical procedure in a medical setting.  Most nations, for tariff and trade purposes, schedule these products under HS 902110.</t>
  </si>
  <si>
    <t>Intraocular membrane instruments for ophthalmic surgery</t>
  </si>
  <si>
    <t>In this classification, this commodity indicates a product used as an intraocular membrane instrument for ophthalmic surgery during a surgical procedure in a medical setting.  Most nations, for tariff and trade purposes, schedule these products under HS 901850.</t>
  </si>
  <si>
    <t>Lid plates for ophthalmic surgery</t>
  </si>
  <si>
    <t>In this classification, this commodity indicates a product used as a lid plate for ophthalmic surgery during a surgical procedure in a medical setting.  Most nations, for tariff and trade purposes, schedule these products under HS 901850.</t>
  </si>
  <si>
    <t>Nucleus rotators for ophthalmic surgery</t>
  </si>
  <si>
    <t>In this classification, this commodity indicates a product used as a nucleus rotator for ophthalmic surgery during a surgical procedure in a medical setting.  Most nations, for tariff and trade purposes, schedule these products under HS 901850.</t>
  </si>
  <si>
    <t>Ophthalmic burs or handles or rust ring removers</t>
  </si>
  <si>
    <t>In this classification, this commodity indicates a product used as an ophthalmic bur, handle, or rust ring remover during a surgical procedure in a medical setting.  Most nations, for tariff and trade purposes, schedule these products under HS 901850.</t>
  </si>
  <si>
    <t>Ophthalmic needle irrigating or aspirating tips</t>
  </si>
  <si>
    <t>In this classification, this commodity indicates a product used as an ophthalmic needle irrigating or aspirating tis during a surgical procedure in a medical setting.  Most nations, for tariff and trade purposes, schedule these products under HS 901850.</t>
  </si>
  <si>
    <t>Needles or cystomes for ophthalmic surgery</t>
  </si>
  <si>
    <t>In this classification, this commodity indicates a product that is a hollow needle commonly used with a syringe to inject or extract substances or fluids or an instrument used in opening the capsule of the lens in cataract operations.  Most nations, for tariff and trade purposes, schedule these products under HS 901832.</t>
  </si>
  <si>
    <t>Sponges for ophthalmic surgery</t>
  </si>
  <si>
    <t>In this classification, this commodity indicates a product used as a sponge for ophthalmic surgery during a surgical procedure in a medical setting.  US FDA regulates Sponges for ophthalmic surgery under 21 CFR 886.3340 and under FDA product code HQX.  Most nations, for tariff and trade purposes, schedule these products under HS 901850.</t>
  </si>
  <si>
    <t>Ophthalmic surgical knives or blades or scissors</t>
  </si>
  <si>
    <t>In this classification, this commodity indicates a product that is either an accessory or consumable associated with ophthalmic surgical knives or blades or scissors.  US FDA regulates Ophthalmic surgical knives or blades or scissors or accessories under 21 CFR 886.4350 and under FDA product code HNN.  Most nations, for tariff and trade purposes, schedule these products under HS 901850.</t>
  </si>
  <si>
    <t>Eye protectors or confomrers or shields</t>
  </si>
  <si>
    <t>In this classification, this commodity indicates a product used as an eye protector, conformer or shield during a surgical procedure in a medical setting.  US FDA regulates Eye protectors or confomrers or shields under 21 CFR 878.48 and under FDA product code FZS.  Most nations, for tariff and trade purposes, schedule these products under HS 901850.</t>
  </si>
  <si>
    <t>Ophthalmic vitrectomy kits</t>
  </si>
  <si>
    <t>In this classification, this commodity indicates a product that is a prepackaged collection (either custom or standard) of the equipment and supplies used to perform an ophthalmic vitrectomy procedure in a medical setting.  US FDA regulates Ophthalmic vitrectomy kits under 21 CFR 886.1385 and under FDA product code HJK.  Most nations, for tariff and trade purposes, schedule these products under HS 901850.</t>
  </si>
  <si>
    <t>Hemostatic eraser probes</t>
  </si>
  <si>
    <t>In this classification, this commodity indicates a product used as a hemostatic eraser probe during a surgical procedure in a medical setting.  US FDA regulates Hemostatic eraser probes under 21 CFR 886.4115 and under FDA product code HQO.  Most nations, for tariff and trade purposes, schedule these products under HS 901850.</t>
  </si>
  <si>
    <t>Ophthalmic lens polishers</t>
  </si>
  <si>
    <t>In this classification, this commodity indicates a product used as an ophthalmic lens polisher during a surgical procedure in a medical setting.  Most nations, for tariff and trade purposes, schedule these products under HS 901850.</t>
  </si>
  <si>
    <t>Eye holders</t>
  </si>
  <si>
    <t>In this classification, this commodity indicates a product used as an eye holder during a surgical procedure in a medical setting.  Most nations, for tariff and trade purposes, schedule these products under HS 901850.</t>
  </si>
  <si>
    <t>Optical inserts</t>
  </si>
  <si>
    <t>In this classification, this commodity indicates a product used as an optical insert during a surgical procedure in a medical setting.  Most nations, for tariff and trade purposes, schedule these products under HS 901850.</t>
  </si>
  <si>
    <t>Optical insert fitting sets</t>
  </si>
  <si>
    <t>In this classification, this commodity indicates a product used as an optical insert fitting set during a surgical procedure in a medical setting.  Most nations, for tariff and trade purposes, schedule these products under HS 901850.</t>
  </si>
  <si>
    <t>Ophthalmic spoons or curettes</t>
  </si>
  <si>
    <t>In this classification, this commodity indicates a product used as an ophthalmic spoon or curette during a surgical procedure in a medical setting.  Most nations, for tariff and trade purposes, schedule these products under HS 901850.</t>
  </si>
  <si>
    <t>Ophthalmic lens holders or accessories</t>
  </si>
  <si>
    <t>In this classification, this commodity indicates a product that is either an accessory or consumable associated with ophthalmic lens holders.  Most nations, for tariff and trade purposes, schedule these products under HS 901850.</t>
  </si>
  <si>
    <t>Scleral buckling components</t>
  </si>
  <si>
    <t>In this classification, this commodity indicates a product used as a scleral buckling component during a surgical procedure in a medical setting.  US FDA regulates Scleral buckling components under 21 CFR 886.3340 and under FDA product code HQX.  Most nations, for tariff and trade purposes, schedule these products under HS 901850.</t>
  </si>
  <si>
    <t>Ophthalmic plug punctums or lachrimal dilators or sets</t>
  </si>
  <si>
    <t>In this classification, this commodity indicates a product used as an ophthalmic plug punctum, lachrymal dilator, or set during a surgical procedure in a medical setting.  Most nations, for tariff and trade purposes, schedule these products under HS 901850.</t>
  </si>
  <si>
    <t>Ophthalmic plastic surgery supplies or related products</t>
  </si>
  <si>
    <t>In this classification, this commodity indicates a product used as an ophthalmic plastic surgery supply or related products during a surgical procedure in a medical setting.  Most nations, for tariff and trade purposes, schedule these products under HS 901850.</t>
  </si>
  <si>
    <t>Eyemagnets for ophthalmic surgery</t>
  </si>
  <si>
    <t>In this classification, this commodity indicates a product used as a eyemagnet for ophthalmic surgery during a surgical procedure in a medical setting.  Most nations, for tariff and trade purposes, schedule these products under HS 901850.</t>
  </si>
  <si>
    <t>Intraocular gases</t>
  </si>
  <si>
    <t>In this classification, this commodity indicates a product used as an intraocular gas during a surgical procedure in a medical setting.  Most nations, for tariff and trade purposes, schedule these products under HS 901850.</t>
  </si>
  <si>
    <t>Viscoelastic agents or viscosurgical devices</t>
  </si>
  <si>
    <t>In this classification, this commodity indicates a product used as a viscoelastic agent or viscosurgical device during a surgical procedure in a medical setting.  US FDA regulates Viscoelastic agents or viscosurgical devices under 21 CFR 880.5725 and under FDA product code FRN.  Most nations, for tariff and trade purposes, schedule these products under HS 300339.</t>
  </si>
  <si>
    <t>Vitrectomy lens</t>
  </si>
  <si>
    <t>In this classification, this commodity indicates a product used as a vitrectomy lens during a surgical procedure in a medical setting.  US FDA regulates Vitrectomy lens under 21 CFR 886.1385 and under FDA product code HJK.  Most nations, for tariff and trade purposes, schedule these products under HS 900130.</t>
  </si>
  <si>
    <t>Ophthalmic laser lens</t>
  </si>
  <si>
    <t>In this classification, this commodity indicates a product used as an ophthalmic laser lens during a surgical procedure in a medical setting.  US FDA regulates Ophthalmic laser lens under 21 CFR 886.4390 and under FDA product code LQJ.  Most nations, for tariff and trade purposes, schedule these products under HS 901320.</t>
  </si>
  <si>
    <t>Ophthalmic iris retractor clips</t>
  </si>
  <si>
    <t>In this classification, this commodity indicates a product used as an ophthalmic iris retractor clip during a surgical procedure in a medical setting.  Most nations, for tariff and trade purposes, schedule these products under HS 901811.</t>
  </si>
  <si>
    <t>Ophthalmic lachrymal probes</t>
  </si>
  <si>
    <t>In this classification, this commodity indicates a product used as an ophthalmic lachrymal probe during a surgical procedure in a medical setting.  Most nations, for tariff and trade purposes, schedule these products under HS 901811.</t>
  </si>
  <si>
    <t>Ophthalmic sphere introducers</t>
  </si>
  <si>
    <t>In this classification, this commodity indicates a product used as an ophthalmic sphere introducer during a surgical procedure in a medical setting.  Most nations, for tariff and trade purposes, schedule these products under HS 901811.</t>
  </si>
  <si>
    <t>Orbital compressors or depressors</t>
  </si>
  <si>
    <t>In this classification, this commodity indicates a product used as an orbital compressor or depressor during a surgical procedure in a medical setting.  Most nations, for tariff and trade purposes, schedule these products under HS 901811.</t>
  </si>
  <si>
    <t>Capsular tension rings or injectors</t>
  </si>
  <si>
    <t>In this classification, this commodity indicates a product used as a capsular tension ring or injector during a surgical procedure in a medical setting.  Most nations, for tariff and trade purposes, schedule these products under HS 901811.</t>
  </si>
  <si>
    <t>Scleral shells</t>
  </si>
  <si>
    <t>In this classification, this commodity indicates a product used as a scleral shell during a surgical procedure in a medical setting.  Most nations, for tariff and trade purposes, schedule these products under HS 901811.</t>
  </si>
  <si>
    <t>Ophthalmic lens holder accessories</t>
  </si>
  <si>
    <t>In this classification, this commodity indicates a product that is either an accessory or consumable associated with ophthalmic lens holders.  Most nations, for tariff and trade purposes, schedule these products under HS 901811.</t>
  </si>
  <si>
    <t>Eye protector or conformer or shield accessories</t>
  </si>
  <si>
    <t>In this classification, this commodity indicates a product that is either an accessory or consumable associated with eye protector or conformer or shields.  Most nations, for tariff and trade purposes, schedule these products under HS 901811.</t>
  </si>
  <si>
    <t>Lachrymal intubation sets</t>
  </si>
  <si>
    <t>In this classification, this commodity indicates a product used as a lachrymal intubation set during a surgical procedure in a medical setting.  Most nations, for tariff and trade purposes, schedule these products under HS 901839.</t>
  </si>
  <si>
    <t>Therapeutic contact lenses</t>
  </si>
  <si>
    <t>In this classification, this commodity indicates a product used as therapeutic contact lens during a surgical procedure in a medical setting.  Most nations, for tariff and trade purposes, schedule these products under HS 900130.</t>
  </si>
  <si>
    <t>Eye holder accessories</t>
  </si>
  <si>
    <t>In this classification, this commodity indicates a product that is either an accessory or consumable associated with eye holders.  Most nations, for tariff and trade purposes, schedule these products under HS 901811.</t>
  </si>
  <si>
    <t>Intraocular gas accessories</t>
  </si>
  <si>
    <t>In this classification, this commodity indicates a product that is either an accessory or consumable associated with intraocular gas.  Most nations, for tariff and trade purposes, schedule these products under HS 901811.</t>
  </si>
  <si>
    <t>Intraocular lens folders and injectors</t>
  </si>
  <si>
    <t>In this classification, this commodity indicates a product that is either an accessory or consumable associated with autotrasfusion units.  Most nations, for tariff and trade purposes, schedule these products under HS 901811.</t>
  </si>
  <si>
    <t>Ophthalmic surgical knife or blade or scissor accessories</t>
  </si>
  <si>
    <t>Accessories included with ophthalmic surgical knives or blades or scissors.</t>
  </si>
  <si>
    <t>42294600</t>
  </si>
  <si>
    <t>Autotransfusion products</t>
  </si>
  <si>
    <t>In this classification, this class includes, instruments, components, accessories, and supplies, utilized in autotrasfusion procedures.</t>
  </si>
  <si>
    <t>Autotransfusion blood or transfer bags</t>
  </si>
  <si>
    <t>In this classification, this commodity indicates a product used as a autotransfusion blood or transfer bag during a surgical procedure in a medical setting.  US FDA regulates Autotransfusion blood or transfer bags under 21 CFR 868.5830 and under FDA product code CAC.  Most nations, for tariff and trade purposes, schedule these products under HS 392690.</t>
  </si>
  <si>
    <t>Autotransfusion bowl kits or centrifugal kits</t>
  </si>
  <si>
    <t>In this classification, this commodity indicates a product that is a prepackaged collection (either custom or standard) of the equipment and supplies that enable autotrasfusion bowl or centrifugal use in a medical setting.  Most nations, for tariff and trade purposes, schedule these products under HS 901920.</t>
  </si>
  <si>
    <t>Autotransfusion units</t>
  </si>
  <si>
    <t>in this classification, this commodity indicates a product that is a device used in autotrasfusion procedure in a medical setting.  US FDA regulates Autotransfusion units under 21 CFR 868.5830 and under FDA product code CAC.  Most nations, for tariff and trade purposes, schedule these products under HS 901890.</t>
  </si>
  <si>
    <t>Autotransfusion filters</t>
  </si>
  <si>
    <t>In this classification, this commodity indicates a product used as a autotransfusion filter during a surgical procedure in a medical setting.  US FDA regulates Autotransfusion filters under 21 CFR 868.5830 and under FDA product code CAC.  Most nations, for tariff and trade purposes, schedule these products under HS 901890.</t>
  </si>
  <si>
    <t>Autotransfusion reservoirs</t>
  </si>
  <si>
    <t>In this classification, this commodity indicates a product used as a autotransfusion reservoir during a surgical procedure in a medical setting.  US FDA regulates Autotransfusion reservoirs under 21 CFR 868.5830 and under FDA product code CAC.  Most nations, for tariff and trade purposes, schedule these products under HS 901920.</t>
  </si>
  <si>
    <t>Autotransfusion tubing sets or kits</t>
  </si>
  <si>
    <t>In this classification, this commodity indicates a product that is a prepackaged collection (either custom or standard) of the equipment and supplies used to perform an autotrasfusion intubation procedure in a medical setting.  US FDA regulates Autotransfusion tubing sets or kits under 21 CFR 868.5830 and under FDA product code CAC.  Most nations, for tariff and trade purposes, schedule these products under HS 901839.</t>
  </si>
  <si>
    <t>Autotransfusion valves</t>
  </si>
  <si>
    <t>In this classification, this commodity indicates a product used as a autotransfusion valve during a surgical procedure in a medical setting.  US FDA regulates Autotransfusion valves under 21 CFR 868.5830 and under FDA product code CAC.  Most nations, for tariff and trade purposes, schedule these products under HS 901890.</t>
  </si>
  <si>
    <t>Autotransfusion waste collection bags</t>
  </si>
  <si>
    <t>In this classification, this commodity indicates a product used as a autotransfusion waste collection bag during a surgical procedure in a medical setting.  Most nations, for tariff and trade purposes, schedule these products under HS 392690.</t>
  </si>
  <si>
    <t>Autotransfusion unit accessories</t>
  </si>
  <si>
    <t>In this classification, this commodity indicates a product that is either an accessory or consumable associated with autotrasfusion units.  Most nations, for tariff and trade purposes, schedule these products under HS 901920.</t>
  </si>
  <si>
    <t>Autotransfusion reservoir accessories</t>
  </si>
  <si>
    <t>In this classification, this commodity indicates a product that is either an accessory or consumable associated with autotrasfusion reservoirs.  Most nations, for tariff and trade purposes, schedule these products under HS 901920.</t>
  </si>
  <si>
    <t>Autotransfusion waste collection systems</t>
  </si>
  <si>
    <t>In this classification, this commodity indicates a system consisting of products, consumables and accessories that are used to execute a autotrasfusion waste collection procedure in a medical setting.  Most nations, for tariff and trade purposes, schedule these products under HS 901920.</t>
  </si>
  <si>
    <t>42294700</t>
  </si>
  <si>
    <t>Open heart perfusion equipment and monitors and accessories and related products</t>
  </si>
  <si>
    <t>In this classification, this class includes, products, components, accessories, and supplies, utilized in open heart perfusion procedures.</t>
  </si>
  <si>
    <t>Heart and lung machines</t>
  </si>
  <si>
    <t>In this classification, this commodity indicates a product used as a heart and lung machine during a surgical procedure in a medical setting.  Most nations, for tariff and trade purposes, schedule these products under HS 901819.</t>
  </si>
  <si>
    <t>Intraaortic balloon pumps</t>
  </si>
  <si>
    <t>In this classification, this commodity indicates a product used as a intraaortic balloon pump during a surgical procedure in a medical setting.  Most nations, for tariff and trade purposes, schedule these products under HS 841370.</t>
  </si>
  <si>
    <t>Intracardiac suction devices</t>
  </si>
  <si>
    <t>In this classification, this commodity indicates a product used as a intracardiac suction device during a surgical procedure in a medical setting.  US FDA regulates Intracardiac suction devices under 21 CFR 870.4420 and under FDA product code DTS.  Most nations, for tariff and trade purposes, schedule these products under HS 901920.</t>
  </si>
  <si>
    <t>Perfusion filters or related products</t>
  </si>
  <si>
    <t>In this classification, this commodity indicates a product used as a perfusion filter or related product during a surgical procedure in a medical setting.  Most nations, for tariff and trade purposes, schedule these products under HS 901920.</t>
  </si>
  <si>
    <t>Perfusion blood parameter monitors or related products</t>
  </si>
  <si>
    <t>In this classification, this commodity indicates a product used as a perfusion blood parameter monitor or related product during a surgical procedure in a medical setting.  Most nations, for tariff and trade purposes, schedule these products under HS 852849.</t>
  </si>
  <si>
    <t>Perfusion bubble traps or detectors</t>
  </si>
  <si>
    <t>In this classification, this commodity indicates a product used as a perfusion bubble traps or detectors during a surgical procedure in a medical setting.  Most nations, for tariff and trade purposes, schedule these products under HS 901920.</t>
  </si>
  <si>
    <t>Perfusion cardioplegia sets</t>
  </si>
  <si>
    <t>In this classification, this commodity indicates a product used as a perfusion cardioplegia set during a surgical procedure in a medical setting.  US FDA regulates Perfusion cardioplegia sets under 21 CFR 870.4290 and under FDA product code DTL.  Most nations, for tariff and trade purposes, schedule these products under HS 901920.</t>
  </si>
  <si>
    <t>Perfusion cardiotomy reservoirs</t>
  </si>
  <si>
    <t>In this classification, this commodity indicates a product used as a perfusion cardiotomy reservoir during a surgical procedure in a medical setting.  US FDA regulates Perfusion cardiotomy reservoirs under 21 CFR 870.44 and under FDA product code DTN.  Most nations, for tariff and trade purposes, schedule these products under HS 901920.</t>
  </si>
  <si>
    <t>Perfusion centrifugal systems</t>
  </si>
  <si>
    <t>In this classification, this commodity indicates a system consisting of products, consumables and accessories that are used to execute a perfusion centrifugal procedure in a medical setting.  Most nations, for tariff and trade purposes, schedule these products under HS 901920.</t>
  </si>
  <si>
    <t>Perfusion heater or cooler or dual heater and cooler equipment</t>
  </si>
  <si>
    <t>In this classification, this commodity indicates a product used as a perfusion heater or cooler or dual heater and cooler equipment during a surgical procedure in a medical setting.  Most nations, for tariff and trade purposes, schedule these products under HS 730441.</t>
  </si>
  <si>
    <t>Perfusion haemoconcentrators</t>
  </si>
  <si>
    <t>In this classification, this commodity indicates a product used as a perfusion haemoconcentrator during a surgical procedure in a medical setting.  Most nations, for tariff and trade purposes, schedule these products under HS 901920.</t>
  </si>
  <si>
    <t>Perfusion oxygen or hematocrit saturation monitors</t>
  </si>
  <si>
    <t>In this classification, this commodity indicates a product used as a perfusion oxygen or hematocrit saturation monitor during a surgical procedure in a medical setting.  US FDA regulates Perfusion oxygen or hematocrit saturation monitors under 21 CFR 870.4410 and under FDA product code DTY.  Most nations, for tariff and trade purposes, schedule these products under HS 852849.</t>
  </si>
  <si>
    <t>Perfusion oxygenators</t>
  </si>
  <si>
    <t>In this classification, this commodity indicates a product used as a perfusion oxygenator during a surgical procedure in a medical setting.  US FDA regulates Perfusion oxygenators under 21 CFR 870.4350 and under FDA product code DTZ.  Most nations, for tariff and trade purposes, schedule these products under HS 901920.</t>
  </si>
  <si>
    <t>Perfusion pump heads</t>
  </si>
  <si>
    <t>In this classification, this commodity indicates a product used as a perfusion pump head during a surgical procedure in a medical setting.  Most nations, for tariff and trade purposes, schedule these products under HS 901920.</t>
  </si>
  <si>
    <t>Perfusion pump pack tubing</t>
  </si>
  <si>
    <t>In this classification, this commodity indicates a product used as a perfusion pump pack tubing during a surgical procedure in a medical setting.  Most nations, for tariff and trade purposes, schedule these products under HS 901839.</t>
  </si>
  <si>
    <t>Ventricular assist devices</t>
  </si>
  <si>
    <t>In this classification, this commodity indicates a product used as a ventricular assist device during a surgical procedure in a medical setting.  Most nations, for tariff and trade purposes, schedule these products under HS 901920.</t>
  </si>
  <si>
    <t>Perfusion pumps</t>
  </si>
  <si>
    <t>In this classification, this commodity indicates a product used as a perfusion pump during a surgical procedure in a medical setting.  Most nations, for tariff and trade purposes, schedule these products under HS 841370.</t>
  </si>
  <si>
    <t>Temperature monitoring needles</t>
  </si>
  <si>
    <t>In this classification, this commodity indicates a product that is a hollow needle commonly used with a syringe to inject or extract substances or fluids associated with a procedure.  US FDA regulates Temperature monitoring needles under 21 CFR 880.2910 and under FDA product code FLL.  Most nations, for tariff and trade purposes, schedule these products under HS 852849.</t>
  </si>
  <si>
    <t>Aortic punches</t>
  </si>
  <si>
    <t>In this classification, this commodity indicates a product used as an aortic punch during a surgical procedure in a medical setting.  US FDA regulates Aortic punches under 21 CFR 870.45 and under FDA product code DWS.  Most nations, for tariff and trade purposes, schedule these products under HS 901890.</t>
  </si>
  <si>
    <t>Perfusion ventricular drainage sets</t>
  </si>
  <si>
    <t>In this classification, this commodity indicates a product used as a perfusion ventricular drainage set during a surgical procedure in a medical setting.  Most nations, for tariff and trade purposes, schedule these products under HS 901920.</t>
  </si>
  <si>
    <t>Intraaortic balloon pump insertion kits</t>
  </si>
  <si>
    <t>In this classification, this commodity indicates a product that is a prepackaged collection (either custom or standard) of the equipment and supplies used to perform an aortic balloon pump insertion procedure in a medical setting.  Most nations, for tariff and trade purposes, schedule these products under HS 901920.</t>
  </si>
  <si>
    <t>Intraaortic balloon pump introducers</t>
  </si>
  <si>
    <t>In this classification, this commodity indicates a product used as a intraaortic balloon pump introducer during a surgical procedure in a medical setting.  Most nations, for tariff and trade purposes, schedule these products under HS 901920.</t>
  </si>
  <si>
    <t>Perfusion combination level-sensing-monitors and controls</t>
  </si>
  <si>
    <t>In this classification, this commodity indicates a product used as a perfusion combination level-sensing-monitor and control during a surgical procedure in a medical setting.  Most nations, for tariff and trade purposes, schedule these products under HS 852849.</t>
  </si>
  <si>
    <t>Perfusion coronary pressure gauges</t>
  </si>
  <si>
    <t>In this classification, this commodity indicates a product used as a perfusion coronary pressure gauge during a surgical procedure in a medical setting.  US FDA regulates Perfusion coronary pressure gauges under 21 CFR 870.4310 and under FDA product code DXS.  Most nations, for tariff and trade purposes, schedule these products under HS 901920.</t>
  </si>
  <si>
    <t>Perfusion defoamers</t>
  </si>
  <si>
    <t>In this classification, this commodity indicates a product used as a perfusion defoamer during a surgical procedure in a medical setting.  Most nations, for tariff and trade purposes, schedule these products under HS 901920.</t>
  </si>
  <si>
    <t>Perfusion oxygen blenders or analyzers</t>
  </si>
  <si>
    <t>In this classification, this commodity indicates a product used as a perfusion oxygen blender or analyzer during a surgical procedure in a medical setting.  US FDA regulates Perfusion oxygen blenders or analyzers under 21 CFR 868.1720 and under FDA product code CCL.  Most nations, for tariff and trade purposes, schedule these products under HS 903020.</t>
  </si>
  <si>
    <t>Perfusion venous occluders</t>
  </si>
  <si>
    <t>In this classification, this commodity indicates a product used as a perfusion venous occluder during a surgical procedure in a medical setting.  Most nations, for tariff and trade purposes, schedule these products under HS 901920.</t>
  </si>
  <si>
    <t>Ventricular bypass assist devices</t>
  </si>
  <si>
    <t>In this classification, this commodity indicates a product used as a ventricular bypass assist device during a surgical procedure in a medical setting.  Most nations, for tariff and trade purposes, schedule these products under HS 901920.</t>
  </si>
  <si>
    <t>Heart and lung machine accessories</t>
  </si>
  <si>
    <t>In this classification, this commodity indicates a product that is either an accessory or consumable associated with heart and lung machines.  Most nations, for tariff and trade purposes, schedule these products under HS 901920.</t>
  </si>
  <si>
    <t>Intraaortic balloon pump accessories</t>
  </si>
  <si>
    <t>In this classification, this commodity indicates a product that is either an accessory or consumable associated with intraaortic balloon pumps.  Most nations, for tariff and trade purposes, schedule these products under HS 901920.</t>
  </si>
  <si>
    <t>Intracardiac suction device accessories</t>
  </si>
  <si>
    <t>In this classification, this commodity indicates a product that is either an accessory or consumable associated with intracardiac suction devices.  US FDA regulates Intracardiac suction device accessories under 21 CFR 870.4420 and under FDA product code DTS.  Most nations, for tariff and trade purposes, schedule these products under HS 901819.</t>
  </si>
  <si>
    <t>Perfusion blood parameter monitor or related product accessories</t>
  </si>
  <si>
    <t>In this classification, this commodity indicates a product that is either an accessory or consumable associated with perfusion blood parameter monitor or related products.  US FDA regulates Perfusion blood parameter monitor or related product accessories under 21 CFR 870.4330 and under FDA product code DRY.  Most nations, for tariff and trade purposes, schedule these products under HS 852849.</t>
  </si>
  <si>
    <t>Cardiopulmonary bypass in-line blood-gas sensors</t>
  </si>
  <si>
    <t>In this classification, this commodity indicates a product used as a cardiopulmonary bypass in-line blood-gas sensor during a surgical procedure in a medical setting.  US FDA regulates Cardiopulmonary bypass in-line blood-gas sensors under 21 CFR 870.4350 and under FDA product code DTZ.  Most nations, for tariff and trade purposes, schedule these products under HS 901920.</t>
  </si>
  <si>
    <t>Perfusion centrifugal system accessories</t>
  </si>
  <si>
    <t>In this classification, this commodity indicates a product that is either an accessory or consumable associated with perfusion centrifugal systems.  Most nations, for tariff and trade purposes, schedule these products under HS 901920.</t>
  </si>
  <si>
    <t>Perfusion heater or cooler or dual heater and cooler equipment accessories</t>
  </si>
  <si>
    <t>In this classification, this commodity indicates a product that is either an accessory or consumable associated with perfusion heater or cooler or dual heater and cooler equipment.  Most nations, for tariff and trade purposes, schedule these products under HS 730441.</t>
  </si>
  <si>
    <t>Perfusion haemoconcentrator accessories</t>
  </si>
  <si>
    <t>In this classification, this commodity indicates a product that is either an accessory or consumable associated with perfusion haemoconcentrators.  Most nations, for tariff and trade purposes, schedule these products under HS 901819.</t>
  </si>
  <si>
    <t>Perfusion oxygen or hematocrit saturation monitor accessories</t>
  </si>
  <si>
    <t>In this classification, this commodity indicates a product that is either an accessory or consumable associated with perfusion oxygen or hematocrit saturation monitors.  Most nations, for tariff and trade purposes, schedule these products under HS 901819.</t>
  </si>
  <si>
    <t>Perfusion oxygenator accessories</t>
  </si>
  <si>
    <t>In this classification, this commodity indicates a product that is either an accessory or consumable associated with perfusion oxygenators.  US FDA regulates Perfusion oxygenator accessories under 21 CFR 870.4350 and under FDA product code DTZ.  Most nations, for tariff and trade purposes, schedule these products under HS 901819.</t>
  </si>
  <si>
    <t>42294900</t>
  </si>
  <si>
    <t>Endoscopic instruments</t>
  </si>
  <si>
    <t>In this classification, this class includes, products, components, accessories, and supplies, utilized in endoscopic examinations and procedures.</t>
  </si>
  <si>
    <t>Endoscopic applicators or elevators</t>
  </si>
  <si>
    <t>In this classification, this commodity indicates a product used as an endoscopic applicators or elevators during a surgical procedure in a medical setting.  US FDA regulates Endoscopic applicators or elevators under 21 CFR 876.15 and under FDA product code GCJ.  Most nations, for tariff and trade purposes, schedule these products under HS 901819.</t>
  </si>
  <si>
    <t>Endoscopic aspiration or biopsy needles</t>
  </si>
  <si>
    <t>In this classification, this commodity indicates a product that is a hollow needle commonly used with a syringe to inject or extract substances or fluids associated with an endoscopic aspiration or biopsy procedure.  US FDA regulates Endoscopic aspiration or biopsy needles under 21 CFR 876.15 and under FDA product code FBK.  Most nations, for tariff and trade purposes, schedule these products under HS 901832.</t>
  </si>
  <si>
    <t>Endoscopic bite blocks or straps</t>
  </si>
  <si>
    <t>In this classification, this commodity indicates a product used as an endoscopic bite blocks or straps during a surgical procedure in a medical setting.  Most nations, for tariff and trade purposes, schedule these products under HS 901819.</t>
  </si>
  <si>
    <t>Endoscopic cleaning brushes or related products</t>
  </si>
  <si>
    <t>In this classification, this commodity indicates a product used as an endoscopic cleaning brushes or related products during a surgical procedure in a medical setting.  Most nations, for tariff and trade purposes, schedule these products under HS 901819.</t>
  </si>
  <si>
    <t>Endoscopic cutting instruments</t>
  </si>
  <si>
    <t>In this classification, this commodity indicates a product used as an endoscopic cutting instruments during a surgical procedure in a medical setting.  US FDA regulates Endoscopic cutting instruments under 21 CFR 876.15 and under FDA product code OCZ.  Most nations, for tariff and trade purposes, schedule these products under HS 901890.</t>
  </si>
  <si>
    <t>Endoscopic cytology or microbiology brushes</t>
  </si>
  <si>
    <t>In this classification, this commodity indicates a product used as an endoscopic cytology or microbiology brushes during a surgical procedure in a medical setting.  Most nations, for tariff and trade purposes, schedule these products under HS 901819.</t>
  </si>
  <si>
    <t>Endoscopic clamp or dissector or grasper or forceps</t>
  </si>
  <si>
    <t>In this classification, this commodity indicates a product used as an endoscopic clamp or dissector or grasper or forceps during a surgical procedure in a medical setting.  US FDA regulates Endoscopic clamp or dissector or grasper or forceps under 21 CFR 876.15 and under FDA product code GCJ.  Most nations, for tariff and trade purposes, schedule these products under HS 901890.</t>
  </si>
  <si>
    <t>Endoscopic dilators or inflation devices</t>
  </si>
  <si>
    <t>In this classification, this commodity indicates a product used as an endoscopic dilator or inflation device during a surgical procedure in a medical setting.  Most nations, for tariff and trade purposes, schedule these products under HS 901920.</t>
  </si>
  <si>
    <t>Endoscopic monopolar or bipolar cable</t>
  </si>
  <si>
    <t>In this classification, this commodity indicates a product used as an endoscopic monopolar or bipolar cable during a surgical procedure in a medical setting.  Most nations, for tariff and trade purposes, schedule these products under HS 901920.</t>
  </si>
  <si>
    <t>Endoscopic hemostatic balloons or needles or tubes or accessories</t>
  </si>
  <si>
    <t>In this classification, this commodity indicates a product that is either an accessory or consumable associated with endoscopic hemostatic balloons or needles or tubes.  Most nations, for tariff and trade purposes, schedule these products under HS 901832.</t>
  </si>
  <si>
    <t>Endoscopic instrument sets</t>
  </si>
  <si>
    <t>In this classification, this commodity indicates a product used as an endoscopic instrument set during a surgical procedure in a medical setting.  US FDA regulates Endoscopic instrument sets under 21 CFR 876.15 8 and under FDA product code GCJ.  Most nations, for tariff and trade purposes, schedule these products under HS 901811.</t>
  </si>
  <si>
    <t>Endoscopic instrument spreaders</t>
  </si>
  <si>
    <t>In this classification, this commodity indicates a product used as an endoscopic instrument spreader during a surgical procedure in a medical setting.  Most nations, for tariff and trade purposes, schedule these products under HS 901811.</t>
  </si>
  <si>
    <t>Endoscopic insufflation needles</t>
  </si>
  <si>
    <t>In this classification, this commodity indicates a product that is a hollow needle commonly used with a syringe to inject or extract substances or fluids associated with an endoscopic aspiration or biopsy procedure.  Most nations, for tariff and trade purposes, schedule these products under HS 901832.</t>
  </si>
  <si>
    <t>Endoscopic guidewire or glidewire</t>
  </si>
  <si>
    <t>In this classification, this commodity indicates a product used as an endoscopic guidewire or glidewire during a surgical procedure in a medical setting.  Most nations, for tariff and trade purposes, schedule these products under HS 901920.</t>
  </si>
  <si>
    <t>Endoscopic laser instruments</t>
  </si>
  <si>
    <t>In this classification, this commodity indicates a product that is either an accessory or consumable associated with endoscopic laser instruments.  US FDA regulates Endoscopic laser instruments or accessories under 21 CFR 878.4810 and under FDA product code GEX.  Most nations, for tariff and trade purposes, schedule these products under HS 901320.</t>
  </si>
  <si>
    <t>Endoscopic knot pushers or delivery systems</t>
  </si>
  <si>
    <t>In this classification, this commodity indicates a system consisting of products, consumables and accessories that are used to execute an endoscopic knot pushing or delivery procedure in a medical setting.  US FDA regulates Endoscopic knot pushers or delivery systems under 21 CFR 876.15 and under FDA product code GCJ.  Most nations, for tariff and trade purposes, schedule these products under HS 821300.</t>
  </si>
  <si>
    <t>Endoscopic ligators</t>
  </si>
  <si>
    <t>In this classification, this commodity indicates a product used as an endoscopic ligator during a surgical procedure in a medical setting.  Most nations, for tariff and trade purposes, schedule these products under HS 901890.</t>
  </si>
  <si>
    <t>Endoscopic manipulators</t>
  </si>
  <si>
    <t>in this classification, this commodity indicates a product used as a manipulator in an endoscopic procedure in a medical setting.  Most nations, for tariff and trade purposes, schedule these products under HS 901890.</t>
  </si>
  <si>
    <t>Endoscopic monopolar or bipolar hand instruments</t>
  </si>
  <si>
    <t>In this classification, this commodity indicates a product that is either an accessory or consumable associated with endoscopic monopolar or bipolar hand instrument.  Most nations, for tariff and trade purposes, schedule these products under HS 901890.</t>
  </si>
  <si>
    <t>Endoscopic needles or punches</t>
  </si>
  <si>
    <t>In this classification, this commodity indicates a product that is a hollow needle commonly used with a syringe to inject or extract substances or fluids or an insertion instrument associated with an endoscopic procedure.  Most nations, for tariff and trade purposes, schedule these products under HS 901832.</t>
  </si>
  <si>
    <t>Endoscopic overtubes</t>
  </si>
  <si>
    <t>In this classification, this commodity indicates a product that is used as an overtube in an endoscopic procedure in a medical setting.  Most nations, for tariff and trade purposes, schedule these products under HS 901839.</t>
  </si>
  <si>
    <t>Endoscopic instrument packs or trays or kits</t>
  </si>
  <si>
    <t>In this classification, this commodity indicates a product that is a prepackaged collection (either custom or standard) of the equipment and supplies that enable endoscopic instrument use in a medical setting.  Most nations, for tariff and trade purposes, schedule these products under HS 392410.</t>
  </si>
  <si>
    <t>Endoscopic probes</t>
  </si>
  <si>
    <t>in this classification, this commodity indicates a product used as a probe in an endoscopic procedure in a medical setting.  US FDA regulates Endoscopic probes under 21 CFR 876.15 and under FDA product code GCJ.  Most nations, for tariff and trade purposes, schedule these products under HS 901890.</t>
  </si>
  <si>
    <t>Endoscopic retractors</t>
  </si>
  <si>
    <t>in this classification, this commodity indicates a product used as a retractor in an endoscopic procedure in a medical setting.  US FDA regulates Endoscopic retractors under 21 CFR 876.15 and under FDA product code GCJ.  Most nations, for tariff and trade purposes, schedule these products under HS 901890.</t>
  </si>
  <si>
    <t>Endoscopic snares or snare wires</t>
  </si>
  <si>
    <t>In this classification, this commodity indicates a product that is either an accessory or consumable associated with endoscopic snares or snare wires.  US FDA regulates Endoscopic snares or snare wires or accessories under 21 CFR 876.15 and under FDA product code GCJ.  Most nations, for tariff and trade purposes, schedule these products under HS 902110.</t>
  </si>
  <si>
    <t>Endoscopic specimen retrieval forceps</t>
  </si>
  <si>
    <t>in this classification, this commodity indicates a product used as a specimen retrieval forceps in an endoscopic procedure in a medical setting.  US FDA regulates Endoscopic specimen retrieval forceps under 21 CFR 876.15 and under FDA product code GCJ.  Most nations, for tariff and trade purposes, schedule these products under HS 901890.</t>
  </si>
  <si>
    <t>Endoscopic suction or irrigation tips or coagulation probes</t>
  </si>
  <si>
    <t>In this classification, this commodity indicates a product that is either an accessory or consumable associated with endoscopic suction or irrigation tips or coagulation probes.  Most nations, for tariff and trade purposes, schedule these products under HS 901890.</t>
  </si>
  <si>
    <t>Endoscopic suturing devices</t>
  </si>
  <si>
    <t>in this classification, this commodity indicates a product used as a suturing device in an endoscopic procedure in a medical setting.  US FDA regulates Endoscopic suturing devices under 21 CFR 876.15 and under FDA product code OCW.  Most nations, for tariff and trade purposes, schedule these products under HS 901920.</t>
  </si>
  <si>
    <t>Endoscopic working elements or working channels</t>
  </si>
  <si>
    <t>in this classification, this commodity indicates a product used as a working element or channel in an endoscopic procedure in a medical setting.  Most nations, for tariff and trade purposes, schedule these products under HS 901920.</t>
  </si>
  <si>
    <t>Fog reduction devices for endoscopes or mirrors</t>
  </si>
  <si>
    <t>in this classification, this commodity indicates a product used as a fog reduction device in an endoscopic procedure in a medical setting.  Most nations, for tariff and trade purposes, schedule these products under HS 900630.</t>
  </si>
  <si>
    <t>Sealing caps for endoscopes</t>
  </si>
  <si>
    <t>in this classification, this commodity indicates a product used as a endoscope sealing cap in an endoscopic procedure in a medical setting.  Most nations, for tariff and trade purposes, schedule these products under HS 901920.</t>
  </si>
  <si>
    <t>Endoscopic valves</t>
  </si>
  <si>
    <t>In this classification, this commodity indicates a product that is either an accessory or consumable associated with endoscopic valves.  Most nations, for tariff and trade purposes, schedule these products under HS 901920.</t>
  </si>
  <si>
    <t>Endoscopic biliary drainage sets</t>
  </si>
  <si>
    <t>in this classification, this commodity indicates a product used as a gage in an endoscopic procedure in a medical setting.  Most nations, for tariff and trade purposes, schedule these products under HS 901920.</t>
  </si>
  <si>
    <t>Endoscopic instrument seals</t>
  </si>
  <si>
    <t>in this classification, this commodity indicates a product used as a mouthpiece in an endoscopic procedure in a medical setting.  Most nations, for tariff and trade purposes, schedule these products under HS 901811.</t>
  </si>
  <si>
    <t>Endoscopic valve units</t>
  </si>
  <si>
    <t>in this classification, this commodity indicates a product that is a device used in an endoscopic valve procedure in a medical setting.  Most nations, for tariff and trade purposes, schedule these products under HS 901920.</t>
  </si>
  <si>
    <t>Endoscopic accessory kits</t>
  </si>
  <si>
    <t>In this classification, this commodity indicates a product that is a prepackaged collection (either custom or standard) of the equipment and supplies that enable endoscopic accessory use in a medical setting.  Most nations, for tariff and trade purposes, schedule these products under HS 901920.</t>
  </si>
  <si>
    <t>Endoscopic gages</t>
  </si>
  <si>
    <t>in this classification, this commodity indicates a product used as a guidewire handle in an endoscopic procedure in a medical setting.  Most nations, for tariff and trade purposes, schedule these products under HS 901920.</t>
  </si>
  <si>
    <t>Endoscopic mouthpieces</t>
  </si>
  <si>
    <t>in this classification, this commodity indicates a product used as a drill or drill bits in an endoscopic procedure in a medical setting.  Most nations, for tariff and trade purposes, schedule these products under HS 901920.</t>
  </si>
  <si>
    <t>Endoscopic guidewire handles</t>
  </si>
  <si>
    <t>in this classification, this commodity indicates a product used as a small joint instrument set in an endoscopic procedure in a medical setting.  Most nations, for tariff and trade purposes, schedule these products under HS 901920.</t>
  </si>
  <si>
    <t>Endoscopic drills or drill bits</t>
  </si>
  <si>
    <t>in this classification, this commodity indicates a product used as a retriever in an endoscopic procedure in a medical setting.  Most nations, for tariff and trade purposes, schedule these products under HS 901920.</t>
  </si>
  <si>
    <t>Endoscopic small joint instrument sets</t>
  </si>
  <si>
    <t>in this classification, this commodity indicates a product used as a extractor in an endoscopic procedure in a medical setting.  Most nations, for tariff and trade purposes, schedule these products under HS 901920.</t>
  </si>
  <si>
    <t>Endoscopic retrievers or sets</t>
  </si>
  <si>
    <t>in this classification, this commodity indicates a product used as a guidewire tracer in an endoscopic procedure in a medical setting.  Most nations, for tariff and trade purposes, schedule these products under HS 901920.</t>
  </si>
  <si>
    <t>Endoscopic extractors</t>
  </si>
  <si>
    <t>in this classification, this commodity indicates a product used as a sphincterotome in an endoscopic procedure in a medical setting.  Most nations, for tariff and trade purposes, schedule these products under HS 901920.</t>
  </si>
  <si>
    <t>Endoscopic tissue or specimen removing devices</t>
  </si>
  <si>
    <t>In this classification, this commodity indicates a product that is either an accessory or consumable associated with endoscopic tissue or specimen removing devices.  Most nations, for tariff and trade purposes, schedule these products under HS 901920.</t>
  </si>
  <si>
    <t>Endoscopic hooks</t>
  </si>
  <si>
    <t>In this classification, this commodity indicates a product that is either an accessory or consumable associated with endoscopic hooks.  Most nations, for tariff and trade purposes, schedule these products under HS 901920.</t>
  </si>
  <si>
    <t>Endoscopic guidewire tracers</t>
  </si>
  <si>
    <t>in this classification, this commodity indicates a product used as a coagulator cutter in an endoscopic procedure in a medical setting.  Most nations, for tariff and trade purposes, schedule these products under HS 901920.</t>
  </si>
  <si>
    <t>Endoscopic shaver blades</t>
  </si>
  <si>
    <t>In this classification, this commodity indicates a product that is either an accessory or consumable associated with endoscopic shaver blade.  Most nations, for tariff and trade purposes, schedule these products under HS 901920.</t>
  </si>
  <si>
    <t>Endoscopic vessel sealing and cutting attachments</t>
  </si>
  <si>
    <t>In this classification, this commodity indicates a product that is either an accessory or consumable associated with endoscopic vessel sealing and cutting attachments ands.  Most nations, for tariff and trade purposes, schedule these products under HS 901890.</t>
  </si>
  <si>
    <t>Endoscopic sphincterotomes</t>
  </si>
  <si>
    <t>in this classification, this commodity indicates a product used as an electrocautery attachment in an endoscopic procedure in a medical setting.  Most nations, for tariff and trade purposes, schedule these products under HS 901920.</t>
  </si>
  <si>
    <t>Bronchoscope biopsy brushes</t>
  </si>
  <si>
    <t>In this classification, this commodity indicates a product that is used as a brush in a bronchoscope biopsy procedure in a medical setting.  Most nations, for tariff and trade purposes, schedule these products under HS 901920.</t>
  </si>
  <si>
    <t>Bronchoscope biopsy currettes</t>
  </si>
  <si>
    <t>In this classification, this commodity indicates a product that is used as a currette in a bronchoscope biopsy procedure in a medical setting.  Most nations, for tariff and trade purposes, schedule these products under HS 901920.</t>
  </si>
  <si>
    <t>Bronchoscope biopsy forceps</t>
  </si>
  <si>
    <t>In this classification, this commodity indicates a product that is used as forceps in a bronchoscope biopsy procedure in a medical setting.  Most nations, for tariff and trade purposes, schedule these products under HS 901890.</t>
  </si>
  <si>
    <t>Bronchoscope brush sheath and instrumentation tubing</t>
  </si>
  <si>
    <t>In this classification, this commodity indicates a product that is used as a foregin body claw in a bronchoscope procedure in a medical setting.  Most nations, for tariff and trade purposes, schedule these products under HS 901839.</t>
  </si>
  <si>
    <t>Bronchoscope foreign body claws</t>
  </si>
  <si>
    <t>In this classification, this commodity indicates a product that is used as brush sheath or instrumentation tubing in a bronchoscope procedure in a medical setting.  Most nations, for tariff and trade purposes, schedule these products under HS 901920.</t>
  </si>
  <si>
    <t>Bipolar endoscopic coagulator-cutters</t>
  </si>
  <si>
    <t>in this classification, this commodity indicates a product used as a surgical video cable in an endoscopic procedure in a medical setting.  Most nations, for tariff and trade purposes, schedule these products under HS 901920.</t>
  </si>
  <si>
    <t>Endoscopic cholangiogram kits</t>
  </si>
  <si>
    <t>In this classification, this commodity indicates a product that is a prepackaged collection (either custom or standard) of the equipment and supplies used to perform endoscopic cholangiogram procedure in a medical setting.  Most nations, for tariff and trade purposes, schedule these products under HS 901920.</t>
  </si>
  <si>
    <t>Endoscopic electrocautery attachments</t>
  </si>
  <si>
    <t>in this classification, this commodity indicates a product used as a catheter adapter in an endoscopic procedure in a medical setting.  Most nations, for tariff and trade purposes, schedule these products under HS 901920.</t>
  </si>
  <si>
    <t>Endoscopic electrocautery systems</t>
  </si>
  <si>
    <t>In this classification, this commodity indicates a product that is either an accessory or consumable associated with endoscopic electrocautery systems ands.  Most nations, for tariff and trade purposes, schedule these products under HS 901890.</t>
  </si>
  <si>
    <t>Endoscopic electrocautery units</t>
  </si>
  <si>
    <t>in this classification, this commodity indicates a product that is a device used in an endoscopic electrocautery procedure in a medical setting.  Most nations, for tariff and trade purposes, schedule these products under HS 901920.</t>
  </si>
  <si>
    <t>Endoscopic morsellators</t>
  </si>
  <si>
    <t>in this classification, this commodity indicates a product used as a adapter in an endoscopic procedure in a medical setting.  Most nations, for tariff and trade purposes, schedule these products under HS 901920.</t>
  </si>
  <si>
    <t>Endoscopic morsellator accessories</t>
  </si>
  <si>
    <t>In this classification, this commodity indicates a product that is either an accessory or consumable associated with endoscopic morsellators.  Most nations, for tariff and trade purposes, schedule these products under HS 901920.</t>
  </si>
  <si>
    <t>Endoscopic or surgical light sources</t>
  </si>
  <si>
    <t>In this classification, this commodity indicates a product that is either an accessory or consumable associated with endoscopic or surgical light sources.  Most nations, for tariff and trade purposes, schedule these products under HS 901920.</t>
  </si>
  <si>
    <t>Endoscopic trocars or sheathes or obturators or cannulae</t>
  </si>
  <si>
    <t>in this classification, this commodity indicates a product used as a diaphragm in an endoscopic procedure in a medical setting.  Most nations, for tariff and trade purposes, schedule these products under HS 901831.</t>
  </si>
  <si>
    <t>Surgical trocars for general use</t>
  </si>
  <si>
    <t>In this classification, this commodity indicates a product that is either an accessory or consumable associated with surgical trocars for general use.  Most nations, for tariff and trade purposes, schedule these products under HS 901819.</t>
  </si>
  <si>
    <t>Endoscopic laser instrument accessories</t>
  </si>
  <si>
    <t>Accessories included with endoscopic laser instruments.</t>
  </si>
  <si>
    <t>Endoscopic monopolar or bipolar hand instrument accessories</t>
  </si>
  <si>
    <t>Accessories included with endoscopic monopolar or bipolar hand instruments.</t>
  </si>
  <si>
    <t>Endoscopic snare or snare wire accessories</t>
  </si>
  <si>
    <t>Accessories included with endoscopic snares or snare wires.</t>
  </si>
  <si>
    <t>Endoscopic suction or irrigation tip or coagulation probe accessories</t>
  </si>
  <si>
    <t>Accessories included with endoscopic suction or irrigation tips or coagulation probes.</t>
  </si>
  <si>
    <t>Endoscopic valve accessories</t>
  </si>
  <si>
    <t>Accessories included with endoscopic valves.</t>
  </si>
  <si>
    <t>Endoscopic tissue or specimen removing device accessories</t>
  </si>
  <si>
    <t>Accessories included with endoscopic tissue or specimen removing devices.</t>
  </si>
  <si>
    <t>Endoscopic hook accessories</t>
  </si>
  <si>
    <t>Accessories included with endoscopic hooks.</t>
  </si>
  <si>
    <t>Endoscopic shaver blade accessories</t>
  </si>
  <si>
    <t>Accessories included with endoscopic shaver blades.</t>
  </si>
  <si>
    <t>Endoscopic vessel sealing and cutting attachment accessories</t>
  </si>
  <si>
    <t>Accessories included with endoscopic vessel sealing and cutting attachments.</t>
  </si>
  <si>
    <t>Endoscopic electrocautery system accessories</t>
  </si>
  <si>
    <t>Accessories included with endoscopic electrocautery systems.</t>
  </si>
  <si>
    <t>Endoscopic or surgical light source accessories</t>
  </si>
  <si>
    <t>Accessories included with endoscopic or surgical light sources.</t>
  </si>
  <si>
    <t>Surgical trocar for general use accessories</t>
  </si>
  <si>
    <t>Accessories included with general use surgical trocars.</t>
  </si>
  <si>
    <t>42295000</t>
  </si>
  <si>
    <t>Endoscopic equipment accessories and related products</t>
  </si>
  <si>
    <t>In this classification, this class includes products used as component parts or related accessories for endoscopic equipment.  Most nations, for tariff and trade purposes, schedule endoscopic equipment accessories and related products under HS 901819.</t>
  </si>
  <si>
    <t>Endoscope maintenance units</t>
  </si>
  <si>
    <t>In this classification, this commodity indicates a product that is a device used in an endoscopic heating and probing procedure in a medical setting.  Most nations, for tariff and trade purposes, schedule these products under HS 901819.</t>
  </si>
  <si>
    <t>Endoscope storage cabinets</t>
  </si>
  <si>
    <t>In this classification, this commodity indicates a product that is either an accessory or consumable associated with endoscope storage cabinets.  Most nations, for tariff and trade purposes, schedule these products under HS 940320.</t>
  </si>
  <si>
    <t>Endoscope wall hangers</t>
  </si>
  <si>
    <t>In this classification, this commodity indicates a product that is either an accessory or consumable associated with endoscope wall hangers.  Most nations, for tariff and trade purposes, schedule these products under HS 901819.</t>
  </si>
  <si>
    <t>Endoscopic equipment or procedure carts</t>
  </si>
  <si>
    <t>In this classification, this commodity indicates a product that is either an accessory or consumable associated with endoscopic equipment or procedure carts.  Most nations, for tariff and trade purposes, schedule these products under HS 940290.</t>
  </si>
  <si>
    <t>Endoscopic equipment sets</t>
  </si>
  <si>
    <t>in this classification, this commodity indicates a product used as insufflation filter in an endoscopic procedure in a medical setting.  Most nations, for tariff and trade purposes, schedule these products under HS 901819.</t>
  </si>
  <si>
    <t>Endoscopic heater probe units or heater probes</t>
  </si>
  <si>
    <t>In this classification, this commodity indicates a product that is a device used in an endoscopic heating and probing procedure in a medical setting.  Most nations, for tariff and trade purposes, schedule these products under HS 730441.</t>
  </si>
  <si>
    <t>Endoscope tip protector or covers</t>
  </si>
  <si>
    <t>In this classification, this commodity indicates a product used as a cover or protector for the customized tips of an endoscope in a medical setting Most nations, for tariff and trade purposes, schedule these products under HS 901832.</t>
  </si>
  <si>
    <t>Endoscopic instrument cases</t>
  </si>
  <si>
    <t>in this classification, this commodity indicates a product used as an instrument case in an endoscopic procedure in a medical setting.  Most nations, for tariff and trade purposes, schedule these products under HS 901890.</t>
  </si>
  <si>
    <t>Endoscopic lenses</t>
  </si>
  <si>
    <t>In this classification, this commodity indicates a product that is a lense used in an endoscopic heating and probing procedure in a medical setting.  Most nations, for tariff and trade purposes, schedule these products under HS 901890.</t>
  </si>
  <si>
    <t>Surgical or endoscopic video cable</t>
  </si>
  <si>
    <t>In this classification, this commodity indicates a product that is a surgical video cable used in an endoscopic heating and probing procedure in a medical setting.  Most nations, for tariff and trade purposes, schedule these products under HS 901890.</t>
  </si>
  <si>
    <t>Endoscope maintenance unit accessories</t>
  </si>
  <si>
    <t>Accessories included with endoscope maintenance units.</t>
  </si>
  <si>
    <t>Endoscope storage cabinet accessories</t>
  </si>
  <si>
    <t>Accessories included with endoscope storage cabinets.</t>
  </si>
  <si>
    <t>Endoscope wall hanger accessories</t>
  </si>
  <si>
    <t>Accessories included with endoscope wall hangers.</t>
  </si>
  <si>
    <t>Endoscopic equipment or procedure cart accessories</t>
  </si>
  <si>
    <t>Accessories included with endoscopic equipment or procedure carts.</t>
  </si>
  <si>
    <t>Endoscopic heater probe unit or heater probe accessories</t>
  </si>
  <si>
    <t>Accessories included with endoscopic heater probe units or heater probes.</t>
  </si>
  <si>
    <t>42295100</t>
  </si>
  <si>
    <t>Surgical equipment and accessories and related products</t>
  </si>
  <si>
    <t>In this classification, this class includes, products, components, accessories, and supplies, utilized in surgical procedures.</t>
  </si>
  <si>
    <t>Basin or pail stands for surgical use</t>
  </si>
  <si>
    <t>In this classification, this commodity indicates a product used as a pail stand during a surgical procedure in a medical setting Most nations, for tariff and trade purposes, schedule these products under HS 901890.</t>
  </si>
  <si>
    <t>Cryosurgery equipment</t>
  </si>
  <si>
    <t>In this classification, this commodity indicates a piece of equipment or consumable supplies used to clean gastroenterology systems, units, or components in a medical setting.  US FDA regulates Cryosurgery equipment under 21 CFR 878.4350 and under FDA product code GEH.  Most nations, for tariff and trade purposes, schedule these products under HS 901890.</t>
  </si>
  <si>
    <t>Delivery room or cesarean section patient procedure tables</t>
  </si>
  <si>
    <t>In this classification, this commodity indicates a product that is either an accessory or consumable associated with delivery room or cesarean section patient procedure tables or related products.  Most nations, for tariff and trade purposes, schedule these products under HS 901811.</t>
  </si>
  <si>
    <t>In this classification, this commodity indicates a product used as electrosurgical or electrocautery equipment during a surgical procedure in a medical setting Most nations, for tariff and trade purposes, schedule these products under HS 901890.</t>
  </si>
  <si>
    <t>Instrument tables for surgical or obstetrical delivery use</t>
  </si>
  <si>
    <t>In this classification, this commodity indicates a product used as an table conformed to hold instruments during a surgical or obsetetrical procedure in a medical setting Most nations, for tariff and trade purposes, schedule these products under HS 940290.</t>
  </si>
  <si>
    <t>Lap mayo trays or mayo stands for surgical use</t>
  </si>
  <si>
    <t>In this classification, this commodity indicates a product used as a lap mayo tray or mayo stand during a surgical procedure in a medical setting Most nations, for tariff and trade purposes, schedule these products under HS 392410.</t>
  </si>
  <si>
    <t>Operating room case carts or procedure carts or wall racks</t>
  </si>
  <si>
    <t>In this classification, this commodity indicates a product used as a case cart, procedure cart, or wall rack in an operating room in a medical setting Most nations, for tariff and trade purposes, schedule these products under HS 940290.</t>
  </si>
  <si>
    <t>Operating room patient fracture tables or orthopedic tables</t>
  </si>
  <si>
    <t>In this classification, this commodity indicates a product that is used as a table conformed as either a table or patient fracture table in and orthopedic procedure, in a medical setting.  Most nations, for tariff and trade purposes, schedule these products under HS 940290.</t>
  </si>
  <si>
    <t>Operating room kick buckets</t>
  </si>
  <si>
    <t>In this classification, this commodity indicates a product used as a kick bucket in an operating room in a medical setting Most nations, for tariff and trade purposes, schedule these products under HS 901890.</t>
  </si>
  <si>
    <t>Operating room patient positioning devices for general use</t>
  </si>
  <si>
    <t>In this classification, this commodity indicates a product used as a general use positioning device in an operating room in a medical setting.  US FDA regulates Operating room patient positioning devices for general use under 21 CFR 892.5050 and under FDA product code IYE.  Most nations, for tariff and trade purposes, schedule these products under HS 940290.</t>
  </si>
  <si>
    <t>Operating room patient procedure tables</t>
  </si>
  <si>
    <t>In this classification, this commodity indicates a product used as a procedure table in an operating room in a medical setting Most nations, for tariff and trade purposes, schedule these products under HS 940290.</t>
  </si>
  <si>
    <t>Phacoemulsification or extrusion or vitrectomy equipment for ophthalmic surgery</t>
  </si>
  <si>
    <t>In this classification, this commodity indicates a product that is either an accessory or consumable associated with phacoemulsification or extrusion or vitrectomy equipment or for ophthalmic surgeries.  US FDA regulates Phacoemulsification or extrusion or vitrectomy equipment or accessories for ophthalmic surgery under 21 CFR 888.4670 and under FDA product code HQC.  Most nations, for tariff and trade purposes, schedule these products under HS 901811.</t>
  </si>
  <si>
    <t>Step stools for surgical use</t>
  </si>
  <si>
    <t>In this classification, this commodity indicates a product used as a step stool during a surgical procedure in a medical setting Most nations, for tariff and trade purposes, schedule these products under HS 940290.</t>
  </si>
  <si>
    <t>Surgical lasers</t>
  </si>
  <si>
    <t>In this classification, this commodity indicates a product used as a laser during a surgical procedure in a medical setting.  US FDA regulates surgical lasers under 21 CFR 886.4390 and under FDA product code OOE.  Most nations, for tariff and trade purposes, schedule these products under HS 901320.</t>
  </si>
  <si>
    <t>Surgical lithotripters</t>
  </si>
  <si>
    <t>In this classification, this commodity indicates a product used as a lithotripter during a surgical procedure in a medical setting Most nations, for tariff and trade purposes, schedule these products under HS 903180.</t>
  </si>
  <si>
    <t>Surgical microscopes or loupes or magnifiers</t>
  </si>
  <si>
    <t>In this classification, this commodity indicates a product used as a microscope, loupe, or magnifier during a surgical procedure in a medical setting.  US FDA regulates surgical microscopes or loupes or magnifiers under 21 CFR 878.4810 and under FDA product code GEX.  Most nations, for tariff and trade purposes, schedule these products under HS 903180.</t>
  </si>
  <si>
    <t>Surgical pneumatic or electric tourniquets</t>
  </si>
  <si>
    <t>In this classification, this commodity indicates a product used as a pneumatic or electric tourniquet during a surgical procedure in a medical setting.  US FDA regulates surgical pneumatic or electric tourniquets under 21 CFR 878.5910 and under FDA product code KCY.  Most nations, for tariff and trade purposes, schedule these products under HS 901890.</t>
  </si>
  <si>
    <t>Surgical suction machines or vacuum extractors or ultrasonic surgical aspirators or regulators</t>
  </si>
  <si>
    <t>In this classification, this commodity indicates a product used as a suction machines, vacuum extractor, ultrasonic surgical aspirator, or regulator during a surgical procedure in a medical setting.  US FDA regulates surgical suction machines or vacuum extractors or ultrasonic surgical aspirators or regulators under 21 CFR 880.6740 and under FDA product code GCX.  Most nations, for tariff and trade purposes, schedule these products under HS 901811.</t>
  </si>
  <si>
    <t>Surgical smoke evacuators</t>
  </si>
  <si>
    <t>In this classification, this commodity indicates a product used as a smoke evacuator during a surgical procedure in a medical setting.  US FDA regulates surgical smoke evacuators under 21 CFR 878.5070 and under FDA product code FYD.  Most nations, for tariff and trade purposes, schedule these products under HS 901890.</t>
  </si>
  <si>
    <t>Surgical urological tables</t>
  </si>
  <si>
    <t>In this classification, this commodity indicates a product used as a urological table during a surgical procedure in a medical setting.  US FDA regulates surgical urological tables under 21 CFR 892.1980 and under FDA product code IXR.  Most nations, for tariff and trade purposes, schedule these products under HS 940290.</t>
  </si>
  <si>
    <t>Operating room medication dispensers or related products</t>
  </si>
  <si>
    <t>In this classification, this commodity indicates a product used as a medical dispenser or related products in an operating room in a medical setting Most nations, for tariff and trade purposes, schedule these products under HS 901890.</t>
  </si>
  <si>
    <t>Surgical equipment stands</t>
  </si>
  <si>
    <t>In this classification, this commodity indicates a product used as a equipment stand during a surgical procedure in a medical setting Most nations, for tariff and trade purposes, schedule these products under HS 940290.</t>
  </si>
  <si>
    <t>General surgical supply sets</t>
  </si>
  <si>
    <t>In this classification, this commodity indicates a product used as a general surgical supply set during a surgical procedure in a medical setting Most nations, for tariff and trade purposes, schedule these products under HS 901890.</t>
  </si>
  <si>
    <t>Gastroenterology equipment or supplies</t>
  </si>
  <si>
    <t>In this classification, this commodity indicates a piece of equipment used to clean cryosurgical systems, units, or components in a medical setting Most nations, for tariff and trade purposes, schedule these products under HS 901811.</t>
  </si>
  <si>
    <t>Intraoperative blood salvage kits</t>
  </si>
  <si>
    <t>In this classification, this commodity indicates a product that is a prepackaged collection (either custom or standard) of the equipment and supplies used to perform an intraoperative blood salvaging procedure in a medical setting.  US FDA regulates Intraoperative blood salvage kits under 21 CFR 868.5830 and under FDA product code CAC.  Most nations, for tariff and trade purposes, schedule these products under HS 901890.</t>
  </si>
  <si>
    <t>Intraoperative blood salvage machines</t>
  </si>
  <si>
    <t>In this classification, this commodity indicates a product used as a intraoperative blood salvage machine in a medical setting.  US FDA regulates Intraoperative blood salvage machines under 21 CFR 868.5830 and under FDA product code CAC.  Most nations, for tariff and trade purposes, schedule these products under HS 901890.</t>
  </si>
  <si>
    <t>Electrosurgical or electrocautery accessories or attachments</t>
  </si>
  <si>
    <t>In this classification, this commodity indicates a product that is either an accessory or consumable associated with electrosurgical or electrocautery or attachments.  Most nations, for tariff and trade purposes, schedule these products under HS 901890.</t>
  </si>
  <si>
    <t>Microwave surgical units</t>
  </si>
  <si>
    <t>in this classification, this commodity indicates a product that is a device used in a surgical microwave procedure in a medical setting.  Most nations, for tariff and trade purposes, schedule these products under HS 901890.</t>
  </si>
  <si>
    <t>Surgical navigation systems</t>
  </si>
  <si>
    <t>In this classification, this commodity indicates a system consisting of products, consumables and accessories that are used to execute a surgical navigation procedure in a medical setting.  US FDA regulates surgical navigation systems under 21 CFR 882.4560 and under FDA product code HAW.  Most nations, for tariff and trade purposes, schedule these products under HS 901890.</t>
  </si>
  <si>
    <t>Cryosurgery equipment accessories</t>
  </si>
  <si>
    <t>In this classification, this commodity indicates a product that is either an accessory or consumable associated with cryosurgery equipment.  Most nations, for tariff and trade purposes, schedule these products under HS 901890.</t>
  </si>
  <si>
    <t>Delivery room or cesarean section patient procedure table accessories</t>
  </si>
  <si>
    <t>In this classification, this commodity indicates a product that is either an accessory or consumable associated with delivery room or cesarean section patient procedure tables.  Most nations, for tariff and trade purposes, schedule these products under HS 901890.</t>
  </si>
  <si>
    <t>Instrument table for surgical or obstetrical delivery use accessories</t>
  </si>
  <si>
    <t>In this classification, this commodity indicates a product that is either an accessory or consumable associated with instrument table for surgical or obstetrical delivery uses.  Most nations, for tariff and trade purposes, schedule these products under HS 901811.</t>
  </si>
  <si>
    <t>Lap mayo tray or mayo stand accessories</t>
  </si>
  <si>
    <t>In this classification, this commodity indicates a product that is either an accessory or consumable associated with lap mayo trays or mayo stands for surgical use.  Most nations, for tariff and trade purposes, schedule these products under HS 392410.</t>
  </si>
  <si>
    <t>Operating room case carts or procedure carts or wall rack accessories</t>
  </si>
  <si>
    <t>In this classification, this commodity indicates a product that is either an accessory or consumable associated with operating room case carts or procedure carts or wall racks.  Most nations, for tariff and trade purposes, schedule these products under HS 940290.</t>
  </si>
  <si>
    <t>Operating room patient fracture table or orthopedic table accessories</t>
  </si>
  <si>
    <t>In this classification, this commodity indicates a product that is either an accessory or consumable associated with operating room patient fracture table or orthopedic tables.  Most nations, for tariff and trade purposes, schedule these products under HS 940290.</t>
  </si>
  <si>
    <t>Operating room kick bucket accessories</t>
  </si>
  <si>
    <t>In this classification, this commodity indicates a product that is either an accessory or consumable associated with operating room kick buckets.  Most nations, for tariff and trade purposes, schedule these products under HS 901890.</t>
  </si>
  <si>
    <t>Operating room patient positioning device accessories for general use</t>
  </si>
  <si>
    <t>In this classification, this commodity indicates a product that is either an accessory or consumable associated with operating room patient positioning device for general uses.  Most nations, for tariff and trade purposes, schedule these products under HS 940290.</t>
  </si>
  <si>
    <t>Operating room patient positioning devices or restraints for neurosurgical use</t>
  </si>
  <si>
    <t>In this classification, this commodity indicates a product used as a patient positioning devices or restraints for neurosurgical use during a operating room procedure in a medical setting Most nations, for tariff and trade purposes, schedule these products under HS 940290.</t>
  </si>
  <si>
    <t>Operating room patient positioning device or restraint accessories for neurosurgical use</t>
  </si>
  <si>
    <t>Operating room patient procedure table accessories</t>
  </si>
  <si>
    <t>In this classification, this commodity indicates a product that is either an accessory or consumable associated with operating room patient procedure tables.  Most nations, for tariff and trade purposes, schedule these products under HS 940290.</t>
  </si>
  <si>
    <t>Phacoemulsification or extrusion or vitrectomy equipment accessories</t>
  </si>
  <si>
    <t>In this classification, this commodity indicates a product that is either an accessory or consumable associated with phacoemulsification or extrusion or vitrectomy equipment.  Most nations, for tariff and trade purposes, schedule these products under HS 901890.</t>
  </si>
  <si>
    <t>Step stools for surgical use accessories</t>
  </si>
  <si>
    <t>In this classification, this commodity indicates a product that is either an accessory or consumable associated with step stools for surgical uses.  Most nations, for tariff and trade purposes, schedule these products under HS 940290.</t>
  </si>
  <si>
    <t>Surgical irrigation pump equipment or pulsed lavage accessories</t>
  </si>
  <si>
    <t>In this classification, this commodity indicates a product that is either an accessory or consumable associated with surgical irrigation pump equipment or pulsed lavages.  Most nations, for tariff and trade purposes, schedule these products under HS 901890.</t>
  </si>
  <si>
    <t>Surgical laser accessories</t>
  </si>
  <si>
    <t>In this classification, this commodity indicates a product that is either an accessory or consumable associated with surgical lasers.  Most nations, for tariff and trade purposes, schedule these products under HS 901320.</t>
  </si>
  <si>
    <t>Surgical lithotripter accessories</t>
  </si>
  <si>
    <t>In this classification, this commodity indicates a product that is either an accessory or consumable associated with surgical lithotripters.  Most nations, for tariff and trade purposes, schedule these products under HS 901890.</t>
  </si>
  <si>
    <t>Surgical microscope or loop or magnifier accessories</t>
  </si>
  <si>
    <t>In this classification, this commodity indicates a product that is either an accessory or consumable associated with surgical microscope or loop or magnifiers.  Most nations, for tariff and trade purposes, schedule these products under HS 903180.</t>
  </si>
  <si>
    <t>Surgical pneumatic or electric tourniquet accessories</t>
  </si>
  <si>
    <t>In this classification, this commodity indicates a product that is either an accessory or consumable associated with surgical pneumatic or electric tourniquets.  Most nations, for tariff and trade purposes, schedule these products under HS 901890.</t>
  </si>
  <si>
    <t>Surgical suction machine or vacuum extractor or ultrasonic Surgical aspirator or regulator accessories</t>
  </si>
  <si>
    <t>In this classification, this commodity indicates a product that is either an accessory or consumable associated with surgical suction machines or vacuum extractors or ultrasonic surgical aspirators or regulators.  Most nations, for tariff and trade purposes, schedule these products under HS 901819.</t>
  </si>
  <si>
    <t>Surgical smoke evacuator accessories</t>
  </si>
  <si>
    <t>In this classification, this commodity indicates a product that is either an accessory or consumable associated with surgical smoke evacuators.  Most nations, for tariff and trade purposes, schedule these products under HS 901819.</t>
  </si>
  <si>
    <t>Surgical urological table accessories or drainage bags</t>
  </si>
  <si>
    <t>In this classification, this commodity indicates a product that is either an accessory or consumable associated with surgical urological table or drainage bags.  Most nations, for tariff and trade purposes, schedule these products under HS 392690.</t>
  </si>
  <si>
    <t>Surgical equipment stand accessories</t>
  </si>
  <si>
    <t>In this classification, this commodity indicates a product that is either an accessory or consumable associated with surgical equipment stands.  Most nations, for tariff and trade purposes, schedule these products under HS 901819.</t>
  </si>
  <si>
    <t>General surgical supply set accessories</t>
  </si>
  <si>
    <t>In this classification, this commodity indicates a product that is either an accessory or consumable associated with general surgical supply sets.  Most nations, for tariff and trade purposes, schedule these products under HS 901819.</t>
  </si>
  <si>
    <t>Gastroenterology equipment or supply accessories</t>
  </si>
  <si>
    <t>In this classification, this commodity indicates a product that is either an accessory or consumable associated with gastroenterology equipment or supplies.  Most nations, for tariff and trade purposes, schedule these products under HS 901819.</t>
  </si>
  <si>
    <t>Surgical navigation system accessories</t>
  </si>
  <si>
    <t>In this classification, this commodity indicates a product that is either an accessory or consumable associated with surgical navigation systems.  Most nations, for tariff and trade purposes, schedule these products under HS 901819.</t>
  </si>
  <si>
    <t>Surgical chucks or keys</t>
  </si>
  <si>
    <t>In this classification, this commodity indicates a product used as a chuck or key during a surgical procedure in a medical setting Most nations, for tariff and trade purposes, schedule these products under HS 901819.</t>
  </si>
  <si>
    <t>42295200</t>
  </si>
  <si>
    <t>Surgical power equipment and accessories and related products</t>
  </si>
  <si>
    <t>In this classification, this class includes, products, components, accessories, and supplies, utilized in surgical procedures utilizing powered equipment.</t>
  </si>
  <si>
    <t>Surgical dermatomes or dermabraders or dermameshers</t>
  </si>
  <si>
    <t>In this classification, this commodity indicates a product used as a dermatome, dermabrader, or dermamesher during a surgical procedure in a medical setting.  US FDA regulates surgical dermatomes or dermabraders or dermameshers under 21 CFR 878.4820 and under FDA product code GFF.  Most nations, for tariff and trade purposes, schedule these products under HS 901819.</t>
  </si>
  <si>
    <t>Surgical pneumatic or battery or electric saws or drills or pin drivers</t>
  </si>
  <si>
    <t>In this classification, this commodity indicates a product used as a pneumatic, batter, or electric saw or drill or pin driver during a surgical procedure in a medical settingsurgical pneumatic or battery or electric saws or drills or pin drivers under 21 CFR and under FDA product code ERL.  Most nations, for tariff and trade purposes, schedule these products under HS 901890.</t>
  </si>
  <si>
    <t>In this classification, this commodity indicates a product used as a set of power equipment during a surgical procedure in a medical settingsurgical power equipment sets under 21 CFR and under FDA product code KIJ.  Most nations, for tariff and trade purposes, schedule these products under HS 901890.</t>
  </si>
  <si>
    <t>Surgical power reamers</t>
  </si>
  <si>
    <t>In this classification, this commodity indicates a product used as a power reamer during a surgical procedure in a medical setting Most nations, for tariff and trade purposes, schedule these products under HS 901890.</t>
  </si>
  <si>
    <t>Surgical shaver equipment or handpieces</t>
  </si>
  <si>
    <t>In this classification, this commodity indicates a product used as a shaver equipment or handpieces during a surgical procedure in a medical setting Most nations, for tariff and trade purposes, schedule these products under HS 901890.</t>
  </si>
  <si>
    <t>In this classification, this commodity indicates a product used as a drill guide or sleeve during a surgical procedure in a medical setting.  US FDA regulates surgical drill guides or sleeves under 21 CFR 888.4540 and under FDA product code HXY.  Most nations, for tariff and trade purposes, schedule these products under HS 901890.</t>
  </si>
  <si>
    <t>Dermatome blades</t>
  </si>
  <si>
    <t>In this classification, this commodity indicates a product used as a cutting agent of a dermatome that oscillates and the movement back and forth will "evenly" skim off the surface layers of skin in a medical setting Most nations, for tariff and trade purposes, schedule these products under HS 901890.</t>
  </si>
  <si>
    <t>Surgical drill bits</t>
  </si>
  <si>
    <t>In this classification, this commodity indicates a product used as a drill bit during a surgical procedure in a medical setting Most nations, for tariff and trade purposes, schedule these products under HS 901890.</t>
  </si>
  <si>
    <t>Surgical drill bit accessories</t>
  </si>
  <si>
    <t>In this classification, this commodity indicates a product that is either an accessory or consumable associated with surgical drill bits.  Most nations, for tariff and trade purposes, schedule these products under HS 901890.</t>
  </si>
  <si>
    <t>Surgical powered saw blades</t>
  </si>
  <si>
    <t>In this classification, this commodity indicates a product used as a powered saw blade during a surgical procedure in a medical setting Most nations, for tariff and trade purposes, schedule these products under HS 901890.</t>
  </si>
  <si>
    <t>Surgical planers</t>
  </si>
  <si>
    <t>In this classification, this commodity indicates a product used as a planer during a surgical procedure in a medical setting Most nations, for tariff and trade purposes, schedule these products under HS 901890.</t>
  </si>
  <si>
    <t>Surgical dermatome or dermabrader or dermamesher accessories</t>
  </si>
  <si>
    <t>In this classification, this commodity indicates a product that is either an accessory or consumable associated with surgical dermatome or dermabrader or dermameshers.  Most nations, for tariff and trade purposes, schedule these products under HS 901819.</t>
  </si>
  <si>
    <t>Surgical pneumatic or battery or electric saw or drill or pin driver accessories</t>
  </si>
  <si>
    <t>In this classification, this commodity indicates a product that is either an accessory or consumable associated with surgical pneumatic or battery or electric saw or drill or pin drivers.  Most nations, for tariff and trade purposes, schedule these products under HS 901819.</t>
  </si>
  <si>
    <t>Surgical power equipment accessories</t>
  </si>
  <si>
    <t>In this classification, this commodity indicates a product that is either an accessory or consumable associated with surgical power equipment.  Most nations, for tariff and trade purposes, schedule these products under HS 901819.</t>
  </si>
  <si>
    <t>Surgical shaver equipment or handpiece accessories</t>
  </si>
  <si>
    <t>In this classification, this commodity indicates a product that is either an accessory or consumable associated with surgical shaver equipment or handpieces.  Most nations, for tariff and trade purposes, schedule these products under HS 901819.</t>
  </si>
  <si>
    <t>42295300</t>
  </si>
  <si>
    <t>Open heart surgical supplies and accessories and related products</t>
  </si>
  <si>
    <t>In this classification, this class includes, products, components, accessories, and supplies, utilized in open heart surgical procedures.</t>
  </si>
  <si>
    <t>Surgical coronary artery blowers or misters</t>
  </si>
  <si>
    <t>In this classification, this commodity indicates a product used as an coronary artery blower or mister during a surgical procedure in a medical setting.  US FDA regulates surgical coronary artery blowers or misters under 21 CFR 880.5475 and under FDA product code FQH.  Most nations, for tariff and trade purposes, schedule these products under HS 901819.</t>
  </si>
  <si>
    <t>Surgical perfusion cannulas or catheters</t>
  </si>
  <si>
    <t>In this classification, this commodity indicates a product that is a hollow needle commonly used with a syringe to inject or extract substances or fluids or a catheter associated with a surgical perfusion procedure.  US FDA regulates surgical perfusion cannulas or catheters under 21 CFR 870.4210 and under FDA product code DWF.  Most nations, for tariff and trade purposes, schedule these products under HS 901831.</t>
  </si>
  <si>
    <t>Surgical phrenic insulation nerve pads</t>
  </si>
  <si>
    <t>In this classification, this commodity indicates a product used as a phrenic insulation nerve pad during a surgical procedure in a medical setting.  US FDA regulates surgical phrenic insulation nerve pads under 21 CFR 870.4210 and under FDA product code DWF.  Most nations, for tariff and trade purposes, schedule these products under HS 901819.</t>
  </si>
  <si>
    <t>Surgical tourniquets or vascular occluders or ligators or accessories</t>
  </si>
  <si>
    <t>In this classification, this commodity indicates a product that is either an accessory or consumable associated with surgical tourniquets or vascular occluders or ligators.  US FDA regulates surgical tourniquets or vascular occluders or ligators or accessories under 21 CFR 870.4450 and under FDA product code DXC.  Most nations, for tariff and trade purposes, schedule these products under HS 901890.</t>
  </si>
  <si>
    <t>Surgical vessel loops or retraction tapes</t>
  </si>
  <si>
    <t>In this classification, this commodity indicates a product used as a vessel loop or retraction tape in a surgical procedure in a medical setting.  US FDA regulates surgical vessel loops or retraction tapes under 21 CFR 870.45 and under FDA product code DWS.  Most nations, for tariff and trade purposes, schedule these products under HS 300590.</t>
  </si>
  <si>
    <t>Coronary perfusion sets</t>
  </si>
  <si>
    <t>In this classification, this commodity indicates a set of instruments and consumables used in a coronary perfusion procedure in a medical setting Most nations, for tariff and trade purposes, schedule these products under HS 901819.</t>
  </si>
  <si>
    <t>Surgical coronary artery blower or mister accessories</t>
  </si>
  <si>
    <t>In this classification, this commodity indicates a product that is either an accessory or consumable associated with surgical coronary artery blower or misters.  Most nations, for tariff and trade purposes, schedule these products under HS 901819.</t>
  </si>
  <si>
    <t>Surgical perfusion cannulas or catheters accessories</t>
  </si>
  <si>
    <t>In this classification, this commodity indicates a product that is either an accessory or consumable associated with surgical perfusion cannulas or catheters.  Most nations, for tariff and trade purposes, schedule these products under HS 901831.</t>
  </si>
  <si>
    <t>Surgical tourniquet or vascular occluder or ligator accessories</t>
  </si>
  <si>
    <t>In this classification, this commodity indicates a product that is either an accessory or consumable associated with surgical tourniquet or vascular occluder or ligators.  Most nations, for tariff and trade purposes, schedule these products under HS 901819.</t>
  </si>
  <si>
    <t>Endoventricular shaper systems</t>
  </si>
  <si>
    <t>In this classification, this commodity indicates a system consisting of products, consumables and accessories that are used to execute a endoventricular shaping procedure in a medical setting.  Most nations, for tariff and trade purposes, schedule these products under HS 901819.</t>
  </si>
  <si>
    <t>Mobile medical services tourniquets or clamps</t>
  </si>
  <si>
    <t>In this classification, this commodity indicates a product that is used as a medically related service tourniquet or clamp Most nations, for tariff and trade purposes, schedule these products under HS 901832.</t>
  </si>
  <si>
    <t>In this classification, this class includes, products, components, accessories, and supplies, utilized in surgical supporting procedures.</t>
  </si>
  <si>
    <t>Battery operated surgical cautery pencils</t>
  </si>
  <si>
    <t>In this classification, this commodity indicates a product used as a battery operated surgical cautery pencil during a surgical procedure in a medical setting Most nations, for tariff and trade purposes, schedule these products under HS 906800.</t>
  </si>
  <si>
    <t>Surgical marking pens</t>
  </si>
  <si>
    <t>In this classification, this commodity indicates a product used as a marking pen during a surgical procedure in a medical setting Most nations, for tariff and trade purposes, schedule these products under HS 960820.</t>
  </si>
  <si>
    <t>Laparotomy or surgical x-ray detectable sponges or towels</t>
  </si>
  <si>
    <t>In this classification, this commodity indicates a product used as a laparotomy or surgical x-ray detectable sponge or towel during a surgical procedure in a medical setting Most nations, for tariff and trade purposes, schedule these products under HS 300590.</t>
  </si>
  <si>
    <t>Surgical scrub brushes</t>
  </si>
  <si>
    <t>In this classification, this commodity indicates a product used as a scrub brush during a surgical procedure in a medical setting Most nations, for tariff and trade purposes, schedule these products under HS 901890.</t>
  </si>
  <si>
    <t>Surgical applicators</t>
  </si>
  <si>
    <t>In this classification, this commodity indicates a product used as a applicator during a surgical procedure in a medical setting Most nations, for tariff and trade purposes, schedule these products under HS 901890.</t>
  </si>
  <si>
    <t>Surgical basin sets or packs</t>
  </si>
  <si>
    <t>In this classification, this commodity indicates a product used as a basin set or pack during a surgical procedure in a medical setting Most nations, for tariff and trade purposes, schedule these products under HS 901890.</t>
  </si>
  <si>
    <t>Surgical blade holders or breakers</t>
  </si>
  <si>
    <t>In this classification, this commodity indicates a product used as a blade holder or breaker during a surgical procedure in a medical setting Most nations, for tariff and trade purposes, schedule these products under HS 901890.</t>
  </si>
  <si>
    <t>Surgical canal brushes</t>
  </si>
  <si>
    <t>In this classification, this commodity indicates a product used as a canal brush during a surgical procedure in a medical setting Most nations, for tariff and trade purposes, schedule these products under HS 901890.</t>
  </si>
  <si>
    <t>Surgical specialty procedure packs</t>
  </si>
  <si>
    <t>In this classification, this commodity indicates a product used as a specialty procedure pack during a surgical procedure in a medical setting Most nations, for tariff and trade purposes, schedule these products under HS 901890.</t>
  </si>
  <si>
    <t>Surgical equipment covers</t>
  </si>
  <si>
    <t>In this classification, this commodity indicates a product used as a equipment covers during a surgical procedure in a medical setting Most nations, for tariff and trade purposes, schedule these products under HS 901890.</t>
  </si>
  <si>
    <t>Surgical light handle covers</t>
  </si>
  <si>
    <t>In this classification, this commodity indicates a product used as a light handle cover during a surgical procedure in a medical setting Most nations, for tariff and trade purposes, schedule these products under HS 901890.</t>
  </si>
  <si>
    <t>Surgical magnetic mats</t>
  </si>
  <si>
    <t>In this classification, this commodity indicates a product used as a magnetic mat during a surgical procedure in a medical setting Most nations, for tariff and trade purposes, schedule these products under HS 901890.</t>
  </si>
  <si>
    <t>Surgical nerve stimulators</t>
  </si>
  <si>
    <t>In this classification, this commodity indicates a product used as a nerve stimulator during a surgical procedure in a medical setting.  US FDA regulates surgical nerve stimulators under 21 CFR 868.2775 and under FDA product code BXN.  Most nations, for tariff and trade purposes, schedule these products under HS 901890.</t>
  </si>
  <si>
    <t>Surgical prep scrub or paint solutions</t>
  </si>
  <si>
    <t>In this classification, this commodity indicates a product used as a prep scrub or painting solution during a surgical procedure in a medical setting Most nations, for tariff and trade purposes, schedule these products under HS 300339.</t>
  </si>
  <si>
    <t>Surgical scrub or prep kits for patient</t>
  </si>
  <si>
    <t>In this classification, this commodity indicates a product that is a prepackaged collection (either custom or standard) of the equipment and supplies used to perform a surgical scrub and prep procedure in a medical setting.  Most nations, for tariff and trade purposes, schedule these products under HS 901890.</t>
  </si>
  <si>
    <t>Surgical sharps or sponge counters</t>
  </si>
  <si>
    <t>In this classification, this commodity indicates a product used as a sharp or sponge counter during a surgical procedure in a medical setting Most nations, for tariff and trade purposes, schedule these products under HS 901890.</t>
  </si>
  <si>
    <t>Surgical shave kits or prep razors or clippers</t>
  </si>
  <si>
    <t>In this classification, this commodity indicates a product that is a prepackaged collection (either custom or standard) of the equipment and supplies used to perform surgical shaving procedure in a medical setting.  Most nations, for tariff and trade purposes, schedule these products under HS 901890.</t>
  </si>
  <si>
    <t>Surgical specimen collection traps or containers</t>
  </si>
  <si>
    <t>In this classification, this commodity indicates a product used as a specimen collection trap or container during a surgical procedure in a medical setting.  US FDA regulates surgical specimen collection traps or containers under 21 CFR 866.3390 and under FDA product code LSL.  Most nations, for tariff and trade purposes, schedule these products under HS 901890.</t>
  </si>
  <si>
    <t>Surgical instrument brushes or instrument stylets or instrument wipes</t>
  </si>
  <si>
    <t>In this classification, this commodity indicates a product used as an instrument brush, stylet or wipe during a surgical procedure in a medical setting Most nations, for tariff and trade purposes, schedule these products under HS 901890.</t>
  </si>
  <si>
    <t>Ear protectors or shields</t>
  </si>
  <si>
    <t>In this classification, this commodity indicates a product used as either a covert to protect the ear from contamination or a shield to high decibel sounds in a medical setting Most nations, for tariff and trade purposes, schedule these products under HS 901890.</t>
  </si>
  <si>
    <t>Endoscopic catheter adapters</t>
  </si>
  <si>
    <t>In this classification, this commodity indicates a product that is a catheter adapter used in an endoscopic heating and probing procedure in a medical setting.  Most nations, for tariff and trade purposes, schedule these products under HS 901890.</t>
  </si>
  <si>
    <t>Internal organ retainers</t>
  </si>
  <si>
    <t>In this classification, this commodity indicates a product used as a retainer to retain the viscera displaced from an internal body area to be accessed for surgery comprises an outer envelope of pliable material with an evacuation port in a medical setting Most nations, for tariff and trade purposes, schedule these products under HS 901890.</t>
  </si>
  <si>
    <t>Surgical splash guards</t>
  </si>
  <si>
    <t>In this classification, this commodity indicates a product used as a splash guard during a surgical procedure in a medical setting Most nations, for tariff and trade purposes, schedule these products under HS 901890.</t>
  </si>
  <si>
    <t>Surgical preparation mitts</t>
  </si>
  <si>
    <t>In this classification, this commodity indicates a product used as a preparation mit during a surgical procedure in a medical setting Most nations, for tariff and trade purposes, schedule these products under HS 901811.</t>
  </si>
  <si>
    <t>Skin preparation cups</t>
  </si>
  <si>
    <t>In this classification, this commodity indicates a product used as a process and apparatus for forming a cup-shaped skin for a skin-enveloped food, in which a dough strip of predetermined width and thickness and a suitable extensibility is extruded through a hole of a plate by an inverted frusto-conical or pyramidal die in a medical setting Most nations, for tariff and trade purposes, schedule these products under HS 901920.</t>
  </si>
  <si>
    <t>Surgical drains or drain sets</t>
  </si>
  <si>
    <t>In this classification, this commodity indicates a product used as a drain or set of drains during a surgical procedure in a medical setting Most nations, for tariff and trade purposes, schedule these products under HS 901920.</t>
  </si>
  <si>
    <t>Surgical hand protectors</t>
  </si>
  <si>
    <t>In this classification, this commodity indicates a product used as a hand protector during a surgical procedure in a medical setting Most nations, for tariff and trade purposes, schedule these products under HS 901920.</t>
  </si>
  <si>
    <t>Surgical felt or fabric or patch or pledget</t>
  </si>
  <si>
    <t>In this classification, this commodity indicates a product used as a felt, fabric, patch or pledget during a surgical procedure in a medical setting Most nations, for tariff and trade purposes, schedule these products under HS 901920.</t>
  </si>
  <si>
    <t>Drying or powdering equipment for surgical gloves</t>
  </si>
  <si>
    <t>In this classification, this commodity indicates a product used as surgical glove drying or powdering equipment during a surgical procedure in a medical setting Most nations, for tariff and trade purposes, schedule these products under HS 901920.</t>
  </si>
  <si>
    <t>Fluid decanting devices for surgical use</t>
  </si>
  <si>
    <t>In this classification, this commodity indicates a product used as a fluid decanting device during a surgical procedure in a medical setting.  US FDA regulates Fluid decanting devices for surgical use under 21 CFR 880.5025 and under FDA product code KPE.  Most nations, for tariff and trade purposes, schedule these products under HS 901890.</t>
  </si>
  <si>
    <t>Protective caps for orthopedic implants</t>
  </si>
  <si>
    <t>In this classification, this commodity indicates a product that is used as an protective caps for implants in and orthopedic procedure, in a medical setting.  Most nations, for tariff and trade purposes, schedule these products under HS 902129.</t>
  </si>
  <si>
    <t>Tissue glues or systems or applicators</t>
  </si>
  <si>
    <t>In this classification, this commodity indicates a system consisting of products, consumables and accessories that are used to execute a tissue gluing or application procedure in a medical setting.  Most nations, for tariff and trade purposes, schedule these products under HS 901890.</t>
  </si>
  <si>
    <t>Urodynamic catheters or accessories</t>
  </si>
  <si>
    <t>In this classification, this commodity indicates a product that is either an accessory or consumable associated with urodynamic catheters.  US FDA regulates Urodynamic catheters or accessories under 21 CFR 876.1620 and under FDA product code FEN.  Most nations, for tariff and trade purposes, schedule these products under HS 901839.</t>
  </si>
  <si>
    <t>Organ preservation solutions</t>
  </si>
  <si>
    <t>In this classification, this commodity indicates a product used as an organ preservative solution containing a low molecular weight dextran in a pharmacologically acceptable storage solution is suitable for storage and preservative of organs for transplantation in a medical setting.  US FDA regulates Organ preservation solutions under 21 CFR 876.5880 and under FDA product code KDL.  Most nations, for tariff and trade purposes, schedule these products under HS 300339.</t>
  </si>
  <si>
    <t>Neurophysiological monitoring systems</t>
  </si>
  <si>
    <t>In this classification, this commodity indicates a system consisting of products, consumables and accessories that are used to execute a neurophysiological monitoring procedure in a medical setting.  Most nations, for tariff and trade purposes, schedule these products under HS 852849.</t>
  </si>
  <si>
    <t>Platelet concentration systems</t>
  </si>
  <si>
    <t>In this classification, this commodity indicates a system consisting of products, consumables and accessories that are used to execute a platelet concentration procedure in a medical setting.  US FDA regulates Platelet concentration systems under 21 CFR 862.2050 and under FDA product code JQC.  Most nations, for tariff and trade purposes, schedule these products under HS 901839.</t>
  </si>
  <si>
    <t>Bone marrow aspiration systems</t>
  </si>
  <si>
    <t>In this classification, this commodity indicates a system consisting of products, consumables and accessories that are used to execute a bone marrow aspiration procedure in a medical setting.  US FDA regulates Bone marrow aspiration systems under 21 CFR 876.1075 and under FDA product code KNG.  Most nations, for tariff and trade purposes, schedule these products under HS 901890.</t>
  </si>
  <si>
    <t>Organ perfusion and transport systems</t>
  </si>
  <si>
    <t>In this classification, this commodity indicates a system consisting of products, consumables and accessories that are used to execute an organ perfusion and transport procedure in a medical setting.  Most nations, for tariff and trade purposes, schedule these products under HS 901890.</t>
  </si>
  <si>
    <t>Urological surgical catheter accessories</t>
  </si>
  <si>
    <t>In this classification, this commodity indicates a product that is either an accessory or consumable associated with urological surgical catheters.  Most nations, for tariff and trade purposes, schedule these products under HS 901839.</t>
  </si>
  <si>
    <t>Surgical splash guard accessories</t>
  </si>
  <si>
    <t>In this classification, this commodity indicates a product that is either an accessory or consumable associated with surgical splash guards.  Most nations, for tariff and trade purposes, schedule these products under HS 901839.</t>
  </si>
  <si>
    <t>Surgical drain or set accessories</t>
  </si>
  <si>
    <t>In this classification, this commodity indicates a product that is either an accessory or consumable associated with surgical drain or sets.  Most nations, for tariff and trade purposes, schedule these products under HS 901839.</t>
  </si>
  <si>
    <t>Tissue glue or system or applicator accessories</t>
  </si>
  <si>
    <t>In this classification, this commodity indicates a product that is either an accessory or consumable associated with tissue glue or system or applicators.  Most nations, for tariff and trade purposes, schedule these products under HS 901839.</t>
  </si>
  <si>
    <t>Surgical nerve stimulator accessories</t>
  </si>
  <si>
    <t>In this classification, this commodity indicates a product that is either an accessory or consumable associated with surgical nerve stimulators.  Most nations, for tariff and trade purposes, schedule these products under HS 901839.</t>
  </si>
  <si>
    <t>Surgical scrub brush accessories</t>
  </si>
  <si>
    <t>In this classification, this commodity indicates a product that is either an accessory or consumable associated with surgical scrub brushes.  Most nations, for tariff and trade purposes, schedule these products under HS 901839.</t>
  </si>
  <si>
    <t>Organ perfusion and transport system accessories</t>
  </si>
  <si>
    <t>In this classification, this commodity indicates a product that is either an accessory or consumable associated with organ perfusion and transport systems.  Most nations, for tariff and trade purposes, schedule these products under HS 901839.</t>
  </si>
  <si>
    <t>Surgical customizable packs</t>
  </si>
  <si>
    <t>In this classification, this commodity indicates a product that is either an accessory or consumable associated with implantable infusion ports.  Most nations, for tariff and trade purposes, schedule these products under HS 901839.</t>
  </si>
  <si>
    <t>42295500</t>
  </si>
  <si>
    <t>Surgical implants and expanders and extenders and Surgical wires and related products</t>
  </si>
  <si>
    <t>In this classification, this commodity Indicates a product that Is either an accessory or consumable associated with Implantable Infusion ports.</t>
  </si>
  <si>
    <t>Human tissue implants</t>
  </si>
  <si>
    <t>In this classification, this commodity indicates a product used as a human tissue implant used in a surgical implantation procedure in a medical setting Most nations, for tariff and trade purposes, schedule these products under HS 902129.</t>
  </si>
  <si>
    <t>Implantable infusion ports</t>
  </si>
  <si>
    <t>In this classification, this commodity indicates a product used as an implantable infusion port for dispensing medication in the body of a patient comprises a septum which is preferably integrally molded from a nontoxic, rubberized material and has an interior cavity formed therein for receiving medication in the septum, and a catheter element which extends from the cavity to the exterior of the septum for dispensing medication in the body of a patient in a medical setting Most nations, for tariff and trade purposes, schedule these products under HS 901890.</t>
  </si>
  <si>
    <t>Ophthalmic implants</t>
  </si>
  <si>
    <t>In this classification, this commodity indicates a product used as a ophthalmic implant used in a surgical implantation procedure in a medical setting.  US FDA regulates Ophthalmic implants under 21 CFR 886.3340 and under FDA product code HQX.  Most nations, for tariff and trade purposes, schedule these products under HS 902129.</t>
  </si>
  <si>
    <t>Oral maxillofacial implants or sets</t>
  </si>
  <si>
    <t>In this classification, this commodity indicates a product used as a oral maxillofacial implant or set of implant used in a surgical implantation procedure in a medical setting Most nations, for tariff and trade purposes, schedule these products under HS 902129.</t>
  </si>
  <si>
    <t>Plastic or cosmetic tissue expanders or sets</t>
  </si>
  <si>
    <t>In this classification, this commodity indicates a set of instruments and consumables or an expander used in a plastic or cosmetic surgery procedure in a medical settingPlastic or cosmetic tissue expanders or sets under 21 CFR and under FDA product code LCJ.  Most nations, for tariff and trade purposes, schedule these products under HS 901890.</t>
  </si>
  <si>
    <t>Surgical adhesion barriers</t>
  </si>
  <si>
    <t>In this classification, this commodity indicates a product used as a adhesion barrier during a surgical procedure in a medical setting Most nations, for tariff and trade purposes, schedule these products under HS 901890.</t>
  </si>
  <si>
    <t>Surgical bone stimulators</t>
  </si>
  <si>
    <t>In this classification, this commodity indicates a product used as a bone stimulator during a surgical procedure in a medical setting Most nations, for tariff and trade purposes, schedule these products under HS 901890.</t>
  </si>
  <si>
    <t>In this classification, this commodity indicates a product used as a implantable shunt or shunt extender during a surgical procedure in a medical setting Most nations, for tariff and trade purposes, schedule these products under HS 901890.</t>
  </si>
  <si>
    <t>Surgical mesh or tissue barriers</t>
  </si>
  <si>
    <t>In this classification, this commodity indicates a product used as a surgical mesh or tissue barrier during a surgical procedure in a medical setting Most nations, for tariff and trade purposes, schedule these products under HS 901890.</t>
  </si>
  <si>
    <t>Silicone sheetings</t>
  </si>
  <si>
    <t>In this classification, this commodity indicates a product used as a compositions of various silicone compounds loaded with active pharmaceutical agents, which are suitable for promoting the healing of skin wounds and the reduction or prevention of scarring in a medical setting.  US FDA regulates Silicone sheetings under 21 CFR 870.52 and under FDA product code LIX.  Most nations, for tariff and trade purposes, schedule these products under HS 901890.</t>
  </si>
  <si>
    <t>Synthetic tissue implants</t>
  </si>
  <si>
    <t>In this classification, this commodity indicates a product used as a synthetic tissue implant used in a surgical implantation procedure in a medical setting Most nations, for tariff and trade purposes, schedule these products under HS 902129.</t>
  </si>
  <si>
    <t>Urological implant or sets</t>
  </si>
  <si>
    <t>In this classification, this commodity indicates a set of instruments and consumables used in a urological implant procedure in a medical setting Most nations, for tariff and trade purposes, schedule these products under HS 901890.</t>
  </si>
  <si>
    <t>Cardiovascular extenders</t>
  </si>
  <si>
    <t>In this classification, this commodity indicates a product used as a cardiovascular extender in a medical setting.  Most nations, for tariff and trade purposes, schedule these products under HS 901890.</t>
  </si>
  <si>
    <t>Graft protectors</t>
  </si>
  <si>
    <t>In this classification, this commodity indicates a product used as a fabric or tube used to protect a graft from contamination or to restricts movement around the graft to promote healing in a medical setting Most nations, for tariff and trade purposes, schedule these products under HS 901890.</t>
  </si>
  <si>
    <t>Preparation kit for penile prosthesis</t>
  </si>
  <si>
    <t>In this classification, this commodity indicates a product used as a kit of instrument prosthesis and consumable supplies group together so as to be able to implement a penile prosthesis procedure in a medical setting.  US FDA regulates Preparation kit for penile prosthesis under 21 CFR 876.3630 and under FDA product code FAE.  Most nations, for tariff and trade purposes, schedule these products under HS 901890.</t>
  </si>
  <si>
    <t>Ventriculostomy kits</t>
  </si>
  <si>
    <t>In this classification, this commodity indicates a product that is a prepackaged collection (either custom or standard) of the equipment and supplies used to perform ventriculostomy procedure in a medical setting.  US FDA regulates Ventriculostomy kits under 21 CFR 882.43 and under FDA product code HBG.  Most nations, for tariff and trade purposes, schedule these products under HS 901890.</t>
  </si>
  <si>
    <t>Gastrointestinal implants</t>
  </si>
  <si>
    <t>In this classification, this commodity indicates a product used as a gastrointestinal implant used in a surgical implantation procedure in a medical setting Most nations, for tariff and trade purposes, schedule these products under HS 902129.</t>
  </si>
  <si>
    <t>Implantable nerve stimulator systems or kits</t>
  </si>
  <si>
    <t>In this classification, this commodity indicates a product that is a prepackaged collection (either custom or standard) of the equipment and supplies used to perform implantable nerve stimulation procedure in a medical setting.  US FDA regulates Implantable nerve stimulator systems or kits under 21 CFR 868.2775 and under FDA product code BXN.  Most nations, for tariff and trade purposes, schedule these products under HS 901890.</t>
  </si>
  <si>
    <t>Gynecological implants or slings</t>
  </si>
  <si>
    <t>In this classification, this commodity indicates a product used as a gynecological implant or sling used in a surgical implantation procedure in a medical setting Most nations, for tariff and trade purposes, schedule these products under HS 901890.</t>
  </si>
  <si>
    <t>Intraocular lenses IOL</t>
  </si>
  <si>
    <t>In this classification, this commodity indicates a product used as an intraocular lens and has an optic body with at least a posterior surface defining a roughness portion disposed close to the periphery of the optic body wherein the roughness portion further defines an attachment configuration specified by parameters falling within certain specific ranges determined statistically using a profilometer in a medical setting.  US FDA regulates Intraocular lenses IOL under 21 CFR 886.43 and under FDA product code MSS.  Most nations, for tariff and trade purposes, schedule these products under HS 900130.</t>
  </si>
  <si>
    <t>Biological tissue implants</t>
  </si>
  <si>
    <t>In this classification, this commodity indicates a product used as a biological tissue implant used in a surgical implantation procedure in a medical setting Most nations, for tariff and trade purposes, schedule these products under HS 901839.</t>
  </si>
  <si>
    <t>Hair implant systems</t>
  </si>
  <si>
    <t>In this classification, this commodity indicates a system consisting of products, consumables and accessories that are used to execute a hair implant procedure in a medical setting.  US FDA regulates Hair implant systems under 21 CFR 878.48 and under FDA product code GAH.  Most nations, for tariff and trade purposes, schedule these products under HS 901890.</t>
  </si>
  <si>
    <t>Implantable intrathecal infusion pumps</t>
  </si>
  <si>
    <t>In this classification, this commodity indicates a product used as a  system comprising: a pump having a reservoir; a catheter coupled to the pump and adapted for delivering a therapeutic agent to a cerebrospinal fluid of a patient; and an injectable gabapentin composition housed in the reservoir and deliverable through the catheter in an amount effective to treat pain in the patient when administered to the cerebrospinal fluid of the patient in a medical setting Most nations, for tariff and trade purposes, schedule these products under HS 841370.</t>
  </si>
  <si>
    <t>Myringotomy procedure kits</t>
  </si>
  <si>
    <t>In this classification, this commodity indicates a product.  Most nations, for tariff and trade purposes, schedule these products under HS 901890.</t>
  </si>
  <si>
    <t>Endolymphatic shunt tubes</t>
  </si>
  <si>
    <t>In this classification, this commodity indicates a product that is used as a shunt tube in an endolymphatic procedure in a medical setting.  Most nations, for tariff and trade purposes, schedule these products under HS 901839.</t>
  </si>
  <si>
    <t>Tympanostomy tubes</t>
  </si>
  <si>
    <t>In this classification, this commodity indicates a product that is used as a tube used in a tympanostomy procedure in a medical setting.  Most nations, for tariff and trade purposes, schedule these products under HS 901839.</t>
  </si>
  <si>
    <t>Silicone block elastomers</t>
  </si>
  <si>
    <t>In this classification, this commodity indicates a product used as a are elastomers that are produced from a block procedure and made of silicon in a medical setting Most nations, for tariff and trade purposes, schedule these products under HS 901890.</t>
  </si>
  <si>
    <t>Testicular prosthesis</t>
  </si>
  <si>
    <t>In this classification, this commodity indicates a product used as a prosthesis made to replace testicles that have been removed from a patient in a medical setting Most nations, for tariff and trade purposes, schedule these products under HS 902129.</t>
  </si>
  <si>
    <t>Nasal implants</t>
  </si>
  <si>
    <t>In this classification, this commodity indicates a product used as a nasal implant used in a surgical implantation procedure in a medical setting Most nations, for tariff and trade purposes, schedule these products under HS 902129.</t>
  </si>
  <si>
    <t>Otologic implants</t>
  </si>
  <si>
    <t>In this classification, this commodity indicates a product used as a otologic implant used in a surgical implantation procedure in a medical setting Most nations, for tariff and trade purposes, schedule these products under HS 902129.</t>
  </si>
  <si>
    <t>Laryngeal or pharengeal implants</t>
  </si>
  <si>
    <t>In this classification, this commodity indicates a product used as a laryngeal or pharyngeal implant used in a surgical implantation procedure in a medical setting Most nations, for tariff and trade purposes, schedule these products under HS 902129.</t>
  </si>
  <si>
    <t>Breast implant volume mammary sizers</t>
  </si>
  <si>
    <t>In this classification, this commodity indicates a product used as a breast implant volume sizer in a breast augmentation surgery in a medical setting Most nations, for tariff and trade purposes, schedule these products under HS 901819.</t>
  </si>
  <si>
    <t>Breast implants</t>
  </si>
  <si>
    <t>In this classification, this commodity indicates a product used as a breast implant in a breast augmentation surgery in a medical setting Most nations, for tariff and trade purposes, schedule these products under HS 902129.</t>
  </si>
  <si>
    <t>Anti-reflux implants</t>
  </si>
  <si>
    <t>In this classification, this commodity indicates a product used as a anti-reflux implant used in a surgical implantation procedure in a medical setting Most nations, for tariff and trade purposes, schedule these products under HS 902129.</t>
  </si>
  <si>
    <t>Intragastric implants for obesity</t>
  </si>
  <si>
    <t>In this classification, this commodity indicates a product used as a intragastric implant used in a surgical implantation procedure in a medical setting Most nations, for tariff and trade purposes, schedule these products under HS 901839.</t>
  </si>
  <si>
    <t>Cosmetic facial implants</t>
  </si>
  <si>
    <t>In this classification, this commodity indicates a product used as a cosmetic facial implant used in a surgical implantation procedure in a medical setting Most nations, for tariff and trade purposes, schedule these products under HS 902129.</t>
  </si>
  <si>
    <t>In this classification, this commodity indicates a product that is either an accessory or consumable associated with implantable infusion ports.  Most nations, for tariff and trade purposes, schedule these products under HS 902129.</t>
  </si>
  <si>
    <t>Implantable nerve stimulator system or kit accessories</t>
  </si>
  <si>
    <t>In this classification, this commodity indicates a product that is either an Implantable nerve stimulators or one of their accessories.  Most nations, for tariff and trade purposes, schedule these products under HS 901890.</t>
  </si>
  <si>
    <t>In this classification, this commodity indicates a product that is either an accessory or consumable associated with Implantable intrathecal infusion pumps.  Most nations, for tariff and trade purposes, schedule these products under HS 901890.</t>
  </si>
  <si>
    <t>Surgical felts or fabrics or patches or pledgets</t>
  </si>
  <si>
    <t>In this classification, this commodity indicates a product used as a surgical felt, fabric, patch, or pledget during a surgical procedure in a medical setting Most nations, for tariff and trade purposes, schedule these products under HS 901890.</t>
  </si>
  <si>
    <t>In this classification, this commodity indicates a product used as an extender filler or substitute for a graft made of either paste or putty treated with pharmacological compounds in a medical setting Most nations, for tariff and trade purposes, schedule these products under HS 901890.</t>
  </si>
  <si>
    <t>42295600</t>
  </si>
  <si>
    <t>Cerebral spinal fluid CSF drainage products and accessories</t>
  </si>
  <si>
    <t>In this classification, this class includes, products, components, accessories, and supplies, utilized in Cerebral spinal fluid drainage procedures.</t>
  </si>
  <si>
    <t>In this classification, this commodity indicates a product used as a a drainage catheter or adapter conformed fto fit cerebral ventricular or hyrdrocephalus required implementations in a medical setting.  US FDA regulates Cerebral ventricular or hydrocephalus drainage catheters or adapters under 21 CFR 882.5550 and under FDA product code JXG.  Most nations, for tariff and trade purposes, schedule these products under HS 901839.</t>
  </si>
  <si>
    <t>In this classification, this commodity indicates a product used as a a drainage bag or resovior holding the contents being drained from conformed fto fit cerebral ventricular drainage procedure in a medical setting.  US FDA regulates External cerebral ventricular drainage bags or reservoirs under 21 CFR 883.5550 and under FDA product code JXG.  Most nations, for tariff and trade purposes, schedule these products under HS 392690.</t>
  </si>
  <si>
    <t>Lumbar cerebrospinal fluid drains or kits</t>
  </si>
  <si>
    <t>In this classification, this commodity indicates a product that is a prepackaged collection (either custom or standard) of the equipment and supplies used to perform a lumbar cerebrospinal fluid drainage procedure in a medical setting.  US FDA regulates Lumbar cerebrospinal fluid drains or kits under 21 CFR 862.1660 and under FDA product code JJY.  Most nations, for tariff and trade purposes, schedule these products under HS 901890.</t>
  </si>
  <si>
    <t>42295800</t>
  </si>
  <si>
    <t>Surgical thermo ablation systems and accessories</t>
  </si>
  <si>
    <t>In this classification, this class includes, products, components, accessories, and supplies, utilized in surgical thermo ablation based medical procedures.</t>
  </si>
  <si>
    <t>Surgical thermo ablation cassettes</t>
  </si>
  <si>
    <t>In this classification, this commodity indicates a product used as a cassette during a surgical thermo ablation procedure in a medical setting Most nations, for tariff and trade purposes, schedule these products under HS 901819.</t>
  </si>
  <si>
    <t>Surgical thermo ablation tubing and sets</t>
  </si>
  <si>
    <t>In this classification, this commodity indicates a product used as a set of tubes during a surgical thermo ablation procedure in a medical setting Most nations, for tariff and trade purposes, schedule these products under HS 901839.</t>
  </si>
  <si>
    <t>Surgical thermo ablation catheters</t>
  </si>
  <si>
    <t>In this classification, this commodity indicates a product used as a catheter during a surgical thermo ablation procedure in a medical setting Most nations, for tariff and trade purposes, schedule these products under HS 901839.</t>
  </si>
  <si>
    <t>Surgical thermal ablation systems or units</t>
  </si>
  <si>
    <t>in this classification, this commodity indicates a product that is a device used in a low energy medical x ray procedure in a medical setting.  Most nations, for tariff and trade purposes, schedule these products under HS 901890.</t>
  </si>
  <si>
    <t>Surgical thermal ablation balloons</t>
  </si>
  <si>
    <t>In this classification, this commodity indicates a product used as a balloon during a surgical thermo ablation procedure in a medical setting Most nations, for tariff and trade purposes, schedule these products under HS 901819.</t>
  </si>
  <si>
    <t>Surgical thermo ablation tissue introducers</t>
  </si>
  <si>
    <t>In this classification, this commodity indicates a product used as a tissue introducer during a surgical thermo ablation procedure in a medical setting Most nations, for tariff and trade purposes, schedule these products under HS 901819.</t>
  </si>
  <si>
    <t>Surgical thermo ablation umbilical cables</t>
  </si>
  <si>
    <t>In this classification, this commodity indicates a product used as a umbilical cable during a surgical thermo ablation procedure in a medical setting Most nations, for tariff and trade purposes, schedule these products under HS 901819.</t>
  </si>
  <si>
    <t>Surgical thermal ablation ultrasonic devices</t>
  </si>
  <si>
    <t>In this classification, this commodity indicates a product used as a ultrasonic device used during a surgical thermo ablation procedure in a medical setting Most nations, for tariff and trade purposes, schedule these products under HS 901819.</t>
  </si>
  <si>
    <t>Surgical thermal ablation electrodes</t>
  </si>
  <si>
    <t>In this classification, this commodity indicates a product used as a ablation electrode during a surgical thermo ablation procedure in a medical setting Most nations, for tariff and trade purposes, schedule these products under HS 901890.</t>
  </si>
  <si>
    <t>Surgical thermal ablation system accessories</t>
  </si>
  <si>
    <t>In this classification, this commodity indicates a product that is either an accessory or consumable associated with surgical thermal ablation systems.  Most nations, for tariff and trade purposes, schedule these products under HS 901819.</t>
  </si>
  <si>
    <t>42295900</t>
  </si>
  <si>
    <t>Stents</t>
  </si>
  <si>
    <t>In this classification, this class includes, products, components, accessories, and supplies, utilizing stents in medical procedures.</t>
  </si>
  <si>
    <t>Gastrointestinal stents</t>
  </si>
  <si>
    <t>In this classification, this commodity indicates a product used as a stent conformed for gastrointestinal procedures in a medical setting Most nations, for tariff and trade purposes, schedule these products under HS 901839.</t>
  </si>
  <si>
    <t>Tracheal stents</t>
  </si>
  <si>
    <t>In this classification, this commodity indicates a product used as a stent conformed for tracheal  procedures in a medical setting.  US FDA regulates Tracheal stents under 21 CFR 878.3720 and under FDA product code JCT.  Most nations, for tariff and trade purposes, schedule these products under HS 901839.</t>
  </si>
  <si>
    <t>Urological stents</t>
  </si>
  <si>
    <t>In this classification, this commodity indicates a product used as a stent conformed for urological procedures in a medical setting.  US FDA regulates Urological stents under 21 CFR 876.4620 and under FDA product code FAD.  Most nations, for tariff and trade purposes, schedule these products under HS 901839.</t>
  </si>
  <si>
    <t>Vaginal or uterine stents</t>
  </si>
  <si>
    <t>In this classification, this commodity indicates a product used as a stent conformed for vaginal or uterine procedures in a medical setting.  US FDA regulates Vaginal or uterine stents under 21 CFR 876.4620 and under FDA product code FAD.  Most nations, for tariff and trade purposes, schedule these products under HS 901839.</t>
  </si>
  <si>
    <t>Endoprosthesis or wall stents or tubes</t>
  </si>
  <si>
    <t>In this classification, this commodity indicates a product that is used as a tube or wall stent used in an endoprosthesis procedure in a medical setting.  Most nations, for tariff and trade purposes, schedule these products under HS 901839.</t>
  </si>
  <si>
    <t>Esophageal stents</t>
  </si>
  <si>
    <t>In this classification, this commodity indicates a product used as a stent conformed for esophageal procedures in a medical setting Most nations, for tariff and trade purposes, schedule these products under HS 901839.</t>
  </si>
  <si>
    <t>Carotid stents</t>
  </si>
  <si>
    <t>In this classification, this commodity indicates a product used as a stent conformed for carotid procedures in a medical setting Most nations, for tariff and trade purposes, schedule these products under HS 901839.</t>
  </si>
  <si>
    <t>Lacrimal stents</t>
  </si>
  <si>
    <t>In this classification, this commodity indicates a product used as a stent conformed for lacrimal procedures in a medical setting Most nations, for tariff and trade purposes, schedule these products under HS 901839.</t>
  </si>
  <si>
    <t>Laryngeal stents</t>
  </si>
  <si>
    <t>In this classification, this commodity indicates a product used as a stent conformed for laryngeal procedures in a medical setting Most nations, for tariff and trade purposes, schedule these products under HS 901839.</t>
  </si>
  <si>
    <t>Biliary stents</t>
  </si>
  <si>
    <t>In this classification, this commodity indicates a product used as a stent conformed for biliary procedures in a medical setting Most nations, for tariff and trade purposes, schedule these products under HS 901839.</t>
  </si>
  <si>
    <t>Peripheral stents</t>
  </si>
  <si>
    <t>In this classification, this commodity indicates a product used as a stent conformed for peripheral venous  procedures in a medical setting Most nations, for tariff and trade purposes, schedule these products under HS 901839.</t>
  </si>
  <si>
    <t>Coronary stents</t>
  </si>
  <si>
    <t>In this classification, this commodity indicates a product used as a stent conformed for  procedures in a medical setting Most nations, for tariff and trade purposes, schedule these products under HS 901839.</t>
  </si>
  <si>
    <t>42296000</t>
  </si>
  <si>
    <t>Cardiovascular implants</t>
  </si>
  <si>
    <t>In this classification, this class includes, products, components, accessories, and supplies, utilized as cordiovascular implants.</t>
  </si>
  <si>
    <t>Aortic valves</t>
  </si>
  <si>
    <t>In this classification, this commodity indicates a product used as a conformed to be a replacement  aortic  coronary valve in a medical setting.  US FDA regulates Aortic valves under 21 CFR 892.1750 and under FDA product code JAK.  Most nations, for tariff and trade purposes, schedule these products under HS 902129.</t>
  </si>
  <si>
    <t>Cardiovascular conduits</t>
  </si>
  <si>
    <t>In this classification, this commodity indicates a product used as a cardiovascular conduit in a medical setting.  Most nations, for tariff and trade purposes, schedule these products under HS 902129.</t>
  </si>
  <si>
    <t>Mitral valves</t>
  </si>
  <si>
    <t>In this classification, this commodity indicates a product used as a conformed to be a replacement  mitral  coronary valve in a medical setting.  US FDA regulates Mitral valves under 21 CFR 870.38 and under FDA product code KRH.  Most nations, for tariff and trade purposes, schedule these products under HS 902129.</t>
  </si>
  <si>
    <t>Tricuspid valves</t>
  </si>
  <si>
    <t>In this classification, this commodity indicates a product used as a conformed to be a replacement tricuspid coronary valve in a medical setting Most nations, for tariff and trade purposes, schedule these products under HS 902129.</t>
  </si>
  <si>
    <t>Annuloplasty rings</t>
  </si>
  <si>
    <t>In this classification, this commodity indicates a product used as a implant to reform leaky mitral valves by conforming to the the edge of the valve in a medical setting.  US FDA regulates Annuloplasty rings under 21 CFR 870.38 and under FDA product code KRH.  Most nations, for tariff and trade purposes, schedule these products under HS 902129.</t>
  </si>
  <si>
    <t>Vascular grafts</t>
  </si>
  <si>
    <t>In this classification, this commodity indicates a product used as a graftable specimen of a vein in a medical setting.  US FDA regulates Vascular grafts under 21 CFR 870.3450 and under FDA product code DSY.  Most nations, for tariff and trade purposes, schedule these products under HS 902129.</t>
  </si>
  <si>
    <t>Cardiovascular occluders</t>
  </si>
  <si>
    <t>In this classification, this commodity indicates a product used as a cardiovascular occluder in a medical setting.  US FDA regulates Cardiovascular occluders under 21 CFR 870.4550 and under FDA product code DXC.  Most nations, for tariff and trade purposes, schedule these products under HS 902129.</t>
  </si>
  <si>
    <t>Pulmonary valves</t>
  </si>
  <si>
    <t>In this classification, this commodity indicates a product used as a replacement valve in association with a pulmonary procedure in a medical settingPulmonary valves under 21 CFR and under FDA product code OHA.  Most nations, for tariff and trade purposes, schedule these products under HS 902129.</t>
  </si>
  <si>
    <t>Cardiac tissue adhesives</t>
  </si>
  <si>
    <t>In this classification, this commodity indicates a product used as an adhesive formulated to be used with cardiac tissue in a medical setting Most nations, for tariff and trade purposes, schedule these products under HS 300610.</t>
  </si>
  <si>
    <t>Implantable aneurysm pressure sensors</t>
  </si>
  <si>
    <t>In this classification, this commodity indicates a product used as an implantable sensor placed across the base, or neck, of the aneurysm to monitor the normal blood flow from entering  in a medical setting Most nations, for tariff and trade purposes, schedule these products under HS 902129.</t>
  </si>
  <si>
    <t>42296100</t>
  </si>
  <si>
    <t>Neurosurgical implants</t>
  </si>
  <si>
    <t>In this classification, this class includes, products, components, accessories, and supplies, utilized as neurosurgical implants.</t>
  </si>
  <si>
    <t>Implantable aneurysm clips</t>
  </si>
  <si>
    <t>In this classification, this commodity indicates a product used as an implantable  clip placed across the base, or neck, of the aneurysm to block the normal blood flow from entering  in a medical setting.  US FDA regulates Implantable aneurysm clips under 21 CFR 885.52 and under FDA product code HCH.  Most nations, for tariff and trade purposes, schedule these products under HS 901839.</t>
  </si>
  <si>
    <t>Temporary aneurysm clips</t>
  </si>
  <si>
    <t>In this classification, this commodity indicates a product used as a temporary clip placed across the base, or neck, of the aneurysm to block the normal blood flow from entering  in a medical setting.  US FDA regulates Temporary aneurysm clips under 21 CFR 886.52 and under FDA product code HCH.  Most nations, for tariff and trade purposes, schedule these products under HS 901839.</t>
  </si>
  <si>
    <t>Dural replacement or repair devices</t>
  </si>
  <si>
    <t>In this classification, this commodity indicates a product used as a replacement or repair media for the dura portion of the brain in a medical setting.  US FDA regulates Dural replacement or repair devices under 21 CFR 882.5910 and under FDA product code GXQ.  Most nations, for tariff and trade purposes, schedule these products under HS 901890.</t>
  </si>
  <si>
    <t>In this classification, this commodity indicates a product used as a cover for a plate seem or bur hole created during a cranial procedure in a medical setting.  US FDA regulates Cranial plate or bur hole covers under 21 CFR 888.36 and under FDA product code KWQ.  Most nations, for tariff and trade purposes, schedule these products under HS 901832.</t>
  </si>
  <si>
    <t>Cranial meshes</t>
  </si>
  <si>
    <t>In this classification, this commodity indicates a product used as a mesh based utility for use in reconstructive neurosurgical procedures in a medical setting.  US FDA regulates Cranial meshes under 21 CFR 882.5320 and under FDA product code GWO.  Most nations, for tariff and trade purposes, schedule these products under HS 901890.</t>
  </si>
  <si>
    <t>Nerve repair grafts</t>
  </si>
  <si>
    <t>In this classification, this commodity indicates a product used as a nerve ending spliced from other regions that are used to is generally to reapproximate the ends of the injured nerve in a medical setting Most nations, for tariff and trade purposes, schedule these products under HS 901890.</t>
  </si>
  <si>
    <t>In this classification, this commodity indicates a product used as after a cranial operative procedure that allows for the stable fixation of bone flaps  in a medical setting.  US FDA regulates Cranial clamps under 21 CFR 882.5320 and under FDA product code GXN.  Most nations, for tariff and trade purposes, schedule these products under HS 901832.</t>
  </si>
  <si>
    <t>Cerebral aneurysm encapsulating kits</t>
  </si>
  <si>
    <t>In this classification, this commodity indicates a product that is a prepackaged collection (either custom or standard) of the equipment and supplies used to perform cerebral aneurysm encapsulation procedure in a medical setting.  Most nations, for tariff and trade purposes, schedule these products under HS 901890.</t>
  </si>
  <si>
    <t>Cranioplasty plate fasteners</t>
  </si>
  <si>
    <t>In this classification, this commodity indicates a product used as a faster of the cranial plate as part of a cranioplasty procedure in a medical setting Most nations, for tariff and trade purposes, schedule these products under HS 901890.</t>
  </si>
  <si>
    <t>Implantable brain stimulators</t>
  </si>
  <si>
    <t>In this classification, this commodity indicates a product used as a stimulator which sends electrical impulses, through implanted electrodes, to specific parts of the brain (brain nucleus) for the treatment of movement and affective disorders.  in a medical setting Most nations, for tariff and trade purposes, schedule these products under HS 901890.</t>
  </si>
  <si>
    <t>Craniosynostosis strips</t>
  </si>
  <si>
    <t>In this classification, this commodity indicates a product used as an endoscopic  strip  for  a craniectomy to remove a fused suture in babies with some types of craniosynostosis surgery  in a medical setting Most nations, for tariff and trade purposes, schedule these products under HS 901890.</t>
  </si>
  <si>
    <t>42296200</t>
  </si>
  <si>
    <t>surgical robotic equipment and accessories and related products</t>
  </si>
  <si>
    <t>In this classification, this class includes, products, components, accessories, and supplies, utilized in robotic surgical procedures.</t>
  </si>
  <si>
    <t>Surgical robotic clip application instruments</t>
  </si>
  <si>
    <t>In this classification, this commodity indicates a product used as a clip application instrument during a robotic surgical procedure in a medical setting Most nations, for tariff and trade purposes, schedule these products under HS 901890.</t>
  </si>
  <si>
    <t>Surgical robotic dissection instruments</t>
  </si>
  <si>
    <t>In this classification, this commodity indicates a product used as a dissection instrument during a robotic surgical procedure in a medical setting Most nations, for tariff and trade purposes, schedule these products under HS 901890.</t>
  </si>
  <si>
    <t>Surgical robotic electrocautery instruments</t>
  </si>
  <si>
    <t>In this classification, this commodity indicates a product used as an electrocautery instrument during a robotic surgical procedure in a medical setting Most nations, for tariff and trade purposes, schedule these products under HS 901890.</t>
  </si>
  <si>
    <t>Surgical robotic graspers or forceps</t>
  </si>
  <si>
    <t>In this classification, this commodity indicates a product used as a grasper or pair of forceps during a robotic surgical procedure in a medical setting Most nations, for tariff and trade purposes, schedule these products under HS 901890.</t>
  </si>
  <si>
    <t>Surgical robotic hook instruments</t>
  </si>
  <si>
    <t>In this classification, this commodity indicates a product used as a hook instrument during a robotic surgical procedure in a medical setting Most nations, for tariff and trade purposes, schedule these products under HS 901890.</t>
  </si>
  <si>
    <t>In this classification, this commodity indicates a product used as a knot pusher or delivery instrument during a robotic surgical procedure in a medical setting Most nations, for tariff and trade purposes, schedule these products under HS 901890.</t>
  </si>
  <si>
    <t>Surgical robotic needle drivers</t>
  </si>
  <si>
    <t>In this classification, this commodity indicates a product used as a needle driver during a robotic surgical procedure in a medical setting Most nations, for tariff and trade purposes, schedule these products under HS 901890.</t>
  </si>
  <si>
    <t>Surgical robotic retractor instruments</t>
  </si>
  <si>
    <t>In this classification, this commodity indicates a product used as a retracting instrument during a robotic surgical procedure in a medical setting Most nations, for tariff and trade purposes, schedule these products under HS 901890.</t>
  </si>
  <si>
    <t>Surgical robotic scalpels and blades</t>
  </si>
  <si>
    <t>In this classification, this commodity indicates a product used as a scalpel or blade during a robotic surgical procedure in a medical setting Most nations, for tariff and trade purposes, schedule these products under HS 901890.</t>
  </si>
  <si>
    <t>Surgical robotic scissors</t>
  </si>
  <si>
    <t>In this classification, this commodity indicates a product used as a pair of scissors during a robotic surgical procedure in a medical setting Most nations, for tariff and trade purposes, schedule these products under HS 901850.</t>
  </si>
  <si>
    <t>Surgical robotic ultrasonic energy instruments</t>
  </si>
  <si>
    <t>In this classification, this commodity indicates a product used as an ultrasonic energy instrument during a robotic surgical procedure in a medical setting Most nations, for tariff and trade purposes, schedule these products under HS 901890.</t>
  </si>
  <si>
    <t>Surgical robotic trocars or sheathes or obturators or cannulas</t>
  </si>
  <si>
    <t>In this classification, this commodity indicates a product used as a trocar, sheath, obturator, or cannula during a robotic surgical procedure in a medical setting Most nations, for tariff and trade purposes, schedule these products under HS 901831.</t>
  </si>
  <si>
    <t>Surgical robotic simulators or training consoles</t>
  </si>
  <si>
    <t>In this classification, this commodity indicates a product used as a simulator or training console for a robotic surgical procedure in a medical setting Most nations, for tariff and trade purposes, schedule these products under HS 901890.</t>
  </si>
  <si>
    <t>Surgical robotic hair harvesting systems</t>
  </si>
  <si>
    <t>In this classification, this commodity indicates a system consisting of products, consumables and accessories that are used to execute a surgical robotic hair harvesting procedure in a medical setting.  Most nations, for tariff and trade purposes, schedule these products under HS 901839.</t>
  </si>
  <si>
    <t>Surgical robotic hair harvesting system accessories</t>
  </si>
  <si>
    <t>In this classification, this commodity indicates a product that is either an accessory or consumable associated with surgical robotic hair harvesting systems.  Most nations, for tariff and trade purposes, schedule these products under HS 901890.</t>
  </si>
  <si>
    <t>Surgical robotic instrument accessories</t>
  </si>
  <si>
    <t>In this classification, this commodity indicates a product that is either an accessory or consumable associated with surgical robotic instrument.  Most nations, for tariff and trade purposes, schedule these products under HS 901890.</t>
  </si>
  <si>
    <t>Surgical robotic consoles</t>
  </si>
  <si>
    <t>In this classification, this commodity indicates a product used as a console for a robotic surgical procedure in a medical setting Most nations, for tariff and trade purposes, schedule these products under HS 901890.</t>
  </si>
  <si>
    <t>Surgical robotic console accessories</t>
  </si>
  <si>
    <t>In this classification, this commodity indicates a product that is either an accessory or consumable associated with surgical robotic consoles.  Most nations, for tariff and trade purposes, schedule these products under HS 901890.</t>
  </si>
  <si>
    <t>Surgical robotic systems</t>
  </si>
  <si>
    <t>In this classification, this commodity indicates a system consisting of products, consumables and accessories that are used to execute a surgical robotic procedure in a medical setting.  Most nations, for tariff and trade purposes, schedule these products under HS 901890.</t>
  </si>
  <si>
    <t>42296300</t>
  </si>
  <si>
    <t>Endoscopes</t>
  </si>
  <si>
    <t>In this classification, this class includes, products, components, accessories, and supplies, utilized in customizing endoscopic equipment.</t>
  </si>
  <si>
    <t>Amnioscopes or fetoscopes</t>
  </si>
  <si>
    <t>In this classification, this commodity indicates a product that is used as an  endoscope that, by introduction into the cervical canal, permits direct visualization of the fetus and amniotic fluid in a medical setting.  US FDA regulates Amnioscopes or fetoscopes under 21 CFR 876.1330 and under FDA product code PGD.  Most nations, for tariff and trade purposes, schedule these products under HS 900630.</t>
  </si>
  <si>
    <t>Angioscopes</t>
  </si>
  <si>
    <t>In this classification, this commodity indicates a product that is used as a  fiberoptic catheter for viewing the inside of a blood vessel in a medical setting.  US FDA regulates Angioscopes under 21 CFR 876.1330 and under FDA product code PGD.  Most nations, for tariff and trade purposes, schedule these products under HS 900630.</t>
  </si>
  <si>
    <t>Anoscopes or sphincteroscopes or sphyncteroscopes</t>
  </si>
  <si>
    <t>In this classification, this commodity indicates a product that is used as a tube that can be inserted with a lubricant into the anal canal. When the tube is inserted, a light source in the tube allows the examiner to visualize the wall of the anus, lower rectum and sphincter in a medical setting.  US FDA regulates Anoscopes or sphincteroscopes or sphyncteroscopes under 21 CFR 876.15 and under FDA product code FER.  Most nations, for tariff and trade purposes, schedule these products under HS 900630.</t>
  </si>
  <si>
    <t>Arthroscopes</t>
  </si>
  <si>
    <t>In this classification, this commodity indicates a product that is used as a thin flexible fiberoptic scope which is introduced into a joint space through a small incision in order to carry out diagnostic and treatment procedures within the joint in a medical setting.  US FDA regulates Arthroscopes under 21 CFR 888.11 and under FDA product code HRX.  Most nations, for tariff and trade purposes, schedule these products under HS 900630.</t>
  </si>
  <si>
    <t>Bronchoscopes</t>
  </si>
  <si>
    <t>In this classification, this commodity indicates a product that is used as a a fiber-optic cable that is passed into the windpipe in order to view the bronchi, in a medical setting.  US FDA regulates Bronchoscopes under 21 CFR 874.4680 and under FDA product code EOQ.  Most nations, for tariff and trade purposes, schedule these products under HS 900630.</t>
  </si>
  <si>
    <t>Capsule endoscopes</t>
  </si>
  <si>
    <t>In this classification, this commodity indicates a product that is an endoscope capable of using a tiny wireless camera to take pictures of the digestive tract in a medical setting.  US FDA regulates Capsule endoscopes under 21 CFR 876.1330 and under FDA product code PGD.  Most nations, for tariff and trade purposes, schedule these products under HS 900630.</t>
  </si>
  <si>
    <t>Cholangioscopes</t>
  </si>
  <si>
    <t>In this classification, this commodity indicates a product used as a endoscope that can engage in both direct visual diagnostic evaluation and simultaneous therapeutic intervention of the bile ducts in a medical setting.  US FDA regulates Cholangioscopes under 21 CFR 877.1330 and under FDA product code PGD.  Most nations, for tariff and trade purposes, schedule these products under HS 900630.</t>
  </si>
  <si>
    <t>Colonoscopes</t>
  </si>
  <si>
    <t>In this classification, this commodity indicates a product that is used as a flexible fiber-optic instrument inserted through the anus in order to examine the colon in a medical setting.  US FDA regulates Colonoscopes under 21 CFR 876.15 and under FDA product code FDF.  Most nations, for tariff and trade purposes, schedule these products under HS 900630.</t>
  </si>
  <si>
    <t>Colpomicroscopes or colposcopes or vaginoscopes</t>
  </si>
  <si>
    <t>In this classification, this commodity indicates a product that is used as a flexible fiber-optic instrument used to examine the vagina and the cervix of the uterus in a medical setting.  US FDA regulates Colpomicroscopes or colposcopes or vaginoscopes under 21 CFR 884.1630 and under FDA product code HEX.  Most nations, for tariff and trade purposes, schedule these products under HS 900630.</t>
  </si>
  <si>
    <t>Culdoscopes</t>
  </si>
  <si>
    <t>In this classification, this commodity indicates a product used as a kind of endoscope, used to visualize female pelvic organs, introduced through the vagina into the cul-de-sac in a medical setting.  US FDA regulates Culdoscopes under 21 CFR 877.1330 and under FDA product code PGD.  Most nations, for tariff and trade purposes, schedule these products under HS 900630.</t>
  </si>
  <si>
    <t>Cystoscopes or cystourethroscopes</t>
  </si>
  <si>
    <t>In this classification, this commodity indicates a product used as a slender tubular medical instrument for examining the interior of the urethra and urinary bladder in a medical setting.  US FDA regulates Cystoscopes or cystourethroscopes under 21 CFR 884.1690 and under FDA product code HIH.  Most nations, for tariff and trade purposes, schedule these products under HS 900630.</t>
  </si>
  <si>
    <t>Ureteroscopes</t>
  </si>
  <si>
    <t>In this classification, this commodity indicates a product used as an endoscope for visually examining and passing instruments into the interior of the ureter in a medical setting.  US FDA regulates Ureteroscopes under 21 CFR 876.15 and under FDA product code FGB.  Most nations, for tariff and trade purposes, schedule these products under HS 900630.</t>
  </si>
  <si>
    <t>Duodenoscopes</t>
  </si>
  <si>
    <t>In this classification, this commodity indicates a product used as a flexible, lighted tubes that are threaded through the mouth, throat, and stomach into the top of the small intestine (duodenum) in a medical setting.  US FDA regulates Duodenoscopes under 21 CFR 876.15 and under FDA product code FDT.  Most nations, for tariff and trade purposes, schedule these products under HS 900630.</t>
  </si>
  <si>
    <t>Echoendoscopes</t>
  </si>
  <si>
    <t>In this classification, this commodity indicates a product used as an endoscope fitted with an ultrasound probe. It is used to visualize both the lumen of the gastrointestinal tract and abnormalities that are present in or near the wall of the intubated organ in a medical setting.  US FDA regulates Echoendoscopes under 21 CFR 877.1330 and under FDA product code PGD.  Most nations, for tariff and trade purposes, schedule these products under HS 900630.</t>
  </si>
  <si>
    <t>Enteroscopes</t>
  </si>
  <si>
    <t>In this classification, this commodity indicates a product used as a speculum for inspecting the inside of the intestine in operative cases in a medical setting.  US FDA regulates Enteroscopes under 21 CFR 876.15 and under FDA product code FED.  Most nations, for tariff and trade purposes, schedule these products under HS 900630.</t>
  </si>
  <si>
    <t>Epiduroscopes</t>
  </si>
  <si>
    <t>In this classification, this commodity indicates a product used as an endoscope used in the  examination of the normal or pathologic structures in the epidural space in a medical setting.  US FDA regulates Epiduroscopes under 21 CFR 877.1330 and under FDA product code PGD.  Most nations, for tariff and trade purposes, schedule these products under HS 900630.</t>
  </si>
  <si>
    <t>Esophagogastroduodenoscopes or gastroduodenoscopes or gastroscopes</t>
  </si>
  <si>
    <t>In this classification, this commodity indicates a product used as an endoscope used to transmit images of the interior of the stomach and duodenum in a medical setting.  US FDA regulates Esophagogastroduodenoscopes or gastroduodenoscopes or gastroscopes under 21 CFR 876.15 and under FDA product code FDS.  Most nations, for tariff and trade purposes, schedule these products under HS 900630.</t>
  </si>
  <si>
    <t>Esophagoscopes or oesophagoscopes</t>
  </si>
  <si>
    <t>In this classification, this commodity indicates a product used as an endoscope that transmits images of the interior of the esophagus by fiber optics in a medical setting.  US FDA regulates Esophagoscopes or oesophagoscopes under 21 CFR 874.4710 and under FDA product code EOX.  Most nations, for tariff and trade purposes, schedule these products under HS 900630.</t>
  </si>
  <si>
    <t>Falloposcopes</t>
  </si>
  <si>
    <t>In this classification, this commodity indicates a product used as a narrow flexible fibreoptic endoscope used to view the inner lining of the fallopian tubes in a medical setting.  US FDA regulates Falloposcopes under 21 CFR 876.1330 and under FDA product code PGD.  Most nations, for tariff and trade purposes, schedule these products under HS 900630.</t>
  </si>
  <si>
    <t>Fiber optic endoscopes</t>
  </si>
  <si>
    <t>In this classification, this commodity indicates a product used as an endoscope that is illuminated by a fiber optic lighting source used in various medical procedures in a medical setting.  US FDA regulates Fiber optic endoscopes under 21 CFR 877.1330 and under FDA product code PGD.  Most nations, for tariff and trade purposes, schedule these products under HS 900630.</t>
  </si>
  <si>
    <t>Hysteroscopes</t>
  </si>
  <si>
    <t>In this classification, this commodity indicates a product used as an endoscope that carries optical and light channels or fibers. It is introduced in a sheath that provides an inflow and outflow channel for insufflation of the uterine cavity in a medical setting.  US FDA regulates Hysteroscopes under 21 CFR 884.1690 and under FDA product code HIH.  Most nations, for tariff and trade purposes, schedule these products under HS 900630.</t>
  </si>
  <si>
    <t>Intubation scopes or tracheal fibrescopes</t>
  </si>
  <si>
    <t>In this classification, this commodity indicates a product used as an endoscope that transmits images of the interior of a trachea by fiber optics in a medical setting.  US FDA regulates Intubation scopes or tracheal fibrescopes under 21 CFR 874.4680 and under FDA product code EOQ.  Most nations, for tariff and trade purposes, schedule these products under HS 900630.</t>
  </si>
  <si>
    <t>Laparoscopes or laparoscopic telescopes</t>
  </si>
  <si>
    <t>In this classification, this commodity indicates a product used as an a usually rigid endoscope that is inserted through an incision in the abdominal wall and is used to examine visually the interior of the peritoneal cavity in a medical setting.  US FDA regulates Laparoscopes or laparoscopic telescopes under 21 CFR 876.15 and under FDA product code GCJ.  Most nations, for tariff and trade purposes, schedule these products under HS 900630.</t>
  </si>
  <si>
    <t>ENT Laryngoscopes</t>
  </si>
  <si>
    <t>In this classification, this commodity indicates a product used as an a laryngoscope that examines the larynx, or for inserting a tube through it in a medical setting.  US FDA regulates ENT Laryngoscopes under 21 CFR 868.5540 and under FDA product code CCW.  Most nations, for tariff and trade purposes, schedule these products under HS 900630.</t>
  </si>
  <si>
    <t>Mediastinoscopes</t>
  </si>
  <si>
    <t>In this classification, this commodity indicates a product used as an endoscope inserted through an incision above the sternum to examine the mediastinum in a medical setting.  US FDA regulates Mediastinoscopes under 21 CFR 874.4720 and under FDA product code EWY.  Most nations, for tariff and trade purposes, schedule these products under HS 900630.</t>
  </si>
  <si>
    <t>Nasopharyngoscopes</t>
  </si>
  <si>
    <t>In this classification, this commodity indicates a product used as an endoscope for visually examining the nasal passages and pharynx in a medical setting.  US FDA regulates Nasopharyngoscopes under 21 CFR 874.4760 and under FDA product code EQN.  Most nations, for tariff and trade purposes, schedule these products under HS 900630.</t>
  </si>
  <si>
    <t>Nasoscopes or rhinoscopes</t>
  </si>
  <si>
    <t>In this classification, this commodity indicates a product used as an endoscope for examining the cavities and passages of the nose in a medical settingNasoscopes or rhinoscopes under 21 CFR and under FDA product code NZA.  Most nations, for tariff and trade purposes, schedule these products under HS 900630.</t>
  </si>
  <si>
    <t>Nephroscopes</t>
  </si>
  <si>
    <t>In this classification, this commodity indicates a product used as an endoscope used for inspecting and passing instruments into the interior of the kidney in a medical setting.  US FDA regulates Nephroscopes under 21 CFR 876.15 and under FDA product code NWB.  Most nations, for tariff and trade purposes, schedule these products under HS 900630.</t>
  </si>
  <si>
    <t>Neurological endoscopes or neuroendoscopes</t>
  </si>
  <si>
    <t>In this classification, this commodity indicates a product used as an endoscope the used with the aid of a neuronavigation system to examine the central nervous system and perform minimally invasive neurosurgical procedures in a medical setting.  US FDA regulates Neurological endoscopes or neuroendoscopes under 21 CFR 882.1480 and under FDA product code GWG.  Most nations, for tariff and trade purposes, schedule these products under HS 900630.</t>
  </si>
  <si>
    <t>Ophthalmic endoscopes</t>
  </si>
  <si>
    <t>In this classification, this commodity indicates a product used as an endoscope that examines the o examine the intraocular structures of the eye in a medical setting.  US FDA regulates Ophthalmic endoscopes under 21 CFR 886.1570 and under FDA product code HLJ.  Most nations, for tariff and trade purposes, schedule these products under HS 900630.</t>
  </si>
  <si>
    <t>Pancreatoscopes</t>
  </si>
  <si>
    <t>In this classification, this commodity indicates a product used as an endoscope that examines the pancreatic ducts in a medical setting Most nations, for tariff and trade purposes, schedule these products under HS 900630.</t>
  </si>
  <si>
    <t>Panendoscopes or urethroscopes</t>
  </si>
  <si>
    <t>In this classification, this commodity indicates a product used as a cystoscope fitted with an obliquely forward telescopic system that permits wide-angle viewing of the interior of the urinary bladder in a medical setting.  US FDA regulates Panendoscopes or urethroscopes under 21 CFR 876.15 and under FDA product code FBO.  Most nations, for tariff and trade purposes, schedule these products under HS 900630.</t>
  </si>
  <si>
    <t>Peritoneoscopes</t>
  </si>
  <si>
    <t>In this classification, this commodity indicates a product used as an endoscope that can be passed into the peritoneal cavity through a small incision in the abdominal wall so as to allow inspection of the peritoneum in a medical setting Most nations, for tariff and trade purposes, schedule these products under HS 900630.</t>
  </si>
  <si>
    <t>Proctoscopes or protoscopes or rectoscopes</t>
  </si>
  <si>
    <t>In this classification, this commodity indicates a product used as a medical instrument with an integral lamp for examining the anus and lower part of the rectum or carrying out minor medical procedures in a medical setting.  US FDA regulates Proctoscopes or protoscopes or rectoscopes under 21 CFR 876.15 and under FDA product code FER.  Most nations, for tariff and trade purposes, schedule these products under HS 900630.</t>
  </si>
  <si>
    <t>Resectoscopes</t>
  </si>
  <si>
    <t>In this classification, this commodity indicates a product used as an instrument consisting of a tubular fenestrated sheath with a sliding knife within it that is used for surgery within cavities in a medical setting.  US FDA regulates Resectoscopes under 21 CFR 876.15 and under FDA product code FJL.  Most nations, for tariff and trade purposes, schedule these products under HS 900630.</t>
  </si>
  <si>
    <t>Rhino-laryngoscopes</t>
  </si>
  <si>
    <t>In this classification, this commodity indicates a product used as an endoscope fitted with mirrors and a lighting system used for examination of the nose and larynx in a medical setting Most nations, for tariff and trade purposes, schedule these products under HS 900630.</t>
  </si>
  <si>
    <t>Sigmoidoscopes</t>
  </si>
  <si>
    <t>In this classification, this commodity indicates a product used as aa rigid or flexible endoscope for visual examination of the rectum and sigmoid colon in a medical setting.  US FDA regulates Sigmoidoscopes under 21 CFR 876.15 and under FDA product code KDM.  Most nations, for tariff and trade purposes, schedule these products under HS 900630.</t>
  </si>
  <si>
    <t>Thoracoscopes</t>
  </si>
  <si>
    <t>In this classification, this commodity indicates a product used as an endoscope involving internal examination, biopsy, and/or resection of disease or masses within the pleural cavity and thoracic cavity in a medical setting.  US FDA regulates Thoracoscopes under 21 CFR 876.15 and under FDA product code GCJ.  Most nations, for tariff and trade purposes, schedule these products under HS 900630.</t>
  </si>
  <si>
    <t>42296400</t>
  </si>
  <si>
    <t>Endoscopic equipment</t>
  </si>
  <si>
    <t>In this classification, this class includes, products, components, accessories, and supplies, utilized in endoscopic procedures.</t>
  </si>
  <si>
    <t>Endoscope or instrument positioners or holders</t>
  </si>
  <si>
    <t>In this classification, this commodity indicates a product used as a positioner or holder for an endoscope or associated instrument in a medical setting.  US FDA regulates Endoscope or instrument positioners or holders under 21 CFR 876.15 and under FDA product code PGU.  Most nations, for tariff and trade purposes, schedule these products under HS 901811.</t>
  </si>
  <si>
    <t>Endoscopic fluid management systems or accessories</t>
  </si>
  <si>
    <t>In this classification, this commodity indicates a product that is either an endoscopic fluid management systems or one of their accessories   US FDA regulates Endoscopic fluid management systems or accessories under 21 CFR 876.15 and under FDA product code OCX.  Most nations, for tariff and trade purposes, schedule these products under HS 901890.</t>
  </si>
  <si>
    <t>Arthroscopic cartilage stiffness testers</t>
  </si>
  <si>
    <t>In this classification, this commodity indicates a product used as a tester of  cartilage stiffness in a arthroscopic procedure in a medical setting Most nations, for tariff and trade purposes, schedule these products under HS 901890.</t>
  </si>
  <si>
    <t>Endoscopic imaging systems or accessories</t>
  </si>
  <si>
    <t>In this classification, this commodity indicates a product that is either an endoscopic imaging systems or one of their accessories.  US FDA regulates Endoscopic imaging systems or accessories under 21 CFR 878.4160 and under FDA product code FWF.  Most nations, for tariff and trade purposes, schedule these products under HS 901890.</t>
  </si>
  <si>
    <t>Bronchoscope aspirating tubes</t>
  </si>
  <si>
    <t>In this classification, this commodity indicates a product that is used as a tube in a bronchoscope aspiration procedure in a medical setting.  Most nations, for tariff and trade purposes, schedule these products under HS 901839.</t>
  </si>
  <si>
    <t>Endoscopic insufflation or distention units or accessories</t>
  </si>
  <si>
    <t>In this classification, this commodity indicates a product that is either an endoscopic insufflation or distention units or one of their accessories.  US FDA regulates Endoscopic insufflation or distention units or accessories under 21 CFR 876.15 and under FDA product code FCX.  Most nations, for tariff and trade purposes, schedule these products under HS 901890.</t>
  </si>
  <si>
    <t>Endoscopic printers or film or accessories</t>
  </si>
  <si>
    <t>In this classification, this commodity indicates a product that is either an endoscopic printers or films or one of their accessories.  Most nations, for tariff and trade purposes, schedule these products under HS 844331.</t>
  </si>
  <si>
    <t>Endoscopic video cameras or recorders or adapters or accessories</t>
  </si>
  <si>
    <t>In this classification, this commodity indicates a product that is either an endoscopic video cameras or recorders or adapters or one of their accessories.  Most nations, for tariff and trade purposes, schedule these products under HS 852880.</t>
  </si>
  <si>
    <t>Endoscopic water bottles or accessories</t>
  </si>
  <si>
    <t>In this classification, this commodity indicates a product that is either an accessory or consumable associated with endoscopic water bottles.  Most nations, for tariff and trade purposes, schedule these products under HS 701090.</t>
  </si>
  <si>
    <t>Endoscopic computer controlled surgical instrument systems</t>
  </si>
  <si>
    <t>In this classification, this commodity indicates a system consisting of products, consumables and accessories that are used to execute an endoscopic computer controlled surgical instrument procedure in a medical setting.  Most nations, for tariff and trade purposes, schedule these products under HS 901890.</t>
  </si>
  <si>
    <t>Endoscopic converters</t>
  </si>
  <si>
    <t>In this classification, this commodity indicates a product that is a converter used in an endoscopic  procedure in a medical setting.  Most nations, for tariff and trade purposes, schedule these products under HS 901890.</t>
  </si>
  <si>
    <t>Endoscopic diaphragms</t>
  </si>
  <si>
    <t>In this classification, this commodity indicates a product that is a diaphragm used in  an endoscopic  procedure in a medical setting.  Most nations, for tariff and trade purposes, schedule these products under HS 901890.</t>
  </si>
  <si>
    <t>Endoscopic insufflation filters</t>
  </si>
  <si>
    <t>In this classification, this commodity indicates a product that is a insufflation tube used in an endoscopic  procedure in a medical setting.  Most nations, for tariff and trade purposes, schedule these products under HS 901890.</t>
  </si>
  <si>
    <t>Endoscopic insufflation tubing</t>
  </si>
  <si>
    <t>In this classification, this commodity indicates a product that is a insufflation filter used in an endoscopic  procedure in a medical setting.  Most nations, for tariff and trade purposes, schedule these products under HS 901839.</t>
  </si>
  <si>
    <t>Endoscopic surgical units</t>
  </si>
  <si>
    <t>In this classification, this commodity indicates a product that is a catheter adapter used in an endoscopic procedure in a medical setting.  US FDA regulates Endoscopic surgical units under 21 CFR 878.44 and under FDA product code GEI.  Most nations, for tariff and trade purposes, schedule these products under HS 901890.</t>
  </si>
  <si>
    <t>42296500</t>
  </si>
  <si>
    <t>Cryosurgery instruments and accessories and supplies</t>
  </si>
  <si>
    <t>In this classification, this class includes, products, components, accessories, and supplies, utilized in cryosurgical medical procedures.</t>
  </si>
  <si>
    <t>Cryosurgery probes</t>
  </si>
  <si>
    <t>In this classification, this commodity indicates a product used as a probe in association with surgery using the local application of intense cold to destroy unwanted tissue. in a medical setting.  US FDA regulates Cryosurgery probes under 21 CFR 886.4170 and under FDA product code HQA.  Most nations, for tariff and trade purposes, schedule these products under HS 901890.</t>
  </si>
  <si>
    <t>Cryosurgery units</t>
  </si>
  <si>
    <t>Cryosurgery unit accessories</t>
  </si>
  <si>
    <t>In this classification, this commodity indicates a product that is either an accessory or consumable associated with Cryosurgery units.  US FDA regulates Cryosurgery unit accessories under 21 CFR 878.4350 and under FDA product code GEH.  Most nations, for tariff and trade purposes, schedule these products under HS 901890.</t>
  </si>
  <si>
    <t>Gastrointestinal supplies</t>
  </si>
  <si>
    <t>In this classification, this commodity indicates a product used as a consumable supply for the stomach and the intestines in a medical setting Most nations, for tariff and trade purposes, schedule these products under HS 901811.</t>
  </si>
  <si>
    <t>Biliary catheters</t>
  </si>
  <si>
    <t>In this classification, this commodity indicates a product used as a catheter conformed to be used  in the liver, gall bladder, and bile duct in a medical setting.  US FDA regulates Biliary catheters under 21 CFR 876.5010 and under FDA product code FGE.  Most nations, for tariff and trade purposes, schedule these products under HS 901839.</t>
  </si>
  <si>
    <t>Biliary stone dislodgers</t>
  </si>
  <si>
    <t>In this classification, this commodity indicates a product used as a device that dislodges and removes  stones of the liver, gall bladder, and bile ducts in a medical setting.  US FDA regulates Biliary stone dislodgers under 21 CFR 876.5010 and under FDA product code LQR.  Most nations, for tariff and trade purposes, schedule these products under HS 901890.</t>
  </si>
  <si>
    <t>Common bile duct dilators</t>
  </si>
  <si>
    <t>In this classification, this commodity indicates a product used as a  dilator for exploring the common duct and gall bladder in a medical setting.  US FDA regulates Common bile duct dilators under 21 CFR 876.5010 and under FDA product code FGE.  Most nations, for tariff and trade purposes, schedule these products under HS 901890.</t>
  </si>
  <si>
    <t>Implanted fecal incontinence devices</t>
  </si>
  <si>
    <t>In this classification, this commodity indicates a product used as a device  is a surgically implanted device used to help a patient reduce the number of bowel accidents in a medical setting.  US FDA regulates Implanted fecal incontinence devices under 21 CFR 876.1620 and under FDA product code FAP.  Most nations, for tariff and trade purposes, schedule these products under HS 901890.</t>
  </si>
  <si>
    <t>42296600</t>
  </si>
  <si>
    <t>Medical stereotactic systems</t>
  </si>
  <si>
    <t>In this classification, this class includes, products, components, accessories, and supplies, utilized in stereotactic based medical procedures.</t>
  </si>
  <si>
    <t>Neurological stereotaxic instruments</t>
  </si>
  <si>
    <t>In this classification, this commodity indicates a product used as an instrument conformed to be used in a neurological stereotactic procedure  in a medical setting.  US FDA regulates Neurological stereotaxic instruments under 21 CFR 882.4560 and under FDA product code HAW.  Most nations, for tariff and trade purposes, schedule these products under HS 901890.</t>
  </si>
  <si>
    <t>Neurological stereotaxic systems</t>
  </si>
  <si>
    <t>In this classification, this commodity indicates a system consisting of products, consumables and accessories that are used to execute a neurological stereotaxic procedure in a medical setting.  US FDA regulates Neurological stereotaxic systems under 21 CFR 883.4560 and under FDA product code HAW.  Most nations, for tariff and trade purposes, schedule these products under HS 901890.</t>
  </si>
  <si>
    <t>Orthopedic stereotaxic instruments</t>
  </si>
  <si>
    <t>In this classification, this commodity indicates a product that is used as an stereotaxic instrument used in an orthopedic procedure, in a medical setting.  Most nations, for tariff and trade purposes, schedule these products under HS 901890.</t>
  </si>
  <si>
    <t>Orthopedic stereotaxic systems</t>
  </si>
  <si>
    <t>In this classification, this commodity indicates a system consisting of products, consumables and accessories that are used to execute an orthopedic stereotaxic procedure in a medical setting.  Most nations, for tariff and trade purposes, schedule these products under HS 901890.</t>
  </si>
  <si>
    <t>Patient specific manual orthopedic stereotaxic systems</t>
  </si>
  <si>
    <t>In this classification, this commodity indicates a system consisting of products, consumables and accessories that are used to execute a patient specific manual orthopedic stereotaxic procedure in a medical setting.  Most nations, for tariff and trade purposes, schedule these products under HS 901890.</t>
  </si>
  <si>
    <t>Real-time intraoperative MRI neurological stereotaxic instruments</t>
  </si>
  <si>
    <t>In this classification, this commodity indicates a product used as an instrument conformed to be used in an intraoperative mri neurological stereotactic procedure  in a medical setting Most nations, for tariff and trade purposes, schedule these products under HS 901890.</t>
  </si>
  <si>
    <t>Stereotactic biopsy systems</t>
  </si>
  <si>
    <t>In this classification, this commodity indicates a system consisting of products, consumables and accessories that are used to execute a stereotactic biopsy procedure in a medical setting.  US FDA regulates Stereotactic biopsy systems under 21 CFR 892.1710 and under FDA product code IZH.  Most nations, for tariff and trade purposes, schedule these products under HS 901890.</t>
  </si>
  <si>
    <t>Stereotactic instrument drive systems</t>
  </si>
  <si>
    <t>In this classification, this commodity indicates a system consisting of products, consumables and accessories that are used to execute a stereotactic instrument drive procedure in a medical setting.  Most nations, for tariff and trade purposes, schedule these products under HS 901890.</t>
  </si>
  <si>
    <t>Stereotactic radiosurgery systems</t>
  </si>
  <si>
    <t>In this classification, this commodity indicates a system consisting of products, consumables and accessories that are used to execute a stereotactic radiosurgery procedure in a medical setting.  Most nations, for tariff and trade purposes, schedule these products under HS 901890.</t>
  </si>
  <si>
    <t>Stereotactic remote magnetic navigation systems</t>
  </si>
  <si>
    <t>In this classification, this commodity indicates a system consisting of products, consumables and accessories that are used to execute a stereotactic remote magnetic navigation procedure in a medical setting.  Most nations, for tariff and trade purposes, schedule these products under HS 901890.</t>
  </si>
  <si>
    <t>Stereotactic system target confirmation, planning, and tracking software</t>
  </si>
  <si>
    <t>In this classification, this commodity indicates a product used as the software associated with a stereotactic system used to conduct interventions which makes use of a three-dimensional coordinate system to locate small targets inside the body and to perform on them some action such as ablation, biopsy, lesion, injection, stimulation, implantation, radiosurgery in a medical setting.  US FDA regulates Stereotactic system target confirmation, planning, and tracking software under 21 CFR 882.4560 and under FDA product code HAW.  Most nations, for tariff and trade purposes, schedule these products under HS 852349.</t>
  </si>
  <si>
    <t>Stereotactic system components and assemblies</t>
  </si>
  <si>
    <t>In this classification, this commodity indicates a product used as a component or assembly for a system that performs a medical intervention which makes use of a three-dimensional coordinate system to locate small targets inside the body and to perform on them some action such as ablation, biopsy, lesion, injection, stimulation, implantation, radiosurgery  in a medical setting Most nations, for tariff and trade purposes, schedule these products under HS 901890.</t>
  </si>
  <si>
    <t>Stereotactic therapy headframes</t>
  </si>
  <si>
    <t>In this classification, this commodity indicates a product used as a headframe involved in a stereotactic therapy procedure in a medical setting Most nations, for tariff and trade purposes, schedule these products under HS 901890.</t>
  </si>
  <si>
    <t>Stereotactic treatment delivery systems</t>
  </si>
  <si>
    <t>In this classification, this commodity indicates a system consisting of products, consumables and accessories that are used to execute a stereotactic treatment delivery procedure in a medical setting.  Most nations, for tariff and trade purposes, schedule these products under HS 901890.</t>
  </si>
  <si>
    <t>Stereotactic therapy systems</t>
  </si>
  <si>
    <t>In this classification, this commodity indicates a system consisting of products, consumables and accessories that are used to execute a stereotactic therapy procedure in a medical setting.  Most nations, for tariff and trade purposes, schedule these products under HS 901890.</t>
  </si>
  <si>
    <t>42296700</t>
  </si>
  <si>
    <t>Surgical bone cements and related products</t>
  </si>
  <si>
    <t>In this classification, this class includes, products, components, accessories, and supplies, utilized in surgical bone cementing based medical procedures.</t>
  </si>
  <si>
    <t>Cranial repair resin kits</t>
  </si>
  <si>
    <t>In this classification, this commodity indicates a product that is a prepackaged collection (either custom or standard) of the equipment and supplies that enable cranial repair resin use in a medical setting.  Most nations, for tariff and trade purposes, schedule these products under HS 901890.</t>
  </si>
  <si>
    <t>Surgical bone cement mixers</t>
  </si>
  <si>
    <t>In this classification, this commodity indicates a product used as a bone cement mixer during a surgical procedure in a medical setting Most nations, for tariff and trade purposes, schedule these products under HS 902129.</t>
  </si>
  <si>
    <t>Surgical bone cement injectors</t>
  </si>
  <si>
    <t>In this classification, this commodity indicates a product used as a bone cement injector during a surgical procedure in a medical setting Most nations, for tariff and trade purposes, schedule these products under HS 902129.</t>
  </si>
  <si>
    <t>Surgical bone cement kits</t>
  </si>
  <si>
    <t>In this classification, this commodity indicates a product that is a prepackaged collection (either custom or standard) of the equipment and supplies that enable surgical bone cement use in a medical setting.  Most nations, for tariff and trade purposes, schedule these products under HS 902129.</t>
  </si>
  <si>
    <t>Surgical bone cements</t>
  </si>
  <si>
    <t>In this classification, this commodity indicates a product used as bone cement during a surgical procedure in a medical setting Most nations, for tariff and trade purposes, schedule these products under HS 300640.</t>
  </si>
  <si>
    <t>Surgical bone cement injector accessories</t>
  </si>
  <si>
    <t>In this classification, this commodity indicates a product that is either an accessory or consumable associated with surgical bone cement injectors.  Most nations, for tariff and trade purposes, schedule these products under HS 902129.</t>
  </si>
  <si>
    <t>Surgical bone cement mixer accessories</t>
  </si>
  <si>
    <t>In this classification, this commodity indicates a product used as a component or attachment for a bone cement mixer used during a surgical procedure in a medical setting.  Most nations, for tariff and trade purposes, schedule surgical bone cement mixer accessories under HS 902129.</t>
  </si>
  <si>
    <t>Surgical bone cement kit accessories</t>
  </si>
  <si>
    <t>In this classification, this commodity indicates a product used as a kit of components and consumable supplies for bone cement during a surgical procedure in a medical setting.  Most nations, for tariff and trade purposes, schedule surgical bone cement kit accessories under HS 300640.</t>
  </si>
  <si>
    <t>42296800</t>
  </si>
  <si>
    <t>Surgical instruments and accessories</t>
  </si>
  <si>
    <t>In this classification, this class includes, products, components, accessories, and supplies, utilized in surgical based medical procedures.</t>
  </si>
  <si>
    <t>Cardiovascular or thoracic surgical instruments</t>
  </si>
  <si>
    <t>In this classification, this commodity indicates a product used as a set of instruments during a cardiovascular or thoracic surgical procedure in a medical setting.  Most nations, for tariff and trade purposes, schedule these products under HS 901890.</t>
  </si>
  <si>
    <t>General surgical instruments</t>
  </si>
  <si>
    <t>In this classification, this commodity indicates a product used as a set of instruments during a general surgical procedure in a medical setting.  Most nations, for tariff and trade purposes, schedule these products under HS 901811.</t>
  </si>
  <si>
    <t>Micro or delicate or plastic surgery instruments</t>
  </si>
  <si>
    <t>In this classification, this commodity indicates a product used as a various instruments conformed to be used in ophthalmic surgery procedures  in a medical setting Most nations, for tariff and trade purposes, schedule these products under HS 901890.</t>
  </si>
  <si>
    <t>Neurosurgical or spinal instruments</t>
  </si>
  <si>
    <t>In this classification, this commodity indicates a product used as a set of instruments during a neurosurgical or spinal surgical procedure in a medical setting.  Most nations, for tariff and trade purposes, schedule these products under HS 901890.</t>
  </si>
  <si>
    <t>Ophthalmic surgery instruments</t>
  </si>
  <si>
    <t>In this classification, this commodity indicates a product used as a various instruments conformed to be used in micro or delicate plastic surgery procedures  in a medical setting Most nations, for tariff and trade purposes, schedule these products under HS 901890.</t>
  </si>
  <si>
    <t>Maxillofacial surgical instruments</t>
  </si>
  <si>
    <t>In this classification, this commodity indicates a product used as a set of instruments during a maxillofacial surgical procedure in a medical setting.  Most nations, for tariff and trade purposes, schedule these products under HS 901890.</t>
  </si>
  <si>
    <t>Otolaryngological surgical instruments</t>
  </si>
  <si>
    <t>In this classification, this commodity indicates a product used as a set of instruments during a otolaryngological surgical procedure in a medical setting.  Most nations, for tariff and trade purposes, schedule these products under HS 901890.</t>
  </si>
  <si>
    <t>Surgical custom or specialty instruments</t>
  </si>
  <si>
    <t>In this classification, this commodity indicates a product used as a set of custom or specialty instruments during a surgical procedure in a medical setting.  Most nations, for tariff and trade purposes, schedule these products under HS 901890.</t>
  </si>
  <si>
    <t>Urological surgical instruments</t>
  </si>
  <si>
    <t>In this classification, this commodity indicates a product used as a set of instruments during a urological surgical procedure in a medical setting.  Most nations, for tariff and trade purposes, schedule these products under HS 901890.</t>
  </si>
  <si>
    <t>Laparotomy surgical instruments</t>
  </si>
  <si>
    <t>In this classification, this commodity indicates a product used as a set of instruments during a laparotomy surgical procedure in a medical setting.  Most nations, for tariff and trade purposes, schedule these products under HS 901890.</t>
  </si>
  <si>
    <t>Tracheotomy surgical instruments</t>
  </si>
  <si>
    <t>In this classification, this commodity indicates a product used as a set of instruments during a tracheotomy surgical procedure in a medical setting.  Most nations, for tariff and trade purposes, schedule these products under HS 901890.</t>
  </si>
  <si>
    <t>Craniotomy surgical instruments</t>
  </si>
  <si>
    <t>In this classification, this commodity indicates a product used as a set of instruments during a craniotomy surgical procedure in a medical setting.  Most nations, for tariff and trade purposes, schedule these products under HS 901890.</t>
  </si>
  <si>
    <t>Angiography surgical instruments</t>
  </si>
  <si>
    <t>In this classification, this commodity indicates a product used as a set of instruments during a angiographic surgical procedure in a medical setting.  Most nations, for tariff and trade purposes, schedule these products under HS 901890.</t>
  </si>
  <si>
    <t>Gastroscopy surgical instruments</t>
  </si>
  <si>
    <t>In this classification, this commodity indicates a product used as a set of instruments during a gastroscopy surgical procedure in a medical setting.  Most nations, for tariff and trade purposes, schedule these products under HS 901890.</t>
  </si>
  <si>
    <t>Ear nose and throat ENT surgical instruments</t>
  </si>
  <si>
    <t>In this classification, this commodity indicates a product used as a ear nose and throat ent surgical instrument during a surgical procedure in a medical setting Most nations, for tariff and trade purposes, schedule these products under HS 901890.</t>
  </si>
  <si>
    <t>In this classification, this commodity indicates a product used as a surgical instrument in an orthopedic procedure in a medical setting Most nations, for tariff and trade purposes, schedule these products under HS 901890.</t>
  </si>
  <si>
    <t>Surgical instrument accessories</t>
  </si>
  <si>
    <t>In this classification, this commodity indicates a product that is either an accessory or consumable associated with surgical instruments.  Most nations, for tariff and trade purposes, schedule these products under HS 901890.</t>
  </si>
  <si>
    <t>Surgical retriever sets</t>
  </si>
  <si>
    <t>In this classification, this commodity indicates a product used as a set of retrievers during a surgical procedure in a medical setting Most nations, for tariff and trade purposes, schedule these products under HS 901890.</t>
  </si>
  <si>
    <t>42300000</t>
  </si>
  <si>
    <t>Medical training and education supplies</t>
  </si>
  <si>
    <t>In this classification, this family includes the products and supplies used in the portion of medical interactions that involve medical training and education based procedures.</t>
  </si>
  <si>
    <t>42301500</t>
  </si>
  <si>
    <t>Aids for medical training</t>
  </si>
  <si>
    <t>In this classification, this class includes, products, components, accessories, and supplies, utilized in medical training.</t>
  </si>
  <si>
    <t>Anatomical human models for medical education or training</t>
  </si>
  <si>
    <t>In this classification, this commodity indicates a product that is used as a medically related anatomical education or training model Most nations, for tariff and trade purposes, schedule these products under HS 980100.</t>
  </si>
  <si>
    <t>Anatomical human mannequins for medical education or training</t>
  </si>
  <si>
    <t>In this classification, this commodity indicates a product that is used as a medically related anatomical education or training mannequin Most nations, for tariff and trade purposes, schedule these products under HS 980100.</t>
  </si>
  <si>
    <t>Cardio pulmonary resuscitation CPR training aids</t>
  </si>
  <si>
    <t>In this classification, this commodity indicates a product used as a cardio pulmonary resuscitation cpr training aid in association with a pulmonary procedure in a medical setting Most nations, for tariff and trade purposes, schedule these products under HS 980100.</t>
  </si>
  <si>
    <t>Kits for medical education or training</t>
  </si>
  <si>
    <t>In this classification, this commodity indicates a product that is a prepackaged collection (either custom or standard) of the equipment and supplies used to perform a medical education or training procedure in a medical setting.  Most nations, for tariff and trade purposes, schedule these products under HS 980100.</t>
  </si>
  <si>
    <t>Nursing or medical clipboards</t>
  </si>
  <si>
    <t>In this classification, this commodity indicates a product that is used as a medically related nursing or medical clipboard Most nations, for tariff and trade purposes, schedule these products under HS 980100.</t>
  </si>
  <si>
    <t>Dual earpiece stethoscopes</t>
  </si>
  <si>
    <t>In this classification, this commodity indicates a product that is used as an acoustic medical device for auscultation, or listening to the internal sounds of an animal or human body that has two sets of earpieces, used in a medical setting Most nations, for tariff and trade purposes, schedule these products under HS 980100.</t>
  </si>
  <si>
    <t>Training videos for medical staff education</t>
  </si>
  <si>
    <t>In this classification, this commodity indicates a product that is used as a medically related staff education training video Most nations, for tariff and trade purposes, schedule these products under HS 980100.</t>
  </si>
  <si>
    <t>Operational or instructional videos for medical equipment</t>
  </si>
  <si>
    <t>In this classification, this commodity indicates a product that is used as a medically related equipment operational or instructional videos Most nations, for tariff and trade purposes, schedule these products under HS 980100.</t>
  </si>
  <si>
    <t>Medical x-ray anthropomorphic phantoms</t>
  </si>
  <si>
    <t>In this classification, this commodity indicates a product that is used as a medically related x-ray anthropomorphic phantom Most nations, for tariff and trade purposes, schedule these products under HS 980100.</t>
  </si>
  <si>
    <t>Cardiac patient simulators</t>
  </si>
  <si>
    <t>In this classification, this commodity indicates a product used as a system to teach bedside cardiac assessment skills to medical staff in a medical setting Most nations, for tariff and trade purposes, schedule these products under HS 980100.</t>
  </si>
  <si>
    <t>Medical radiological source simulators</t>
  </si>
  <si>
    <t>In this classification, this commodity indicates a product that is used as a medically related radiological source simulator Most nations, for tariff and trade purposes, schedule these products under HS 980100.</t>
  </si>
  <si>
    <t>42310000</t>
  </si>
  <si>
    <t>Wound care products</t>
  </si>
  <si>
    <t>In this classification, this family includes the products used in the portion of medical interactions that involve wound care procedures.</t>
  </si>
  <si>
    <t>42311500</t>
  </si>
  <si>
    <t>Bandages and dressings and related products</t>
  </si>
  <si>
    <t>In this classification, this class includes, products, components, accessories, and supplies, utilized in Bandages and dressings based medical procedures.</t>
  </si>
  <si>
    <t>Clips for bandages or dressings</t>
  </si>
  <si>
    <t>In this classification, this commodity indicates a product used as a clip for bandages or dressings in a medical setting Most nations, for tariff and trade purposes, schedule these products under HS 392410.</t>
  </si>
  <si>
    <t>Bandage or dressing trays</t>
  </si>
  <si>
    <t>In this classification, this commodity indicates a product used as a tray for bandages or dressings in a medical setting Most nations, for tariff and trade purposes, schedule these products under HS 392410.</t>
  </si>
  <si>
    <t>Bandage rollers</t>
  </si>
  <si>
    <t>In this classification, this commodity indicates a product used as a  strip or roll of gauze or other material for wrapping or binding any part of the body in a medical settingBandage rollers under 21 CFR and under FDA product code EFQ.  Most nations, for tariff and trade purposes, schedule these products under HS 300590.</t>
  </si>
  <si>
    <t>Compression bandages</t>
  </si>
  <si>
    <t>In this classification, this commodity indicates a product used as a bandage that stops the flow of blood from an artery by applying pressure in a medical setting.  US FDA regulates Compression bandages under 21 CFR 880.5240 and under FDA product code KGX.  Most nations, for tariff and trade purposes, schedule these products under HS 300590.</t>
  </si>
  <si>
    <t>Foam dressings</t>
  </si>
  <si>
    <t>In this classification, this commodity indicates a product used as a dressing converted into foam  of  used in wound treatment in a medical setting.  US FDA regulates Foam dressings under 21 CFR 878.4780 and under FDA product code OMP.  Most nations, for tariff and trade purposes, schedule these products under HS 300510.</t>
  </si>
  <si>
    <t>Gauze sponges</t>
  </si>
  <si>
    <t>In this classification, this commodity indicates a product used as a surgical sponge made of gauze used in a medical setting.  US FDA regulates Gauze sponges under 21 CFR 880.2740 and under FDA product code LWH.  Most nations, for tariff and trade purposes, schedule these products under HS 300590.</t>
  </si>
  <si>
    <t>Gel dressings</t>
  </si>
  <si>
    <t>In this classification, this commodity indicates a product used as a dressing converted into gel form  of  used in wound treatment in a medical settingGel dressings under 21 CFR and under FDA product code MGQ.  Most nations, for tariff and trade purposes, schedule these products under HS 300510.</t>
  </si>
  <si>
    <t>Hydrocolloid dressings</t>
  </si>
  <si>
    <t>In this classification, this commodity indicates a product used as a dressing made of hydrocolloid material used in wound treatment in a medical setting.  US FDA regulates Hydrocolloid dressings under 21 CFR 880.5090 and under FDA product code KMF.  Most nations, for tariff and trade purposes, schedule these products under HS 300510.</t>
  </si>
  <si>
    <t>Liquid adhesives for bandages or dressings</t>
  </si>
  <si>
    <t>In this classification, this commodity indicates a product used as a liquid adhesive for bandages or dressings in a medical setting.  US FDA regulates Liquid adhesives for bandages or dressings under 21 CFR 888.5090 and under FDA product code KMF.  Most nations, for tariff and trade purposes, schedule these products under HS 300610.</t>
  </si>
  <si>
    <t>Medical eye pads or patches</t>
  </si>
  <si>
    <t>In this classification, this commodity indicates a product that is used as a medically related eye pad or patchUS FDA regulates Medical eye pads or patches under 21 CFR 886.4750 and under FDA product code HOY.  Most nations, for tariff and trade purposes, schedule these products under HS 300610.</t>
  </si>
  <si>
    <t>Medical non adherent straps</t>
  </si>
  <si>
    <t>In this classification, this commodity indicates a product that is used as a medically related non adherent tape Most nations, for tariff and trade purposes, schedule these products under HS 300590.</t>
  </si>
  <si>
    <t>Medical non adherent tapes</t>
  </si>
  <si>
    <t>In this classification, this commodity indicates a product that is used as a medically related non adherent strap Most nations, for tariff and trade purposes, schedule these products under HS 300590.</t>
  </si>
  <si>
    <t>Paste bandages</t>
  </si>
  <si>
    <t>In this classification, this commodity indicates a product used as a gauze roll bandage saturated with zinc oxide (with or without calamine lotion) used to improve venous circulation, reduce swelling, and promote healing of wounds. in a medical settingPaste bandages under 21 CFR and under FDA product code FRO.  Most nations, for tariff and trade purposes, schedule these products under HS 300610.</t>
  </si>
  <si>
    <t>Petrolatum dressings</t>
  </si>
  <si>
    <t>In this classification, this commodity indicates a product used as a dressing impregnated with petrolatum used in wound treatment in a medical settingPetrolatum dressings under 21 CFR and under FDA product code MGP.  Most nations, for tariff and trade purposes, schedule these products under HS 300510.</t>
  </si>
  <si>
    <t>Transparent film dressings</t>
  </si>
  <si>
    <t>In this classification, this commodity indicates a product used as a dressing made of transparent file  used in wound treatment in a medical settingTransparent film dressings under 21 CFR and under FDA product code FRO.  Most nations, for tariff and trade purposes, schedule these products under HS 300510.</t>
  </si>
  <si>
    <t>Wet dressing systems</t>
  </si>
  <si>
    <t>In this classification, this commodity indicates a system consisting of products, consumables and accessories that are used to execute a Wet dressing procedure in a medical setting.  US FDA regulates Wet dressing systems under 21 CFR 888.5090 and under FDA product code KMF.  Most nations, for tariff and trade purposes, schedule these products under HS 901890.</t>
  </si>
  <si>
    <t>Dressing covers for general use</t>
  </si>
  <si>
    <t>In this classification, this commodity indicates a product used as a pre-formed cover for a dressing used in wound treatment in a medical setting Most nations, for tariff and trade purposes, schedule these products under HS 901832.</t>
  </si>
  <si>
    <t>Bandage scissors or its supplies</t>
  </si>
  <si>
    <t>In this classification, this commodity indicates either a scissor or the consumables associated with the application, maintenace and removal of a bandage in a medical setting.  US FDA regulates Bandage scissors or its supplies under 21 CFR 878.48 and under FDA product code FZT.  Most nations, for tariff and trade purposes, schedule these products under HS 901850.</t>
  </si>
  <si>
    <t>Bandage applicators</t>
  </si>
  <si>
    <t>In this classification, this commodity indicates a product used to apply tubular or possibly adhesive bandages in a medical setting Most nations, for tariff and trade purposes, schedule these products under HS 300590.</t>
  </si>
  <si>
    <t>Alginate dressings</t>
  </si>
  <si>
    <t>In this classification, this commodity indicates a product used as a dressing impregnated with algae used in wound treatment in a medical settingAlginate dressings under 21 CFR and under FDA product code FRO.  Most nations, for tariff and trade purposes, schedule these products under HS 300590.</t>
  </si>
  <si>
    <t>Biological dressings</t>
  </si>
  <si>
    <t>In this classification, this commodity indicates a product used as a protective dressing containing biologic treatments in a medical setting Most nations, for tariff and trade purposes, schedule these products under HS 300590.</t>
  </si>
  <si>
    <t>Dressing retainers</t>
  </si>
  <si>
    <t>In this classification, this commodity indicates a product used as a  clip or retainer used to immobilize and structure dressing used to treat wounds  in a medical setting.  US FDA regulates Dressing retainers under 21 CFR 880.5075 and under FDA product code FQM.  Most nations, for tariff and trade purposes, schedule these products under HS 300590.</t>
  </si>
  <si>
    <t>Liquid bandages</t>
  </si>
  <si>
    <t>In this classification, this commodity indicates a product used as a bandage with pre applied liquid that stops the flow of blood from an artery by applying pressure in a medical setting Most nations, for tariff and trade purposes, schedule these products under HS 300610.</t>
  </si>
  <si>
    <t>Non adhesive dry bandages or dressings</t>
  </si>
  <si>
    <t>In this classification, this commodity indicates a product used as a dry bandage that stops the flow of blood from an artery by applying pressure in a medical setting Most nations, for tariff and trade purposes, schedule these products under HS 300510.</t>
  </si>
  <si>
    <t>Adhesive dry bandages</t>
  </si>
  <si>
    <t>In this classification, this commodity indicates a product used as a  dry bandage with pre applied adhesive that stops the flow of blood from an artery by applying pressure in a medical setting Most nations, for tariff and trade purposes, schedule these products under HS 300510.</t>
  </si>
  <si>
    <t>Compound or composite bandages</t>
  </si>
  <si>
    <t>In this classification, this commodity indicates a product used as a structured from components bandage with pre applied compounds that stops the flow of blood from an artery by applying pressure in a medical setting Most nations, for tariff and trade purposes, schedule these products under HS 300590.</t>
  </si>
  <si>
    <t>Medical or surgical tape dispensers</t>
  </si>
  <si>
    <t>In this classification, this commodity indicates a product used as a tape dispenser during a surgical procedure in a medical setting Most nations, for tariff and trade purposes, schedule these products under HS 300590.</t>
  </si>
  <si>
    <t>Impregnated packing gauzes</t>
  </si>
  <si>
    <t>In this classification, this commodity indicates a product used as a packer or filler impregnated with drugs or medicaments  used in open wounds to forestall infraction and enable healing in a medical setting Most nations, for tariff and trade purposes, schedule these products under HS 300590.</t>
  </si>
  <si>
    <t>Dry packing gauzes</t>
  </si>
  <si>
    <t>In this classification, this commodity indicates a product used as a packer or filler of open wounds to forestall infraction and enable healing in a medical setting Most nations, for tariff and trade purposes, schedule these products under HS 300590.</t>
  </si>
  <si>
    <t>Medical or surgical tape removers</t>
  </si>
  <si>
    <t>In this classification, this commodity indicates a product used as a tape remover during a medical or surgical procedure in a medical setting Most nations, for tariff and trade purposes, schedule these products under HS 901890.</t>
  </si>
  <si>
    <t>Medical and surgical adherent tapes for general use</t>
  </si>
  <si>
    <t>In this classification, this commodity indicates a product used as a adherent tape during a medical or surgical procedure in a medical setting Most nations, for tariff and trade purposes, schedule these products under HS 300610.</t>
  </si>
  <si>
    <t>42311600</t>
  </si>
  <si>
    <t>Hemostatic agents</t>
  </si>
  <si>
    <t>In this classification, this class includes, products, components, accessories, and supplies, utilized in Hemostatic based medical procedures.</t>
  </si>
  <si>
    <t>Topical hemostatic agents</t>
  </si>
  <si>
    <t>In this classification, this commodity indicates a product used as a mixture used as an adjunct or alternative to standard suturing techniques to control bleeding or for wound closure  in a medical setting Most nations, for tariff and trade purposes, schedule these products under HS 300339.</t>
  </si>
  <si>
    <t>Surgical hemostatic agents</t>
  </si>
  <si>
    <t>In this classification, this commodity indicates a product used as a hemostatic agent during a surgical procedure in a medical setting Most nations, for tariff and trade purposes, schedule these products under HS 300339.</t>
  </si>
  <si>
    <t>42312000</t>
  </si>
  <si>
    <t>Medical tissue closure and related products</t>
  </si>
  <si>
    <t>In this classification, this class includes, products, components, accessories, and supplies, utilized in Medical tissue closure based medical procedures.</t>
  </si>
  <si>
    <t>Medical clips for external use</t>
  </si>
  <si>
    <t>In this classification, this commodity indicates a product that is used as a medically related clip for external use Most nations, for tariff and trade purposes, schedule these products under HS 901839.</t>
  </si>
  <si>
    <t>Medical adhesive or glue or tape removers</t>
  </si>
  <si>
    <t>In this classification, this commodity indicates a product that is used as a medically related adhesive or glue or tape remover Most nations, for tariff and trade purposes, schedule these products under HS 901819.</t>
  </si>
  <si>
    <t>Medical adhesives or glues for skin closure</t>
  </si>
  <si>
    <t>In this classification, this commodity indicates a product that is used as a medically related adhesive or glue for skin closureUS FDA regulates Medical adhesives or glues for skin closure under 21 CFR 880.5240 and under FDA product code KGX.  Most nations, for tariff and trade purposes, schedule these products under HS 300610.</t>
  </si>
  <si>
    <t>Medical clip appliers for internal use</t>
  </si>
  <si>
    <t>In this classification, this commodity indicates a product that is used as a medically related clip applier for internal use Most nations, for tariff and trade purposes, schedule these products under HS 901890.</t>
  </si>
  <si>
    <t>Medical clips for internal use</t>
  </si>
  <si>
    <t>In this classification, this commodity indicates a product that is used as a medically related clip for internal use Most nations, for tariff and trade purposes, schedule these products under HS 901890.</t>
  </si>
  <si>
    <t>Medical staplers for internal use</t>
  </si>
  <si>
    <t>In this classification, this commodity indicates a product that is used as a medically related stapler for external useUS FDA regulates Medical staplers for internal use under 21 CFR 878.4750 and under FDA product code gdw.  Most nations, for tariff and trade purposes, schedule these products under HS 901890.</t>
  </si>
  <si>
    <t>Medical staplers for external use</t>
  </si>
  <si>
    <t>In this classification, this commodity indicates a product that is used as a medically related stapler for internal useUS FDA regulates Medical staplers for external use under 21 CFR 878.4750 and under FDA product code gdw.  Most nations, for tariff and trade purposes, schedule these products under HS 901890.</t>
  </si>
  <si>
    <t>Medical staples for internal use</t>
  </si>
  <si>
    <t>In this classification, this commodity indicates a product that is used as a medically related staple for internal useUS FDA regulates Medical staples for internal use under 21 CFR 878.4750 and under FDA product code gdw.  Most nations, for tariff and trade purposes, schedule these products under HS 901819.</t>
  </si>
  <si>
    <t>Medical staples for external use</t>
  </si>
  <si>
    <t>In this classification, this commodity indicates a product that is used as a medically related staple for external useUS FDA regulates Medical staples for external use under 21 CFR 878.4750 and under FDA product code gdw.  Most nations, for tariff and trade purposes, schedule these products under HS 901819.</t>
  </si>
  <si>
    <t>Fascial anchors</t>
  </si>
  <si>
    <t>In this classification, this commodity indicates a product used as an anchor to secure the closure of the open abdomen with the abdominal reapproximation in a medical setting Most nations, for tariff and trade purposes, schedule these products under HS 901819.</t>
  </si>
  <si>
    <t>Anastomosis rings</t>
  </si>
  <si>
    <t>In this classification, this commodity indicates a product used as an item to be used on a bar product holder to secure insertion during bowel obstruction surgical procedures in a medical setting Most nations, for tariff and trade purposes, schedule these products under HS 901819.</t>
  </si>
  <si>
    <t>Surgical tissue tapes</t>
  </si>
  <si>
    <t>In this classification, this commodity indicates a product used as a tissue tape during a surgical procedure in a medical setting Most nations, for tariff and trade purposes, schedule these products under HS 821300.</t>
  </si>
  <si>
    <t>42312100</t>
  </si>
  <si>
    <t>Ostomy supplies and non surgical wound drainage products</t>
  </si>
  <si>
    <t>In this classification, this class includes, products, components, accessories, and supplies, utilized in Ostomy and non-surgical wound drainage based medical procedures.</t>
  </si>
  <si>
    <t>Ostomy appliance adhesives</t>
  </si>
  <si>
    <t>In this classification, this commodity indicates a product used as an adhesive for ostomy appliances used in a medical setting Most nations, for tariff and trade purposes, schedule these products under HS 300610.</t>
  </si>
  <si>
    <t>Ostomy appliances</t>
  </si>
  <si>
    <t>In this classification, this commodity indicates an appliance used to create the alteration of tissue required in an ostomy procedure done in a medical setting.  US FDA regulates Ostomy appliances under 21 CFR 876.59 and under FDA product code EXB.  Most nations, for tariff and trade purposes, schedule these products under HS 300691.</t>
  </si>
  <si>
    <t>Ostomy cleaners or deodorants</t>
  </si>
  <si>
    <t>In this classification, this commodity indicates a product used as an cleaner or deodorant for ostomy appliances used in a medical setting Most nations, for tariff and trade purposes, schedule these products under HS 901819.</t>
  </si>
  <si>
    <t>Ostomy collection supplies</t>
  </si>
  <si>
    <t>In this classification, this commodity indicates a product used as an set of collection supplies used during ostomy procedures in a medical setting Most nations, for tariff and trade purposes, schedule these products under HS 901819.</t>
  </si>
  <si>
    <t>Ostomy skin barriers or protective care kits</t>
  </si>
  <si>
    <t>In this classification, this commodity indicates a product that is a prepackaged collection (either custom or standard) of the equipment and supplies that enable ostomy skin barriers use in a medical setting.  US FDA regulates Ostomy skin barriers or protective care kits under 21 CFR 876.59 and under FDA product code EXB.  Most nations, for tariff and trade purposes, schedule these products under HS 901819.</t>
  </si>
  <si>
    <t>Ostomy inserts</t>
  </si>
  <si>
    <t>In this classification, this commodity indicates a product used as an insert used during ostomy procedures in a medical setting Most nations, for tariff and trade purposes, schedule these products under HS 901890.</t>
  </si>
  <si>
    <t>Ostomy wafers</t>
  </si>
  <si>
    <t>In this classification, this commodity indicates a product used as an wafer used during ostomy procedures in a medical setting Most nations, for tariff and trade purposes, schedule these products under HS 901890.</t>
  </si>
  <si>
    <t>Wound drainage pouches</t>
  </si>
  <si>
    <t>In this classification, this commodity indicates a product used as an external pouch for managing fistulas, managing multiple or irregular stomas, or high output wounds  in a medical setting Most nations, for tariff and trade purposes, schedule these products under HS 392690.</t>
  </si>
  <si>
    <t>Ostomy bag rings</t>
  </si>
  <si>
    <t>In this classification, this commodity indicates a product used as a bag ring used during ostomy procedures in a medical setting Most nations, for tariff and trade purposes, schedule these products under HS 901819.</t>
  </si>
  <si>
    <t>Ostomy starter kits</t>
  </si>
  <si>
    <t>In this classification, this commodity indicates a product that is a prepackaged collection (either custom or standard) of the equipment and supplies that enable ostomy starter use in a medical setting.  Most nations, for tariff and trade purposes, schedule these products under HS 901890.</t>
  </si>
  <si>
    <t>Ostomy bag covers</t>
  </si>
  <si>
    <t>In this classification, this commodity indicates a product used as a bag cover used during ostomy procedures in a medical setting Most nations, for tariff and trade purposes, schedule these products under HS 901832.</t>
  </si>
  <si>
    <t>Ostomy belts</t>
  </si>
  <si>
    <t>In this classification, this commodity indicates a product used as a belt used during ostomy procedures in a medical setting Most nations, for tariff and trade purposes, schedule these products under HS 901890.</t>
  </si>
  <si>
    <t>Ostomy bag plugs</t>
  </si>
  <si>
    <t>In this classification, this commodity indicates a product used as a irrigation sleeve used during ostomy procedures in a medical setting Most nations, for tariff and trade purposes, schedule these products under HS 901819.</t>
  </si>
  <si>
    <t>Ostomy irrigation sleeves</t>
  </si>
  <si>
    <t>In this classification, this commodity indicates a product used as a bag plug used during ostomy procedures in a medical setting Most nations, for tariff and trade purposes, schedule these products under HS 901890.</t>
  </si>
  <si>
    <t>Ostomy catheter fixation kits</t>
  </si>
  <si>
    <t>In this classification, this commodity indicates a product that is a prepackaged collection (either custom or standard) of the equipment and supplies that enable ostomy catheter fixation use in a medical setting.  Most nations, for tariff and trade purposes, schedule these products under HS 902110.</t>
  </si>
  <si>
    <t>Hemostatic bags</t>
  </si>
  <si>
    <t>In this classification, this commodity indicates a product used as a bag used to prevent post prostatectomy hemorrhage  in a medical setting Most nations, for tariff and trade purposes, schedule these products under HS 392690.</t>
  </si>
  <si>
    <t>Ureterostomy sets</t>
  </si>
  <si>
    <t>In this classification, this commodity indicates a product used as a set of instruments used in a ureterostomy is the creation of a stoma (a new, artificial outlet) for a ureter or kidney in a medical setting Most nations, for tariff and trade purposes, schedule these products under HS 901890.</t>
  </si>
  <si>
    <t>Stomal bags</t>
  </si>
  <si>
    <t>In this classification, this commodity indicates a product used as a bag to collect urine and feces while being attached to a stoma created  in a medical setting Most nations, for tariff and trade purposes, schedule these products under HS 392690.</t>
  </si>
  <si>
    <t>Ostomy measuring guides or cards</t>
  </si>
  <si>
    <t>In this classification, this commodity indicates a product used as a measuring guide or card used during ostomy procedures in a medical setting Most nations, for tariff and trade purposes, schedule these products under HS 901819.</t>
  </si>
  <si>
    <t>42312200</t>
  </si>
  <si>
    <t>Sutures and related products</t>
  </si>
  <si>
    <t>In this classification, this class includes, products, components, accessories, and supplies, utilized in suturing procedures.</t>
  </si>
  <si>
    <t>In this classification, this commodity indicates a product used as to create a stitch or row of stitches holding together the edges of a wound or surgical incision  in a medical setting.  US FDA regulates Sutures under 21 CFR 878.4830 and under FDA product code GAL.  Most nations, for tariff and trade purposes, schedule these products under HS 300610.</t>
  </si>
  <si>
    <t>Suturing kits or trays or packs or sets</t>
  </si>
  <si>
    <t>In this classification, this commodity indicates a product that is a prepackaged collection (either custom or standard) of the equipment and supplies that enable suture use in a medical setting.  US FDA regulates Suturing kits or trays or packs or sets under 21 CFR 876.5130 and under FDA product code EZL.  Most nations, for tariff and trade purposes, schedule these products under HS 392410.</t>
  </si>
  <si>
    <t>Suture buttons or bridges</t>
  </si>
  <si>
    <t>In this classification, this commodity indicates a product used as a device attached to sutures that enable attachment to external devices that enforce stability and retard movement around the incision  in a medical setting Most nations, for tariff and trade purposes, schedule these products under HS 901832.</t>
  </si>
  <si>
    <t>Suture boots and capturing devices</t>
  </si>
  <si>
    <t>In this classification, this commodity indicates a product used as a  small coverings that go on clamps to retain the suture and to keep the clamp from cutting the suture in a medical setting Most nations, for tariff and trade purposes, schedule these products under HS 901832.</t>
  </si>
  <si>
    <t>Suture needles</t>
  </si>
  <si>
    <t>In this classification, this commodity indicates a product that is a hollow needle commonly used with a syringe to inject or extract substances or fluids associated with a procedure.  US FDA regulates Suture needles under 21 CFR 878.5 and under FDA product code GAT.  Most nations, for tariff and trade purposes, schedule these products under HS 901832.</t>
  </si>
  <si>
    <t>Suture removal kits or trays or packs or sets</t>
  </si>
  <si>
    <t>In this classification, this commodity indicates a product that is a prepackaged collection (either custom or standard) of the equipment and supplies that enable suture removal procedures in a medical setting.  Most nations, for tariff and trade purposes, schedule these products under HS 901832.</t>
  </si>
  <si>
    <t>Suture removers</t>
  </si>
  <si>
    <t>In this classification, this commodity indicates a product used as an instrument used in the  removal of a stitch or row of stitches holding together the edges of a wound or surgical incision in a medical setting Most nations, for tariff and trade purposes, schedule these products under HS 902110.</t>
  </si>
  <si>
    <t>Umbilical tapes</t>
  </si>
  <si>
    <t>In this classification, this commodity indicates a product used as a tape that can tie off an umbilical cord  in a medical setting Most nations, for tariff and trade purposes, schedule these products under HS 300590.</t>
  </si>
  <si>
    <t>Suture identification markers</t>
  </si>
  <si>
    <t>In this classification, this commodity indicates a product used as an identification marker in the preparation of applying a stitch or row of stitches holding together the edges of a wound or surgical incision in a medical setting Most nations, for tariff and trade purposes, schedule these products under HS 901780.</t>
  </si>
  <si>
    <t>Suture button or bridge accessories</t>
  </si>
  <si>
    <t>In this classification, this commodity indicates a product that is either an accessory or consumable associated with suture buttons or bridges.  Most nations, for tariff and trade purposes, schedule these products under HS 901890.</t>
  </si>
  <si>
    <t>42312300</t>
  </si>
  <si>
    <t>Wound cleaning and debridement products</t>
  </si>
  <si>
    <t>In this classification, this class includes, products, components, accessories, and supplies, utilized in Wound cleaning and debridement based medical procedures.</t>
  </si>
  <si>
    <t>Absorbers for wound cleansing</t>
  </si>
  <si>
    <t>In this classification, this commodity indicates a product used as a piece of material to absorb treatments and dead or compromise tissue from a wound in a medical setting.  US FDA regulates Absorbers for wound cleansing under 21 CFR 878.4018 and under FDA product code KOZ.  Most nations, for tariff and trade purposes, schedule these products under HS 300590.</t>
  </si>
  <si>
    <t>Debridement sponges</t>
  </si>
  <si>
    <t>In this classification, this commodity indicates a product used as a  is the process of removing dead tissue from wounds in a medical settingDebridement sponges under 21 CFR and under FDA product code EFQ.  Most nations, for tariff and trade purposes, schedule these products under HS 300590.</t>
  </si>
  <si>
    <t>Pulsed lavage systems for wound treatment</t>
  </si>
  <si>
    <t>In this classification, this commodity indicates a system consisting of products, consumables and accessories that are used to execute a pulsed lavage for wound treatment procedure in a medical setting.  US FDA regulates Pulsed lavage systems for wound treatment under 21 CFR 880.5475 and under FDA product code FQH.  Most nations, for tariff and trade purposes, schedule these products under HS 901890.</t>
  </si>
  <si>
    <t>Autolytic debridement products</t>
  </si>
  <si>
    <t>In this classification, this commodity indicates a product used as a autolytic solution used in  the process of removing dead tissue from wounds in a medical setting Most nations, for tariff and trade purposes, schedule these products under HS 901890.</t>
  </si>
  <si>
    <t>Enzymatic debridement products</t>
  </si>
  <si>
    <t>In this classification, this commodity indicates a product used as an enzyme solution used in the process of removing dead tissue from wounds in a medical setting Most nations, for tariff and trade purposes, schedule these products under HS 901890.</t>
  </si>
  <si>
    <t>Mechanical debridement products</t>
  </si>
  <si>
    <t>In this classification, this commodity indicates a product used as a  sponge used in the process of removing dead tissue from wounds in a medical setting Most nations, for tariff and trade purposes, schedule these products under HS 901890.</t>
  </si>
  <si>
    <t>Surgical debridement products</t>
  </si>
  <si>
    <t>In this classification, this commodity indicates a product used as a debridement product during a surgical procedure in a medical setting Most nations, for tariff and trade purposes, schedule these products under HS 901890.</t>
  </si>
  <si>
    <t>Wound irrigation systems</t>
  </si>
  <si>
    <t>In this classification, this commodity indicates a system consisting of products, consumables and accessories that are used to execute a wound irrigation procedure in a medical setting.  US FDA regulates Wound irrigation systems under 21 CFR 878.4780 and under FDA product code OMP.  Most nations, for tariff and trade purposes, schedule these products under HS 901890.</t>
  </si>
  <si>
    <t>Wound cleansing bottles</t>
  </si>
  <si>
    <t>In this classification, this commodity indicates a product used as a bottle used to hold liquid solutions used in the cleaning of a wound  in a medical setting Most nations, for tariff and trade purposes, schedule these products under HS 701090.</t>
  </si>
  <si>
    <t>Wound disinfectant kits</t>
  </si>
  <si>
    <t>In this classification, this commodity indicates a product.  Most nations, for tariff and trade purposes, schedule these products under HS 380894.</t>
  </si>
  <si>
    <t>Wound care or cleansing trays</t>
  </si>
  <si>
    <t>In this classification, this commodity indicates a product used as a tray holding instruments, solutions and consumable supplies  used in the cleaning of a wound  in a medical setting Most nations, for tariff and trade purposes, schedule these products under HS 392410.</t>
  </si>
  <si>
    <t>Wound cleaning solutions</t>
  </si>
  <si>
    <t>In this classification, this commodity indicates a product used as  liquid solution used in the cleaning of a wound  in a medical setting Most nations, for tariff and trade purposes, schedule these products under HS 300339.</t>
  </si>
  <si>
    <t>Maggot debridement products</t>
  </si>
  <si>
    <t>In this classification, this commodity indicates a product used as a type of biotherapy involving the introduction of live, disinfected maggots (fly larvae) into the non-healing skin and soft tissue wound of a human or animal for the purpose of cleaning out the necrotic tissue within a wound and disinfection in a medical setting Most nations, for tariff and trade purposes, schedule these products under HS 902110.</t>
  </si>
  <si>
    <t>Pulsed lavage system accessories for wound treatment</t>
  </si>
  <si>
    <t>In this classification, this commodity indicates a product that is either an accessory or consumable associated with pulsed lavage systems.  Most nations, for tariff and trade purposes, schedule these products under HS 902110.</t>
  </si>
  <si>
    <t>42312400</t>
  </si>
  <si>
    <t>Wound packing products</t>
  </si>
  <si>
    <t>In this classification, this class includes, products, components, accessories, and supplies, utilized in Wound packing based medical procedures.</t>
  </si>
  <si>
    <t>Calcium alginate wound packing</t>
  </si>
  <si>
    <t>In this classification, this commodity indicates a product used as an absorbent wound care products that contain sodium and calcium fibers derived from seaweed in a medical settingCalcium alginate wound packing under 21 CFR and under FDA product code FRO.  Most nations, for tariff and trade purposes, schedule these products under HS 902110.</t>
  </si>
  <si>
    <t>Nasal splints or stents</t>
  </si>
  <si>
    <t>In this classification, this commodity indicates a product used as a stent or splint intending to locate and form the nasal passage after a surgical or other nasal medical procedure has been don in a medical setting.  US FDA regulates Nasal splints or stents under 21 CFR 874.4780 and under FDA product code LYA.  Most nations, for tariff and trade purposes, schedule these products under HS 901839.</t>
  </si>
  <si>
    <t>Packing strips for wound care</t>
  </si>
  <si>
    <t>In this classification, this commodity indicates a product used as a cotton gauze strips intended to aid sterile drainage of open and or infected wounds in a medical settingPacking strips for wound care under 21 CFR and under FDA product code FRO.  Most nations, for tariff and trade purposes, schedule these products under HS 300590.</t>
  </si>
  <si>
    <t>42312500</t>
  </si>
  <si>
    <t>Wound supports and supplies and accessories</t>
  </si>
  <si>
    <t>In this classification, this class includes, products, components, accessories, and supplies, utilized in Wound supporting based medical procedures.</t>
  </si>
  <si>
    <t>Mammary support binders</t>
  </si>
  <si>
    <t>In this classification, this commodity indicates a fitted elastic material that goes around the mammary glands. It may be used to support muscles. It also keeps bandages in place, or helps incisions heal after abdominal or pelvic surgery product in a medical setting Most nations, for tariff and trade purposes, schedule these products under HS 902110.</t>
  </si>
  <si>
    <t>Abdominal binders</t>
  </si>
  <si>
    <t>In this classification, this commodity indicates a fitted elastic material that goes around your abdomen. It may be used to support muscles. It also keeps bandages in place, or helps incisions heal after abdominal or pelvic surgery product in a medical setting.  US FDA regulates Abdominal binders under 21 CFR 890.3490 and under FDA product code KTD.  Most nations, for tariff and trade purposes, schedule these products under HS 902110.</t>
  </si>
  <si>
    <t>Scrotal supports</t>
  </si>
  <si>
    <t>In this classification, this commodity indicates a product used as a fabricated garment mostly used by bed ridden patients to help prevent fragile skin sheer when the patient is transferred for testing or moved for perineal cleaning in a medical setting Most nations, for tariff and trade purposes, schedule these products under HS 902110.</t>
  </si>
  <si>
    <t>Facial support garments</t>
  </si>
  <si>
    <t>In this classification, this commodity indicates a product used as a facial compression garment that tightens up facial contours or at least to avoid/minimize sagging in a medical setting Most nations, for tariff and trade purposes, schedule these products under HS 902110.</t>
  </si>
  <si>
    <t>Perineal binders</t>
  </si>
  <si>
    <t>In this classification, this commodity indicates a product used as a form that securely holds anal, perineal and sacral dressings in place without the use of tape or other adhesive in a medical setting Most nations, for tariff and trade purposes, schedule these products under HS 902110.</t>
  </si>
  <si>
    <t>42312600</t>
  </si>
  <si>
    <t>Negative pressure and oxygen therapy wound care products</t>
  </si>
  <si>
    <t>In this classification, this class includes, products, components, accessories, and supplies, utilized in Negative pressure and oxygen therapy wound care based medical procedures.</t>
  </si>
  <si>
    <t>Negative pressure wound therapy equipment</t>
  </si>
  <si>
    <t>In this classification, this commodity indicates a product that is the equipment used to perform negative pressure wound therapy procedure in a medical setting.  US FDA regulates Negative pressure wound therapy equipment under 21 CFR 878.4780 and under FDA product code OMP.  Most nations, for tariff and trade purposes, schedule these products under HS 901890.</t>
  </si>
  <si>
    <t>Negative pressure wound therapy systems or kits</t>
  </si>
  <si>
    <t>In this classification, this commodity indicates a product that is a prepackaged collection (either custom or standard) of the equipment and supplies used to perform negative pressure wound therapy procedure in a medical setting.  US FDA regulates Negative pressure wound therapy systems or kits under 21 CFR 878.4780 and under FDA product code OMP.  Most nations, for tariff and trade purposes, schedule these products under HS 901890.</t>
  </si>
  <si>
    <t>Negative pressure dressings</t>
  </si>
  <si>
    <t>In this classification, this commodity indicates a product that is a dressing used to perform negative pressure wound therapy procedure in a medical setting.  Most nations, for tariff and trade purposes, schedule these products under HS 300510.</t>
  </si>
  <si>
    <t>Topical wound oxygen therapy single use chambers</t>
  </si>
  <si>
    <t>In this classification, this commodity indicates a product used as a single use chamber containing oxygen used as a topical wound treatment in a medical setting.  Most nations, for tariff and trade purposes, schedule these products under HS 901890.</t>
  </si>
  <si>
    <t>42320000</t>
  </si>
  <si>
    <t>Orthopedic surgical implants</t>
  </si>
  <si>
    <t>In this classification, this family includes medical equipment and components, used in the medical treatment focused on surgical implantations.</t>
  </si>
  <si>
    <t>42321500</t>
  </si>
  <si>
    <t>Orthopedic trauma implants</t>
  </si>
  <si>
    <t>In this classification, this class includes products, components, accessories, and supplies utilized in orthopedic trauma implant based medical procedures.</t>
  </si>
  <si>
    <t>In this classification, this commodity indicates a product used as a wire during a surgical procedure in a medical setting.  Most nations, for tariff and trade purposes, schedule these products under HS 902110.</t>
  </si>
  <si>
    <t>Intramedullary nails or rods</t>
  </si>
  <si>
    <t>In this classification, this commodity indicates a product used as an intramedullary nail or rod in a surgical procedure in a medical setting.  Most nations, for tariff and trade purposes, schedule these products under HS 902110.</t>
  </si>
  <si>
    <t>In this classification, this commodity indicates a product used as a bone plate in a surgical procedure in a medical setting.  Most nations, for tariff and trade purposes, schedule these products under HS 902110.</t>
  </si>
  <si>
    <t>In this classification, this commodity indicates a product used as a bone screw in a surgical procedure in a medical setting.  Most nations, for tariff and trade purposes, schedule these products under HS 902110.</t>
  </si>
  <si>
    <t>In this classification, this commodity indicates a product used as an internal bone fixation set in a surgical procedure in a medical setting.  Most nations, for tariff and trade purposes, schedule these products under HS 902110.</t>
  </si>
  <si>
    <t>Orthopedic nuts</t>
  </si>
  <si>
    <t>In this classification, this commodity indicates a product used as an orthopedic nut in a surgical procedure in a medical setting.  Most nations, for tariff and trade purposes, schedule these products under HS 902110.</t>
  </si>
  <si>
    <t>In this classification, this commodity indicates a product used as an orthopedic washer in a surgical procedure in a medical setting.  Most nations, for tariff and trade purposes, schedule these products under HS 902110.</t>
  </si>
  <si>
    <t>Orthopedic caps</t>
  </si>
  <si>
    <t>In this classification, this commodity indicates a product used as an orthopedic cap in a surgical procedure in a medical setting.  Most nations, for tariff and trade purposes, schedule these products under HS 902110.</t>
  </si>
  <si>
    <t>In this classification, this commodity indicates a product used as a permanent bone fixation pin or peg in a surgical procedure in a medical setting.  Most nations, for tariff and trade purposes, schedule these products under HS 902110.</t>
  </si>
  <si>
    <t>Temporary fixation pin or wire</t>
  </si>
  <si>
    <t>In this classification, this commodity indicates a product used as a temporary fixation pin or wire in a surgical procedure in a medical setting.  Most nations, for tariff and trade purposes, schedule these products under HS 902110.</t>
  </si>
  <si>
    <t>In this classification, this commodity indicates a product used as a bone fixation staple in a surgical procedure in a medical setting.  Most nations, for tariff and trade purposes, schedule these products under HS 902110.</t>
  </si>
  <si>
    <t>Intramedullary nail blades</t>
  </si>
  <si>
    <t>In this classification, this commodity indicates a product used as an intramedullary nail blade in a surgical procedure in a medical setting.  Most nations, for tariff and trade purposes, schedule these products under HS 902110.</t>
  </si>
  <si>
    <t>Intramedullary nail locking bolts</t>
  </si>
  <si>
    <t>In this classification, this commodity indicates a product used as an intramedullary nail locking bolt in a surgical procedure in a medical setting.  Most nations, for tariff and trade purposes, schedule these products under HS 902110.</t>
  </si>
  <si>
    <t>Surgical wire accessories</t>
  </si>
  <si>
    <t>In this classification, this commodity indicates a product that is either an accessory or consumable associated with surgical wiring.  Most nations, for tariff and trade purposes, schedule these products under HS 902110.</t>
  </si>
  <si>
    <t>External bone fixation sets</t>
  </si>
  <si>
    <t>In this classification, this commodity indicates a product used as an external bone fixation set in a surgical procedure in a medical setting.  Most nations, for tariff and trade purposes, schedule these products under HS 902110.</t>
  </si>
  <si>
    <t>42321600</t>
  </si>
  <si>
    <t>Spinal implants</t>
  </si>
  <si>
    <t>In this classification, this class includes, products, components, accessories, and supplies, utilized in spinal implantation based medical procedures.</t>
  </si>
  <si>
    <t>Intervertebral discs</t>
  </si>
  <si>
    <t>In this classification, this commodity indicates a product used as an intervertebral disc in a surgical procedure in a medical setting.  Most nations, for tariff and trade purposes, schedule these products under HS 902110.</t>
  </si>
  <si>
    <t>Spinal cables</t>
  </si>
  <si>
    <t>In this classification, this commodity indicates a product used as a spinal cable in a surgical procedure in a medical setting.  Most nations, for tariff and trade purposes, schedule these products under HS 902110.</t>
  </si>
  <si>
    <t>Kyphoplasty balloon kits or accessories</t>
  </si>
  <si>
    <t>In this classification, this commodity indicates a product that is a prepackaged collection (either custom or standard) of the equipment and supplies used to perform a kyphoplasty balloon procedure in a medical setting.  US FDA regulates Kyphoplasty balloon kits or accessories under 21 CFR 888.3027 and under FDA product code NDN.  Most nations, for tariff and trade purposes, schedule these products under HS 902110.</t>
  </si>
  <si>
    <t>Spinal crosslinking devices</t>
  </si>
  <si>
    <t>In this classification, this commodity indicates a product used as a spinal crosslinking device in a surgical procedure in a medical setting.  Most nations, for tariff and trade purposes, schedule these products under HS 902110.</t>
  </si>
  <si>
    <t>Spinal interbody cages or spacers</t>
  </si>
  <si>
    <t>In this classification, this commodity indicates a product used as a spinal interbody cage or spacer in a surgical procedure in a medical setting.  Most nations, for tariff and trade purposes, schedule these products under HS 901819.</t>
  </si>
  <si>
    <t>Spinal decompression devices</t>
  </si>
  <si>
    <t>In this classification, this commodity indicates a product used as a spinal decompression device in a surgical procedure in a medical setting.  US FDA regulates Spinal decompression devices under 21 CFR 890.59 and under FDA product code ITH.  Most nations, for tariff and trade purposes, schedule these products under HS 902110.</t>
  </si>
  <si>
    <t>Spinal hooks</t>
  </si>
  <si>
    <t>In this classification, this commodity indicates a product used as a spinal hook in a surgical procedure in a medical setting.  US FDA regulates Spinal hooks under 21 CFR 888.3050 and under FDA product code KWP.  Most nations, for tariff and trade purposes, schedule these products under HS 902110.</t>
  </si>
  <si>
    <t>Spinal rods</t>
  </si>
  <si>
    <t>In this classification, this commodity indicates a product used as a spinal rod in a surgical procedure in a medical setting.  US FDA regulates Spinal rods under 21 CFR 888.3050 and under FDA product code KWP.  Most nations, for tariff and trade purposes, schedule these products under HS 902110.</t>
  </si>
  <si>
    <t>Spinal screws</t>
  </si>
  <si>
    <t>In this classification, this commodity indicates a product used as a spinal screw in a surgical procedure in a medical setting.  US FDA regulates Spinal screws under 21 CFR 888.3050 and under FDA product code KWP.  Most nations, for tariff and trade purposes, schedule these products under HS 902110.</t>
  </si>
  <si>
    <t>Spinal plates</t>
  </si>
  <si>
    <t>In this classification, this commodity indicates a product used as a spinal plate in a surgical procedure in a medical setting.  US FDA regulates Spinal plates under 21 CFR 888.3060 and under FDA product code KWQ.  Most nations, for tariff and trade purposes, schedule these products under HS 902110.</t>
  </si>
  <si>
    <t>Spinal sleeve rings or end caps</t>
  </si>
  <si>
    <t>In this classification, this commodity indicates a product used as a spinal sleeve ring or end cap in a surgical procedure in a medical setting.  US FDA regulates Spinal sleeve rings or end caps under 21 CFR 882.5030 and under FDA product code JXH.  Most nations, for tariff and trade purposes, schedule these products under HS 902110.</t>
  </si>
  <si>
    <t>Spinal set screws or blocker or plugs</t>
  </si>
  <si>
    <t>In this classification, this commodity indicates a product used as a spinal set screw or blocker or plug in a surgical procedure in a medical setting.  Most nations, for tariff and trade purposes, schedule these products under HS 902110.</t>
  </si>
  <si>
    <t>Spinal nuts</t>
  </si>
  <si>
    <t>In this classification, this commodity indicates a product used as a spinal nut in a surgical procedure in a medical setting.  Most nations, for tariff and trade purposes, schedule these products under HS 902110.</t>
  </si>
  <si>
    <t>Spinal saddles or cradles</t>
  </si>
  <si>
    <t>In this classification, this commodity indicates a product used as a spinal saddle or cradle in a surgical procedure in a medical setting.  Most nations, for tariff and trade purposes, schedule these products under HS 902110.</t>
  </si>
  <si>
    <t>Spinal connectors or couplers</t>
  </si>
  <si>
    <t>In this classification, this commodity indicates a product used as a spinal connector or coupler in a surgical procedure in a medical setting.  US FDA regulates Spinal connectors or couplers under 21 CFR 888.3050 and under FDA product code KWP.  Most nations, for tariff and trade purposes, schedule these products under HS 902110.</t>
  </si>
  <si>
    <t>Spinal staples</t>
  </si>
  <si>
    <t>In this classification, this commodity indicates a product used as a spinal staple in a surgical procedure in a medical setting.  Most nations, for tariff and trade purposes, schedule these products under HS 902110.</t>
  </si>
  <si>
    <t>Spinal washers</t>
  </si>
  <si>
    <t>In this classification, this commodity indicates a product used as a spinal washer in a surgical procedure in a medical setting.  Most nations, for tariff and trade purposes, schedule these products under HS 902110.</t>
  </si>
  <si>
    <t>Spinal cement restrictors</t>
  </si>
  <si>
    <t>In this classification, this commodity indicates a product used as a spinal cement restrictor in a surgical procedure in a medical setting.  Most nations, for tariff and trade purposes, schedule these products under HS 902110.</t>
  </si>
  <si>
    <t>Spinal bolts</t>
  </si>
  <si>
    <t>In this classification, this commodity indicates a product used as a spinal bolt in a surgical procedure in a medical setting.  Most nations, for tariff and trade purposes, schedule these products under HS 902110.</t>
  </si>
  <si>
    <t>Temporary spinal fixation pins or wires</t>
  </si>
  <si>
    <t>In this classification, this commodity indicates a product used as a temporary spinal fixation pin or wire in a surgical procedure in a medical setting.  Most nations, for tariff and trade purposes, schedule these products under HS 902110.</t>
  </si>
  <si>
    <t>Spinal implant kits or systems</t>
  </si>
  <si>
    <t>In this classification, this commodity indicates a product that is a prepackaged collection (either custom or standard) of the equipment and supplies used to perform a spinal implant procedure in a medical setting.  US FDA regulates Spinal implant kits or systems under 21 CFR 888.3080 and under FDA product code MAX.  Most nations, for tariff and trade purposes, schedule these products under HS 902129.</t>
  </si>
  <si>
    <t>42321700</t>
  </si>
  <si>
    <t>Hip joint implants</t>
  </si>
  <si>
    <t>In this classification, this class includes, products, components, accessories, and supplies, utilized in hip joint implantation based medical procedures.</t>
  </si>
  <si>
    <t>Acetabular cups</t>
  </si>
  <si>
    <t>In this classification, this commodity indicates a product used as an acetabular cup in a surgical procedure in a medical setting.  US FDA regulates Acetabular cups under 21 CFR 888.3358 and under FDA product code LPH.  Most nations, for tariff and trade purposes, schedule these products under HS 902129.</t>
  </si>
  <si>
    <t>In this classification, this commodity indicates a product used as an acetabular cup shell in a surgical procedure in a medical setting.  Most nations, for tariff and trade purposes, schedule these products under HS 902129.</t>
  </si>
  <si>
    <t>In this classification, this commodity indicates a product used as an acetabular cup liner in a surgical procedure in a medical setting.  US FDA regulates Acetabular cup liners under 21 CFR 888.3358 and under FDA product code LPH.  Most nations, for tariff and trade purposes, schedule these products under HS 902129.</t>
  </si>
  <si>
    <t>Femoral heads</t>
  </si>
  <si>
    <t>In this classification, this commodity indicates a product used as a femoral head in a surgical procedure in a medical setting.  US FDA regulates Femoral heads under 21 CFR 888.3353 and under FDA product code LZO.  Most nations, for tariff and trade purposes, schedule these products under HS 902129.</t>
  </si>
  <si>
    <t>Femoral stem distal centralizers</t>
  </si>
  <si>
    <t>In this classification, this commodity indicates a product used as a femoral stem distal centralizer in a surgical procedure in a medical setting.  Most nations, for tariff and trade purposes, schedule these products under HS 902129.</t>
  </si>
  <si>
    <t>Femoral hip stem extensions</t>
  </si>
  <si>
    <t>In this classification, this commodity indicates a product used as a femoral hip stem extension in a surgical procedure in a medical setting.  US FDA regulates Femoral hip stem extensions under 21 CFR 888.3358 and under FDA product code LPH.  Most nations, for tariff and trade purposes, schedule these products under HS 902129.</t>
  </si>
  <si>
    <t>Total hip replacement kits or systems</t>
  </si>
  <si>
    <t>In this classification, this commodity indicates a product that is a prepackaged collection (either custom or standard) of the equipment and supplies used to perform total hip replacement procedure in a medical setting.  US FDA regulates Total hip replacement kits or systems under 21 CFR 882.45 and under FDA product code HAW.  Most nations, for tariff and trade purposes, schedule these products under HS 902129.</t>
  </si>
  <si>
    <t>Femoral hip stems</t>
  </si>
  <si>
    <t>In this classification, this commodity indicates a product used as a femoral hip stem in a surgical procedure in a medical setting.  US FDA regulates Femoral hip stems under 21 CFR 888.3390 and under FDA product code KWY.  Most nations, for tariff and trade purposes, schedule these products under HS 902129.</t>
  </si>
  <si>
    <t>Hip hemiarthroplasty prosthesis</t>
  </si>
  <si>
    <t>In this classification, this commodity indicates a product used as a hip hemiarthroplasty prosthesis in a surgical procedure in a medical setting.  Most nations, for tariff and trade purposes, schedule these products under HS 902129.</t>
  </si>
  <si>
    <t>Femoral modular hip component adapters</t>
  </si>
  <si>
    <t>In this classification, this commodity indicates a product used as a femoral modular hip component adapter in a surgical procedure in a medical setting.  Most nations, for tariff and trade purposes, schedule these products under HS 902129.</t>
  </si>
  <si>
    <t>Resurfacing femoral components</t>
  </si>
  <si>
    <t>In this classification, this commodity indicates a product used as a resurfacing femoral component in a surgical procedure in a medical setting.  Most nations, for tariff and trade purposes, schedule these products under HS 902129.</t>
  </si>
  <si>
    <t>Femoral stem proximal centralizers</t>
  </si>
  <si>
    <t>In this classification, this commodity indicates a product used as a femoral stem proximal centralizer in a surgical procedure in a medical setting.  Most nations, for tariff and trade purposes, schedule these products under HS 902129.</t>
  </si>
  <si>
    <t>Acetabular screws</t>
  </si>
  <si>
    <t>In this classification, this commodity indicates a product used as an acetabular screw in a surgical procedure in a medical setting.  Most nations, for tariff and trade purposes, schedule these products under HS 902110.</t>
  </si>
  <si>
    <t>Acetabular augments</t>
  </si>
  <si>
    <t>In this classification, this commodity indicates a product used as an acetabular augment in a surgical procedure in a medical setting.  US FDA regulates Acetabular augments under 21 CFR 888.3588 and under FDA product code LPH.  Most nations, for tariff and trade purposes, schedule these products under HS 902129.</t>
  </si>
  <si>
    <t>Bi polar or uni polar hip components</t>
  </si>
  <si>
    <t>In this classification, this commodity indicates a product used as a bi polar or uni polar hip component in a surgical procedure in a medical setting.  Most nations, for tariff and trade purposes, schedule these products under HS 902129.</t>
  </si>
  <si>
    <t>Femoral canal cement restrictors</t>
  </si>
  <si>
    <t>In this classification, this commodity indicates a product used as a femoral canal cement restrictor in a surgical procedure in a medical setting.  Most nations, for tariff and trade purposes, schedule these products under HS 902129.</t>
  </si>
  <si>
    <t>Acetabular cages</t>
  </si>
  <si>
    <t>In this classification, this commodity indicates a product used as an acetabular cage in a surgical procedure in a medical setting.  Most nations, for tariff and trade purposes, schedule these products under HS 902129.</t>
  </si>
  <si>
    <t>Acetabular meshes</t>
  </si>
  <si>
    <t>In this classification, this commodity indicates a product used as an acetabular meshe in a surgical procedure in a medical setting.  Most nations, for tariff and trade purposes, schedule these products under HS 902129.</t>
  </si>
  <si>
    <t>Acetabular screw hole covers</t>
  </si>
  <si>
    <t>In this classification, this commodity indicates a product used as an acetabular screw hole cover in a surgical procedure in a medical setting.  Most nations, for tariff and trade purposes, schedule these products under HS 902129.</t>
  </si>
  <si>
    <t>Acetabular hole eliminators or plugs</t>
  </si>
  <si>
    <t>In this classification, this commodity indicates a product used as an acetabular hole eliminator or plug in a surgical procedure in a medical setting.  Most nations, for tariff and trade purposes, schedule these products under HS 902129.</t>
  </si>
  <si>
    <t>Acetabular rings</t>
  </si>
  <si>
    <t>In this classification, this commodity indicates a product used as an acetabular ring in a surgical procedure in a medical setting.  Most nations, for tariff and trade purposes, schedule these products under HS 902129.</t>
  </si>
  <si>
    <t>Femoral necks</t>
  </si>
  <si>
    <t>In this classification, this commodity indicates a product used as a femoral neck in a surgical procedure in a medical setting.  US FDA regulates Femoral necks under 21 CFR 888.3030 and under FDA product code HRS.  Most nations, for tariff and trade purposes, schedule these products under HS 902129.</t>
  </si>
  <si>
    <t>Hip cement spacers</t>
  </si>
  <si>
    <t>In this classification, this commodity indicates a product used as a hip cement spacer in a surgical procedure in a medical setting.  Most nations, for tariff and trade purposes, schedule these products under HS 901819.</t>
  </si>
  <si>
    <t>42321800</t>
  </si>
  <si>
    <t>Knee joint implants</t>
  </si>
  <si>
    <t>In this classification, this class includes, products, components, accessories, and supplies, utilized in knee joint implantation based medical procedures.</t>
  </si>
  <si>
    <t>In this classification, this commodity indicates a product used as a femoral knee component in a surgical procedure in a medical setting.  US FDA regulates Femoral knee components under 21 CFR 888.3510 and under FDA product code KRO.  Most nations, for tariff and trade purposes, schedule these products under HS 902129.</t>
  </si>
  <si>
    <t>In this classification, this commodity indicates a product used as a femoral knee extension stem in a surgical procedure in a medical setting.  Most nations, for tariff and trade purposes, schedule these products under HS 902129.</t>
  </si>
  <si>
    <t>Patellar implants</t>
  </si>
  <si>
    <t>In this classification, this commodity indicates a product used as a patellar implant in a surgical procedure in a medical setting.  Most nations, for tariff and trade purposes, schedule these products under HS 902129.</t>
  </si>
  <si>
    <t>Tibial baseplates or trays</t>
  </si>
  <si>
    <t>In this classification, this commodity indicates a product used as a tibial baseplates or tray in a surgical procedure in a medical setting.  US FDA regulates Tibial baseplates or trays under 21 CFR 888.3520 and under FDA product code HSX.  Most nations, for tariff and trade purposes, schedule these products under HS 902129.</t>
  </si>
  <si>
    <t>In this classification, this commodity indicates a product used as a tibial insert or bearing or articular surface in a surgical procedure in a medical setting.  Most nations, for tariff and trade purposes, schedule these products under HS 902129.</t>
  </si>
  <si>
    <t>In this classification, this commodity indicates a product that is a prepackaged collection (either custom or standard) of the equipment and supplies used to perform total knee replacement procedure in a medical setting.  US FDA regulates Total knee replacement kits or systems under 21 CFR 888.3510 and under FDA product code KRO.  Most nations, for tariff and trade purposes, schedule these products under HS 902129.</t>
  </si>
  <si>
    <t>Tibial or femoral or patellar augments</t>
  </si>
  <si>
    <t>In this classification, this commodity indicates a product used as a tibial or femoral or patellar augment in a surgical procedure in a medical setting.  Most nations, for tariff and trade purposes, schedule these products under HS 902129.</t>
  </si>
  <si>
    <t>Tibial baseplate screws</t>
  </si>
  <si>
    <t>In this classification, this commodity indicates a product used as a tibial baseplate screw in a surgical procedure in a medical setting.  Most nations, for tariff and trade purposes, schedule these products under HS 902129.</t>
  </si>
  <si>
    <t>Augment connection screws</t>
  </si>
  <si>
    <t>In this classification, this commodity indicates a product used as an augment connection screw in a surgical procedure in a medical setting.  Most nations, for tariff and trade purposes, schedule these products under HS 902110.</t>
  </si>
  <si>
    <t>Knee joint spacers</t>
  </si>
  <si>
    <t>In this classification, this commodity indicates a product used as a knee joint spacer in a surgical procedure in a medical setting.  Most nations, for tariff and trade purposes, schedule these products under HS 902129.</t>
  </si>
  <si>
    <t>In this classification, this commodity indicates a product used as a femoral knee wedge in a surgical procedure in a medical setting.  Most nations, for tariff and trade purposes, schedule these products under HS 902129.</t>
  </si>
  <si>
    <t>Tibial axles</t>
  </si>
  <si>
    <t>In this classification, this commodity indicates a product used as a tibial axle in a surgical procedure in a medical setting.  Most nations, for tariff and trade purposes, schedule these products under HS 902129.</t>
  </si>
  <si>
    <t>Tibial bushings</t>
  </si>
  <si>
    <t>In this classification, this commodity indicates a product used as a tibial bushing in a surgical procedure in a medical setting.  Most nations, for tariff and trade purposes, schedule these products under HS 902129.</t>
  </si>
  <si>
    <t>Knee cement spacers</t>
  </si>
  <si>
    <t>In this classification, this commodity indicates a product used as a knee cement spacer in a surgical procedure in a medical setting.  Most nations, for tariff and trade purposes, schedule these products under HS 901819.</t>
  </si>
  <si>
    <t>42321900</t>
  </si>
  <si>
    <t>Shoulder joint implants</t>
  </si>
  <si>
    <t>In this classification, this class includes, products, components, accessories, and supplies, utilized in should joint implantation based medical procedures.</t>
  </si>
  <si>
    <t>In this classification, this commodity indicates a product used as a humeral head in a surgical procedure in a medical setting.  US FDA regulates Humeral heads under 21 CFR 888.3660 and under FDA product code KWS.  Most nations, for tariff and trade purposes, schedule these products under HS 902129.</t>
  </si>
  <si>
    <t>In this classification, this commodity indicates a product used as a humeral stem in a surgical procedure in a medical setting.  US FDA regulates Humeral stems under 21 CFR 888.3660 and under FDA product code PHX.  Most nations, for tariff and trade purposes, schedule these products under HS 902129.</t>
  </si>
  <si>
    <t>in this classification, this commodity indicates a product used as a resurfacing humeral component in a surgical procedure in a medical setting.  US FDA regulates Resurfacing humeral components under 21 CFR 888.3690 and under FDA product code HSD.  Most nations, for tariff and trade purposes, schedule these products under HS 902129.</t>
  </si>
  <si>
    <t>Glenoid spheres</t>
  </si>
  <si>
    <t>in this classification, this commodity indicates a product used as a glenoid sphere in a surgical procedure in a medical setting.  US FDA regulates Glenoid spheres under 21 CFR 888.3660 and under FDA product code KWT.  Most nations, for tariff and trade purposes, schedule these products under HS 902129.</t>
  </si>
  <si>
    <t>Glenoid fixation components</t>
  </si>
  <si>
    <t>in this classification, this commodity indicates a product used as a glenoid fixation component in a surgical procedure in a medical setting.  Most nations, for tariff and trade purposes, schedule these products under HS 902110.</t>
  </si>
  <si>
    <t>Humeral insert liners or cups</t>
  </si>
  <si>
    <t>in this classification, this commodity indicates a product used as a humeral insert liner or cup in a surgical procedure in a medical setting.  Most nations, for tariff and trade purposes, schedule these products under HS 902129.</t>
  </si>
  <si>
    <t>Humeral canal cement restrictors</t>
  </si>
  <si>
    <t>in this classification, this commodity indicates a product used as a humeral canal cement restrictor in a surgical procedure in a medical setting.  Most nations, for tariff and trade purposes, schedule these products under HS 902129.</t>
  </si>
  <si>
    <t>Humeral shells or sockets</t>
  </si>
  <si>
    <t>in this classification, this commodity indicates a product used as a humeral shell or socket in a surgical procedure in a medical setting.  US FDA regulates Humeral shells or sockets under 21 CFR 888.3660 and under FDA product code KWS.  Most nations, for tariff and trade purposes, schedule these products under HS 902129.</t>
  </si>
  <si>
    <t>in this classification, this commodity indicates a product used as a humeral stem centralizer or sleeve in a surgical procedure in a medical setting.  Most nations, for tariff and trade purposes, schedule these products under HS 902129.</t>
  </si>
  <si>
    <t>in this classification, this commodity indicates a product used as a humeral bodie in a surgical procedure in a medical setting.  Most nations, for tariff and trade purposes, schedule these products under HS 902129.</t>
  </si>
  <si>
    <t>Total or partial shoulder replacement kits or systems</t>
  </si>
  <si>
    <t>In this classification, this commodity indicates a product that is a prepackaged collection (either custom or standard) of the equipment and supplies used to perform total or partial shoulder replacement procedure in a medical setting.  US FDA regulates Total or partial shoulder replacement kits or systems under 21 CFR 888.3660 and under FDA product code KWS.  Most nations, for tariff and trade purposes, schedule these products under HS 902129.</t>
  </si>
  <si>
    <t>Shoulder cement spacers</t>
  </si>
  <si>
    <t>in this classification, this commodity indicates a product used as a shoulder cement spacer in a surgical procedure in a medical setting.  Most nations, for tariff and trade purposes, schedule these products under HS 901819.</t>
  </si>
  <si>
    <t>42322000</t>
  </si>
  <si>
    <t>Distal joint orthopedic implants</t>
  </si>
  <si>
    <t>In this classification, this class includes, products, components, accessories, and supplies, utilized in orthopedic distal joint based medical procedures.</t>
  </si>
  <si>
    <t>Ankle joint implants</t>
  </si>
  <si>
    <t>in this classification, this commodity indicates a product used as an ankle joint implant in a surgical procedure in a medical setting.  Most nations, for tariff and trade purposes, schedule these products under HS 902129.</t>
  </si>
  <si>
    <t>Wrist joint implants</t>
  </si>
  <si>
    <t>in this classification, this commodity indicates a product used as a wrist joint implant in a surgical procedure in a medical setting.  Most nations, for tariff and trade purposes, schedule these products under HS 902129.</t>
  </si>
  <si>
    <t>Elbow joint implants</t>
  </si>
  <si>
    <t>in this classification, this commodity indicates a product used as an elbow joint implant in a surgical procedure in a medical setting.  Most nations, for tariff and trade purposes, schedule these products under HS 902129.</t>
  </si>
  <si>
    <t>Finger joint implants</t>
  </si>
  <si>
    <t>in this classification, this commodity indicates a product used as a finger joint implant in a surgical procedure in a medical setting.  US FDA regulates Finger joint implants under 21 CFR 888.3230 and under FDA product code KYG.  Most nations, for tariff and trade purposes, schedule these products under HS 902129.</t>
  </si>
  <si>
    <t>Toe joint implants</t>
  </si>
  <si>
    <t>in this classification, this commodity indicates a product used as a toe joint implant in a surgical procedure in a medical setting.  US FDA regulates Toe joint implants under 21 CFR 888.3040 and under FDA product code HTY.  Most nations, for tariff and trade purposes, schedule these products under HS 902129.</t>
  </si>
  <si>
    <t>Tendon rods or spacers</t>
  </si>
  <si>
    <t>in this classification, this commodity indicates a product used as a tendon rods or spacer in a surgical procedure in a medical setting.  US FDA regulates Tendon rods or spacers under 21 CFR 888.3025 and under FDA product code HXA.  Most nations, for tariff and trade purposes, schedule these products under HS 901819.</t>
  </si>
  <si>
    <t>in this classification, this commodity indicates a product used as an orthopedic toe implant sizer set in a surgical procedure in a medical setting.  Most nations, for tariff and trade purposes, schedule these products under HS 901819.</t>
  </si>
  <si>
    <t>Orthotic caliper plates</t>
  </si>
  <si>
    <t>in this classification, this commodity indicates a product used as an orthotic caliper plate in a surgical procedure in a medical setting.  Most nations, for tariff and trade purposes, schedule these products under HS 902129.</t>
  </si>
  <si>
    <t>Ankle cement spacers</t>
  </si>
  <si>
    <t>in this classification, this commodity indicates a product used as an ankle cement spacer in a surgical procedure in a medical setting.  Most nations, for tariff and trade purposes, schedule these products under HS 901819.</t>
  </si>
  <si>
    <t>42322100</t>
  </si>
  <si>
    <t>Orthopedic trial implant sizers</t>
  </si>
  <si>
    <t>In this classification, this class includes, products, components, accessories, and supplies, utilized in the sizing of orthopedic trial implantation based medical procedures.</t>
  </si>
  <si>
    <t>in this classification, this commodity indicates a product used as a knee trial implant sizer in a surgical procedure in a medical setting.  Most nations, for tariff and trade purposes, schedule these products under HS 901819.</t>
  </si>
  <si>
    <t>Hip trial implant sizers</t>
  </si>
  <si>
    <t>in this classification, this commodity indicates a product used as a hip trial implant sizer in a surgical procedure in a medical setting.  Most nations, for tariff and trade purposes, schedule these products under HS 901819.</t>
  </si>
  <si>
    <t>Shoulder trial implant sizers</t>
  </si>
  <si>
    <t>in this classification, this commodity indicates a product used as a shoulder trial implant sizer in a surgical procedure in a medical setting.  Most nations, for tariff and trade purposes, schedule these products under HS 901819.</t>
  </si>
  <si>
    <t>Distal joint trial implant sizers</t>
  </si>
  <si>
    <t>in this classification, this commodity indicates a product used as a distal joint trial implant sizer in a surgical procedure in a medical setting.  Most nations, for tariff and trade purposes, schedule these products under HS 901819.</t>
  </si>
  <si>
    <t>Spinal trial implant sizers</t>
  </si>
  <si>
    <t>in this classification, this commodity indicates a product used as a spinal trial implant sizer in a surgical procedure in a medical setting.  Most nations, for tariff and trade purposes, schedule these products under HS 901819.</t>
  </si>
  <si>
    <t>Trauma trial implant sizers</t>
  </si>
  <si>
    <t>in this classification, this commodity indicates a product used as a trauma trial implant sizer in a surgical procedure in a medical setting.  Most nations, for tariff and trade purposes, schedule these products under HS 901819.</t>
  </si>
  <si>
    <t>42322200</t>
  </si>
  <si>
    <t>Soft tissue fixation products</t>
  </si>
  <si>
    <t>In this classification, this class includes, products, components, accessories, and supplies, utilized in the fixation of soft tissue implantation based medical procedures.</t>
  </si>
  <si>
    <t>Interference screws</t>
  </si>
  <si>
    <t>in this classification, this commodity indicates a product used as an interference screw in a surgical procedure in a medical setting.  Most nations, for tariff and trade purposes, schedule these products under HS 902129.</t>
  </si>
  <si>
    <t>Soft tissue non-suture anchors</t>
  </si>
  <si>
    <t>in this classification, this commodity indicates a product used as a soft tissue non-suture anchor in a surgical procedure in a medical setting.  Most nations, for tariff and trade purposes, schedule these products under HS 902129.</t>
  </si>
  <si>
    <t>Suture anchors</t>
  </si>
  <si>
    <t>in this classification, this commodity indicates a product used as a suture anchor in a surgical procedure in a medical setting.  Most nations, for tariff and trade purposes, schedule these products under HS 901832.</t>
  </si>
  <si>
    <t>Soft tissue fixation washers</t>
  </si>
  <si>
    <t>in this classification, this commodity indicates a product used as a soft tissue fixation washer in a surgical procedure in a medical setting.  Most nations, for tariff and trade purposes, schedule these products under HS 902110.</t>
  </si>
  <si>
    <t>Soft tissue fixation pins</t>
  </si>
  <si>
    <t>in this classification, this commodity indicates a product used as a soft tissue fixation pin in a surgical procedure in a medical setting.  Most nations, for tariff and trade purposes, schedule these products under HS 902110.</t>
  </si>
  <si>
    <t>Soft tissue staples</t>
  </si>
  <si>
    <t>in this classification, this commodity indicates a product used as a soft tissue staple in a surgical procedure in a medical setting.  Most nations, for tariff and trade purposes, schedule these products under HS 902129.</t>
  </si>
  <si>
    <t>42322300</t>
  </si>
  <si>
    <t>Orthopedic thoracic implants</t>
  </si>
  <si>
    <t>In this classification, this class includes, products, components, accessories, and supplies, utilized in orthopedic thoracic implantation based medical procedures.</t>
  </si>
  <si>
    <t>Pectus bars</t>
  </si>
  <si>
    <t>in this classification, this commodity indicates a product used as a pectus bar in a surgical procedure in a medical setting.  Most nations, for tariff and trade purposes, schedule these products under HS 902129.</t>
  </si>
  <si>
    <t>Sternal closure devices</t>
  </si>
  <si>
    <t>in this classification, this commodity indicates a product used as a sternal closure device in a surgical procedure in a medical setting.  Most nations, for tariff and trade purposes, schedule these products under HS 902110.</t>
  </si>
  <si>
    <t>42322400</t>
  </si>
  <si>
    <t>Limb salvage implants</t>
  </si>
  <si>
    <t>In this classification, this class includes, products, components, accessories, and supplies, utilized in the salvaging of limb implantation based medical procedures.</t>
  </si>
  <si>
    <t>Upper body limb salvage implants</t>
  </si>
  <si>
    <t>in this classification, this commodity indicates a product used as an upper body limb salvage implant in a surgical procedure in a medical setting.  Most nations, for tariff and trade purposes, schedule these products under HS 902129.</t>
  </si>
  <si>
    <t>Lower body limb salvage implants</t>
  </si>
  <si>
    <t>in this classification, this commodity indicates a product used as a lower body limb salvage implant in a surgical procedure in a medical setting.  Most nations, for tariff and trade purposes, schedule these products under HS 902129.</t>
  </si>
  <si>
    <t>Limb salvage implant accessories</t>
  </si>
  <si>
    <t>In this classification, this commodity indicates a product that is either an accessory or consumable associated with limb salvage implants.  Most nations, for tariff and trade purposes, schedule these products under HS 902129.</t>
  </si>
  <si>
    <t>42322500</t>
  </si>
  <si>
    <t>External fixation components</t>
  </si>
  <si>
    <t>In this classification, this class includes, products, components, accessories, and supplies, utilized in external fixation based medical procedures.</t>
  </si>
  <si>
    <t>External fixation rods</t>
  </si>
  <si>
    <t>in this classification, this commodity indicates a product used as an external fixation rods in a surgical procedure in a medical setting.  Most nations, for tariff and trade purposes, schedule these products under HS 902110.</t>
  </si>
  <si>
    <t>External fixation rings or halos</t>
  </si>
  <si>
    <t>in this classification, this commodity indicates a product used as an external fixation rings or halo in a surgical procedure in a medical setting.  Most nations, for tariff and trade purposes, schedule these products under HS 902110.</t>
  </si>
  <si>
    <t>External fixation couplers or clamps</t>
  </si>
  <si>
    <t>in this classification, this commodity indicates a product used as an external fixation couplers or clamp in a surgical procedure in a medical setting.  Most nations, for tariff and trade purposes, schedule these products under HS 902110.</t>
  </si>
  <si>
    <t>External fixation management systems</t>
  </si>
  <si>
    <t>In this classification, this commodity indicates a system consisting of products, consumables and accessories that are used to execute an external fixation management procedure in a medical setting.  Most nations, for tariff and trade purposes, schedule these products under HS 902110.</t>
  </si>
  <si>
    <t>Commodity2</t>
  </si>
  <si>
    <t>Sterilizer sterilant concentrates or cassettes or cartridges</t>
  </si>
  <si>
    <t>Spinal Trial Implant</t>
  </si>
  <si>
    <t>Eustachian catheter, single-use</t>
  </si>
  <si>
    <t>A long, flexible tube used for middle ear drainage and/or temporary equalization of the pressure on both sides of the eardrum via insufflation. The distal tip is passed along the floor of the nose and guided into the Eustachian tube; air may be blown through the device and into the middle ear. It is typically made of plastic. This is a single-use device.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</si>
</sst>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44" formatCode="_(&quot;$&quot;* #,##0.00_);_(&quot;$&quot;* \(#,##0.00\);_(&quot;$&quot;* &quot;-&quot;??_);_(@_)"/>
  </numFmts>
  <fonts count="18" x14ac:knownFonts="1">
    <font>
      <sz val="11"/>
      <color theme="1"/>
      <name val="Calibri"/>
      <family val="2"/>
      <scheme val="minor"/>
    </font>
    <font>
      <sz val="10"/>
      <color theme="1"/>
      <name val="Tahoma"/>
      <family val="2"/>
    </font>
    <font>
      <sz val="10"/>
      <name val="Tahoma"/>
      <family val="2"/>
    </font>
    <font>
      <sz val="9"/>
      <name val="Tahoma"/>
      <family val="2"/>
    </font>
    <font>
      <b/>
      <sz val="9"/>
      <name val="Tahoma"/>
      <family val="2"/>
    </font>
    <font>
      <u/>
      <sz val="10"/>
      <color theme="10"/>
      <name val="Tahoma"/>
      <family val="2"/>
    </font>
    <font>
      <u/>
      <sz val="10"/>
      <name val="Tahoma"/>
      <family val="2"/>
    </font>
    <font>
      <b/>
      <u/>
      <sz val="10"/>
      <name val="Tahoma"/>
      <family val="2"/>
    </font>
    <font>
      <sz val="9"/>
      <color theme="1"/>
      <name val="Tahoma"/>
      <family val="2"/>
    </font>
    <font>
      <sz val="10"/>
      <color theme="1"/>
      <name val="Calibri"/>
      <family val="2"/>
      <scheme val="minor"/>
    </font>
    <font>
      <sz val="10"/>
      <name val="Calibri"/>
      <family val="2"/>
      <scheme val="minor"/>
    </font>
    <font>
      <sz val="11"/>
      <color rgb="FF333333"/>
      <name val="Arial"/>
      <family val="2"/>
    </font>
    <font>
      <sz val="9"/>
      <color rgb="FF333333"/>
      <name val="Arial"/>
      <family val="2"/>
    </font>
    <font>
      <b/>
      <sz val="8"/>
      <color rgb="FF000000"/>
      <name val="Tahoma"/>
      <family val="2"/>
    </font>
    <font>
      <b/>
      <sz val="9"/>
      <color rgb="FF000000"/>
      <name val="Tahoma"/>
      <family val="2"/>
    </font>
    <font>
      <sz val="8"/>
      <color rgb="FF000000"/>
      <name val="Tahoma"/>
      <family val="2"/>
    </font>
    <font>
      <sz val="9"/>
      <color rgb="FF000000"/>
      <name val="Tahoma"/>
      <family val="2"/>
    </font>
    <font>
      <sz val="11"/>
      <color theme="1"/>
      <name val="Calibri"/>
      <family val="2"/>
      <scheme val="minor"/>
    </font>
  </fonts>
  <fills count="5">
    <fill>
      <patternFill patternType="none"/>
    </fill>
    <fill>
      <patternFill patternType="gray125"/>
    </fill>
    <fill>
      <patternFill patternType="solid">
        <fgColor rgb="FF70AD47"/>
        <bgColor rgb="FFC0C0C0"/>
      </patternFill>
    </fill>
    <fill>
      <patternFill patternType="solid">
        <fgColor rgb="FFC0C0C0"/>
        <bgColor rgb="FFC0C0C0"/>
      </patternFill>
    </fill>
    <fill>
      <patternFill patternType="solid">
        <fgColor theme="4" tint="0.79998168889431442"/>
        <bgColor theme="4" tint="0.79998168889431442"/>
      </patternFill>
    </fill>
  </fills>
  <borders count="8">
    <border>
      <left/>
      <right/>
      <top/>
      <bottom/>
      <diagonal/>
    </border>
    <border>
      <left/>
      <right/>
      <top style="thin">
        <color theme="4"/>
      </top>
      <bottom/>
      <diagonal/>
    </border>
    <border>
      <left/>
      <right/>
      <top style="medium">
        <color rgb="FFAEAEAE"/>
      </top>
      <bottom/>
      <diagonal/>
    </border>
    <border>
      <left/>
      <right/>
      <top/>
      <bottom style="medium">
        <color rgb="FFAEAEAE"/>
      </bottom>
      <diagonal/>
    </border>
    <border>
      <left style="thin">
        <color rgb="FFD0D7E5"/>
      </left>
      <right style="thin">
        <color rgb="FFD0D7E5"/>
      </right>
      <top style="thin">
        <color rgb="FFD0D7E5"/>
      </top>
      <bottom style="thin">
        <color rgb="FFD0D7E5"/>
      </bottom>
      <diagonal/>
    </border>
    <border>
      <left style="thin">
        <color indexed="64"/>
      </left>
      <right style="thin">
        <color indexed="64"/>
      </right>
      <top/>
      <bottom style="thin">
        <color indexed="64"/>
      </bottom>
      <diagonal/>
    </border>
    <border>
      <left style="thin">
        <color rgb="FFD0D7E5"/>
      </left>
      <right style="thin">
        <color rgb="FFD0D7E5"/>
      </right>
      <top style="thin">
        <color rgb="FFD0D7E5"/>
      </top>
      <bottom/>
      <diagonal/>
    </border>
    <border>
      <left/>
      <right style="thin">
        <color theme="4" tint="0.39997558519241921"/>
      </right>
      <top style="thin">
        <color theme="4" tint="0.39997558519241921"/>
      </top>
      <bottom style="thin">
        <color theme="4" tint="0.39997558519241921"/>
      </bottom>
      <diagonal/>
    </border>
  </borders>
  <cellStyleXfs count="5">
    <xf numFmtId="0" fontId="0" fillId="0" borderId="0"/>
    <xf numFmtId="0" fontId="1" fillId="0" borderId="0"/>
    <xf numFmtId="0" fontId="5" fillId="0" borderId="0" applyNumberFormat="0" applyFill="0" applyBorder="0" applyAlignment="0" applyProtection="0"/>
    <xf numFmtId="0" fontId="1" fillId="0" borderId="0"/>
    <xf numFmtId="44" fontId="17" fillId="0" borderId="0" applyFont="0" applyFill="0" applyBorder="0" applyAlignment="0" applyProtection="0"/>
  </cellStyleXfs>
  <cellXfs count="49">
    <xf numFmtId="0" fontId="0" fillId="0" borderId="0" xfId="0"/>
    <xf numFmtId="0" fontId="0" fillId="0" borderId="0" xfId="0" applyAlignment="1">
      <alignment horizontal="center"/>
    </xf>
    <xf numFmtId="0" fontId="0" fillId="0" borderId="0" xfId="0" applyAlignment="1">
      <alignment horizontal="left" vertical="top"/>
    </xf>
    <xf numFmtId="0" fontId="0" fillId="0" borderId="0" xfId="0" applyAlignment="1"/>
    <xf numFmtId="0" fontId="2" fillId="0" borderId="0" xfId="1" applyFont="1" applyAlignment="1">
      <alignment horizontal="center" vertical="center" wrapText="1"/>
    </xf>
    <xf numFmtId="49" fontId="7" fillId="0" borderId="0" xfId="1" applyNumberFormat="1" applyFont="1" applyAlignment="1">
      <alignment horizontal="left" vertical="top" wrapText="1"/>
    </xf>
    <xf numFmtId="0" fontId="8" fillId="0" borderId="0" xfId="1" applyFont="1" applyAlignment="1"/>
    <xf numFmtId="49" fontId="1" fillId="0" borderId="0" xfId="1" applyNumberFormat="1" applyAlignment="1">
      <alignment horizontal="left" vertical="top"/>
    </xf>
    <xf numFmtId="0" fontId="1" fillId="0" borderId="0" xfId="1"/>
    <xf numFmtId="49" fontId="1" fillId="0" borderId="0" xfId="1" applyNumberFormat="1" applyFill="1" applyAlignment="1">
      <alignment horizontal="left" vertical="top"/>
    </xf>
    <xf numFmtId="0" fontId="1" fillId="0" borderId="0" xfId="1" applyAlignment="1">
      <alignment horizontal="left" vertical="top"/>
    </xf>
    <xf numFmtId="0" fontId="0" fillId="0" borderId="0" xfId="0" applyAlignment="1">
      <alignment horizontal="center" vertical="top"/>
    </xf>
    <xf numFmtId="49" fontId="2" fillId="0" borderId="0" xfId="1" applyNumberFormat="1" applyFont="1" applyFill="1" applyAlignment="1">
      <alignment horizontal="left" vertical="top"/>
    </xf>
    <xf numFmtId="0" fontId="0" fillId="0" borderId="0" xfId="0" applyFill="1"/>
    <xf numFmtId="0" fontId="2" fillId="0" borderId="0" xfId="1" applyFont="1" applyFill="1" applyAlignment="1">
      <alignment horizontal="center" vertical="center" wrapText="1"/>
    </xf>
    <xf numFmtId="0" fontId="3" fillId="0" borderId="0" xfId="1" applyFont="1" applyFill="1" applyAlignment="1"/>
    <xf numFmtId="0" fontId="3" fillId="0" borderId="0" xfId="1" applyFont="1" applyFill="1" applyAlignment="1">
      <alignment vertical="top"/>
    </xf>
    <xf numFmtId="49" fontId="6" fillId="0" borderId="0" xfId="2" applyNumberFormat="1" applyFont="1" applyFill="1" applyAlignment="1">
      <alignment horizontal="left" vertical="top"/>
    </xf>
    <xf numFmtId="0" fontId="2" fillId="0" borderId="0" xfId="1" applyFont="1" applyFill="1" applyBorder="1" applyAlignment="1">
      <alignment horizontal="center" vertical="center" wrapText="1"/>
    </xf>
    <xf numFmtId="0" fontId="2" fillId="0" borderId="0" xfId="1" applyFont="1" applyFill="1" applyAlignment="1">
      <alignment horizontal="center" vertical="center"/>
    </xf>
    <xf numFmtId="0" fontId="2" fillId="0" borderId="0" xfId="1" applyFont="1" applyFill="1" applyBorder="1" applyAlignment="1">
      <alignment horizontal="center" vertical="center"/>
    </xf>
    <xf numFmtId="0" fontId="3" fillId="0" borderId="0" xfId="1" applyFont="1" applyFill="1" applyBorder="1" applyAlignment="1">
      <alignment vertical="top"/>
    </xf>
    <xf numFmtId="0" fontId="1" fillId="0" borderId="2" xfId="1" applyBorder="1"/>
    <xf numFmtId="0" fontId="9" fillId="0" borderId="0" xfId="0" applyFont="1" applyAlignment="1">
      <alignment horizontal="center" vertical="center"/>
    </xf>
    <xf numFmtId="0" fontId="10" fillId="0" borderId="0" xfId="0" applyFont="1" applyAlignment="1">
      <alignment horizontal="center" vertical="center"/>
    </xf>
    <xf numFmtId="0" fontId="10" fillId="0" borderId="2" xfId="0" applyFont="1" applyBorder="1" applyAlignment="1">
      <alignment horizontal="center" vertical="center"/>
    </xf>
    <xf numFmtId="0" fontId="2" fillId="0" borderId="0" xfId="1" applyFont="1" applyBorder="1" applyAlignment="1">
      <alignment horizontal="center" vertical="center"/>
    </xf>
    <xf numFmtId="0" fontId="2" fillId="0" borderId="0" xfId="1" applyFont="1" applyAlignment="1">
      <alignment horizontal="center" vertical="center"/>
    </xf>
    <xf numFmtId="0" fontId="2" fillId="0" borderId="3" xfId="1" applyFont="1" applyBorder="1" applyAlignment="1">
      <alignment horizontal="center" vertical="center"/>
    </xf>
    <xf numFmtId="0" fontId="11" fillId="0" borderId="0" xfId="0" applyFont="1"/>
    <xf numFmtId="0" fontId="12" fillId="0" borderId="0" xfId="0" applyFont="1"/>
    <xf numFmtId="0" fontId="12" fillId="0" borderId="0" xfId="0" applyFont="1" applyAlignment="1">
      <alignment horizontal="left" vertical="center" wrapText="1" indent="1"/>
    </xf>
    <xf numFmtId="0" fontId="9" fillId="0" borderId="1" xfId="0" applyFont="1" applyBorder="1" applyAlignment="1">
      <alignment horizontal="center" vertical="center"/>
    </xf>
    <xf numFmtId="0" fontId="15" fillId="0" borderId="4" xfId="3" applyFont="1" applyFill="1" applyBorder="1" applyAlignment="1" applyProtection="1">
      <alignment horizontal="left" vertical="top" wrapText="1"/>
    </xf>
    <xf numFmtId="0" fontId="16" fillId="0" borderId="4" xfId="3" applyFont="1" applyFill="1" applyBorder="1" applyAlignment="1" applyProtection="1">
      <alignment horizontal="left" vertical="top" wrapText="1"/>
    </xf>
    <xf numFmtId="0" fontId="15" fillId="0" borderId="4" xfId="3" applyNumberFormat="1" applyFont="1" applyFill="1" applyBorder="1" applyAlignment="1" applyProtection="1">
      <alignment horizontal="left" vertical="top" wrapText="1"/>
    </xf>
    <xf numFmtId="0" fontId="15" fillId="0" borderId="4" xfId="0" applyFont="1" applyFill="1" applyBorder="1" applyAlignment="1" applyProtection="1">
      <alignment horizontal="left" vertical="top" wrapText="1"/>
    </xf>
    <xf numFmtId="0" fontId="13" fillId="2" borderId="5" xfId="3" applyFont="1" applyFill="1" applyBorder="1" applyAlignment="1" applyProtection="1">
      <alignment horizontal="center" vertical="top"/>
    </xf>
    <xf numFmtId="0" fontId="13" fillId="3" borderId="5" xfId="3" applyFont="1" applyFill="1" applyBorder="1" applyAlignment="1" applyProtection="1">
      <alignment horizontal="center" vertical="top"/>
    </xf>
    <xf numFmtId="0" fontId="14" fillId="3" borderId="5" xfId="3" applyFont="1" applyFill="1" applyBorder="1" applyAlignment="1" applyProtection="1">
      <alignment horizontal="center" vertical="top"/>
    </xf>
    <xf numFmtId="0" fontId="15" fillId="0" borderId="6" xfId="3" applyNumberFormat="1" applyFont="1" applyFill="1" applyBorder="1" applyAlignment="1" applyProtection="1">
      <alignment horizontal="left" vertical="top" wrapText="1"/>
    </xf>
    <xf numFmtId="0" fontId="15" fillId="0" borderId="6" xfId="3" applyFont="1" applyFill="1" applyBorder="1" applyAlignment="1" applyProtection="1">
      <alignment horizontal="left" vertical="top" wrapText="1"/>
    </xf>
    <xf numFmtId="0" fontId="16" fillId="0" borderId="6" xfId="3" applyFont="1" applyFill="1" applyBorder="1" applyAlignment="1" applyProtection="1">
      <alignment horizontal="left" vertical="top" wrapText="1"/>
    </xf>
    <xf numFmtId="0" fontId="13" fillId="2" borderId="5" xfId="4" applyNumberFormat="1" applyFont="1" applyFill="1" applyBorder="1" applyAlignment="1" applyProtection="1">
      <alignment horizontal="center" vertical="top"/>
    </xf>
    <xf numFmtId="0" fontId="15" fillId="0" borderId="4" xfId="4" applyNumberFormat="1" applyFont="1" applyFill="1" applyBorder="1" applyAlignment="1" applyProtection="1">
      <alignment horizontal="left" vertical="top" wrapText="1"/>
    </xf>
    <xf numFmtId="0" fontId="15" fillId="0" borderId="6" xfId="4" applyNumberFormat="1" applyFont="1" applyFill="1" applyBorder="1" applyAlignment="1" applyProtection="1">
      <alignment horizontal="left" vertical="top" wrapText="1"/>
    </xf>
    <xf numFmtId="0" fontId="0" fillId="0" borderId="0" xfId="4" applyNumberFormat="1" applyFont="1"/>
    <xf numFmtId="0" fontId="1" fillId="0" borderId="0" xfId="1" applyFill="1" applyAlignment="1">
      <alignment horizontal="left" vertical="top"/>
    </xf>
    <xf numFmtId="0" fontId="0" fillId="4" borderId="7" xfId="0" applyFont="1" applyFill="1" applyBorder="1"/>
  </cellXfs>
  <cellStyles count="5">
    <cellStyle name="Currency" xfId="4" builtinId="4"/>
    <cellStyle name="Hyperlink 2" xfId="2"/>
    <cellStyle name="Normal" xfId="0" builtinId="0"/>
    <cellStyle name="Normal 2" xfId="3"/>
    <cellStyle name="Normal 3" xfId="1"/>
  </cellStyles>
  <dxfs count="31">
    <dxf>
      <font>
        <b val="0"/>
        <i val="0"/>
        <strike val="0"/>
        <condense val="0"/>
        <extend val="0"/>
        <outline val="0"/>
        <shadow val="0"/>
        <u val="none"/>
        <vertAlign val="baseline"/>
        <sz val="9"/>
        <color rgb="FF000000"/>
        <name val="Tahoma"/>
        <family val="2"/>
        <scheme val="none"/>
      </font>
      <fill>
        <patternFill patternType="none">
          <fgColor indexed="64"/>
          <bgColor indexed="65"/>
        </patternFill>
      </fill>
      <alignment horizontal="left" vertical="top" textRotation="0" wrapText="1" indent="0" justifyLastLine="0" shrinkToFit="0" readingOrder="0"/>
      <border diagonalUp="0" diagonalDown="0">
        <left style="thin">
          <color rgb="FFD0D7E5"/>
        </left>
        <right style="thin">
          <color rgb="FFD0D7E5"/>
        </right>
        <top style="thin">
          <color rgb="FFD0D7E5"/>
        </top>
        <bottom style="thin">
          <color rgb="FFD0D7E5"/>
        </bottom>
        <vertical/>
        <horizontal/>
      </border>
      <protection locked="1" hidden="0"/>
    </dxf>
    <dxf>
      <font>
        <b val="0"/>
        <i val="0"/>
        <strike val="0"/>
        <condense val="0"/>
        <extend val="0"/>
        <outline val="0"/>
        <shadow val="0"/>
        <u val="none"/>
        <vertAlign val="baseline"/>
        <sz val="9"/>
        <color rgb="FF000000"/>
        <name val="Tahoma"/>
        <family val="2"/>
        <scheme val="none"/>
      </font>
      <fill>
        <patternFill patternType="none">
          <fgColor indexed="64"/>
          <bgColor indexed="65"/>
        </patternFill>
      </fill>
      <alignment horizontal="left" vertical="top" textRotation="0" wrapText="1" indent="0" justifyLastLine="0" shrinkToFit="0" readingOrder="0"/>
      <border diagonalUp="0" diagonalDown="0">
        <left style="thin">
          <color rgb="FFD0D7E5"/>
        </left>
        <right style="thin">
          <color rgb="FFD0D7E5"/>
        </right>
        <top style="thin">
          <color rgb="FFD0D7E5"/>
        </top>
        <bottom style="thin">
          <color rgb="FFD0D7E5"/>
        </bottom>
        <vertical/>
        <horizontal/>
      </border>
      <protection locked="1" hidden="0"/>
    </dxf>
    <dxf>
      <font>
        <b val="0"/>
        <i val="0"/>
        <strike val="0"/>
        <condense val="0"/>
        <extend val="0"/>
        <outline val="0"/>
        <shadow val="0"/>
        <u val="none"/>
        <vertAlign val="baseline"/>
        <sz val="8"/>
        <color rgb="FF000000"/>
        <name val="Tahoma"/>
        <family val="2"/>
        <scheme val="none"/>
      </font>
      <fill>
        <patternFill patternType="none">
          <fgColor indexed="64"/>
          <bgColor indexed="65"/>
        </patternFill>
      </fill>
      <alignment horizontal="left" vertical="top" textRotation="0" wrapText="1" indent="0" justifyLastLine="0" shrinkToFit="0" readingOrder="0"/>
      <border diagonalUp="0" diagonalDown="0">
        <left style="thin">
          <color rgb="FFD0D7E5"/>
        </left>
        <right style="thin">
          <color rgb="FFD0D7E5"/>
        </right>
        <top style="thin">
          <color rgb="FFD0D7E5"/>
        </top>
        <bottom style="thin">
          <color rgb="FFD0D7E5"/>
        </bottom>
        <vertical/>
        <horizontal/>
      </border>
      <protection locked="1" hidden="0"/>
    </dxf>
    <dxf>
      <font>
        <b val="0"/>
        <i val="0"/>
        <strike val="0"/>
        <condense val="0"/>
        <extend val="0"/>
        <outline val="0"/>
        <shadow val="0"/>
        <u val="none"/>
        <vertAlign val="baseline"/>
        <sz val="8"/>
        <color rgb="FF000000"/>
        <name val="Tahoma"/>
        <family val="2"/>
        <scheme val="none"/>
      </font>
      <fill>
        <patternFill patternType="none">
          <fgColor indexed="64"/>
          <bgColor indexed="65"/>
        </patternFill>
      </fill>
      <alignment horizontal="left" vertical="top" textRotation="0" wrapText="1" indent="0" justifyLastLine="0" shrinkToFit="0" readingOrder="0"/>
      <border diagonalUp="0" diagonalDown="0">
        <left style="thin">
          <color rgb="FFD0D7E5"/>
        </left>
        <right style="thin">
          <color rgb="FFD0D7E5"/>
        </right>
        <top style="thin">
          <color rgb="FFD0D7E5"/>
        </top>
        <bottom style="thin">
          <color rgb="FFD0D7E5"/>
        </bottom>
        <vertical/>
        <horizontal/>
      </border>
      <protection locked="1" hidden="0"/>
    </dxf>
    <dxf>
      <font>
        <b val="0"/>
        <i val="0"/>
        <strike val="0"/>
        <condense val="0"/>
        <extend val="0"/>
        <outline val="0"/>
        <shadow val="0"/>
        <u val="none"/>
        <vertAlign val="baseline"/>
        <sz val="8"/>
        <color rgb="FF000000"/>
        <name val="Tahoma"/>
        <family val="2"/>
        <scheme val="none"/>
      </font>
      <numFmt numFmtId="0" formatCode="General"/>
      <fill>
        <patternFill patternType="none">
          <fgColor indexed="64"/>
          <bgColor indexed="65"/>
        </patternFill>
      </fill>
      <alignment horizontal="left" vertical="top" textRotation="0" wrapText="1" indent="0" justifyLastLine="0" shrinkToFit="0" readingOrder="0"/>
      <border diagonalUp="0" diagonalDown="0" outline="0">
        <left style="thin">
          <color rgb="FFD0D7E5"/>
        </left>
        <right style="thin">
          <color rgb="FFD0D7E5"/>
        </right>
        <top style="thin">
          <color rgb="FFD0D7E5"/>
        </top>
        <bottom style="thin">
          <color rgb="FFD0D7E5"/>
        </bottom>
      </border>
      <protection locked="1" hidden="0"/>
    </dxf>
    <dxf>
      <font>
        <b val="0"/>
        <i val="0"/>
        <strike val="0"/>
        <condense val="0"/>
        <extend val="0"/>
        <outline val="0"/>
        <shadow val="0"/>
        <u val="none"/>
        <vertAlign val="baseline"/>
        <sz val="8"/>
        <color rgb="FF000000"/>
        <name val="Tahoma"/>
        <family val="2"/>
        <scheme val="none"/>
      </font>
      <fill>
        <patternFill patternType="none">
          <fgColor indexed="64"/>
          <bgColor indexed="65"/>
        </patternFill>
      </fill>
      <alignment horizontal="left" vertical="top" textRotation="0" wrapText="1" indent="0" justifyLastLine="0" shrinkToFit="0" readingOrder="0"/>
      <border diagonalUp="0" diagonalDown="0">
        <left style="thin">
          <color rgb="FFD0D7E5"/>
        </left>
        <right style="thin">
          <color rgb="FFD0D7E5"/>
        </right>
        <top style="thin">
          <color rgb="FFD0D7E5"/>
        </top>
        <bottom style="thin">
          <color rgb="FFD0D7E5"/>
        </bottom>
        <vertical/>
        <horizontal/>
      </border>
      <protection locked="1" hidden="0"/>
    </dxf>
    <dxf>
      <font>
        <b val="0"/>
        <i val="0"/>
        <strike val="0"/>
        <condense val="0"/>
        <extend val="0"/>
        <outline val="0"/>
        <shadow val="0"/>
        <u val="none"/>
        <vertAlign val="baseline"/>
        <sz val="8"/>
        <color rgb="FF000000"/>
        <name val="Tahoma"/>
        <family val="2"/>
        <scheme val="none"/>
      </font>
      <fill>
        <patternFill patternType="none">
          <fgColor indexed="64"/>
          <bgColor indexed="65"/>
        </patternFill>
      </fill>
      <alignment horizontal="left" vertical="top" textRotation="0" wrapText="1" indent="0" justifyLastLine="0" shrinkToFit="0" readingOrder="0"/>
      <border diagonalUp="0" diagonalDown="0">
        <left style="thin">
          <color rgb="FFD0D7E5"/>
        </left>
        <right style="thin">
          <color rgb="FFD0D7E5"/>
        </right>
        <top style="thin">
          <color rgb="FFD0D7E5"/>
        </top>
        <bottom style="thin">
          <color rgb="FFD0D7E5"/>
        </bottom>
        <vertical/>
        <horizontal/>
      </border>
      <protection locked="1" hidden="0"/>
    </dxf>
    <dxf>
      <font>
        <b val="0"/>
        <i val="0"/>
        <strike val="0"/>
        <condense val="0"/>
        <extend val="0"/>
        <outline val="0"/>
        <shadow val="0"/>
        <u val="none"/>
        <vertAlign val="baseline"/>
        <sz val="8"/>
        <color rgb="FF000000"/>
        <name val="Tahoma"/>
        <family val="2"/>
        <scheme val="none"/>
      </font>
      <fill>
        <patternFill patternType="none">
          <fgColor indexed="64"/>
          <bgColor indexed="65"/>
        </patternFill>
      </fill>
      <alignment horizontal="left" vertical="top" textRotation="0" wrapText="1" indent="0" justifyLastLine="0" shrinkToFit="0" readingOrder="0"/>
      <border diagonalUp="0" diagonalDown="0">
        <left style="thin">
          <color rgb="FFD0D7E5"/>
        </left>
        <right style="thin">
          <color rgb="FFD0D7E5"/>
        </right>
        <top style="thin">
          <color rgb="FFD0D7E5"/>
        </top>
        <bottom style="thin">
          <color rgb="FFD0D7E5"/>
        </bottom>
        <vertical/>
        <horizontal/>
      </border>
      <protection locked="1" hidden="0"/>
    </dxf>
    <dxf>
      <font>
        <b val="0"/>
        <i val="0"/>
        <strike val="0"/>
        <condense val="0"/>
        <extend val="0"/>
        <outline val="0"/>
        <shadow val="0"/>
        <u val="none"/>
        <vertAlign val="baseline"/>
        <sz val="8"/>
        <color rgb="FF000000"/>
        <name val="Tahoma"/>
        <family val="2"/>
        <scheme val="none"/>
      </font>
      <fill>
        <patternFill patternType="none">
          <fgColor indexed="64"/>
          <bgColor indexed="65"/>
        </patternFill>
      </fill>
      <alignment horizontal="left" vertical="top" textRotation="0" wrapText="1" indent="0" justifyLastLine="0" shrinkToFit="0" readingOrder="0"/>
      <border diagonalUp="0" diagonalDown="0">
        <left style="thin">
          <color rgb="FFD0D7E5"/>
        </left>
        <right style="thin">
          <color rgb="FFD0D7E5"/>
        </right>
        <top style="thin">
          <color rgb="FFD0D7E5"/>
        </top>
        <bottom style="thin">
          <color rgb="FFD0D7E5"/>
        </bottom>
        <vertical/>
        <horizontal/>
      </border>
      <protection locked="1" hidden="0"/>
    </dxf>
    <dxf>
      <font>
        <b val="0"/>
        <i val="0"/>
        <strike val="0"/>
        <condense val="0"/>
        <extend val="0"/>
        <outline val="0"/>
        <shadow val="0"/>
        <u val="none"/>
        <vertAlign val="baseline"/>
        <sz val="8"/>
        <color rgb="FF000000"/>
        <name val="Tahoma"/>
        <family val="2"/>
        <scheme val="none"/>
      </font>
      <fill>
        <patternFill patternType="none">
          <fgColor indexed="64"/>
          <bgColor indexed="65"/>
        </patternFill>
      </fill>
      <alignment horizontal="left" vertical="top" textRotation="0" wrapText="1" indent="0" justifyLastLine="0" shrinkToFit="0" readingOrder="0"/>
      <border diagonalUp="0" diagonalDown="0">
        <left style="thin">
          <color rgb="FFD0D7E5"/>
        </left>
        <right style="thin">
          <color rgb="FFD0D7E5"/>
        </right>
        <top style="thin">
          <color rgb="FFD0D7E5"/>
        </top>
        <bottom style="thin">
          <color rgb="FFD0D7E5"/>
        </bottom>
        <vertical/>
        <horizontal/>
      </border>
      <protection locked="1" hidden="0"/>
    </dxf>
    <dxf>
      <font>
        <b val="0"/>
        <i val="0"/>
        <strike val="0"/>
        <condense val="0"/>
        <extend val="0"/>
        <outline val="0"/>
        <shadow val="0"/>
        <u val="none"/>
        <vertAlign val="baseline"/>
        <sz val="8"/>
        <color rgb="FF000000"/>
        <name val="Tahoma"/>
        <family val="2"/>
        <scheme val="none"/>
      </font>
      <fill>
        <patternFill patternType="none">
          <fgColor indexed="64"/>
          <bgColor indexed="65"/>
        </patternFill>
      </fill>
      <alignment horizontal="left" vertical="top" textRotation="0" wrapText="1" indent="0" justifyLastLine="0" shrinkToFit="0" readingOrder="0"/>
      <border diagonalUp="0" diagonalDown="0">
        <left style="thin">
          <color rgb="FFD0D7E5"/>
        </left>
        <right style="thin">
          <color rgb="FFD0D7E5"/>
        </right>
        <top style="thin">
          <color rgb="FFD0D7E5"/>
        </top>
        <bottom style="thin">
          <color rgb="FFD0D7E5"/>
        </bottom>
        <vertical/>
        <horizontal/>
      </border>
      <protection locked="1" hidden="0"/>
    </dxf>
    <dxf>
      <font>
        <b val="0"/>
        <i val="0"/>
        <strike val="0"/>
        <condense val="0"/>
        <extend val="0"/>
        <outline val="0"/>
        <shadow val="0"/>
        <u val="none"/>
        <vertAlign val="baseline"/>
        <sz val="8"/>
        <color rgb="FF000000"/>
        <name val="Tahoma"/>
        <family val="2"/>
        <scheme val="none"/>
      </font>
      <fill>
        <patternFill patternType="none">
          <fgColor indexed="64"/>
          <bgColor indexed="65"/>
        </patternFill>
      </fill>
      <alignment horizontal="left" vertical="top" textRotation="0" wrapText="1" indent="0" justifyLastLine="0" shrinkToFit="0" readingOrder="0"/>
      <border diagonalUp="0" diagonalDown="0">
        <left style="thin">
          <color rgb="FFD0D7E5"/>
        </left>
        <right style="thin">
          <color rgb="FFD0D7E5"/>
        </right>
        <top style="thin">
          <color rgb="FFD0D7E5"/>
        </top>
        <bottom style="thin">
          <color rgb="FFD0D7E5"/>
        </bottom>
        <vertical/>
        <horizontal/>
      </border>
      <protection locked="1" hidden="0"/>
    </dxf>
    <dxf>
      <font>
        <b val="0"/>
        <i val="0"/>
        <strike val="0"/>
        <condense val="0"/>
        <extend val="0"/>
        <outline val="0"/>
        <shadow val="0"/>
        <u val="none"/>
        <vertAlign val="baseline"/>
        <sz val="8"/>
        <color rgb="FF000000"/>
        <name val="Tahoma"/>
        <family val="2"/>
        <scheme val="none"/>
      </font>
      <fill>
        <patternFill patternType="none">
          <fgColor indexed="64"/>
          <bgColor indexed="65"/>
        </patternFill>
      </fill>
      <alignment horizontal="left" vertical="top" textRotation="0" wrapText="1" indent="0" justifyLastLine="0" shrinkToFit="0" readingOrder="0"/>
      <border diagonalUp="0" diagonalDown="0">
        <left style="thin">
          <color rgb="FFD0D7E5"/>
        </left>
        <right style="thin">
          <color rgb="FFD0D7E5"/>
        </right>
        <top style="thin">
          <color rgb="FFD0D7E5"/>
        </top>
        <bottom style="thin">
          <color rgb="FFD0D7E5"/>
        </bottom>
        <vertical/>
        <horizontal/>
      </border>
      <protection locked="1" hidden="0"/>
    </dxf>
    <dxf>
      <font>
        <b val="0"/>
        <i val="0"/>
        <strike val="0"/>
        <condense val="0"/>
        <extend val="0"/>
        <outline val="0"/>
        <shadow val="0"/>
        <u val="none"/>
        <vertAlign val="baseline"/>
        <sz val="8"/>
        <color rgb="FF000000"/>
        <name val="Tahoma"/>
        <family val="2"/>
        <scheme val="none"/>
      </font>
      <fill>
        <patternFill patternType="none">
          <fgColor indexed="64"/>
          <bgColor indexed="65"/>
        </patternFill>
      </fill>
      <alignment horizontal="left" vertical="top" textRotation="0" wrapText="1" indent="0" justifyLastLine="0" shrinkToFit="0" readingOrder="0"/>
      <border diagonalUp="0" diagonalDown="0">
        <left style="thin">
          <color rgb="FFD0D7E5"/>
        </left>
        <right style="thin">
          <color rgb="FFD0D7E5"/>
        </right>
        <top style="thin">
          <color rgb="FFD0D7E5"/>
        </top>
        <bottom style="thin">
          <color rgb="FFD0D7E5"/>
        </bottom>
        <vertical/>
        <horizontal/>
      </border>
      <protection locked="1" hidden="0"/>
    </dxf>
    <dxf>
      <font>
        <b val="0"/>
        <i val="0"/>
        <strike val="0"/>
        <condense val="0"/>
        <extend val="0"/>
        <outline val="0"/>
        <shadow val="0"/>
        <u val="none"/>
        <vertAlign val="baseline"/>
        <sz val="8"/>
        <color rgb="FF000000"/>
        <name val="Tahoma"/>
        <family val="2"/>
        <scheme val="none"/>
      </font>
      <fill>
        <patternFill patternType="none">
          <fgColor indexed="64"/>
          <bgColor indexed="65"/>
        </patternFill>
      </fill>
      <alignment horizontal="left" vertical="top" textRotation="0" wrapText="1" indent="0" justifyLastLine="0" shrinkToFit="0" readingOrder="0"/>
      <border diagonalUp="0" diagonalDown="0">
        <left style="thin">
          <color rgb="FFD0D7E5"/>
        </left>
        <right style="thin">
          <color rgb="FFD0D7E5"/>
        </right>
        <top style="thin">
          <color rgb="FFD0D7E5"/>
        </top>
        <bottom style="thin">
          <color rgb="FFD0D7E5"/>
        </bottom>
        <vertical/>
        <horizontal/>
      </border>
      <protection locked="1" hidden="0"/>
    </dxf>
    <dxf>
      <font>
        <b val="0"/>
        <i val="0"/>
        <strike val="0"/>
        <condense val="0"/>
        <extend val="0"/>
        <outline val="0"/>
        <shadow val="0"/>
        <u val="none"/>
        <vertAlign val="baseline"/>
        <sz val="8"/>
        <color rgb="FF000000"/>
        <name val="Tahoma"/>
        <family val="2"/>
        <scheme val="none"/>
      </font>
      <numFmt numFmtId="0" formatCode="General"/>
      <fill>
        <patternFill patternType="none">
          <fgColor indexed="64"/>
          <bgColor indexed="65"/>
        </patternFill>
      </fill>
      <alignment horizontal="left" vertical="top" textRotation="0" wrapText="1" indent="0" justifyLastLine="0" shrinkToFit="0" readingOrder="0"/>
      <border diagonalUp="0" diagonalDown="0">
        <left style="thin">
          <color rgb="FFD0D7E5"/>
        </left>
        <right style="thin">
          <color rgb="FFD0D7E5"/>
        </right>
        <top style="thin">
          <color rgb="FFD0D7E5"/>
        </top>
        <bottom style="thin">
          <color rgb="FFD0D7E5"/>
        </bottom>
        <vertical/>
        <horizontal/>
      </border>
      <protection locked="1" hidden="0"/>
    </dxf>
    <dxf>
      <border outline="0">
        <top style="thin">
          <color rgb="FFD0D7E5"/>
        </top>
      </border>
    </dxf>
    <dxf>
      <border outline="0">
        <top style="thin">
          <color indexed="64"/>
        </top>
        <bottom style="thin">
          <color rgb="FFD0D7E5"/>
        </bottom>
      </border>
    </dxf>
    <dxf>
      <font>
        <b val="0"/>
        <i val="0"/>
        <strike val="0"/>
        <condense val="0"/>
        <extend val="0"/>
        <outline val="0"/>
        <shadow val="0"/>
        <u val="none"/>
        <vertAlign val="baseline"/>
        <sz val="8"/>
        <color rgb="FF000000"/>
        <name val="Tahoma"/>
        <family val="2"/>
        <scheme val="none"/>
      </font>
      <fill>
        <patternFill patternType="none">
          <fgColor indexed="64"/>
          <bgColor indexed="65"/>
        </patternFill>
      </fill>
      <alignment horizontal="left" vertical="top" textRotation="0" wrapText="1" indent="0" justifyLastLine="0" shrinkToFit="0" readingOrder="0"/>
      <protection locked="1" hidden="0"/>
    </dxf>
    <dxf>
      <border outline="0">
        <bottom style="thin">
          <color indexed="64"/>
        </bottom>
      </border>
    </dxf>
    <dxf>
      <alignment horizontal="left" vertical="top" textRotation="0" wrapText="0" indent="0" justifyLastLine="0" shrinkToFit="0" readingOrder="0"/>
    </dxf>
    <dxf>
      <font>
        <strike val="0"/>
        <outline val="0"/>
        <shadow val="0"/>
        <u val="none"/>
        <vertAlign val="baseline"/>
        <sz val="10"/>
      </font>
      <alignment horizontal="center" vertical="center" textRotation="0" wrapText="0" indent="0" justifyLastLine="0" shrinkToFit="0" readingOrder="0"/>
    </dxf>
    <dxf>
      <fill>
        <patternFill patternType="none">
          <fgColor indexed="64"/>
          <bgColor indexed="6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theme" Target="theme/theme1.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10" Type="http://schemas.microsoft.com/office/2006/relationships/vbaProject" Target="vbaProject.bin"/><Relationship Id="rId4" Type="http://schemas.openxmlformats.org/officeDocument/2006/relationships/styles" Target="styles.xml"/><Relationship Id="rId9" Type="http://schemas.openxmlformats.org/officeDocument/2006/relationships/customXml" Target="../customXml/item3.xml"/></Relationships>
</file>

<file path=xl/tables/table1.xml><?xml version="1.0" encoding="utf-8"?>
<table xmlns="http://schemas.openxmlformats.org/spreadsheetml/2006/main" id="3" name="Table3" displayName="Table3" ref="A1:D711" totalsRowShown="0">
  <autoFilter ref="A1:D711"/>
  <tableColumns count="4">
    <tableColumn id="4" name="GMDN MATCH" dataDxfId="22"/>
    <tableColumn id="1" name="GMDN" dataDxfId="21"/>
    <tableColumn id="2" name="Short Description" dataDxfId="20" dataCellStyle="Normal 3"/>
    <tableColumn id="3" name="Long Description" dataCellStyle="Normal 3"/>
  </tableColumns>
  <tableStyleInfo name="TableStyleLight9" showFirstColumn="0" showLastColumn="0" showRowStripes="1" showColumnStripes="0"/>
</table>
</file>

<file path=xl/tables/table2.xml><?xml version="1.0" encoding="utf-8"?>
<table xmlns="http://schemas.openxmlformats.org/spreadsheetml/2006/main" id="4" name="Table4" displayName="Table4" ref="C1:R3745" totalsRowShown="0" dataDxfId="18" headerRowBorderDxfId="19" tableBorderDxfId="17" totalsRowBorderDxfId="16" dataCellStyle="Normal 2">
  <autoFilter ref="C1:R3745"/>
  <tableColumns count="16">
    <tableColumn id="1" name="Commodity" dataDxfId="15" dataCellStyle="Normal 2"/>
    <tableColumn id="2" name="Segment" dataDxfId="14" dataCellStyle="Normal 2"/>
    <tableColumn id="3" name="Segment Title" dataDxfId="13" dataCellStyle="Normal 2"/>
    <tableColumn id="4" name="Segment Definition" dataDxfId="12" dataCellStyle="Normal 2"/>
    <tableColumn id="5" name="Family" dataDxfId="11" dataCellStyle="Normal 2"/>
    <tableColumn id="6" name="Family Title" dataDxfId="10" dataCellStyle="Normal 2"/>
    <tableColumn id="7" name="Family Definition" dataDxfId="9" dataCellStyle="Normal 2"/>
    <tableColumn id="8" name="Key" dataDxfId="8" dataCellStyle="Normal 2"/>
    <tableColumn id="9" name="Class" dataDxfId="7" dataCellStyle="Normal 2"/>
    <tableColumn id="10" name="Class Title" dataDxfId="6" dataCellStyle="Normal 2"/>
    <tableColumn id="11" name="Class Definition" dataDxfId="5" dataCellStyle="Normal 2"/>
    <tableColumn id="12" name="Commodity2" dataDxfId="4" dataCellStyle="Currency"/>
    <tableColumn id="13" name="Commodity Title" dataDxfId="3" dataCellStyle="Normal 2"/>
    <tableColumn id="14" name="Definition" dataDxfId="2" dataCellStyle="Normal 2"/>
    <tableColumn id="15" name="Synonym" dataDxfId="1" dataCellStyle="Normal 2"/>
    <tableColumn id="16" name="Acronym" dataDxfId="0" dataCellStyle="Normal 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www.gmdnagency.org/Terms/Search?keyword=44778&amp;lang=en&amp;advanced=False&amp;scope=1&amp;period=1&amp;rows=25" TargetMode="External"/><Relationship Id="rId13" Type="http://schemas.openxmlformats.org/officeDocument/2006/relationships/hyperlink" Target="https://www.gmdnagency.org/Terms/Search?keyword=17751&amp;lang=en&amp;advanced=False&amp;scope=1&amp;period=1&amp;rows=25" TargetMode="External"/><Relationship Id="rId18" Type="http://schemas.openxmlformats.org/officeDocument/2006/relationships/hyperlink" Target="https://www.gmdnagency.org/Terms/Search?keyword=46638&amp;lang=en&amp;advanced=False&amp;scope=1&amp;period=1&amp;rows=25" TargetMode="External"/><Relationship Id="rId26" Type="http://schemas.openxmlformats.org/officeDocument/2006/relationships/table" Target="../tables/table1.xml"/><Relationship Id="rId3" Type="http://schemas.openxmlformats.org/officeDocument/2006/relationships/hyperlink" Target="https://www.gmdnagency.org/Terms/Search?keyword=48091&amp;lang=en&amp;advanced=False&amp;scope=1&amp;period=1&amp;rows=25" TargetMode="External"/><Relationship Id="rId21" Type="http://schemas.openxmlformats.org/officeDocument/2006/relationships/hyperlink" Target="https://www.gmdnagency.org/Terms/Search?keyword=46751&amp;lang=en&amp;advanced=False&amp;scope=1&amp;period=1&amp;rows=25" TargetMode="External"/><Relationship Id="rId7" Type="http://schemas.openxmlformats.org/officeDocument/2006/relationships/hyperlink" Target="https://www.gmdnagency.org/Terms/Search?keyword=46774&amp;lang=en&amp;advanced=False&amp;scope=1&amp;period=1&amp;rows=25" TargetMode="External"/><Relationship Id="rId12" Type="http://schemas.openxmlformats.org/officeDocument/2006/relationships/hyperlink" Target="https://www.gmdnagency.org/Terms/Search?keyword=46641&amp;lang=en&amp;advanced=False&amp;scope=1&amp;period=1&amp;rows=25" TargetMode="External"/><Relationship Id="rId17" Type="http://schemas.openxmlformats.org/officeDocument/2006/relationships/hyperlink" Target="https://www.gmdnagency.org/Terms/Search?keyword=34017&amp;lang=en&amp;advanced=False&amp;scope=1&amp;period=1&amp;rows=25" TargetMode="External"/><Relationship Id="rId25" Type="http://schemas.openxmlformats.org/officeDocument/2006/relationships/printerSettings" Target="../printerSettings/printerSettings1.bin"/><Relationship Id="rId2" Type="http://schemas.openxmlformats.org/officeDocument/2006/relationships/hyperlink" Target="https://www.gmdnagency.org/Terms/Search?keyword=48181&amp;lang=en&amp;advanced=false&amp;scope=1&amp;period=1&amp;rows=25&amp;definition=true" TargetMode="External"/><Relationship Id="rId16" Type="http://schemas.openxmlformats.org/officeDocument/2006/relationships/hyperlink" Target="https://www.gmdnagency.org/Terms/Search?keyword=46268&amp;lang=en&amp;advanced=False&amp;scope=1&amp;period=1&amp;rows=25" TargetMode="External"/><Relationship Id="rId20" Type="http://schemas.openxmlformats.org/officeDocument/2006/relationships/hyperlink" Target="https://www.gmdnagency.org/Terms/Search?keyword=42894&amp;lang=en&amp;advanced=False&amp;scope=1&amp;period=1&amp;rows=25" TargetMode="External"/><Relationship Id="rId1" Type="http://schemas.openxmlformats.org/officeDocument/2006/relationships/hyperlink" Target="https://www.gmdnagency.org/TermDetails.aspx?tid=118170" TargetMode="External"/><Relationship Id="rId6" Type="http://schemas.openxmlformats.org/officeDocument/2006/relationships/hyperlink" Target="https://www.gmdnagency.org/Terms/Search?keyword=60367&amp;lang=en&amp;advanced=False&amp;scope=1&amp;period=1&amp;rows=25" TargetMode="External"/><Relationship Id="rId11" Type="http://schemas.openxmlformats.org/officeDocument/2006/relationships/hyperlink" Target="https://www.gmdnagency.org/Terms/Search?keyword=45038&amp;lang=en&amp;advanced=False&amp;scope=1&amp;period=1&amp;rows=25" TargetMode="External"/><Relationship Id="rId24" Type="http://schemas.openxmlformats.org/officeDocument/2006/relationships/hyperlink" Target="https://www.gmdnagency.org/Terms/Search?keyword=32886&amp;lang=en&amp;advanced=False&amp;scope=1&amp;period=1&amp;rows=25" TargetMode="External"/><Relationship Id="rId5" Type="http://schemas.openxmlformats.org/officeDocument/2006/relationships/hyperlink" Target="https://www.gmdnagency.org/Terms/Search?keyword=60937&amp;lang=en&amp;advanced=False&amp;scope=1&amp;period=1&amp;rows=25" TargetMode="External"/><Relationship Id="rId15" Type="http://schemas.openxmlformats.org/officeDocument/2006/relationships/hyperlink" Target="https://www.gmdnagency.org/Terms/Search?keyword=47635&amp;lang=en&amp;advanced=False&amp;scope=1&amp;period=1&amp;rows=25" TargetMode="External"/><Relationship Id="rId23" Type="http://schemas.openxmlformats.org/officeDocument/2006/relationships/hyperlink" Target="https://www.gmdnagency.org/Terms/Search?keyword=32885&amp;lang=en&amp;advanced=False&amp;scope=1&amp;period=1&amp;rows=25" TargetMode="External"/><Relationship Id="rId10" Type="http://schemas.openxmlformats.org/officeDocument/2006/relationships/hyperlink" Target="https://www.gmdnagency.org/Terms/Search?keyword=46642&amp;lang=en&amp;advanced=False&amp;scope=1&amp;period=1&amp;rows=25" TargetMode="External"/><Relationship Id="rId19" Type="http://schemas.openxmlformats.org/officeDocument/2006/relationships/hyperlink" Target="https://www.gmdnagency.org/Terms/Search?keyword=46638&amp;lang=en&amp;advanced=False&amp;scope=1&amp;period=1&amp;rows=25" TargetMode="External"/><Relationship Id="rId4" Type="http://schemas.openxmlformats.org/officeDocument/2006/relationships/hyperlink" Target="https://www.gmdnagency.org/Terms/Search?keyword=46208&amp;lang=en&amp;advanced=False&amp;scope=1&amp;period=1&amp;rows=25" TargetMode="External"/><Relationship Id="rId9" Type="http://schemas.openxmlformats.org/officeDocument/2006/relationships/hyperlink" Target="https://www.gmdnagency.org/Terms/Search?keyword=35095&amp;lang=en&amp;advanced=False&amp;scope=1&amp;period=1&amp;rows=25" TargetMode="External"/><Relationship Id="rId14" Type="http://schemas.openxmlformats.org/officeDocument/2006/relationships/hyperlink" Target="https://www.gmdnagency.org/Terms/Search?keyword=47636&amp;lang=en&amp;advanced=False&amp;scope=1&amp;period=1&amp;rows=25" TargetMode="External"/><Relationship Id="rId22" Type="http://schemas.openxmlformats.org/officeDocument/2006/relationships/hyperlink" Target="https://www.gmdnagency.org/Terms/Search?keyword=35685&amp;lang=en&amp;advanced=False&amp;scope=1&amp;period=1&amp;rows=25" TargetMode="Externa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7030A0"/>
  </sheetPr>
  <dimension ref="A1:D711"/>
  <sheetViews>
    <sheetView topLeftCell="B686" workbookViewId="0">
      <selection activeCell="C711" sqref="C711"/>
    </sheetView>
  </sheetViews>
  <sheetFormatPr defaultRowHeight="15" x14ac:dyDescent="0.25"/>
  <cols>
    <col min="1" max="1" width="28.85546875" hidden="1" customWidth="1"/>
    <col min="2" max="2" width="9.140625" style="23"/>
    <col min="3" max="3" width="52.140625" style="2" customWidth="1"/>
    <col min="4" max="4" width="186.85546875" style="3" customWidth="1"/>
  </cols>
  <sheetData>
    <row r="1" spans="1:4" s="1" customFormat="1" ht="15.75" customHeight="1" thickBot="1" x14ac:dyDescent="0.3">
      <c r="A1" s="23" t="s">
        <v>1443</v>
      </c>
      <c r="B1" s="11" t="s">
        <v>0</v>
      </c>
      <c r="C1" s="1" t="s">
        <v>315</v>
      </c>
      <c r="D1" s="1" t="s">
        <v>316</v>
      </c>
    </row>
    <row r="2" spans="1:4" s="13" customFormat="1" x14ac:dyDescent="0.25">
      <c r="A2" s="13" t="e">
        <f>VLOOKUP(B2:B709,#REF!,1,FALSE)</f>
        <v>#REF!</v>
      </c>
      <c r="B2" s="25">
        <v>10678</v>
      </c>
      <c r="C2" s="10" t="s">
        <v>1219</v>
      </c>
      <c r="D2" s="22" t="s">
        <v>1220</v>
      </c>
    </row>
    <row r="3" spans="1:4" s="13" customFormat="1" x14ac:dyDescent="0.25">
      <c r="A3" s="13" t="e">
        <f>VLOOKUP(B3:B711,#REF!,1,FALSE)</f>
        <v>#REF!</v>
      </c>
      <c r="B3" s="26">
        <v>10688</v>
      </c>
      <c r="C3" s="7" t="s">
        <v>779</v>
      </c>
      <c r="D3" s="29" t="s">
        <v>1444</v>
      </c>
    </row>
    <row r="4" spans="1:4" s="13" customFormat="1" x14ac:dyDescent="0.25">
      <c r="A4" s="13" t="e">
        <f>VLOOKUP(B4:B711,#REF!,1,FALSE)</f>
        <v>#REF!</v>
      </c>
      <c r="B4" s="27">
        <v>10691</v>
      </c>
      <c r="C4" s="7" t="s">
        <v>1</v>
      </c>
      <c r="D4" s="6" t="s">
        <v>603</v>
      </c>
    </row>
    <row r="5" spans="1:4" s="13" customFormat="1" x14ac:dyDescent="0.25">
      <c r="A5" s="13" t="e">
        <f>VLOOKUP(B5:B712,#REF!,1,FALSE)</f>
        <v>#REF!</v>
      </c>
      <c r="B5" s="27">
        <v>10825</v>
      </c>
      <c r="C5" s="7" t="s">
        <v>3</v>
      </c>
      <c r="D5" s="6" t="s">
        <v>777</v>
      </c>
    </row>
    <row r="6" spans="1:4" s="13" customFormat="1" x14ac:dyDescent="0.25">
      <c r="A6" s="13" t="e">
        <f>VLOOKUP(B6:B713,#REF!,1,FALSE)</f>
        <v>#REF!</v>
      </c>
      <c r="B6" s="27">
        <v>10904</v>
      </c>
      <c r="C6" s="7" t="s">
        <v>858</v>
      </c>
      <c r="D6" s="6" t="s">
        <v>859</v>
      </c>
    </row>
    <row r="7" spans="1:4" s="13" customFormat="1" x14ac:dyDescent="0.25">
      <c r="A7" s="13" t="e">
        <f>VLOOKUP(B7:B714,#REF!,1,FALSE)</f>
        <v>#REF!</v>
      </c>
      <c r="B7" s="14">
        <v>11290</v>
      </c>
      <c r="C7" s="12" t="s">
        <v>5</v>
      </c>
      <c r="D7" s="15" t="s">
        <v>318</v>
      </c>
    </row>
    <row r="8" spans="1:4" s="13" customFormat="1" x14ac:dyDescent="0.25">
      <c r="A8" s="13" t="e">
        <f>VLOOKUP(B8:B715,#REF!,1,FALSE)</f>
        <v>#REF!</v>
      </c>
      <c r="B8" s="24">
        <v>11301</v>
      </c>
      <c r="C8" s="10" t="s">
        <v>1221</v>
      </c>
      <c r="D8" s="8" t="s">
        <v>1222</v>
      </c>
    </row>
    <row r="9" spans="1:4" s="13" customFormat="1" x14ac:dyDescent="0.25">
      <c r="A9" s="13" t="e">
        <f>VLOOKUP(B9:B716,#REF!,1,FALSE)</f>
        <v>#REF!</v>
      </c>
      <c r="B9" s="19">
        <v>11305</v>
      </c>
      <c r="C9" s="12" t="s">
        <v>519</v>
      </c>
      <c r="D9" s="15" t="s">
        <v>520</v>
      </c>
    </row>
    <row r="10" spans="1:4" s="13" customFormat="1" x14ac:dyDescent="0.25">
      <c r="A10" s="13" t="e">
        <f>VLOOKUP(B10:B717,#REF!,1,FALSE)</f>
        <v>#REF!</v>
      </c>
      <c r="B10" s="27">
        <v>11332</v>
      </c>
      <c r="C10" s="7" t="s">
        <v>7</v>
      </c>
      <c r="D10" s="6" t="s">
        <v>665</v>
      </c>
    </row>
    <row r="11" spans="1:4" s="13" customFormat="1" x14ac:dyDescent="0.25">
      <c r="A11" s="13" t="e">
        <f>VLOOKUP(B11:B718,#REF!,1,FALSE)</f>
        <v>#REF!</v>
      </c>
      <c r="B11" s="27">
        <v>11334</v>
      </c>
      <c r="C11" s="7" t="s">
        <v>862</v>
      </c>
      <c r="D11" s="6" t="s">
        <v>863</v>
      </c>
    </row>
    <row r="12" spans="1:4" s="13" customFormat="1" x14ac:dyDescent="0.25">
      <c r="A12" s="13" t="e">
        <f>VLOOKUP(B12:B719,#REF!,1,FALSE)</f>
        <v>#REF!</v>
      </c>
      <c r="B12" s="27">
        <v>11490</v>
      </c>
      <c r="C12" s="9" t="s">
        <v>9</v>
      </c>
      <c r="D12" s="6" t="s">
        <v>643</v>
      </c>
    </row>
    <row r="13" spans="1:4" s="13" customFormat="1" x14ac:dyDescent="0.25">
      <c r="A13" s="13" t="e">
        <f>VLOOKUP(B13:B720,#REF!,1,FALSE)</f>
        <v>#REF!</v>
      </c>
      <c r="B13" s="27">
        <v>11702</v>
      </c>
      <c r="C13" s="7" t="s">
        <v>11</v>
      </c>
      <c r="D13" s="6" t="s">
        <v>767</v>
      </c>
    </row>
    <row r="14" spans="1:4" s="13" customFormat="1" x14ac:dyDescent="0.25">
      <c r="A14" s="13" t="e">
        <f>VLOOKUP(B14:B721,#REF!,1,FALSE)</f>
        <v>#REF!</v>
      </c>
      <c r="B14" s="19">
        <v>11798</v>
      </c>
      <c r="C14" s="12" t="s">
        <v>568</v>
      </c>
      <c r="D14" s="15" t="s">
        <v>569</v>
      </c>
    </row>
    <row r="15" spans="1:4" s="13" customFormat="1" x14ac:dyDescent="0.25">
      <c r="A15" s="13" t="e">
        <f>VLOOKUP(B15:B722,#REF!,1,FALSE)</f>
        <v>#REF!</v>
      </c>
      <c r="B15" s="27">
        <v>11961</v>
      </c>
      <c r="C15" s="7" t="s">
        <v>1189</v>
      </c>
      <c r="D15" s="6" t="s">
        <v>1190</v>
      </c>
    </row>
    <row r="16" spans="1:4" s="13" customFormat="1" x14ac:dyDescent="0.25">
      <c r="A16" s="13" t="e">
        <f>VLOOKUP(B16:B723,#REF!,1,FALSE)</f>
        <v>#REF!</v>
      </c>
      <c r="B16" s="27">
        <v>12143</v>
      </c>
      <c r="C16" s="7" t="s">
        <v>13</v>
      </c>
      <c r="D16" s="6" t="s">
        <v>672</v>
      </c>
    </row>
    <row r="17" spans="1:4" s="13" customFormat="1" x14ac:dyDescent="0.25">
      <c r="A17" s="13" t="e">
        <f>VLOOKUP(B17:B724,#REF!,1,FALSE)</f>
        <v>#REF!</v>
      </c>
      <c r="B17" s="14">
        <v>12696</v>
      </c>
      <c r="C17" s="12" t="s">
        <v>15</v>
      </c>
      <c r="D17" s="16" t="s">
        <v>1398</v>
      </c>
    </row>
    <row r="18" spans="1:4" s="13" customFormat="1" x14ac:dyDescent="0.25">
      <c r="A18" s="13" t="e">
        <f>VLOOKUP(B18:B725,#REF!,1,FALSE)</f>
        <v>#REF!</v>
      </c>
      <c r="B18" s="24">
        <v>12699</v>
      </c>
      <c r="C18" s="10" t="s">
        <v>1223</v>
      </c>
      <c r="D18" s="8" t="s">
        <v>1224</v>
      </c>
    </row>
    <row r="19" spans="1:4" s="13" customFormat="1" x14ac:dyDescent="0.25">
      <c r="A19" s="13" t="e">
        <f>VLOOKUP(B19:B726,#REF!,1,FALSE)</f>
        <v>#REF!</v>
      </c>
      <c r="B19" s="19">
        <v>12726</v>
      </c>
      <c r="C19" s="12" t="s">
        <v>525</v>
      </c>
      <c r="D19" s="15" t="s">
        <v>526</v>
      </c>
    </row>
    <row r="20" spans="1:4" s="13" customFormat="1" x14ac:dyDescent="0.25">
      <c r="A20" s="13" t="e">
        <f>VLOOKUP(B20:B727,#REF!,1,FALSE)</f>
        <v>#REF!</v>
      </c>
      <c r="B20" s="19">
        <v>12750</v>
      </c>
      <c r="C20" s="12" t="s">
        <v>538</v>
      </c>
      <c r="D20" s="15" t="s">
        <v>539</v>
      </c>
    </row>
    <row r="21" spans="1:4" s="13" customFormat="1" x14ac:dyDescent="0.25">
      <c r="A21" s="13" t="e">
        <f>VLOOKUP(B21:B728,#REF!,1,FALSE)</f>
        <v>#REF!</v>
      </c>
      <c r="B21" s="27">
        <v>12844</v>
      </c>
      <c r="C21" s="7" t="s">
        <v>17</v>
      </c>
      <c r="D21" s="6" t="s">
        <v>674</v>
      </c>
    </row>
    <row r="22" spans="1:4" s="13" customFormat="1" x14ac:dyDescent="0.25">
      <c r="A22" s="13" t="e">
        <f>VLOOKUP(B22:B729,#REF!,1,FALSE)</f>
        <v>#REF!</v>
      </c>
      <c r="B22" s="14">
        <v>13180</v>
      </c>
      <c r="C22" s="12" t="s">
        <v>18</v>
      </c>
      <c r="D22" s="16" t="s">
        <v>1399</v>
      </c>
    </row>
    <row r="23" spans="1:4" s="13" customFormat="1" x14ac:dyDescent="0.25">
      <c r="A23" s="13" t="e">
        <f>VLOOKUP(B23:B730,#REF!,1,FALSE)</f>
        <v>#REF!</v>
      </c>
      <c r="B23" s="27">
        <v>13702</v>
      </c>
      <c r="C23" s="7" t="s">
        <v>20</v>
      </c>
      <c r="D23" s="6" t="s">
        <v>650</v>
      </c>
    </row>
    <row r="24" spans="1:4" s="13" customFormat="1" x14ac:dyDescent="0.25">
      <c r="A24" s="13" t="e">
        <f>VLOOKUP(B24:B731,#REF!,1,FALSE)</f>
        <v>#REF!</v>
      </c>
      <c r="B24" s="19">
        <v>13730</v>
      </c>
      <c r="C24" s="12" t="s">
        <v>23</v>
      </c>
      <c r="D24" s="15" t="s">
        <v>552</v>
      </c>
    </row>
    <row r="25" spans="1:4" s="13" customFormat="1" x14ac:dyDescent="0.25">
      <c r="A25" s="13" t="e">
        <f>VLOOKUP(B25:B732,#REF!,1,FALSE)</f>
        <v>#REF!</v>
      </c>
      <c r="B25" s="24">
        <v>13732</v>
      </c>
      <c r="C25" s="10" t="s">
        <v>1225</v>
      </c>
      <c r="D25" s="8" t="s">
        <v>1226</v>
      </c>
    </row>
    <row r="26" spans="1:4" s="13" customFormat="1" x14ac:dyDescent="0.25">
      <c r="A26" s="13" t="e">
        <f>VLOOKUP(B26:B733,#REF!,1,FALSE)</f>
        <v>#REF!</v>
      </c>
      <c r="B26" s="24">
        <v>13735</v>
      </c>
      <c r="C26" s="10" t="s">
        <v>1227</v>
      </c>
      <c r="D26" s="8" t="s">
        <v>1228</v>
      </c>
    </row>
    <row r="27" spans="1:4" s="13" customFormat="1" x14ac:dyDescent="0.25">
      <c r="A27" s="13" t="e">
        <f>VLOOKUP(B27:B734,#REF!,1,FALSE)</f>
        <v>#REF!</v>
      </c>
      <c r="B27" s="24">
        <v>13836</v>
      </c>
      <c r="C27" s="10" t="s">
        <v>1381</v>
      </c>
      <c r="D27" s="8" t="s">
        <v>1382</v>
      </c>
    </row>
    <row r="28" spans="1:4" s="13" customFormat="1" x14ac:dyDescent="0.25">
      <c r="A28" s="13" t="e">
        <f>VLOOKUP(B28:B735,#REF!,1,FALSE)</f>
        <v>#REF!</v>
      </c>
      <c r="B28" s="14">
        <v>13898</v>
      </c>
      <c r="C28" s="12" t="s">
        <v>319</v>
      </c>
      <c r="D28" s="16" t="s">
        <v>320</v>
      </c>
    </row>
    <row r="29" spans="1:4" s="13" customFormat="1" x14ac:dyDescent="0.25">
      <c r="A29" s="13" t="e">
        <f>VLOOKUP(B29:B736,#REF!,1,FALSE)</f>
        <v>#REF!</v>
      </c>
      <c r="B29" s="24">
        <v>13904</v>
      </c>
      <c r="C29" s="10" t="s">
        <v>1229</v>
      </c>
      <c r="D29" s="8" t="s">
        <v>1230</v>
      </c>
    </row>
    <row r="30" spans="1:4" s="13" customFormat="1" x14ac:dyDescent="0.25">
      <c r="A30" s="13" t="e">
        <f>VLOOKUP(B30:B737,#REF!,1,FALSE)</f>
        <v>#REF!</v>
      </c>
      <c r="B30" s="14">
        <v>13906</v>
      </c>
      <c r="C30" s="12" t="s">
        <v>321</v>
      </c>
      <c r="D30" s="16" t="s">
        <v>322</v>
      </c>
    </row>
    <row r="31" spans="1:4" s="13" customFormat="1" x14ac:dyDescent="0.25">
      <c r="A31" s="13" t="e">
        <f>VLOOKUP(B31:B738,#REF!,1,FALSE)</f>
        <v>#REF!</v>
      </c>
      <c r="B31" s="24">
        <v>13907</v>
      </c>
      <c r="C31" s="10" t="s">
        <v>1393</v>
      </c>
      <c r="D31" s="8" t="s">
        <v>1394</v>
      </c>
    </row>
    <row r="32" spans="1:4" s="13" customFormat="1" x14ac:dyDescent="0.25">
      <c r="A32" s="13" t="e">
        <f>VLOOKUP(B32:B739,#REF!,1,FALSE)</f>
        <v>#REF!</v>
      </c>
      <c r="B32" s="14">
        <v>13908</v>
      </c>
      <c r="C32" s="12" t="s">
        <v>323</v>
      </c>
      <c r="D32" s="16" t="s">
        <v>324</v>
      </c>
    </row>
    <row r="33" spans="1:4" s="13" customFormat="1" x14ac:dyDescent="0.25">
      <c r="A33" s="13" t="e">
        <f>VLOOKUP(B33:B740,#REF!,1,FALSE)</f>
        <v>#REF!</v>
      </c>
      <c r="B33" s="14">
        <v>13909</v>
      </c>
      <c r="C33" s="12" t="s">
        <v>325</v>
      </c>
      <c r="D33" s="16" t="s">
        <v>326</v>
      </c>
    </row>
    <row r="34" spans="1:4" s="13" customFormat="1" x14ac:dyDescent="0.25">
      <c r="A34" s="13" t="e">
        <f>VLOOKUP(B34:B741,#REF!,1,FALSE)</f>
        <v>#REF!</v>
      </c>
      <c r="B34" s="14">
        <v>13910</v>
      </c>
      <c r="C34" s="12" t="s">
        <v>327</v>
      </c>
      <c r="D34" s="16" t="s">
        <v>328</v>
      </c>
    </row>
    <row r="35" spans="1:4" s="13" customFormat="1" x14ac:dyDescent="0.25">
      <c r="A35" s="13" t="e">
        <f>VLOOKUP(B35:B742,#REF!,1,FALSE)</f>
        <v>#REF!</v>
      </c>
      <c r="B35" s="19">
        <v>13983</v>
      </c>
      <c r="C35" s="12" t="s">
        <v>591</v>
      </c>
      <c r="D35" s="15" t="s">
        <v>592</v>
      </c>
    </row>
    <row r="36" spans="1:4" s="13" customFormat="1" x14ac:dyDescent="0.25">
      <c r="A36" s="13" t="e">
        <f>VLOOKUP(B36:B743,#REF!,1,FALSE)</f>
        <v>#REF!</v>
      </c>
      <c r="B36" s="27">
        <v>14147</v>
      </c>
      <c r="C36" s="9" t="s">
        <v>24</v>
      </c>
      <c r="D36" s="6" t="s">
        <v>686</v>
      </c>
    </row>
    <row r="37" spans="1:4" s="13" customFormat="1" x14ac:dyDescent="0.25">
      <c r="A37" s="13" t="e">
        <f>VLOOKUP(B37:B744,#REF!,1,FALSE)</f>
        <v>#REF!</v>
      </c>
      <c r="B37" s="14">
        <v>14155</v>
      </c>
      <c r="C37" s="12" t="s">
        <v>329</v>
      </c>
      <c r="D37" s="16" t="s">
        <v>1400</v>
      </c>
    </row>
    <row r="38" spans="1:4" s="13" customFormat="1" x14ac:dyDescent="0.25">
      <c r="A38" s="13" t="e">
        <f>VLOOKUP(B38:B745,#REF!,1,FALSE)</f>
        <v>#REF!</v>
      </c>
      <c r="B38" s="14">
        <v>14159</v>
      </c>
      <c r="C38" s="12" t="s">
        <v>330</v>
      </c>
      <c r="D38" s="16" t="s">
        <v>1401</v>
      </c>
    </row>
    <row r="39" spans="1:4" s="13" customFormat="1" x14ac:dyDescent="0.25">
      <c r="A39" s="13" t="e">
        <f>VLOOKUP(B39:B746,#REF!,1,FALSE)</f>
        <v>#REF!</v>
      </c>
      <c r="B39" s="24">
        <v>15056</v>
      </c>
      <c r="C39" s="10" t="s">
        <v>1383</v>
      </c>
      <c r="D39" s="8" t="s">
        <v>1384</v>
      </c>
    </row>
    <row r="40" spans="1:4" s="13" customFormat="1" x14ac:dyDescent="0.25">
      <c r="A40" s="13" t="e">
        <f>VLOOKUP(B40:B747,#REF!,1,FALSE)</f>
        <v>#REF!</v>
      </c>
      <c r="B40" s="27">
        <v>15275</v>
      </c>
      <c r="C40" s="7" t="s">
        <v>26</v>
      </c>
      <c r="D40" s="6" t="s">
        <v>655</v>
      </c>
    </row>
    <row r="41" spans="1:4" s="13" customFormat="1" x14ac:dyDescent="0.25">
      <c r="A41" s="13" t="e">
        <f>VLOOKUP(B41:B748,#REF!,1,FALSE)</f>
        <v>#REF!</v>
      </c>
      <c r="B41" s="27">
        <v>15688</v>
      </c>
      <c r="C41" s="7" t="s">
        <v>1191</v>
      </c>
      <c r="D41" s="6" t="s">
        <v>1192</v>
      </c>
    </row>
    <row r="42" spans="1:4" s="13" customFormat="1" x14ac:dyDescent="0.25">
      <c r="A42" s="13" t="e">
        <f>VLOOKUP(B42:B749,#REF!,1,FALSE)</f>
        <v>#REF!</v>
      </c>
      <c r="B42" s="27">
        <v>15749</v>
      </c>
      <c r="C42" s="7" t="s">
        <v>28</v>
      </c>
      <c r="D42" s="6" t="s">
        <v>659</v>
      </c>
    </row>
    <row r="43" spans="1:4" s="13" customFormat="1" x14ac:dyDescent="0.25">
      <c r="A43" s="13" t="e">
        <f>VLOOKUP(B43:B750,#REF!,1,FALSE)</f>
        <v>#REF!</v>
      </c>
      <c r="B43" s="27">
        <v>15772</v>
      </c>
      <c r="C43" s="7" t="s">
        <v>860</v>
      </c>
      <c r="D43" s="6" t="s">
        <v>861</v>
      </c>
    </row>
    <row r="44" spans="1:4" s="13" customFormat="1" x14ac:dyDescent="0.25">
      <c r="A44" s="13" t="e">
        <f>VLOOKUP(B44:B751,#REF!,1,FALSE)</f>
        <v>#REF!</v>
      </c>
      <c r="B44" s="27">
        <v>15800</v>
      </c>
      <c r="C44" s="7" t="s">
        <v>1147</v>
      </c>
      <c r="D44" s="6" t="s">
        <v>1148</v>
      </c>
    </row>
    <row r="45" spans="1:4" s="13" customFormat="1" x14ac:dyDescent="0.25">
      <c r="A45" s="13" t="e">
        <f>VLOOKUP(B45:B752,#REF!,1,FALSE)</f>
        <v>#REF!</v>
      </c>
      <c r="B45" s="14">
        <v>15971</v>
      </c>
      <c r="C45" s="12" t="s">
        <v>331</v>
      </c>
      <c r="D45" s="16" t="s">
        <v>1402</v>
      </c>
    </row>
    <row r="46" spans="1:4" s="13" customFormat="1" x14ac:dyDescent="0.25">
      <c r="A46" s="13" t="e">
        <f>VLOOKUP(B46:B753,#REF!,1,FALSE)</f>
        <v>#REF!</v>
      </c>
      <c r="B46" s="27">
        <v>15974</v>
      </c>
      <c r="C46" s="9" t="s">
        <v>30</v>
      </c>
      <c r="D46" s="6" t="s">
        <v>697</v>
      </c>
    </row>
    <row r="47" spans="1:4" s="13" customFormat="1" x14ac:dyDescent="0.25">
      <c r="A47" s="13" t="e">
        <f>VLOOKUP(B47:B754,#REF!,1,FALSE)</f>
        <v>#REF!</v>
      </c>
      <c r="B47" s="27">
        <v>16077</v>
      </c>
      <c r="C47" s="7" t="s">
        <v>790</v>
      </c>
      <c r="D47" s="6" t="s">
        <v>791</v>
      </c>
    </row>
    <row r="48" spans="1:4" s="13" customFormat="1" x14ac:dyDescent="0.25">
      <c r="A48" s="13" t="e">
        <f>VLOOKUP(B48:B755,#REF!,1,FALSE)</f>
        <v>#REF!</v>
      </c>
      <c r="B48" s="27">
        <v>16131</v>
      </c>
      <c r="C48" s="7" t="s">
        <v>1193</v>
      </c>
      <c r="D48" s="6" t="s">
        <v>1194</v>
      </c>
    </row>
    <row r="49" spans="1:4" s="13" customFormat="1" x14ac:dyDescent="0.25">
      <c r="A49" s="13" t="e">
        <f>VLOOKUP(B49:B756,#REF!,1,FALSE)</f>
        <v>#REF!</v>
      </c>
      <c r="B49" s="27">
        <v>16224</v>
      </c>
      <c r="C49" s="7" t="s">
        <v>32</v>
      </c>
      <c r="D49" s="6" t="s">
        <v>663</v>
      </c>
    </row>
    <row r="50" spans="1:4" s="13" customFormat="1" x14ac:dyDescent="0.25">
      <c r="A50" s="13" t="e">
        <f>VLOOKUP(B50:B757,#REF!,1,FALSE)</f>
        <v>#REF!</v>
      </c>
      <c r="B50" s="27">
        <v>16462</v>
      </c>
      <c r="C50" s="7" t="s">
        <v>854</v>
      </c>
      <c r="D50" s="6" t="s">
        <v>855</v>
      </c>
    </row>
    <row r="51" spans="1:4" s="13" customFormat="1" x14ac:dyDescent="0.25">
      <c r="A51" s="13" t="e">
        <f>VLOOKUP(B51:B758,#REF!,1,FALSE)</f>
        <v>#REF!</v>
      </c>
      <c r="B51" s="27">
        <v>16463</v>
      </c>
      <c r="C51" s="7" t="s">
        <v>1195</v>
      </c>
      <c r="D51" s="6" t="s">
        <v>1196</v>
      </c>
    </row>
    <row r="52" spans="1:4" s="13" customFormat="1" x14ac:dyDescent="0.25">
      <c r="A52" s="13" t="e">
        <f>VLOOKUP(B52:B759,#REF!,1,FALSE)</f>
        <v>#REF!</v>
      </c>
      <c r="B52" s="14">
        <v>16584</v>
      </c>
      <c r="C52" s="12" t="s">
        <v>34</v>
      </c>
      <c r="D52" s="16" t="s">
        <v>332</v>
      </c>
    </row>
    <row r="53" spans="1:4" s="13" customFormat="1" x14ac:dyDescent="0.25">
      <c r="A53" s="13" t="e">
        <f>VLOOKUP(B53:B760,#REF!,1,FALSE)</f>
        <v>#REF!</v>
      </c>
      <c r="B53" s="27">
        <v>16763</v>
      </c>
      <c r="C53" s="7" t="s">
        <v>35</v>
      </c>
      <c r="D53" s="6" t="s">
        <v>646</v>
      </c>
    </row>
    <row r="54" spans="1:4" s="13" customFormat="1" x14ac:dyDescent="0.25">
      <c r="A54" s="13" t="e">
        <f>VLOOKUP(B54:B761,#REF!,1,FALSE)</f>
        <v>#REF!</v>
      </c>
      <c r="B54" s="14">
        <v>16779</v>
      </c>
      <c r="C54" s="12" t="s">
        <v>333</v>
      </c>
      <c r="D54" s="16" t="s">
        <v>1403</v>
      </c>
    </row>
    <row r="55" spans="1:4" s="13" customFormat="1" x14ac:dyDescent="0.25">
      <c r="A55" s="13" t="e">
        <f>VLOOKUP(B55:B762,#REF!,1,FALSE)</f>
        <v>#REF!</v>
      </c>
      <c r="B55" s="27">
        <v>16787</v>
      </c>
      <c r="C55" s="7" t="s">
        <v>1197</v>
      </c>
      <c r="D55" s="6" t="s">
        <v>1198</v>
      </c>
    </row>
    <row r="56" spans="1:4" s="13" customFormat="1" x14ac:dyDescent="0.25">
      <c r="A56" s="13" t="e">
        <f>VLOOKUP(B56:B763,#REF!,1,FALSE)</f>
        <v>#REF!</v>
      </c>
      <c r="B56" s="14">
        <v>16825</v>
      </c>
      <c r="C56" s="12" t="s">
        <v>334</v>
      </c>
      <c r="D56" s="16" t="s">
        <v>335</v>
      </c>
    </row>
    <row r="57" spans="1:4" s="13" customFormat="1" x14ac:dyDescent="0.25">
      <c r="A57" s="13" t="e">
        <f>VLOOKUP(B57:B764,#REF!,1,FALSE)</f>
        <v>#REF!</v>
      </c>
      <c r="B57" s="27">
        <v>16966</v>
      </c>
      <c r="C57" s="7" t="s">
        <v>894</v>
      </c>
      <c r="D57" s="6" t="s">
        <v>895</v>
      </c>
    </row>
    <row r="58" spans="1:4" s="13" customFormat="1" x14ac:dyDescent="0.25">
      <c r="A58" s="13" t="e">
        <f>VLOOKUP(B58:B765,#REF!,1,FALSE)</f>
        <v>#REF!</v>
      </c>
      <c r="B58" s="27">
        <v>17115</v>
      </c>
      <c r="C58" s="7" t="s">
        <v>864</v>
      </c>
      <c r="D58" s="6" t="s">
        <v>865</v>
      </c>
    </row>
    <row r="59" spans="1:4" s="13" customFormat="1" x14ac:dyDescent="0.25">
      <c r="A59" s="13" t="e">
        <f>VLOOKUP(B59:B766,#REF!,1,FALSE)</f>
        <v>#REF!</v>
      </c>
      <c r="B59" s="19">
        <v>17180</v>
      </c>
      <c r="C59" s="12" t="s">
        <v>540</v>
      </c>
      <c r="D59" s="15" t="s">
        <v>541</v>
      </c>
    </row>
    <row r="60" spans="1:4" s="13" customFormat="1" x14ac:dyDescent="0.25">
      <c r="A60" s="13" t="e">
        <f>VLOOKUP(B60:B767,#REF!,1,FALSE)</f>
        <v>#REF!</v>
      </c>
      <c r="B60" s="24">
        <v>17184</v>
      </c>
      <c r="C60" s="10" t="s">
        <v>1231</v>
      </c>
      <c r="D60" s="8" t="s">
        <v>1232</v>
      </c>
    </row>
    <row r="61" spans="1:4" s="13" customFormat="1" x14ac:dyDescent="0.25">
      <c r="A61" s="13" t="e">
        <f>VLOOKUP(B61:B768,#REF!,1,FALSE)</f>
        <v>#REF!</v>
      </c>
      <c r="B61" s="14">
        <v>17245</v>
      </c>
      <c r="C61" s="12" t="s">
        <v>336</v>
      </c>
      <c r="D61" s="16" t="s">
        <v>337</v>
      </c>
    </row>
    <row r="62" spans="1:4" s="13" customFormat="1" x14ac:dyDescent="0.25">
      <c r="A62" s="13" t="e">
        <f>VLOOKUP(B62:B769,#REF!,1,FALSE)</f>
        <v>#REF!</v>
      </c>
      <c r="B62" s="14">
        <v>17471</v>
      </c>
      <c r="C62" s="12" t="s">
        <v>338</v>
      </c>
      <c r="D62" s="15" t="s">
        <v>339</v>
      </c>
    </row>
    <row r="63" spans="1:4" s="13" customFormat="1" x14ac:dyDescent="0.25">
      <c r="A63" s="13" t="e">
        <f>VLOOKUP(B63:B770,#REF!,1,FALSE)</f>
        <v>#REF!</v>
      </c>
      <c r="B63" s="27">
        <v>17507</v>
      </c>
      <c r="C63" s="7" t="s">
        <v>36</v>
      </c>
      <c r="D63" s="6" t="s">
        <v>656</v>
      </c>
    </row>
    <row r="64" spans="1:4" s="13" customFormat="1" x14ac:dyDescent="0.25">
      <c r="A64" s="13" t="e">
        <f>VLOOKUP(B64:B771,#REF!,1,FALSE)</f>
        <v>#REF!</v>
      </c>
      <c r="B64" s="14">
        <v>17541</v>
      </c>
      <c r="C64" s="12" t="s">
        <v>38</v>
      </c>
      <c r="D64" s="16" t="s">
        <v>1404</v>
      </c>
    </row>
    <row r="65" spans="1:4" s="13" customFormat="1" x14ac:dyDescent="0.25">
      <c r="A65" s="13" t="e">
        <f>VLOOKUP(B65:B772,#REF!,1,FALSE)</f>
        <v>#REF!</v>
      </c>
      <c r="B65" s="19">
        <v>17649</v>
      </c>
      <c r="C65" s="12" t="s">
        <v>546</v>
      </c>
      <c r="D65" s="15" t="s">
        <v>547</v>
      </c>
    </row>
    <row r="66" spans="1:4" s="13" customFormat="1" x14ac:dyDescent="0.25">
      <c r="A66" s="13" t="e">
        <f>VLOOKUP(B66:B773,#REF!,1,FALSE)</f>
        <v>#REF!</v>
      </c>
      <c r="B66" s="27">
        <v>17735</v>
      </c>
      <c r="C66" s="7" t="s">
        <v>40</v>
      </c>
      <c r="D66" s="6" t="s">
        <v>667</v>
      </c>
    </row>
    <row r="67" spans="1:4" s="13" customFormat="1" x14ac:dyDescent="0.25">
      <c r="A67" s="13" t="e">
        <f>VLOOKUP(B67:B774,#REF!,1,FALSE)</f>
        <v>#REF!</v>
      </c>
      <c r="B67" s="27">
        <v>17751</v>
      </c>
      <c r="C67" s="7" t="s">
        <v>41</v>
      </c>
      <c r="D67" s="30" t="s">
        <v>1445</v>
      </c>
    </row>
    <row r="68" spans="1:4" s="13" customFormat="1" x14ac:dyDescent="0.25">
      <c r="A68" s="13" t="e">
        <f>VLOOKUP(B68:B775,#REF!,1,FALSE)</f>
        <v>#REF!</v>
      </c>
      <c r="B68" s="24">
        <v>17827</v>
      </c>
      <c r="C68" s="10" t="s">
        <v>1233</v>
      </c>
      <c r="D68" s="8" t="s">
        <v>1234</v>
      </c>
    </row>
    <row r="69" spans="1:4" s="13" customFormat="1" x14ac:dyDescent="0.25">
      <c r="A69" s="13" t="e">
        <f>VLOOKUP(B69:B776,#REF!,1,FALSE)</f>
        <v>#REF!</v>
      </c>
      <c r="B69" s="27">
        <v>17846</v>
      </c>
      <c r="C69" s="7" t="s">
        <v>42</v>
      </c>
      <c r="D69" s="6" t="s">
        <v>604</v>
      </c>
    </row>
    <row r="70" spans="1:4" s="13" customFormat="1" x14ac:dyDescent="0.25">
      <c r="A70" s="13" t="e">
        <f>VLOOKUP(B70:B777,#REF!,1,FALSE)</f>
        <v>#REF!</v>
      </c>
      <c r="B70" s="27">
        <v>18034</v>
      </c>
      <c r="C70" s="7" t="s">
        <v>1199</v>
      </c>
      <c r="D70" s="6" t="s">
        <v>1200</v>
      </c>
    </row>
    <row r="71" spans="1:4" s="13" customFormat="1" x14ac:dyDescent="0.25">
      <c r="A71" s="13" t="e">
        <f>VLOOKUP(B71:B778,#REF!,1,FALSE)</f>
        <v>#REF!</v>
      </c>
      <c r="B71" s="27">
        <v>18039</v>
      </c>
      <c r="C71" s="7" t="s">
        <v>1201</v>
      </c>
      <c r="D71" s="6" t="s">
        <v>1202</v>
      </c>
    </row>
    <row r="72" spans="1:4" s="13" customFormat="1" x14ac:dyDescent="0.25">
      <c r="A72" s="13" t="e">
        <f>VLOOKUP(B72:B779,#REF!,1,FALSE)</f>
        <v>#REF!</v>
      </c>
      <c r="B72" s="27">
        <v>18129</v>
      </c>
      <c r="C72" s="7" t="s">
        <v>866</v>
      </c>
      <c r="D72" s="6" t="s">
        <v>867</v>
      </c>
    </row>
    <row r="73" spans="1:4" s="13" customFormat="1" x14ac:dyDescent="0.25">
      <c r="A73" s="13" t="e">
        <f>VLOOKUP(B73:B780,#REF!,1,FALSE)</f>
        <v>#REF!</v>
      </c>
      <c r="B73" s="24">
        <v>30854</v>
      </c>
      <c r="C73" s="10" t="s">
        <v>1235</v>
      </c>
      <c r="D73" s="8" t="s">
        <v>1236</v>
      </c>
    </row>
    <row r="74" spans="1:4" s="13" customFormat="1" x14ac:dyDescent="0.25">
      <c r="A74" s="13" t="e">
        <f>VLOOKUP(B74:B781,#REF!,1,FALSE)</f>
        <v>#REF!</v>
      </c>
      <c r="B74" s="27">
        <v>31048</v>
      </c>
      <c r="C74" s="7" t="s">
        <v>868</v>
      </c>
      <c r="D74" s="6" t="s">
        <v>869</v>
      </c>
    </row>
    <row r="75" spans="1:4" s="13" customFormat="1" x14ac:dyDescent="0.25">
      <c r="A75" s="13" t="e">
        <f>VLOOKUP(B75:B782,#REF!,1,FALSE)</f>
        <v>#REF!</v>
      </c>
      <c r="B75" s="27">
        <v>31335</v>
      </c>
      <c r="C75" s="9" t="s">
        <v>43</v>
      </c>
      <c r="D75" s="6" t="s">
        <v>677</v>
      </c>
    </row>
    <row r="76" spans="1:4" s="13" customFormat="1" x14ac:dyDescent="0.25">
      <c r="A76" s="13" t="e">
        <f>VLOOKUP(B76:B783,#REF!,1,FALSE)</f>
        <v>#REF!</v>
      </c>
      <c r="B76" s="27">
        <v>31744</v>
      </c>
      <c r="C76" s="7" t="s">
        <v>876</v>
      </c>
      <c r="D76" s="6" t="s">
        <v>877</v>
      </c>
    </row>
    <row r="77" spans="1:4" s="13" customFormat="1" x14ac:dyDescent="0.25">
      <c r="A77" s="13" t="e">
        <f>VLOOKUP(B77:B784,#REF!,1,FALSE)</f>
        <v>#REF!</v>
      </c>
      <c r="B77" s="27">
        <v>32021</v>
      </c>
      <c r="C77" s="7" t="s">
        <v>878</v>
      </c>
      <c r="D77" s="6" t="s">
        <v>879</v>
      </c>
    </row>
    <row r="78" spans="1:4" s="13" customFormat="1" x14ac:dyDescent="0.25">
      <c r="A78" s="13" t="e">
        <f>VLOOKUP(B78:B785,#REF!,1,FALSE)</f>
        <v>#REF!</v>
      </c>
      <c r="B78" s="27">
        <v>32033</v>
      </c>
      <c r="C78" s="7" t="s">
        <v>870</v>
      </c>
      <c r="D78" s="6" t="s">
        <v>871</v>
      </c>
    </row>
    <row r="79" spans="1:4" s="13" customFormat="1" x14ac:dyDescent="0.25">
      <c r="A79" s="13" t="e">
        <f>VLOOKUP(B79:B786,#REF!,1,FALSE)</f>
        <v>#REF!</v>
      </c>
      <c r="B79" s="27">
        <v>32241</v>
      </c>
      <c r="C79" s="7" t="s">
        <v>872</v>
      </c>
      <c r="D79" s="6" t="s">
        <v>873</v>
      </c>
    </row>
    <row r="80" spans="1:4" s="13" customFormat="1" x14ac:dyDescent="0.25">
      <c r="A80" s="13" t="e">
        <f>VLOOKUP(B80:B787,#REF!,1,FALSE)</f>
        <v>#REF!</v>
      </c>
      <c r="B80" s="27">
        <v>32312</v>
      </c>
      <c r="C80" s="7" t="s">
        <v>44</v>
      </c>
      <c r="D80" s="6" t="s">
        <v>675</v>
      </c>
    </row>
    <row r="81" spans="1:4" s="13" customFormat="1" x14ac:dyDescent="0.25">
      <c r="A81" s="13" t="e">
        <f>VLOOKUP(B81:B788,#REF!,1,FALSE)</f>
        <v>#REF!</v>
      </c>
      <c r="B81" s="14">
        <v>32390</v>
      </c>
      <c r="C81" s="12" t="s">
        <v>46</v>
      </c>
      <c r="D81" s="16" t="s">
        <v>340</v>
      </c>
    </row>
    <row r="82" spans="1:4" s="13" customFormat="1" x14ac:dyDescent="0.25">
      <c r="A82" s="13" t="e">
        <f>VLOOKUP(B82:B789,#REF!,1,FALSE)</f>
        <v>#REF!</v>
      </c>
      <c r="B82" s="27">
        <v>32584</v>
      </c>
      <c r="C82" s="7" t="s">
        <v>48</v>
      </c>
      <c r="D82" s="6" t="s">
        <v>602</v>
      </c>
    </row>
    <row r="83" spans="1:4" s="13" customFormat="1" x14ac:dyDescent="0.25">
      <c r="A83" s="13" t="e">
        <f>VLOOKUP(B83:B790,#REF!,1,FALSE)</f>
        <v>#REF!</v>
      </c>
      <c r="B83" s="27">
        <v>32591</v>
      </c>
      <c r="C83" s="9" t="s">
        <v>49</v>
      </c>
      <c r="D83" s="6" t="s">
        <v>607</v>
      </c>
    </row>
    <row r="84" spans="1:4" s="13" customFormat="1" x14ac:dyDescent="0.25">
      <c r="A84" s="13" t="e">
        <f>VLOOKUP(B84:B791,#REF!,1,FALSE)</f>
        <v>#REF!</v>
      </c>
      <c r="B84" s="27">
        <v>32831</v>
      </c>
      <c r="C84" s="7" t="s">
        <v>50</v>
      </c>
      <c r="D84" s="6" t="s">
        <v>737</v>
      </c>
    </row>
    <row r="85" spans="1:4" s="13" customFormat="1" x14ac:dyDescent="0.25">
      <c r="A85" s="13" t="e">
        <f>VLOOKUP(B85:B792,#REF!,1,FALSE)</f>
        <v>#REF!</v>
      </c>
      <c r="B85" s="27">
        <v>32832</v>
      </c>
      <c r="C85" s="7" t="s">
        <v>52</v>
      </c>
      <c r="D85" s="6" t="s">
        <v>741</v>
      </c>
    </row>
    <row r="86" spans="1:4" s="13" customFormat="1" x14ac:dyDescent="0.25">
      <c r="A86" s="13" t="e">
        <f>VLOOKUP(B86:B793,#REF!,1,FALSE)</f>
        <v>#REF!</v>
      </c>
      <c r="B86" s="14">
        <v>32845</v>
      </c>
      <c r="C86" s="12" t="s">
        <v>53</v>
      </c>
      <c r="D86" s="15" t="s">
        <v>341</v>
      </c>
    </row>
    <row r="87" spans="1:4" s="13" customFormat="1" x14ac:dyDescent="0.25">
      <c r="A87" s="13" t="e">
        <f>VLOOKUP(B87:B794,#REF!,1,FALSE)</f>
        <v>#REF!</v>
      </c>
      <c r="B87" s="27">
        <v>32847</v>
      </c>
      <c r="C87" s="7" t="s">
        <v>874</v>
      </c>
      <c r="D87" s="6" t="s">
        <v>875</v>
      </c>
    </row>
    <row r="88" spans="1:4" s="13" customFormat="1" x14ac:dyDescent="0.25">
      <c r="A88" s="13" t="e">
        <f>VLOOKUP(B88:B795,#REF!,1,FALSE)</f>
        <v>#REF!</v>
      </c>
      <c r="B88" s="27">
        <v>32848</v>
      </c>
      <c r="C88" s="7" t="s">
        <v>54</v>
      </c>
      <c r="D88" s="6" t="s">
        <v>708</v>
      </c>
    </row>
    <row r="89" spans="1:4" s="13" customFormat="1" x14ac:dyDescent="0.25">
      <c r="A89" s="13" t="e">
        <f>VLOOKUP(B89:B796,#REF!,1,FALSE)</f>
        <v>#REF!</v>
      </c>
      <c r="B89" s="27">
        <v>32850</v>
      </c>
      <c r="C89" s="7" t="s">
        <v>55</v>
      </c>
      <c r="D89" s="6" t="s">
        <v>670</v>
      </c>
    </row>
    <row r="90" spans="1:4" s="13" customFormat="1" x14ac:dyDescent="0.25">
      <c r="A90" s="13" t="e">
        <f>VLOOKUP(B90:B797,#REF!,1,FALSE)</f>
        <v>#REF!</v>
      </c>
      <c r="B90" s="27">
        <v>32853</v>
      </c>
      <c r="C90" s="7" t="s">
        <v>824</v>
      </c>
      <c r="D90" s="6" t="s">
        <v>825</v>
      </c>
    </row>
    <row r="91" spans="1:4" s="13" customFormat="1" x14ac:dyDescent="0.25">
      <c r="A91" s="13" t="e">
        <f>VLOOKUP(B91:B798,#REF!,1,FALSE)</f>
        <v>#REF!</v>
      </c>
      <c r="B91" s="27">
        <v>32854</v>
      </c>
      <c r="C91" s="9" t="s">
        <v>57</v>
      </c>
      <c r="D91" s="6" t="s">
        <v>680</v>
      </c>
    </row>
    <row r="92" spans="1:4" s="13" customFormat="1" x14ac:dyDescent="0.25">
      <c r="A92" s="13" t="e">
        <f>VLOOKUP(B92:B799,#REF!,1,FALSE)</f>
        <v>#REF!</v>
      </c>
      <c r="B92" s="27">
        <v>32856</v>
      </c>
      <c r="C92" s="7" t="s">
        <v>59</v>
      </c>
      <c r="D92" s="6" t="s">
        <v>765</v>
      </c>
    </row>
    <row r="93" spans="1:4" s="13" customFormat="1" x14ac:dyDescent="0.25">
      <c r="A93" s="13" t="e">
        <f>VLOOKUP(B93:B800,#REF!,1,FALSE)</f>
        <v>#REF!</v>
      </c>
      <c r="B93" s="27">
        <v>32859</v>
      </c>
      <c r="C93" s="7" t="s">
        <v>880</v>
      </c>
      <c r="D93" s="6" t="s">
        <v>881</v>
      </c>
    </row>
    <row r="94" spans="1:4" s="13" customFormat="1" x14ac:dyDescent="0.25">
      <c r="A94" s="13" t="e">
        <f>VLOOKUP(B94:B801,#REF!,1,FALSE)</f>
        <v>#REF!</v>
      </c>
      <c r="B94" s="27">
        <v>32864</v>
      </c>
      <c r="C94" s="7" t="s">
        <v>882</v>
      </c>
      <c r="D94" s="6" t="s">
        <v>883</v>
      </c>
    </row>
    <row r="95" spans="1:4" s="13" customFormat="1" x14ac:dyDescent="0.25">
      <c r="A95" s="13" t="e">
        <f>VLOOKUP(B95:B802,#REF!,1,FALSE)</f>
        <v>#REF!</v>
      </c>
      <c r="B95" s="27">
        <v>32865</v>
      </c>
      <c r="C95" s="7" t="s">
        <v>812</v>
      </c>
      <c r="D95" s="6" t="s">
        <v>813</v>
      </c>
    </row>
    <row r="96" spans="1:4" s="13" customFormat="1" x14ac:dyDescent="0.25">
      <c r="A96" s="13" t="e">
        <f>VLOOKUP(B96:B803,#REF!,1,FALSE)</f>
        <v>#REF!</v>
      </c>
      <c r="B96" s="14">
        <v>32871</v>
      </c>
      <c r="C96" s="12" t="s">
        <v>61</v>
      </c>
      <c r="D96" s="16" t="s">
        <v>342</v>
      </c>
    </row>
    <row r="97" spans="1:4" s="13" customFormat="1" x14ac:dyDescent="0.25">
      <c r="A97" s="13" t="e">
        <f>VLOOKUP(B97:B804,#REF!,1,FALSE)</f>
        <v>#REF!</v>
      </c>
      <c r="B97" s="27">
        <v>32873</v>
      </c>
      <c r="C97" s="7" t="s">
        <v>63</v>
      </c>
      <c r="D97" s="6" t="s">
        <v>775</v>
      </c>
    </row>
    <row r="98" spans="1:4" s="13" customFormat="1" x14ac:dyDescent="0.25">
      <c r="A98" s="13" t="e">
        <f>VLOOKUP(B98:B805,#REF!,1,FALSE)</f>
        <v>#REF!</v>
      </c>
      <c r="B98" s="27">
        <v>32874</v>
      </c>
      <c r="C98" s="7" t="s">
        <v>1203</v>
      </c>
      <c r="D98" s="6" t="s">
        <v>1204</v>
      </c>
    </row>
    <row r="99" spans="1:4" s="13" customFormat="1" x14ac:dyDescent="0.25">
      <c r="A99" s="13" t="e">
        <f>VLOOKUP(B99:B806,#REF!,1,FALSE)</f>
        <v>#REF!</v>
      </c>
      <c r="B99" s="27">
        <v>32878</v>
      </c>
      <c r="C99" s="7" t="s">
        <v>65</v>
      </c>
      <c r="D99" s="6" t="s">
        <v>757</v>
      </c>
    </row>
    <row r="100" spans="1:4" s="13" customFormat="1" x14ac:dyDescent="0.25">
      <c r="A100" s="13" t="e">
        <f>VLOOKUP(B100:B807,#REF!,1,FALSE)</f>
        <v>#REF!</v>
      </c>
      <c r="B100" s="27">
        <v>32879</v>
      </c>
      <c r="C100" s="7" t="s">
        <v>884</v>
      </c>
      <c r="D100" s="6" t="s">
        <v>885</v>
      </c>
    </row>
    <row r="101" spans="1:4" s="13" customFormat="1" x14ac:dyDescent="0.25">
      <c r="A101" s="13" t="e">
        <f>VLOOKUP(B101:B808,#REF!,1,FALSE)</f>
        <v>#REF!</v>
      </c>
      <c r="B101" s="27">
        <v>32881</v>
      </c>
      <c r="C101" s="7" t="s">
        <v>886</v>
      </c>
      <c r="D101" s="6" t="s">
        <v>887</v>
      </c>
    </row>
    <row r="102" spans="1:4" s="13" customFormat="1" x14ac:dyDescent="0.25">
      <c r="A102" s="13" t="e">
        <f>VLOOKUP(B102:B809,#REF!,1,FALSE)</f>
        <v>#REF!</v>
      </c>
      <c r="B102" s="27">
        <v>32885</v>
      </c>
      <c r="C102" s="7" t="s">
        <v>67</v>
      </c>
      <c r="D102" s="30" t="s">
        <v>1446</v>
      </c>
    </row>
    <row r="103" spans="1:4" s="13" customFormat="1" x14ac:dyDescent="0.25">
      <c r="A103" s="13" t="e">
        <f>VLOOKUP(B103:B810,#REF!,1,FALSE)</f>
        <v>#REF!</v>
      </c>
      <c r="B103" s="27">
        <v>32886</v>
      </c>
      <c r="C103" s="7" t="s">
        <v>68</v>
      </c>
      <c r="D103" s="30" t="s">
        <v>1447</v>
      </c>
    </row>
    <row r="104" spans="1:4" s="13" customFormat="1" x14ac:dyDescent="0.25">
      <c r="A104" s="13" t="e">
        <f>VLOOKUP(B104:B811,#REF!,1,FALSE)</f>
        <v>#REF!</v>
      </c>
      <c r="B104" s="27">
        <v>33175</v>
      </c>
      <c r="C104" s="7" t="s">
        <v>69</v>
      </c>
      <c r="D104" s="6" t="s">
        <v>712</v>
      </c>
    </row>
    <row r="105" spans="1:4" s="13" customFormat="1" x14ac:dyDescent="0.25">
      <c r="A105" s="13" t="e">
        <f>VLOOKUP(B105:B812,#REF!,1,FALSE)</f>
        <v>#REF!</v>
      </c>
      <c r="B105" s="27">
        <v>33177</v>
      </c>
      <c r="C105" s="7" t="s">
        <v>888</v>
      </c>
      <c r="D105" s="6" t="s">
        <v>889</v>
      </c>
    </row>
    <row r="106" spans="1:4" s="13" customFormat="1" x14ac:dyDescent="0.25">
      <c r="A106" s="13" t="e">
        <f>VLOOKUP(B106:B813,#REF!,1,FALSE)</f>
        <v>#REF!</v>
      </c>
      <c r="B106" s="27">
        <v>33178</v>
      </c>
      <c r="C106" s="7" t="s">
        <v>890</v>
      </c>
      <c r="D106" s="6" t="s">
        <v>891</v>
      </c>
    </row>
    <row r="107" spans="1:4" s="13" customFormat="1" x14ac:dyDescent="0.25">
      <c r="A107" s="13" t="e">
        <f>VLOOKUP(B107:B814,#REF!,1,FALSE)</f>
        <v>#REF!</v>
      </c>
      <c r="B107" s="27">
        <v>33187</v>
      </c>
      <c r="C107" s="7" t="s">
        <v>782</v>
      </c>
      <c r="D107" s="6" t="s">
        <v>783</v>
      </c>
    </row>
    <row r="108" spans="1:4" s="13" customFormat="1" x14ac:dyDescent="0.25">
      <c r="A108" s="13" t="e">
        <f>VLOOKUP(B108:B815,#REF!,1,FALSE)</f>
        <v>#REF!</v>
      </c>
      <c r="B108" s="27">
        <v>33310</v>
      </c>
      <c r="C108" s="7" t="s">
        <v>892</v>
      </c>
      <c r="D108" s="6" t="s">
        <v>893</v>
      </c>
    </row>
    <row r="109" spans="1:4" s="13" customFormat="1" x14ac:dyDescent="0.25">
      <c r="A109" s="13" t="e">
        <f>VLOOKUP(B109:B816,#REF!,1,FALSE)</f>
        <v>#REF!</v>
      </c>
      <c r="B109" s="27">
        <v>33369</v>
      </c>
      <c r="C109" s="7" t="s">
        <v>71</v>
      </c>
      <c r="D109" s="6" t="s">
        <v>713</v>
      </c>
    </row>
    <row r="110" spans="1:4" s="13" customFormat="1" x14ac:dyDescent="0.25">
      <c r="A110" s="13" t="e">
        <f>VLOOKUP(B110:B817,#REF!,1,FALSE)</f>
        <v>#REF!</v>
      </c>
      <c r="B110" s="27">
        <v>33511</v>
      </c>
      <c r="C110" s="9" t="s">
        <v>73</v>
      </c>
      <c r="D110" s="6" t="s">
        <v>612</v>
      </c>
    </row>
    <row r="111" spans="1:4" s="13" customFormat="1" x14ac:dyDescent="0.25">
      <c r="A111" s="13" t="e">
        <f>VLOOKUP(B111:B818,#REF!,1,FALSE)</f>
        <v>#REF!</v>
      </c>
      <c r="B111" s="19">
        <v>33519</v>
      </c>
      <c r="C111" s="12" t="s">
        <v>587</v>
      </c>
      <c r="D111" s="15" t="s">
        <v>588</v>
      </c>
    </row>
    <row r="112" spans="1:4" s="13" customFormat="1" x14ac:dyDescent="0.25">
      <c r="A112" s="13" t="e">
        <f>VLOOKUP(B112:B819,#REF!,1,FALSE)</f>
        <v>#REF!</v>
      </c>
      <c r="B112" s="27">
        <v>33541</v>
      </c>
      <c r="C112" s="7" t="s">
        <v>896</v>
      </c>
      <c r="D112" s="6" t="s">
        <v>897</v>
      </c>
    </row>
    <row r="113" spans="1:4" s="13" customFormat="1" x14ac:dyDescent="0.25">
      <c r="A113" s="13" t="e">
        <f>VLOOKUP(B113:B820,#REF!,1,FALSE)</f>
        <v>#REF!</v>
      </c>
      <c r="B113" s="27">
        <v>33542</v>
      </c>
      <c r="C113" s="7" t="s">
        <v>74</v>
      </c>
      <c r="D113" s="6" t="s">
        <v>768</v>
      </c>
    </row>
    <row r="114" spans="1:4" s="13" customFormat="1" x14ac:dyDescent="0.25">
      <c r="A114" s="13" t="e">
        <f>VLOOKUP(B114:B821,#REF!,1,FALSE)</f>
        <v>#REF!</v>
      </c>
      <c r="B114" s="27">
        <v>33580</v>
      </c>
      <c r="C114" s="7" t="s">
        <v>75</v>
      </c>
      <c r="D114" s="6" t="s">
        <v>750</v>
      </c>
    </row>
    <row r="115" spans="1:4" s="13" customFormat="1" x14ac:dyDescent="0.25">
      <c r="A115" s="13" t="e">
        <f>VLOOKUP(B115:B822,#REF!,1,FALSE)</f>
        <v>#REF!</v>
      </c>
      <c r="B115" s="27">
        <v>33581</v>
      </c>
      <c r="C115" s="7" t="s">
        <v>76</v>
      </c>
      <c r="D115" s="6" t="s">
        <v>711</v>
      </c>
    </row>
    <row r="116" spans="1:4" s="13" customFormat="1" x14ac:dyDescent="0.25">
      <c r="A116" s="13" t="e">
        <f>VLOOKUP(B116:B823,#REF!,1,FALSE)</f>
        <v>#REF!</v>
      </c>
      <c r="B116" s="27">
        <v>33602</v>
      </c>
      <c r="C116" s="9" t="s">
        <v>77</v>
      </c>
      <c r="D116" s="6" t="s">
        <v>700</v>
      </c>
    </row>
    <row r="117" spans="1:4" s="13" customFormat="1" x14ac:dyDescent="0.25">
      <c r="A117" s="13" t="e">
        <f>VLOOKUP(B117:B824,#REF!,1,FALSE)</f>
        <v>#REF!</v>
      </c>
      <c r="B117" s="27">
        <v>33651</v>
      </c>
      <c r="C117" s="7" t="s">
        <v>898</v>
      </c>
      <c r="D117" s="6" t="s">
        <v>899</v>
      </c>
    </row>
    <row r="118" spans="1:4" s="13" customFormat="1" x14ac:dyDescent="0.25">
      <c r="A118" s="13" t="e">
        <f>VLOOKUP(B118:B825,#REF!,1,FALSE)</f>
        <v>#REF!</v>
      </c>
      <c r="B118" s="14">
        <v>33678</v>
      </c>
      <c r="C118" s="12" t="s">
        <v>343</v>
      </c>
      <c r="D118" s="15" t="s">
        <v>344</v>
      </c>
    </row>
    <row r="119" spans="1:4" s="13" customFormat="1" x14ac:dyDescent="0.25">
      <c r="A119" s="13" t="e">
        <f>VLOOKUP(B119:B826,#REF!,1,FALSE)</f>
        <v>#REF!</v>
      </c>
      <c r="B119" s="27">
        <v>33692</v>
      </c>
      <c r="C119" s="7" t="s">
        <v>78</v>
      </c>
      <c r="D119" s="6" t="s">
        <v>755</v>
      </c>
    </row>
    <row r="120" spans="1:4" s="13" customFormat="1" x14ac:dyDescent="0.25">
      <c r="A120" s="13" t="e">
        <f>VLOOKUP(B120:B827,#REF!,1,FALSE)</f>
        <v>#REF!</v>
      </c>
      <c r="B120" s="27">
        <v>33695</v>
      </c>
      <c r="C120" s="7" t="s">
        <v>79</v>
      </c>
      <c r="D120" s="6" t="s">
        <v>717</v>
      </c>
    </row>
    <row r="121" spans="1:4" s="13" customFormat="1" x14ac:dyDescent="0.25">
      <c r="A121" s="13" t="e">
        <f>VLOOKUP(B121:B828,#REF!,1,FALSE)</f>
        <v>#REF!</v>
      </c>
      <c r="B121" s="27">
        <v>33697</v>
      </c>
      <c r="C121" s="7" t="s">
        <v>80</v>
      </c>
      <c r="D121" s="6" t="s">
        <v>735</v>
      </c>
    </row>
    <row r="122" spans="1:4" s="13" customFormat="1" x14ac:dyDescent="0.25">
      <c r="A122" s="13" t="e">
        <f>VLOOKUP(B122:B829,#REF!,1,FALSE)</f>
        <v>#REF!</v>
      </c>
      <c r="B122" s="27">
        <v>33701</v>
      </c>
      <c r="C122" s="7" t="s">
        <v>820</v>
      </c>
      <c r="D122" s="6" t="s">
        <v>821</v>
      </c>
    </row>
    <row r="123" spans="1:4" s="13" customFormat="1" x14ac:dyDescent="0.25">
      <c r="A123" s="13" t="e">
        <f>VLOOKUP(B123:B830,#REF!,1,FALSE)</f>
        <v>#REF!</v>
      </c>
      <c r="B123" s="27">
        <v>33710</v>
      </c>
      <c r="C123" s="7" t="s">
        <v>81</v>
      </c>
      <c r="D123" s="6" t="s">
        <v>733</v>
      </c>
    </row>
    <row r="124" spans="1:4" s="13" customFormat="1" x14ac:dyDescent="0.25">
      <c r="A124" s="13" t="e">
        <f>VLOOKUP(B124:B831,#REF!,1,FALSE)</f>
        <v>#REF!</v>
      </c>
      <c r="B124" s="27">
        <v>33711</v>
      </c>
      <c r="C124" s="7" t="s">
        <v>82</v>
      </c>
      <c r="D124" s="6" t="s">
        <v>742</v>
      </c>
    </row>
    <row r="125" spans="1:4" s="13" customFormat="1" x14ac:dyDescent="0.25">
      <c r="A125" s="13" t="e">
        <f>VLOOKUP(B125:B832,#REF!,1,FALSE)</f>
        <v>#REF!</v>
      </c>
      <c r="B125" s="27">
        <v>33745</v>
      </c>
      <c r="C125" s="7" t="s">
        <v>83</v>
      </c>
      <c r="D125" s="6" t="s">
        <v>738</v>
      </c>
    </row>
    <row r="126" spans="1:4" s="13" customFormat="1" x14ac:dyDescent="0.25">
      <c r="A126" s="13" t="e">
        <f>VLOOKUP(B126:B833,#REF!,1,FALSE)</f>
        <v>#REF!</v>
      </c>
      <c r="B126" s="27">
        <v>33746</v>
      </c>
      <c r="C126" s="7" t="s">
        <v>84</v>
      </c>
      <c r="D126" s="6" t="s">
        <v>719</v>
      </c>
    </row>
    <row r="127" spans="1:4" s="13" customFormat="1" x14ac:dyDescent="0.25">
      <c r="A127" s="13" t="e">
        <f>VLOOKUP(B127:B834,#REF!,1,FALSE)</f>
        <v>#REF!</v>
      </c>
      <c r="B127" s="27">
        <v>33786</v>
      </c>
      <c r="C127" s="7" t="s">
        <v>86</v>
      </c>
      <c r="D127" s="6" t="s">
        <v>736</v>
      </c>
    </row>
    <row r="128" spans="1:4" s="13" customFormat="1" x14ac:dyDescent="0.25">
      <c r="A128" s="13" t="e">
        <f>VLOOKUP(B128:B835,#REF!,1,FALSE)</f>
        <v>#REF!</v>
      </c>
      <c r="B128" s="24">
        <v>33961</v>
      </c>
      <c r="C128" s="10" t="s">
        <v>1237</v>
      </c>
      <c r="D128" s="8" t="s">
        <v>1238</v>
      </c>
    </row>
    <row r="129" spans="1:4" s="13" customFormat="1" x14ac:dyDescent="0.25">
      <c r="A129" s="13" t="e">
        <f>VLOOKUP(B129:B836,#REF!,1,FALSE)</f>
        <v>#REF!</v>
      </c>
      <c r="B129" s="27">
        <v>33968</v>
      </c>
      <c r="C129" s="7" t="s">
        <v>87</v>
      </c>
      <c r="D129" s="6" t="s">
        <v>673</v>
      </c>
    </row>
    <row r="130" spans="1:4" s="13" customFormat="1" x14ac:dyDescent="0.25">
      <c r="A130" s="13" t="e">
        <f>VLOOKUP(B130:B837,#REF!,1,FALSE)</f>
        <v>#REF!</v>
      </c>
      <c r="B130" s="27">
        <v>33997</v>
      </c>
      <c r="C130" s="7" t="s">
        <v>89</v>
      </c>
      <c r="D130" s="6" t="s">
        <v>657</v>
      </c>
    </row>
    <row r="131" spans="1:4" s="13" customFormat="1" x14ac:dyDescent="0.25">
      <c r="A131" s="13" t="e">
        <f>VLOOKUP(B131:B838,#REF!,1,FALSE)</f>
        <v>#REF!</v>
      </c>
      <c r="B131" s="27">
        <v>34003</v>
      </c>
      <c r="C131" s="7" t="s">
        <v>90</v>
      </c>
      <c r="D131" s="6" t="s">
        <v>729</v>
      </c>
    </row>
    <row r="132" spans="1:4" s="13" customFormat="1" x14ac:dyDescent="0.25">
      <c r="A132" s="13" t="e">
        <f>VLOOKUP(B132:B839,#REF!,1,FALSE)</f>
        <v>#REF!</v>
      </c>
      <c r="B132" s="27">
        <v>34004</v>
      </c>
      <c r="C132" s="7" t="s">
        <v>900</v>
      </c>
      <c r="D132" s="6" t="s">
        <v>901</v>
      </c>
    </row>
    <row r="133" spans="1:4" s="13" customFormat="1" x14ac:dyDescent="0.25">
      <c r="A133" s="13" t="e">
        <f>VLOOKUP(B133:B840,#REF!,1,FALSE)</f>
        <v>#REF!</v>
      </c>
      <c r="B133" s="27">
        <v>34017</v>
      </c>
      <c r="C133" s="7" t="s">
        <v>91</v>
      </c>
      <c r="D133" s="30" t="s">
        <v>1448</v>
      </c>
    </row>
    <row r="134" spans="1:4" s="13" customFormat="1" ht="15.75" thickBot="1" x14ac:dyDescent="0.3">
      <c r="A134" s="13" t="e">
        <f>VLOOKUP(B134:B841,#REF!,1,FALSE)</f>
        <v>#REF!</v>
      </c>
      <c r="B134" s="28">
        <v>34032</v>
      </c>
      <c r="C134" s="7" t="s">
        <v>92</v>
      </c>
      <c r="D134" s="30" t="s">
        <v>1449</v>
      </c>
    </row>
    <row r="135" spans="1:4" s="13" customFormat="1" x14ac:dyDescent="0.25">
      <c r="A135" s="13" t="e">
        <f>VLOOKUP(B135:B842,#REF!,1,FALSE)</f>
        <v>#REF!</v>
      </c>
      <c r="B135" s="27">
        <v>34071</v>
      </c>
      <c r="C135" s="7" t="s">
        <v>93</v>
      </c>
      <c r="D135" s="6" t="s">
        <v>635</v>
      </c>
    </row>
    <row r="136" spans="1:4" s="13" customFormat="1" x14ac:dyDescent="0.25">
      <c r="A136" s="13" t="e">
        <f>VLOOKUP(B136:B843,#REF!,1,FALSE)</f>
        <v>#REF!</v>
      </c>
      <c r="B136" s="27">
        <v>34076</v>
      </c>
      <c r="C136" s="7" t="s">
        <v>95</v>
      </c>
      <c r="D136" s="6" t="s">
        <v>723</v>
      </c>
    </row>
    <row r="137" spans="1:4" s="13" customFormat="1" x14ac:dyDescent="0.25">
      <c r="A137" s="13" t="e">
        <f>VLOOKUP(B137:B844,#REF!,1,FALSE)</f>
        <v>#REF!</v>
      </c>
      <c r="B137" s="14">
        <v>34078</v>
      </c>
      <c r="C137" s="12" t="s">
        <v>345</v>
      </c>
      <c r="D137" s="16" t="s">
        <v>1405</v>
      </c>
    </row>
    <row r="138" spans="1:4" s="13" customFormat="1" x14ac:dyDescent="0.25">
      <c r="A138" s="13" t="e">
        <f>VLOOKUP(B138:B845,#REF!,1,FALSE)</f>
        <v>#REF!</v>
      </c>
      <c r="B138" s="27">
        <v>34158</v>
      </c>
      <c r="C138" s="7" t="s">
        <v>1149</v>
      </c>
      <c r="D138" s="6" t="s">
        <v>1150</v>
      </c>
    </row>
    <row r="139" spans="1:4" s="13" customFormat="1" x14ac:dyDescent="0.25">
      <c r="A139" s="13" t="e">
        <f>VLOOKUP(B139:B846,#REF!,1,FALSE)</f>
        <v>#REF!</v>
      </c>
      <c r="B139" s="19">
        <v>34164</v>
      </c>
      <c r="C139" s="12" t="s">
        <v>507</v>
      </c>
      <c r="D139" s="15" t="s">
        <v>508</v>
      </c>
    </row>
    <row r="140" spans="1:4" s="13" customFormat="1" x14ac:dyDescent="0.25">
      <c r="A140" s="13" t="e">
        <f>VLOOKUP(B140:B847,#REF!,1,FALSE)</f>
        <v>#REF!</v>
      </c>
      <c r="B140" s="27">
        <v>34170</v>
      </c>
      <c r="C140" s="7" t="s">
        <v>832</v>
      </c>
      <c r="D140" s="6" t="s">
        <v>833</v>
      </c>
    </row>
    <row r="141" spans="1:4" s="13" customFormat="1" x14ac:dyDescent="0.25">
      <c r="A141" s="13" t="e">
        <f>VLOOKUP(B141:B848,#REF!,1,FALSE)</f>
        <v>#REF!</v>
      </c>
      <c r="B141" s="14">
        <v>34178</v>
      </c>
      <c r="C141" s="12" t="s">
        <v>346</v>
      </c>
      <c r="D141" s="16" t="s">
        <v>1406</v>
      </c>
    </row>
    <row r="142" spans="1:4" s="13" customFormat="1" x14ac:dyDescent="0.25">
      <c r="A142" s="13" t="e">
        <f>VLOOKUP(B142:B849,#REF!,1,FALSE)</f>
        <v>#REF!</v>
      </c>
      <c r="B142" s="27">
        <v>34190</v>
      </c>
      <c r="C142" s="7" t="s">
        <v>96</v>
      </c>
      <c r="D142" s="6" t="s">
        <v>751</v>
      </c>
    </row>
    <row r="143" spans="1:4" s="13" customFormat="1" x14ac:dyDescent="0.25">
      <c r="A143" s="13" t="e">
        <f>VLOOKUP(B143:B850,#REF!,1,FALSE)</f>
        <v>#REF!</v>
      </c>
      <c r="B143" s="27">
        <v>34191</v>
      </c>
      <c r="C143" s="7" t="s">
        <v>97</v>
      </c>
      <c r="D143" s="6" t="s">
        <v>754</v>
      </c>
    </row>
    <row r="144" spans="1:4" s="13" customFormat="1" x14ac:dyDescent="0.25">
      <c r="A144" s="13" t="e">
        <f>VLOOKUP(B144:B851,#REF!,1,FALSE)</f>
        <v>#REF!</v>
      </c>
      <c r="B144" s="27">
        <v>34192</v>
      </c>
      <c r="C144" s="7" t="s">
        <v>98</v>
      </c>
      <c r="D144" s="6" t="s">
        <v>739</v>
      </c>
    </row>
    <row r="145" spans="1:4" s="13" customFormat="1" x14ac:dyDescent="0.25">
      <c r="A145" s="13" t="e">
        <f>VLOOKUP(B145:B852,#REF!,1,FALSE)</f>
        <v>#REF!</v>
      </c>
      <c r="B145" s="27">
        <v>34197</v>
      </c>
      <c r="C145" s="7" t="s">
        <v>1151</v>
      </c>
      <c r="D145" s="6" t="s">
        <v>1152</v>
      </c>
    </row>
    <row r="146" spans="1:4" s="13" customFormat="1" x14ac:dyDescent="0.25">
      <c r="A146" s="13" t="e">
        <f>VLOOKUP(B146:B853,#REF!,1,FALSE)</f>
        <v>#REF!</v>
      </c>
      <c r="B146" s="27">
        <v>34198</v>
      </c>
      <c r="C146" s="7" t="s">
        <v>99</v>
      </c>
      <c r="D146" s="6" t="s">
        <v>727</v>
      </c>
    </row>
    <row r="147" spans="1:4" s="13" customFormat="1" x14ac:dyDescent="0.25">
      <c r="A147" s="13" t="e">
        <f>VLOOKUP(B147:B854,#REF!,1,FALSE)</f>
        <v>#REF!</v>
      </c>
      <c r="B147" s="27">
        <v>34199</v>
      </c>
      <c r="C147" s="7" t="s">
        <v>98</v>
      </c>
      <c r="D147" s="6" t="s">
        <v>739</v>
      </c>
    </row>
    <row r="148" spans="1:4" s="13" customFormat="1" x14ac:dyDescent="0.25">
      <c r="A148" s="13" t="e">
        <f>VLOOKUP(B148:B855,#REF!,1,FALSE)</f>
        <v>#REF!</v>
      </c>
      <c r="B148" s="14">
        <v>34212</v>
      </c>
      <c r="C148" s="12" t="s">
        <v>348</v>
      </c>
      <c r="D148" s="15" t="s">
        <v>349</v>
      </c>
    </row>
    <row r="149" spans="1:4" s="13" customFormat="1" x14ac:dyDescent="0.25">
      <c r="A149" s="13" t="e">
        <f>VLOOKUP(B149:B856,#REF!,1,FALSE)</f>
        <v>#REF!</v>
      </c>
      <c r="B149" s="27">
        <v>34223</v>
      </c>
      <c r="C149" s="7" t="s">
        <v>1153</v>
      </c>
      <c r="D149" s="6" t="s">
        <v>1154</v>
      </c>
    </row>
    <row r="150" spans="1:4" s="13" customFormat="1" x14ac:dyDescent="0.25">
      <c r="A150" s="13" t="e">
        <f>VLOOKUP(B150:B857,#REF!,1,FALSE)</f>
        <v>#REF!</v>
      </c>
      <c r="B150" s="27">
        <v>34827</v>
      </c>
      <c r="C150" s="9" t="s">
        <v>100</v>
      </c>
      <c r="D150" s="6" t="s">
        <v>681</v>
      </c>
    </row>
    <row r="151" spans="1:4" s="13" customFormat="1" x14ac:dyDescent="0.25">
      <c r="A151" s="13" t="e">
        <f>VLOOKUP(B151:B858,#REF!,1,FALSE)</f>
        <v>#REF!</v>
      </c>
      <c r="B151" s="27">
        <v>34856</v>
      </c>
      <c r="C151" s="7" t="s">
        <v>101</v>
      </c>
      <c r="D151" s="6" t="s">
        <v>705</v>
      </c>
    </row>
    <row r="152" spans="1:4" s="13" customFormat="1" x14ac:dyDescent="0.25">
      <c r="A152" s="13" t="e">
        <f>VLOOKUP(B152:B859,#REF!,1,FALSE)</f>
        <v>#REF!</v>
      </c>
      <c r="B152" s="27">
        <v>34858</v>
      </c>
      <c r="C152" s="7" t="s">
        <v>1205</v>
      </c>
      <c r="D152" s="6" t="s">
        <v>1206</v>
      </c>
    </row>
    <row r="153" spans="1:4" s="13" customFormat="1" x14ac:dyDescent="0.25">
      <c r="A153" s="13" t="e">
        <f>VLOOKUP(B153:B860,#REF!,1,FALSE)</f>
        <v>#REF!</v>
      </c>
      <c r="B153" s="24">
        <v>34878</v>
      </c>
      <c r="C153" s="10" t="s">
        <v>1239</v>
      </c>
      <c r="D153" s="8" t="s">
        <v>1240</v>
      </c>
    </row>
    <row r="154" spans="1:4" s="13" customFormat="1" x14ac:dyDescent="0.25">
      <c r="A154" s="13" t="e">
        <f>VLOOKUP(B154:B861,#REF!,1,FALSE)</f>
        <v>#REF!</v>
      </c>
      <c r="B154" s="27">
        <v>34949</v>
      </c>
      <c r="C154" s="7" t="s">
        <v>1155</v>
      </c>
      <c r="D154" s="6" t="s">
        <v>1156</v>
      </c>
    </row>
    <row r="155" spans="1:4" s="13" customFormat="1" x14ac:dyDescent="0.25">
      <c r="A155" s="13" t="e">
        <f>VLOOKUP(B155:B862,#REF!,1,FALSE)</f>
        <v>#REF!</v>
      </c>
      <c r="B155" s="27">
        <v>34958</v>
      </c>
      <c r="C155" s="9" t="s">
        <v>102</v>
      </c>
      <c r="D155" s="6" t="s">
        <v>606</v>
      </c>
    </row>
    <row r="156" spans="1:4" s="13" customFormat="1" x14ac:dyDescent="0.25">
      <c r="A156" s="13" t="e">
        <f>VLOOKUP(B156:B863,#REF!,1,FALSE)</f>
        <v>#REF!</v>
      </c>
      <c r="B156" s="27">
        <v>34959</v>
      </c>
      <c r="C156" s="7" t="s">
        <v>103</v>
      </c>
      <c r="D156" s="6" t="s">
        <v>647</v>
      </c>
    </row>
    <row r="157" spans="1:4" s="13" customFormat="1" x14ac:dyDescent="0.25">
      <c r="A157" s="13" t="e">
        <f>VLOOKUP(B157:B864,#REF!,1,FALSE)</f>
        <v>#REF!</v>
      </c>
      <c r="B157" s="24">
        <v>35012</v>
      </c>
      <c r="C157" s="10" t="s">
        <v>1241</v>
      </c>
      <c r="D157" s="8" t="s">
        <v>1242</v>
      </c>
    </row>
    <row r="158" spans="1:4" s="13" customFormat="1" x14ac:dyDescent="0.25">
      <c r="A158" s="13" t="e">
        <f>VLOOKUP(B158:B865,#REF!,1,FALSE)</f>
        <v>#REF!</v>
      </c>
      <c r="B158" s="24">
        <v>35030</v>
      </c>
      <c r="C158" s="10" t="s">
        <v>1243</v>
      </c>
      <c r="D158" s="8" t="s">
        <v>1244</v>
      </c>
    </row>
    <row r="159" spans="1:4" s="13" customFormat="1" x14ac:dyDescent="0.25">
      <c r="A159" s="13" t="e">
        <f>VLOOKUP(B159:B866,#REF!,1,FALSE)</f>
        <v>#REF!</v>
      </c>
      <c r="B159" s="19">
        <v>35041</v>
      </c>
      <c r="C159" s="12" t="s">
        <v>559</v>
      </c>
      <c r="D159" s="15" t="s">
        <v>560</v>
      </c>
    </row>
    <row r="160" spans="1:4" s="13" customFormat="1" x14ac:dyDescent="0.25">
      <c r="A160" s="13" t="e">
        <f>VLOOKUP(B160:B867,#REF!,1,FALSE)</f>
        <v>#REF!</v>
      </c>
      <c r="B160" s="24">
        <v>35042</v>
      </c>
      <c r="C160" s="10" t="s">
        <v>1245</v>
      </c>
      <c r="D160" s="8" t="s">
        <v>1246</v>
      </c>
    </row>
    <row r="161" spans="1:4" s="13" customFormat="1" x14ac:dyDescent="0.25">
      <c r="A161" s="13" t="e">
        <f>VLOOKUP(B161:B868,#REF!,1,FALSE)</f>
        <v>#REF!</v>
      </c>
      <c r="B161" s="24">
        <v>35043</v>
      </c>
      <c r="C161" s="10" t="s">
        <v>1247</v>
      </c>
      <c r="D161" s="8" t="s">
        <v>1248</v>
      </c>
    </row>
    <row r="162" spans="1:4" s="13" customFormat="1" x14ac:dyDescent="0.25">
      <c r="A162" s="13" t="e">
        <f>VLOOKUP(B162:B869,#REF!,1,FALSE)</f>
        <v>#REF!</v>
      </c>
      <c r="B162" s="27">
        <v>35048</v>
      </c>
      <c r="C162" s="9" t="s">
        <v>104</v>
      </c>
      <c r="D162" s="6" t="s">
        <v>707</v>
      </c>
    </row>
    <row r="163" spans="1:4" s="13" customFormat="1" x14ac:dyDescent="0.25">
      <c r="A163" s="13" t="e">
        <f>VLOOKUP(B163:B870,#REF!,1,FALSE)</f>
        <v>#REF!</v>
      </c>
      <c r="B163" s="27">
        <v>35081</v>
      </c>
      <c r="C163" s="9" t="s">
        <v>105</v>
      </c>
      <c r="D163" s="6" t="s">
        <v>696</v>
      </c>
    </row>
    <row r="164" spans="1:4" s="13" customFormat="1" x14ac:dyDescent="0.25">
      <c r="A164" s="13" t="e">
        <f>VLOOKUP(B164:B871,#REF!,1,FALSE)</f>
        <v>#REF!</v>
      </c>
      <c r="B164" s="27">
        <v>35090</v>
      </c>
      <c r="C164" s="7" t="s">
        <v>106</v>
      </c>
      <c r="D164" s="6" t="s">
        <v>676</v>
      </c>
    </row>
    <row r="165" spans="1:4" s="13" customFormat="1" x14ac:dyDescent="0.25">
      <c r="A165" s="13" t="e">
        <f>VLOOKUP(B165:B872,#REF!,1,FALSE)</f>
        <v>#REF!</v>
      </c>
      <c r="B165" s="27">
        <v>35094</v>
      </c>
      <c r="C165" s="9" t="s">
        <v>107</v>
      </c>
      <c r="D165" s="6" t="s">
        <v>613</v>
      </c>
    </row>
    <row r="166" spans="1:4" s="13" customFormat="1" ht="36" x14ac:dyDescent="0.25">
      <c r="A166" s="13" t="e">
        <f>VLOOKUP(B166:B873,#REF!,1,FALSE)</f>
        <v>#REF!</v>
      </c>
      <c r="B166" s="27">
        <v>35095</v>
      </c>
      <c r="C166" s="7" t="s">
        <v>108</v>
      </c>
      <c r="D166" s="31" t="s">
        <v>1450</v>
      </c>
    </row>
    <row r="167" spans="1:4" s="13" customFormat="1" x14ac:dyDescent="0.25">
      <c r="A167" s="13" t="e">
        <f>VLOOKUP(B167:B874,#REF!,1,FALSE)</f>
        <v>#REF!</v>
      </c>
      <c r="B167" s="27">
        <v>35102</v>
      </c>
      <c r="C167" s="7" t="s">
        <v>1145</v>
      </c>
      <c r="D167" s="30" t="s">
        <v>1146</v>
      </c>
    </row>
    <row r="168" spans="1:4" s="13" customFormat="1" x14ac:dyDescent="0.25">
      <c r="A168" s="13" t="e">
        <f>VLOOKUP(B168:B875,#REF!,1,FALSE)</f>
        <v>#REF!</v>
      </c>
      <c r="B168" s="27">
        <v>35110</v>
      </c>
      <c r="C168" s="7" t="s">
        <v>110</v>
      </c>
      <c r="D168" s="30" t="s">
        <v>668</v>
      </c>
    </row>
    <row r="169" spans="1:4" s="13" customFormat="1" x14ac:dyDescent="0.25">
      <c r="A169" s="13" t="e">
        <f>VLOOKUP(B169:B876,#REF!,1,FALSE)</f>
        <v>#REF!</v>
      </c>
      <c r="B169" s="27">
        <v>35139</v>
      </c>
      <c r="C169" s="7" t="s">
        <v>1143</v>
      </c>
      <c r="D169" s="30" t="s">
        <v>1144</v>
      </c>
    </row>
    <row r="170" spans="1:4" s="13" customFormat="1" x14ac:dyDescent="0.25">
      <c r="A170" s="13" t="e">
        <f>VLOOKUP(B170:B877,#REF!,1,FALSE)</f>
        <v>#REF!</v>
      </c>
      <c r="B170" s="27">
        <v>35141</v>
      </c>
      <c r="C170" s="7" t="s">
        <v>1141</v>
      </c>
      <c r="D170" s="30" t="s">
        <v>1142</v>
      </c>
    </row>
    <row r="171" spans="1:4" s="13" customFormat="1" x14ac:dyDescent="0.25">
      <c r="A171" s="13" t="e">
        <f>VLOOKUP(B171:B878,#REF!,1,FALSE)</f>
        <v>#REF!</v>
      </c>
      <c r="B171" s="27">
        <v>35158</v>
      </c>
      <c r="C171" s="7" t="s">
        <v>808</v>
      </c>
      <c r="D171" s="30" t="s">
        <v>809</v>
      </c>
    </row>
    <row r="172" spans="1:4" s="13" customFormat="1" x14ac:dyDescent="0.25">
      <c r="A172" s="13" t="e">
        <f>VLOOKUP(B172:B879,#REF!,1,FALSE)</f>
        <v>#REF!</v>
      </c>
      <c r="B172" s="27">
        <v>35166</v>
      </c>
      <c r="C172" s="7" t="s">
        <v>1139</v>
      </c>
      <c r="D172" s="6" t="s">
        <v>1140</v>
      </c>
    </row>
    <row r="173" spans="1:4" s="13" customFormat="1" x14ac:dyDescent="0.25">
      <c r="A173" s="13" t="e">
        <f>VLOOKUP(B173:B880,#REF!,1,FALSE)</f>
        <v>#REF!</v>
      </c>
      <c r="B173" s="24">
        <v>35205</v>
      </c>
      <c r="C173" s="10" t="s">
        <v>1249</v>
      </c>
      <c r="D173" s="8" t="s">
        <v>1250</v>
      </c>
    </row>
    <row r="174" spans="1:4" s="13" customFormat="1" x14ac:dyDescent="0.25">
      <c r="A174" s="13" t="e">
        <f>VLOOKUP(B174:B881,#REF!,1,FALSE)</f>
        <v>#REF!</v>
      </c>
      <c r="B174" s="27">
        <v>35217</v>
      </c>
      <c r="C174" s="7" t="s">
        <v>1137</v>
      </c>
      <c r="D174" s="6" t="s">
        <v>1138</v>
      </c>
    </row>
    <row r="175" spans="1:4" s="13" customFormat="1" x14ac:dyDescent="0.25">
      <c r="A175" s="13" t="e">
        <f>VLOOKUP(B175:B882,#REF!,1,FALSE)</f>
        <v>#REF!</v>
      </c>
      <c r="B175" s="27">
        <v>35287</v>
      </c>
      <c r="C175" s="7" t="s">
        <v>1135</v>
      </c>
      <c r="D175" s="6" t="s">
        <v>1136</v>
      </c>
    </row>
    <row r="176" spans="1:4" s="13" customFormat="1" x14ac:dyDescent="0.25">
      <c r="A176" s="13" t="e">
        <f>VLOOKUP(B176:B883,#REF!,1,FALSE)</f>
        <v>#REF!</v>
      </c>
      <c r="B176" s="27">
        <v>35297</v>
      </c>
      <c r="C176" s="7" t="s">
        <v>846</v>
      </c>
      <c r="D176" s="6" t="s">
        <v>847</v>
      </c>
    </row>
    <row r="177" spans="1:4" s="13" customFormat="1" x14ac:dyDescent="0.25">
      <c r="A177" s="13" t="e">
        <f>VLOOKUP(B177:B884,#REF!,1,FALSE)</f>
        <v>#REF!</v>
      </c>
      <c r="B177" s="27">
        <v>35315</v>
      </c>
      <c r="C177" s="9" t="s">
        <v>111</v>
      </c>
      <c r="D177" s="6" t="s">
        <v>679</v>
      </c>
    </row>
    <row r="178" spans="1:4" s="13" customFormat="1" x14ac:dyDescent="0.25">
      <c r="A178" s="13" t="e">
        <f>VLOOKUP(B178:B885,#REF!,1,FALSE)</f>
        <v>#REF!</v>
      </c>
      <c r="B178" s="24">
        <v>35329</v>
      </c>
      <c r="C178" s="10" t="s">
        <v>1385</v>
      </c>
      <c r="D178" s="8" t="s">
        <v>1386</v>
      </c>
    </row>
    <row r="179" spans="1:4" s="13" customFormat="1" x14ac:dyDescent="0.25">
      <c r="A179" s="13" t="e">
        <f>VLOOKUP(B179:B886,#REF!,1,FALSE)</f>
        <v>#REF!</v>
      </c>
      <c r="B179" s="24">
        <v>35356</v>
      </c>
      <c r="C179" s="10" t="s">
        <v>1395</v>
      </c>
      <c r="D179" s="8" t="s">
        <v>1396</v>
      </c>
    </row>
    <row r="180" spans="1:4" s="13" customFormat="1" x14ac:dyDescent="0.25">
      <c r="A180" s="13" t="e">
        <f>VLOOKUP(B180:B887,#REF!,1,FALSE)</f>
        <v>#REF!</v>
      </c>
      <c r="B180" s="24">
        <v>35362</v>
      </c>
      <c r="C180" s="10" t="s">
        <v>1251</v>
      </c>
      <c r="D180" s="8" t="s">
        <v>1252</v>
      </c>
    </row>
    <row r="181" spans="1:4" s="13" customFormat="1" x14ac:dyDescent="0.25">
      <c r="A181" s="13" t="e">
        <f>VLOOKUP(B181:B888,#REF!,1,FALSE)</f>
        <v>#REF!</v>
      </c>
      <c r="B181" s="27">
        <v>35380</v>
      </c>
      <c r="C181" s="7" t="s">
        <v>1133</v>
      </c>
      <c r="D181" s="6" t="s">
        <v>1134</v>
      </c>
    </row>
    <row r="182" spans="1:4" s="13" customFormat="1" x14ac:dyDescent="0.25">
      <c r="A182" s="13" t="e">
        <f>VLOOKUP(B182:B889,#REF!,1,FALSE)</f>
        <v>#REF!</v>
      </c>
      <c r="B182" s="27">
        <v>35436</v>
      </c>
      <c r="C182" s="7" t="s">
        <v>1131</v>
      </c>
      <c r="D182" s="6" t="s">
        <v>1132</v>
      </c>
    </row>
    <row r="183" spans="1:4" s="13" customFormat="1" x14ac:dyDescent="0.25">
      <c r="A183" s="13" t="e">
        <f>VLOOKUP(B183:B890,#REF!,1,FALSE)</f>
        <v>#REF!</v>
      </c>
      <c r="B183" s="24">
        <v>35482</v>
      </c>
      <c r="C183" s="10" t="s">
        <v>1253</v>
      </c>
      <c r="D183" s="8" t="s">
        <v>1254</v>
      </c>
    </row>
    <row r="184" spans="1:4" ht="0.75" customHeight="1" x14ac:dyDescent="0.25">
      <c r="A184" s="13" t="e">
        <f>VLOOKUP(B184:B891,#REF!,1,FALSE)</f>
        <v>#REF!</v>
      </c>
      <c r="B184" s="27">
        <v>35507</v>
      </c>
      <c r="C184" s="7" t="s">
        <v>1129</v>
      </c>
      <c r="D184" s="6" t="s">
        <v>1130</v>
      </c>
    </row>
    <row r="185" spans="1:4" x14ac:dyDescent="0.25">
      <c r="A185" s="13" t="e">
        <f>VLOOKUP(B185:B892,#REF!,1,FALSE)</f>
        <v>#REF!</v>
      </c>
      <c r="B185" s="27">
        <v>35541</v>
      </c>
      <c r="C185" s="7" t="s">
        <v>1127</v>
      </c>
      <c r="D185" s="6" t="s">
        <v>1128</v>
      </c>
    </row>
    <row r="186" spans="1:4" x14ac:dyDescent="0.25">
      <c r="A186" s="13" t="e">
        <f>VLOOKUP(B186:B893,#REF!,1,FALSE)</f>
        <v>#REF!</v>
      </c>
      <c r="B186" s="27">
        <v>35559</v>
      </c>
      <c r="C186" s="7" t="s">
        <v>113</v>
      </c>
      <c r="D186" s="6" t="s">
        <v>669</v>
      </c>
    </row>
    <row r="187" spans="1:4" x14ac:dyDescent="0.25">
      <c r="A187" s="13" t="e">
        <f>VLOOKUP(B187:B894,#REF!,1,FALSE)</f>
        <v>#REF!</v>
      </c>
      <c r="B187" s="18">
        <v>35615</v>
      </c>
      <c r="C187" s="12" t="s">
        <v>505</v>
      </c>
      <c r="D187" s="15" t="s">
        <v>506</v>
      </c>
    </row>
    <row r="188" spans="1:4" x14ac:dyDescent="0.25">
      <c r="A188" s="13" t="e">
        <f>VLOOKUP(B188:B895,#REF!,1,FALSE)</f>
        <v>#REF!</v>
      </c>
      <c r="B188" s="27">
        <v>35620</v>
      </c>
      <c r="C188" s="7" t="s">
        <v>114</v>
      </c>
      <c r="D188" s="6" t="s">
        <v>661</v>
      </c>
    </row>
    <row r="189" spans="1:4" x14ac:dyDescent="0.25">
      <c r="A189" s="13" t="e">
        <f>VLOOKUP(B189:B896,#REF!,1,FALSE)</f>
        <v>#REF!</v>
      </c>
      <c r="B189" s="27">
        <v>35647</v>
      </c>
      <c r="C189" s="7" t="s">
        <v>794</v>
      </c>
      <c r="D189" s="6" t="s">
        <v>795</v>
      </c>
    </row>
    <row r="190" spans="1:4" x14ac:dyDescent="0.25">
      <c r="A190" s="13" t="e">
        <f>VLOOKUP(B190:B897,#REF!,1,FALSE)</f>
        <v>#REF!</v>
      </c>
      <c r="B190" s="19">
        <v>35649</v>
      </c>
      <c r="C190" s="12" t="s">
        <v>576</v>
      </c>
      <c r="D190" s="15" t="s">
        <v>577</v>
      </c>
    </row>
    <row r="191" spans="1:4" x14ac:dyDescent="0.25">
      <c r="A191" s="13" t="e">
        <f>VLOOKUP(B191:B898,#REF!,1,FALSE)</f>
        <v>#REF!</v>
      </c>
      <c r="B191" s="27">
        <v>35685</v>
      </c>
      <c r="C191" s="7" t="s">
        <v>115</v>
      </c>
      <c r="D191" s="30" t="s">
        <v>1451</v>
      </c>
    </row>
    <row r="192" spans="1:4" x14ac:dyDescent="0.25">
      <c r="A192" s="13" t="e">
        <f>VLOOKUP(B192:B899,#REF!,1,FALSE)</f>
        <v>#REF!</v>
      </c>
      <c r="B192" s="27">
        <v>35687</v>
      </c>
      <c r="C192" s="7" t="s">
        <v>117</v>
      </c>
      <c r="D192" s="6" t="s">
        <v>637</v>
      </c>
    </row>
    <row r="193" spans="1:4" x14ac:dyDescent="0.25">
      <c r="A193" s="13" t="e">
        <f>VLOOKUP(B193:B900,#REF!,1,FALSE)</f>
        <v>#REF!</v>
      </c>
      <c r="B193" s="27">
        <v>35692</v>
      </c>
      <c r="C193" s="7" t="s">
        <v>119</v>
      </c>
      <c r="D193" s="6" t="s">
        <v>693</v>
      </c>
    </row>
    <row r="194" spans="1:4" x14ac:dyDescent="0.25">
      <c r="A194" s="13" t="e">
        <f>VLOOKUP(B194:B901,#REF!,1,FALSE)</f>
        <v>#REF!</v>
      </c>
      <c r="B194" s="27">
        <v>35703</v>
      </c>
      <c r="C194" s="9" t="s">
        <v>120</v>
      </c>
      <c r="D194" s="6" t="s">
        <v>699</v>
      </c>
    </row>
    <row r="195" spans="1:4" x14ac:dyDescent="0.25">
      <c r="A195" s="13" t="e">
        <f>VLOOKUP(B195:B902,#REF!,1,FALSE)</f>
        <v>#REF!</v>
      </c>
      <c r="B195" s="27">
        <v>35720</v>
      </c>
      <c r="C195" s="9" t="s">
        <v>121</v>
      </c>
      <c r="D195" s="6" t="s">
        <v>695</v>
      </c>
    </row>
    <row r="196" spans="1:4" x14ac:dyDescent="0.25">
      <c r="A196" s="13" t="e">
        <f>VLOOKUP(B196:B903,#REF!,1,FALSE)</f>
        <v>#REF!</v>
      </c>
      <c r="B196" s="27">
        <v>35788</v>
      </c>
      <c r="C196" s="7" t="s">
        <v>122</v>
      </c>
      <c r="D196" s="6" t="s">
        <v>761</v>
      </c>
    </row>
    <row r="197" spans="1:4" x14ac:dyDescent="0.25">
      <c r="A197" s="13" t="e">
        <f>VLOOKUP(B197:B904,#REF!,1,FALSE)</f>
        <v>#REF!</v>
      </c>
      <c r="B197" s="27">
        <v>35797</v>
      </c>
      <c r="C197" s="7" t="s">
        <v>1157</v>
      </c>
      <c r="D197" s="6" t="s">
        <v>1158</v>
      </c>
    </row>
    <row r="198" spans="1:4" x14ac:dyDescent="0.25">
      <c r="A198" s="13" t="e">
        <f>VLOOKUP(B198:B905,#REF!,1,FALSE)</f>
        <v>#REF!</v>
      </c>
      <c r="B198" s="14">
        <v>35798</v>
      </c>
      <c r="C198" s="12" t="s">
        <v>350</v>
      </c>
      <c r="D198" s="16" t="s">
        <v>351</v>
      </c>
    </row>
    <row r="199" spans="1:4" x14ac:dyDescent="0.25">
      <c r="A199" s="13" t="e">
        <f>VLOOKUP(B199:B906,#REF!,1,FALSE)</f>
        <v>#REF!</v>
      </c>
      <c r="B199" s="24">
        <v>35886</v>
      </c>
      <c r="C199" s="10" t="s">
        <v>1389</v>
      </c>
      <c r="D199" s="8" t="s">
        <v>1390</v>
      </c>
    </row>
    <row r="200" spans="1:4" x14ac:dyDescent="0.25">
      <c r="A200" s="13" t="e">
        <f>VLOOKUP(B200:B907,#REF!,1,FALSE)</f>
        <v>#REF!</v>
      </c>
      <c r="B200" s="19">
        <v>35917</v>
      </c>
      <c r="C200" s="12" t="s">
        <v>583</v>
      </c>
      <c r="D200" s="15" t="s">
        <v>584</v>
      </c>
    </row>
    <row r="201" spans="1:4" x14ac:dyDescent="0.25">
      <c r="A201" s="13" t="e">
        <f>VLOOKUP(B201:B908,#REF!,1,FALSE)</f>
        <v>#REF!</v>
      </c>
      <c r="B201" s="14">
        <v>35948</v>
      </c>
      <c r="C201" s="12" t="s">
        <v>123</v>
      </c>
      <c r="D201" s="16" t="s">
        <v>352</v>
      </c>
    </row>
    <row r="202" spans="1:4" x14ac:dyDescent="0.25">
      <c r="A202" s="13" t="e">
        <f>VLOOKUP(B202:B909,#REF!,1,FALSE)</f>
        <v>#REF!</v>
      </c>
      <c r="B202" s="27">
        <v>35958</v>
      </c>
      <c r="C202" s="9" t="s">
        <v>124</v>
      </c>
      <c r="D202" s="6" t="s">
        <v>706</v>
      </c>
    </row>
    <row r="203" spans="1:4" x14ac:dyDescent="0.25">
      <c r="A203" s="13" t="e">
        <f>VLOOKUP(B203:B910,#REF!,1,FALSE)</f>
        <v>#REF!</v>
      </c>
      <c r="B203" s="27">
        <v>35965</v>
      </c>
      <c r="C203" s="7" t="s">
        <v>125</v>
      </c>
      <c r="D203" s="6" t="s">
        <v>629</v>
      </c>
    </row>
    <row r="204" spans="1:4" x14ac:dyDescent="0.25">
      <c r="A204" s="13" t="e">
        <f>VLOOKUP(B204:B911,#REF!,1,FALSE)</f>
        <v>#REF!</v>
      </c>
      <c r="B204" s="27">
        <v>35967</v>
      </c>
      <c r="C204" s="7" t="s">
        <v>1125</v>
      </c>
      <c r="D204" s="6" t="s">
        <v>1126</v>
      </c>
    </row>
    <row r="205" spans="1:4" x14ac:dyDescent="0.25">
      <c r="A205" s="13" t="e">
        <f>VLOOKUP(B205:B912,#REF!,1,FALSE)</f>
        <v>#REF!</v>
      </c>
      <c r="B205" s="24">
        <v>35983</v>
      </c>
      <c r="C205" s="10" t="s">
        <v>1255</v>
      </c>
      <c r="D205" s="8" t="s">
        <v>1256</v>
      </c>
    </row>
    <row r="206" spans="1:4" x14ac:dyDescent="0.25">
      <c r="A206" s="13" t="e">
        <f>VLOOKUP(B206:B913,#REF!,1,FALSE)</f>
        <v>#REF!</v>
      </c>
      <c r="B206" s="27">
        <v>36003</v>
      </c>
      <c r="C206" s="7" t="s">
        <v>126</v>
      </c>
      <c r="D206" s="6" t="s">
        <v>703</v>
      </c>
    </row>
    <row r="207" spans="1:4" x14ac:dyDescent="0.25">
      <c r="A207" s="13" t="e">
        <f>VLOOKUP(B207:B914,#REF!,1,FALSE)</f>
        <v>#REF!</v>
      </c>
      <c r="B207" s="27">
        <v>36069</v>
      </c>
      <c r="C207" s="7" t="s">
        <v>127</v>
      </c>
      <c r="D207" s="6" t="s">
        <v>645</v>
      </c>
    </row>
    <row r="208" spans="1:4" x14ac:dyDescent="0.25">
      <c r="A208" s="13" t="e">
        <f>VLOOKUP(B208:B915,#REF!,1,FALSE)</f>
        <v>#REF!</v>
      </c>
      <c r="B208" s="24">
        <v>36079</v>
      </c>
      <c r="C208" s="10" t="s">
        <v>1257</v>
      </c>
      <c r="D208" s="8" t="s">
        <v>1258</v>
      </c>
    </row>
    <row r="209" spans="1:4" x14ac:dyDescent="0.25">
      <c r="A209" s="13" t="e">
        <f>VLOOKUP(B209:B916,#REF!,1,FALSE)</f>
        <v>#REF!</v>
      </c>
      <c r="B209" s="14">
        <v>36087</v>
      </c>
      <c r="C209" s="12" t="s">
        <v>353</v>
      </c>
      <c r="D209" s="16" t="s">
        <v>354</v>
      </c>
    </row>
    <row r="210" spans="1:4" x14ac:dyDescent="0.25">
      <c r="A210" s="13" t="e">
        <f>VLOOKUP(B210:B917,#REF!,1,FALSE)</f>
        <v>#REF!</v>
      </c>
      <c r="B210" s="14">
        <v>36107</v>
      </c>
      <c r="C210" s="12" t="s">
        <v>355</v>
      </c>
      <c r="D210" s="15" t="s">
        <v>356</v>
      </c>
    </row>
    <row r="211" spans="1:4" x14ac:dyDescent="0.25">
      <c r="A211" s="13" t="e">
        <f>VLOOKUP(B211:B918,#REF!,1,FALSE)</f>
        <v>#REF!</v>
      </c>
      <c r="B211" s="19">
        <v>36126</v>
      </c>
      <c r="C211" s="12" t="s">
        <v>527</v>
      </c>
      <c r="D211" s="15" t="s">
        <v>528</v>
      </c>
    </row>
    <row r="212" spans="1:4" x14ac:dyDescent="0.25">
      <c r="A212" s="13" t="e">
        <f>VLOOKUP(B212:B919,#REF!,1,FALSE)</f>
        <v>#REF!</v>
      </c>
      <c r="B212" s="27">
        <v>36129</v>
      </c>
      <c r="C212" s="7" t="s">
        <v>1123</v>
      </c>
      <c r="D212" s="6" t="s">
        <v>1124</v>
      </c>
    </row>
    <row r="213" spans="1:4" x14ac:dyDescent="0.25">
      <c r="A213" s="13" t="e">
        <f>VLOOKUP(B213:B920,#REF!,1,FALSE)</f>
        <v>#REF!</v>
      </c>
      <c r="B213" s="27">
        <v>36135</v>
      </c>
      <c r="C213" s="7" t="s">
        <v>796</v>
      </c>
      <c r="D213" s="6" t="s">
        <v>797</v>
      </c>
    </row>
    <row r="214" spans="1:4" x14ac:dyDescent="0.25">
      <c r="A214" s="13" t="e">
        <f>VLOOKUP(B214:B921,#REF!,1,FALSE)</f>
        <v>#REF!</v>
      </c>
      <c r="B214" s="27">
        <v>36151</v>
      </c>
      <c r="C214" s="7" t="s">
        <v>1121</v>
      </c>
      <c r="D214" s="6" t="s">
        <v>1122</v>
      </c>
    </row>
    <row r="215" spans="1:4" x14ac:dyDescent="0.25">
      <c r="A215" s="13" t="e">
        <f>VLOOKUP(B215:B922,#REF!,1,FALSE)</f>
        <v>#REF!</v>
      </c>
      <c r="B215" s="27">
        <v>36167</v>
      </c>
      <c r="C215" s="7" t="s">
        <v>128</v>
      </c>
      <c r="D215" s="6" t="s">
        <v>759</v>
      </c>
    </row>
    <row r="216" spans="1:4" x14ac:dyDescent="0.25">
      <c r="A216" s="13" t="e">
        <f>VLOOKUP(B216:B923,#REF!,1,FALSE)</f>
        <v>#REF!</v>
      </c>
      <c r="B216" s="14">
        <v>36174</v>
      </c>
      <c r="C216" s="12" t="s">
        <v>130</v>
      </c>
      <c r="D216" s="16" t="s">
        <v>357</v>
      </c>
    </row>
    <row r="217" spans="1:4" x14ac:dyDescent="0.25">
      <c r="A217" s="13" t="e">
        <f>VLOOKUP(B217:B924,#REF!,1,FALSE)</f>
        <v>#REF!</v>
      </c>
      <c r="B217" s="14">
        <v>36196</v>
      </c>
      <c r="C217" s="12" t="s">
        <v>358</v>
      </c>
      <c r="D217" s="16" t="s">
        <v>359</v>
      </c>
    </row>
    <row r="218" spans="1:4" x14ac:dyDescent="0.25">
      <c r="A218" s="13" t="e">
        <f>VLOOKUP(B218:B925,#REF!,1,FALSE)</f>
        <v>#REF!</v>
      </c>
      <c r="B218" s="18">
        <v>36197</v>
      </c>
      <c r="C218" s="12" t="s">
        <v>360</v>
      </c>
      <c r="D218" s="16" t="s">
        <v>361</v>
      </c>
    </row>
    <row r="219" spans="1:4" x14ac:dyDescent="0.25">
      <c r="A219" s="13" t="e">
        <f>VLOOKUP(B219:B926,#REF!,1,FALSE)</f>
        <v>#REF!</v>
      </c>
      <c r="B219" s="27">
        <v>36198</v>
      </c>
      <c r="C219" s="9" t="s">
        <v>131</v>
      </c>
      <c r="D219" s="6" t="s">
        <v>698</v>
      </c>
    </row>
    <row r="220" spans="1:4" x14ac:dyDescent="0.25">
      <c r="A220" s="13" t="e">
        <f>VLOOKUP(B220:B927,#REF!,1,FALSE)</f>
        <v>#REF!</v>
      </c>
      <c r="B220" s="27">
        <v>36224</v>
      </c>
      <c r="C220" s="7" t="s">
        <v>133</v>
      </c>
      <c r="D220" s="6" t="s">
        <v>701</v>
      </c>
    </row>
    <row r="221" spans="1:4" x14ac:dyDescent="0.25">
      <c r="A221" s="13" t="e">
        <f>VLOOKUP(B221:B928,#REF!,1,FALSE)</f>
        <v>#REF!</v>
      </c>
      <c r="B221" s="27">
        <v>36235</v>
      </c>
      <c r="C221" s="7" t="s">
        <v>134</v>
      </c>
      <c r="D221" s="6" t="s">
        <v>654</v>
      </c>
    </row>
    <row r="222" spans="1:4" x14ac:dyDescent="0.25">
      <c r="A222" s="13" t="e">
        <f>VLOOKUP(B222:B929,#REF!,1,FALSE)</f>
        <v>#REF!</v>
      </c>
      <c r="B222" s="27">
        <v>36249</v>
      </c>
      <c r="C222" s="9" t="s">
        <v>135</v>
      </c>
      <c r="D222" s="6" t="s">
        <v>678</v>
      </c>
    </row>
    <row r="223" spans="1:4" x14ac:dyDescent="0.25">
      <c r="A223" s="13" t="e">
        <f>VLOOKUP(B223:B930,#REF!,1,FALSE)</f>
        <v>#REF!</v>
      </c>
      <c r="B223" s="27">
        <v>36259</v>
      </c>
      <c r="C223" s="7" t="s">
        <v>137</v>
      </c>
      <c r="D223" s="6" t="s">
        <v>725</v>
      </c>
    </row>
    <row r="224" spans="1:4" x14ac:dyDescent="0.25">
      <c r="A224" s="13" t="e">
        <f>VLOOKUP(B224:B931,#REF!,1,FALSE)</f>
        <v>#REF!</v>
      </c>
      <c r="B224" s="14">
        <v>36273</v>
      </c>
      <c r="C224" s="12" t="s">
        <v>362</v>
      </c>
      <c r="D224" s="16" t="s">
        <v>1407</v>
      </c>
    </row>
    <row r="225" spans="1:4" x14ac:dyDescent="0.25">
      <c r="A225" s="13" t="e">
        <f>VLOOKUP(B225:B932,#REF!,1,FALSE)</f>
        <v>#REF!</v>
      </c>
      <c r="B225" s="27">
        <v>36292</v>
      </c>
      <c r="C225" s="9" t="s">
        <v>138</v>
      </c>
      <c r="D225" s="6" t="s">
        <v>704</v>
      </c>
    </row>
    <row r="226" spans="1:4" x14ac:dyDescent="0.25">
      <c r="A226" s="13" t="e">
        <f>VLOOKUP(B226:B933,#REF!,1,FALSE)</f>
        <v>#REF!</v>
      </c>
      <c r="B226" s="24">
        <v>36305</v>
      </c>
      <c r="C226" s="10" t="s">
        <v>1259</v>
      </c>
      <c r="D226" s="8" t="s">
        <v>1260</v>
      </c>
    </row>
    <row r="227" spans="1:4" x14ac:dyDescent="0.25">
      <c r="A227" s="13" t="e">
        <f>VLOOKUP(B227:B934,#REF!,1,FALSE)</f>
        <v>#REF!</v>
      </c>
      <c r="B227" s="19">
        <v>36336</v>
      </c>
      <c r="C227" s="12" t="s">
        <v>139</v>
      </c>
      <c r="D227" s="15" t="s">
        <v>561</v>
      </c>
    </row>
    <row r="228" spans="1:4" x14ac:dyDescent="0.25">
      <c r="A228" s="13" t="e">
        <f>VLOOKUP(B228:B935,#REF!,1,FALSE)</f>
        <v>#REF!</v>
      </c>
      <c r="B228" s="27">
        <v>36534</v>
      </c>
      <c r="C228" s="7" t="s">
        <v>1119</v>
      </c>
      <c r="D228" s="6" t="s">
        <v>1120</v>
      </c>
    </row>
    <row r="229" spans="1:4" x14ac:dyDescent="0.25">
      <c r="A229" s="13" t="e">
        <f>VLOOKUP(B229:B936,#REF!,1,FALSE)</f>
        <v>#REF!</v>
      </c>
      <c r="B229" s="24">
        <v>36628</v>
      </c>
      <c r="C229" s="10" t="s">
        <v>1261</v>
      </c>
      <c r="D229" s="8" t="s">
        <v>1262</v>
      </c>
    </row>
    <row r="230" spans="1:4" x14ac:dyDescent="0.25">
      <c r="A230" s="13" t="e">
        <f>VLOOKUP(B230:B937,#REF!,1,FALSE)</f>
        <v>#REF!</v>
      </c>
      <c r="B230" s="14">
        <v>36894</v>
      </c>
      <c r="C230" s="12" t="s">
        <v>363</v>
      </c>
      <c r="D230" s="16" t="s">
        <v>1408</v>
      </c>
    </row>
    <row r="231" spans="1:4" x14ac:dyDescent="0.25">
      <c r="A231" s="13" t="e">
        <f>VLOOKUP(B231:B938,#REF!,1,FALSE)</f>
        <v>#REF!</v>
      </c>
      <c r="B231" s="14">
        <v>37050</v>
      </c>
      <c r="C231" s="12" t="s">
        <v>364</v>
      </c>
      <c r="D231" s="15" t="s">
        <v>365</v>
      </c>
    </row>
    <row r="232" spans="1:4" x14ac:dyDescent="0.25">
      <c r="A232" s="13" t="e">
        <f>VLOOKUP(B232:B939,#REF!,1,FALSE)</f>
        <v>#REF!</v>
      </c>
      <c r="B232" s="27">
        <v>37086</v>
      </c>
      <c r="C232" s="9" t="s">
        <v>140</v>
      </c>
      <c r="D232" s="6" t="s">
        <v>692</v>
      </c>
    </row>
    <row r="233" spans="1:4" x14ac:dyDescent="0.25">
      <c r="A233" s="13" t="e">
        <f>VLOOKUP(B233:B940,#REF!,1,FALSE)</f>
        <v>#REF!</v>
      </c>
      <c r="B233" s="27">
        <v>37089</v>
      </c>
      <c r="C233" s="7" t="s">
        <v>1117</v>
      </c>
      <c r="D233" s="6" t="s">
        <v>1118</v>
      </c>
    </row>
    <row r="234" spans="1:4" x14ac:dyDescent="0.25">
      <c r="A234" s="13" t="e">
        <f>VLOOKUP(B234:B941,#REF!,1,FALSE)</f>
        <v>#REF!</v>
      </c>
      <c r="B234" s="24">
        <v>37090</v>
      </c>
      <c r="C234" s="10" t="s">
        <v>1263</v>
      </c>
      <c r="D234" s="8" t="s">
        <v>1264</v>
      </c>
    </row>
    <row r="235" spans="1:4" x14ac:dyDescent="0.25">
      <c r="A235" s="13" t="e">
        <f>VLOOKUP(B235:B942,#REF!,1,FALSE)</f>
        <v>#REF!</v>
      </c>
      <c r="B235" s="14">
        <v>37144</v>
      </c>
      <c r="C235" s="12" t="s">
        <v>366</v>
      </c>
      <c r="D235" s="16" t="s">
        <v>1409</v>
      </c>
    </row>
    <row r="236" spans="1:4" x14ac:dyDescent="0.25">
      <c r="A236" s="13" t="e">
        <f>VLOOKUP(B236:B943,#REF!,1,FALSE)</f>
        <v>#REF!</v>
      </c>
      <c r="B236" s="14">
        <v>37148</v>
      </c>
      <c r="C236" s="12" t="s">
        <v>141</v>
      </c>
      <c r="D236" s="15" t="s">
        <v>367</v>
      </c>
    </row>
    <row r="237" spans="1:4" x14ac:dyDescent="0.25">
      <c r="A237" s="13" t="e">
        <f>VLOOKUP(B237:B944,#REF!,1,FALSE)</f>
        <v>#REF!</v>
      </c>
      <c r="B237" s="27">
        <v>37151</v>
      </c>
      <c r="C237" s="7" t="s">
        <v>1115</v>
      </c>
      <c r="D237" s="6" t="s">
        <v>1116</v>
      </c>
    </row>
    <row r="238" spans="1:4" x14ac:dyDescent="0.25">
      <c r="A238" s="13" t="e">
        <f>VLOOKUP(B238:B945,#REF!,1,FALSE)</f>
        <v>#REF!</v>
      </c>
      <c r="B238" s="24">
        <v>37243</v>
      </c>
      <c r="C238" s="10" t="s">
        <v>1265</v>
      </c>
      <c r="D238" s="8" t="s">
        <v>1266</v>
      </c>
    </row>
    <row r="239" spans="1:4" x14ac:dyDescent="0.25">
      <c r="A239" s="13" t="e">
        <f>VLOOKUP(B239:B946,#REF!,1,FALSE)</f>
        <v>#REF!</v>
      </c>
      <c r="B239" s="14">
        <v>37390</v>
      </c>
      <c r="C239" s="12" t="s">
        <v>368</v>
      </c>
      <c r="D239" s="16" t="s">
        <v>1410</v>
      </c>
    </row>
    <row r="240" spans="1:4" x14ac:dyDescent="0.25">
      <c r="A240" s="13" t="e">
        <f>VLOOKUP(B240:B947,#REF!,1,FALSE)</f>
        <v>#REF!</v>
      </c>
      <c r="B240" s="27">
        <v>37412</v>
      </c>
      <c r="C240" s="7" t="s">
        <v>1113</v>
      </c>
      <c r="D240" s="6" t="s">
        <v>1114</v>
      </c>
    </row>
    <row r="241" spans="1:4" x14ac:dyDescent="0.25">
      <c r="A241" s="13" t="e">
        <f>VLOOKUP(B241:B948,#REF!,1,FALSE)</f>
        <v>#REF!</v>
      </c>
      <c r="B241" s="27">
        <v>37458</v>
      </c>
      <c r="C241" s="7" t="s">
        <v>142</v>
      </c>
      <c r="D241" s="6" t="s">
        <v>648</v>
      </c>
    </row>
    <row r="242" spans="1:4" x14ac:dyDescent="0.25">
      <c r="A242" s="13" t="e">
        <f>VLOOKUP(B242:B949,#REF!,1,FALSE)</f>
        <v>#REF!</v>
      </c>
      <c r="B242" s="27">
        <v>37839</v>
      </c>
      <c r="C242" s="7" t="s">
        <v>143</v>
      </c>
      <c r="D242" s="6" t="s">
        <v>666</v>
      </c>
    </row>
    <row r="243" spans="1:4" x14ac:dyDescent="0.25">
      <c r="A243" s="13" t="e">
        <f>VLOOKUP(B243:B950,#REF!,1,FALSE)</f>
        <v>#REF!</v>
      </c>
      <c r="B243" s="27">
        <v>37867</v>
      </c>
      <c r="C243" s="7" t="s">
        <v>1111</v>
      </c>
      <c r="D243" s="6" t="s">
        <v>1112</v>
      </c>
    </row>
    <row r="244" spans="1:4" x14ac:dyDescent="0.25">
      <c r="A244" s="13" t="e">
        <f>VLOOKUP(B244:B951,#REF!,1,FALSE)</f>
        <v>#REF!</v>
      </c>
      <c r="B244" s="27">
        <v>37869</v>
      </c>
      <c r="C244" s="7" t="s">
        <v>1109</v>
      </c>
      <c r="D244" s="6" t="s">
        <v>1110</v>
      </c>
    </row>
    <row r="245" spans="1:4" x14ac:dyDescent="0.25">
      <c r="A245" s="13" t="e">
        <f>VLOOKUP(B245:B952,#REF!,1,FALSE)</f>
        <v>#REF!</v>
      </c>
      <c r="B245" s="27">
        <v>37875</v>
      </c>
      <c r="C245" s="7" t="s">
        <v>1207</v>
      </c>
      <c r="D245" s="6" t="s">
        <v>1208</v>
      </c>
    </row>
    <row r="246" spans="1:4" x14ac:dyDescent="0.25">
      <c r="A246" s="13" t="e">
        <f>VLOOKUP(B246:B953,#REF!,1,FALSE)</f>
        <v>#REF!</v>
      </c>
      <c r="B246" s="27">
        <v>37876</v>
      </c>
      <c r="C246" s="7" t="s">
        <v>1107</v>
      </c>
      <c r="D246" s="6" t="s">
        <v>1108</v>
      </c>
    </row>
    <row r="247" spans="1:4" x14ac:dyDescent="0.25">
      <c r="A247" s="13" t="e">
        <f>VLOOKUP(B247:B954,#REF!,1,FALSE)</f>
        <v>#REF!</v>
      </c>
      <c r="B247" s="14">
        <v>37997</v>
      </c>
      <c r="C247" s="12" t="s">
        <v>369</v>
      </c>
      <c r="D247" s="16" t="s">
        <v>370</v>
      </c>
    </row>
    <row r="248" spans="1:4" x14ac:dyDescent="0.25">
      <c r="A248" s="13" t="e">
        <f>VLOOKUP(B248:B955,#REF!,1,FALSE)</f>
        <v>#REF!</v>
      </c>
      <c r="B248" s="14">
        <v>38000</v>
      </c>
      <c r="C248" s="12" t="s">
        <v>371</v>
      </c>
      <c r="D248" s="16" t="s">
        <v>372</v>
      </c>
    </row>
    <row r="249" spans="1:4" x14ac:dyDescent="0.25">
      <c r="A249" s="13" t="e">
        <f>VLOOKUP(B249:B956,#REF!,1,FALSE)</f>
        <v>#REF!</v>
      </c>
      <c r="B249" s="27">
        <v>38071</v>
      </c>
      <c r="C249" s="7" t="s">
        <v>1105</v>
      </c>
      <c r="D249" s="6" t="s">
        <v>1106</v>
      </c>
    </row>
    <row r="250" spans="1:4" x14ac:dyDescent="0.25">
      <c r="A250" s="13" t="e">
        <f>VLOOKUP(B250:B957,#REF!,1,FALSE)</f>
        <v>#REF!</v>
      </c>
      <c r="B250" s="27">
        <v>38143</v>
      </c>
      <c r="C250" s="7" t="s">
        <v>145</v>
      </c>
      <c r="D250" s="30" t="s">
        <v>1452</v>
      </c>
    </row>
    <row r="251" spans="1:4" x14ac:dyDescent="0.25">
      <c r="A251" s="13" t="e">
        <f>VLOOKUP(B251:B958,#REF!,1,FALSE)</f>
        <v>#REF!</v>
      </c>
      <c r="B251" s="27">
        <v>38152</v>
      </c>
      <c r="C251" s="7" t="s">
        <v>792</v>
      </c>
      <c r="D251" s="6" t="s">
        <v>793</v>
      </c>
    </row>
    <row r="252" spans="1:4" x14ac:dyDescent="0.25">
      <c r="A252" s="13" t="e">
        <f>VLOOKUP(B252:B959,#REF!,1,FALSE)</f>
        <v>#REF!</v>
      </c>
      <c r="B252" s="27">
        <v>38153</v>
      </c>
      <c r="C252" s="7" t="s">
        <v>818</v>
      </c>
      <c r="D252" s="6" t="s">
        <v>819</v>
      </c>
    </row>
    <row r="253" spans="1:4" x14ac:dyDescent="0.25">
      <c r="A253" s="13" t="e">
        <f>VLOOKUP(B253:B960,#REF!,1,FALSE)</f>
        <v>#REF!</v>
      </c>
      <c r="B253" s="27">
        <v>38156</v>
      </c>
      <c r="C253" s="7" t="s">
        <v>146</v>
      </c>
      <c r="D253" s="6" t="s">
        <v>745</v>
      </c>
    </row>
    <row r="254" spans="1:4" x14ac:dyDescent="0.25">
      <c r="A254" s="13" t="e">
        <f>VLOOKUP(B254:B961,#REF!,1,FALSE)</f>
        <v>#REF!</v>
      </c>
      <c r="B254" s="27">
        <v>38161</v>
      </c>
      <c r="C254" s="7" t="s">
        <v>1103</v>
      </c>
      <c r="D254" s="6" t="s">
        <v>1104</v>
      </c>
    </row>
    <row r="255" spans="1:4" x14ac:dyDescent="0.25">
      <c r="A255" s="13" t="e">
        <f>VLOOKUP(B255:B962,#REF!,1,FALSE)</f>
        <v>#REF!</v>
      </c>
      <c r="B255" s="27">
        <v>38168</v>
      </c>
      <c r="C255" s="7" t="s">
        <v>147</v>
      </c>
      <c r="D255" s="6" t="s">
        <v>664</v>
      </c>
    </row>
    <row r="256" spans="1:4" x14ac:dyDescent="0.25">
      <c r="A256" s="13" t="e">
        <f>VLOOKUP(B256:B963,#REF!,1,FALSE)</f>
        <v>#REF!</v>
      </c>
      <c r="B256" s="27">
        <v>38357</v>
      </c>
      <c r="C256" s="7" t="s">
        <v>1101</v>
      </c>
      <c r="D256" s="6" t="s">
        <v>1102</v>
      </c>
    </row>
    <row r="257" spans="1:4" x14ac:dyDescent="0.25">
      <c r="A257" s="13" t="e">
        <f>VLOOKUP(B257:B964,#REF!,1,FALSE)</f>
        <v>#REF!</v>
      </c>
      <c r="B257" s="27">
        <v>38456</v>
      </c>
      <c r="C257" s="7" t="s">
        <v>834</v>
      </c>
      <c r="D257" s="6" t="s">
        <v>835</v>
      </c>
    </row>
    <row r="258" spans="1:4" x14ac:dyDescent="0.25">
      <c r="A258" s="13" t="e">
        <f>VLOOKUP(B258:B965,#REF!,1,FALSE)</f>
        <v>#REF!</v>
      </c>
      <c r="B258" s="14">
        <v>38725</v>
      </c>
      <c r="C258" s="12" t="s">
        <v>373</v>
      </c>
      <c r="D258" s="16" t="s">
        <v>1411</v>
      </c>
    </row>
    <row r="259" spans="1:4" x14ac:dyDescent="0.25">
      <c r="A259" s="13" t="e">
        <f>VLOOKUP(B259:B966,#REF!,1,FALSE)</f>
        <v>#REF!</v>
      </c>
      <c r="B259" s="27">
        <v>38727</v>
      </c>
      <c r="C259" s="7" t="s">
        <v>1099</v>
      </c>
      <c r="D259" s="6" t="s">
        <v>1100</v>
      </c>
    </row>
    <row r="260" spans="1:4" x14ac:dyDescent="0.25">
      <c r="A260" s="13" t="e">
        <f>VLOOKUP(B260:B967,#REF!,1,FALSE)</f>
        <v>#REF!</v>
      </c>
      <c r="B260" s="19">
        <v>38771</v>
      </c>
      <c r="C260" s="12" t="s">
        <v>516</v>
      </c>
      <c r="D260" s="15" t="s">
        <v>517</v>
      </c>
    </row>
    <row r="261" spans="1:4" x14ac:dyDescent="0.25">
      <c r="A261" s="13" t="e">
        <f>VLOOKUP(B261:B968,#REF!,1,FALSE)</f>
        <v>#REF!</v>
      </c>
      <c r="B261" s="27">
        <v>38799</v>
      </c>
      <c r="C261" s="7" t="s">
        <v>148</v>
      </c>
      <c r="D261" s="6" t="s">
        <v>746</v>
      </c>
    </row>
    <row r="262" spans="1:4" x14ac:dyDescent="0.25">
      <c r="A262" s="13" t="e">
        <f>VLOOKUP(B262:B969,#REF!,1,FALSE)</f>
        <v>#REF!</v>
      </c>
      <c r="B262" s="14">
        <v>38871</v>
      </c>
      <c r="C262" s="17" t="s">
        <v>347</v>
      </c>
      <c r="D262" s="30" t="s">
        <v>1453</v>
      </c>
    </row>
    <row r="263" spans="1:4" x14ac:dyDescent="0.25">
      <c r="A263" s="13" t="e">
        <f>VLOOKUP(B263:B970,#REF!,1,FALSE)</f>
        <v>#REF!</v>
      </c>
      <c r="B263" s="19">
        <v>38873</v>
      </c>
      <c r="C263" s="12" t="s">
        <v>585</v>
      </c>
      <c r="D263" s="15" t="s">
        <v>586</v>
      </c>
    </row>
    <row r="264" spans="1:4" x14ac:dyDescent="0.25">
      <c r="A264" s="13" t="e">
        <f>VLOOKUP(B264:B971,#REF!,1,FALSE)</f>
        <v>#REF!</v>
      </c>
      <c r="B264" s="27">
        <v>39702</v>
      </c>
      <c r="C264" s="7" t="s">
        <v>149</v>
      </c>
      <c r="D264" s="6" t="s">
        <v>718</v>
      </c>
    </row>
    <row r="265" spans="1:4" x14ac:dyDescent="0.25">
      <c r="A265" s="13" t="e">
        <f>VLOOKUP(B265:B972,#REF!,1,FALSE)</f>
        <v>#REF!</v>
      </c>
      <c r="B265" s="27">
        <v>39704</v>
      </c>
      <c r="C265" s="7" t="s">
        <v>151</v>
      </c>
      <c r="D265" s="6" t="s">
        <v>748</v>
      </c>
    </row>
    <row r="266" spans="1:4" x14ac:dyDescent="0.25">
      <c r="A266" s="13" t="e">
        <f>VLOOKUP(B266:B973,#REF!,1,FALSE)</f>
        <v>#REF!</v>
      </c>
      <c r="B266" s="27">
        <v>40124</v>
      </c>
      <c r="C266" s="7" t="s">
        <v>78</v>
      </c>
      <c r="D266" s="6" t="s">
        <v>755</v>
      </c>
    </row>
    <row r="267" spans="1:4" x14ac:dyDescent="0.25">
      <c r="A267" s="13" t="e">
        <f>VLOOKUP(B267:B974,#REF!,1,FALSE)</f>
        <v>#REF!</v>
      </c>
      <c r="B267" s="19">
        <v>40596</v>
      </c>
      <c r="C267" s="12" t="s">
        <v>557</v>
      </c>
      <c r="D267" s="15" t="s">
        <v>558</v>
      </c>
    </row>
    <row r="268" spans="1:4" x14ac:dyDescent="0.25">
      <c r="A268" s="13" t="e">
        <f>VLOOKUP(B268:B975,#REF!,1,FALSE)</f>
        <v>#REF!</v>
      </c>
      <c r="B268" s="27">
        <v>41264</v>
      </c>
      <c r="C268" s="7" t="s">
        <v>1097</v>
      </c>
      <c r="D268" s="6" t="s">
        <v>1098</v>
      </c>
    </row>
    <row r="269" spans="1:4" x14ac:dyDescent="0.25">
      <c r="A269" s="13" t="e">
        <f>VLOOKUP(B269:B976,#REF!,1,FALSE)</f>
        <v>#REF!</v>
      </c>
      <c r="B269" s="27">
        <v>41499</v>
      </c>
      <c r="C269" s="7" t="s">
        <v>152</v>
      </c>
      <c r="D269" s="6" t="s">
        <v>653</v>
      </c>
    </row>
    <row r="270" spans="1:4" x14ac:dyDescent="0.25">
      <c r="A270" s="13" t="e">
        <f>VLOOKUP(B270:B977,#REF!,1,FALSE)</f>
        <v>#REF!</v>
      </c>
      <c r="B270" s="27">
        <v>41556</v>
      </c>
      <c r="C270" s="7" t="s">
        <v>153</v>
      </c>
      <c r="D270" s="30" t="s">
        <v>1454</v>
      </c>
    </row>
    <row r="271" spans="1:4" x14ac:dyDescent="0.25">
      <c r="A271" s="13" t="e">
        <f>VLOOKUP(B271:B978,#REF!,1,FALSE)</f>
        <v>#REF!</v>
      </c>
      <c r="B271" s="14">
        <v>41599</v>
      </c>
      <c r="C271" s="12" t="s">
        <v>374</v>
      </c>
      <c r="D271" s="16" t="s">
        <v>1412</v>
      </c>
    </row>
    <row r="272" spans="1:4" x14ac:dyDescent="0.25">
      <c r="A272" s="13" t="e">
        <f>VLOOKUP(B272:B979,#REF!,1,FALSE)</f>
        <v>#REF!</v>
      </c>
      <c r="B272" s="27">
        <v>41643</v>
      </c>
      <c r="C272" s="7" t="s">
        <v>154</v>
      </c>
      <c r="D272" s="6" t="s">
        <v>644</v>
      </c>
    </row>
    <row r="273" spans="1:4" x14ac:dyDescent="0.25">
      <c r="A273" s="13" t="e">
        <f>VLOOKUP(B273:B980,#REF!,1,FALSE)</f>
        <v>#REF!</v>
      </c>
      <c r="B273" s="27">
        <v>41722</v>
      </c>
      <c r="C273" s="7" t="s">
        <v>1095</v>
      </c>
      <c r="D273" s="6" t="s">
        <v>1096</v>
      </c>
    </row>
    <row r="274" spans="1:4" x14ac:dyDescent="0.25">
      <c r="A274" s="13" t="e">
        <f>VLOOKUP(B274:B981,#REF!,1,FALSE)</f>
        <v>#REF!</v>
      </c>
      <c r="B274" s="24">
        <v>41819</v>
      </c>
      <c r="C274" s="10" t="s">
        <v>1267</v>
      </c>
      <c r="D274" s="8" t="s">
        <v>1268</v>
      </c>
    </row>
    <row r="275" spans="1:4" x14ac:dyDescent="0.25">
      <c r="A275" s="13" t="e">
        <f>VLOOKUP(B275:B982,#REF!,1,FALSE)</f>
        <v>#REF!</v>
      </c>
      <c r="B275" s="14">
        <v>42283</v>
      </c>
      <c r="C275" s="12" t="s">
        <v>375</v>
      </c>
      <c r="D275" s="16" t="s">
        <v>1413</v>
      </c>
    </row>
    <row r="276" spans="1:4" x14ac:dyDescent="0.25">
      <c r="A276" s="13" t="e">
        <f>VLOOKUP(B276:B983,#REF!,1,FALSE)</f>
        <v>#REF!</v>
      </c>
      <c r="B276" s="14">
        <v>42412</v>
      </c>
      <c r="C276" s="12" t="s">
        <v>376</v>
      </c>
      <c r="D276" s="15" t="s">
        <v>377</v>
      </c>
    </row>
    <row r="277" spans="1:4" x14ac:dyDescent="0.25">
      <c r="A277" s="13" t="e">
        <f>VLOOKUP(B277:B984,#REF!,1,FALSE)</f>
        <v>#REF!</v>
      </c>
      <c r="B277" s="24">
        <v>42425</v>
      </c>
      <c r="C277" s="10" t="s">
        <v>1269</v>
      </c>
      <c r="D277" s="8" t="s">
        <v>1270</v>
      </c>
    </row>
    <row r="278" spans="1:4" x14ac:dyDescent="0.25">
      <c r="A278" s="13" t="e">
        <f>VLOOKUP(B278:B985,#REF!,1,FALSE)</f>
        <v>#REF!</v>
      </c>
      <c r="B278" s="14">
        <v>42584</v>
      </c>
      <c r="C278" s="12" t="s">
        <v>378</v>
      </c>
      <c r="D278" s="16" t="s">
        <v>1414</v>
      </c>
    </row>
    <row r="279" spans="1:4" x14ac:dyDescent="0.25">
      <c r="A279" s="13" t="e">
        <f>VLOOKUP(B279:B986,#REF!,1,FALSE)</f>
        <v>#REF!</v>
      </c>
      <c r="B279" s="24">
        <v>42795</v>
      </c>
      <c r="C279" s="10" t="s">
        <v>1271</v>
      </c>
      <c r="D279" s="8" t="s">
        <v>1272</v>
      </c>
    </row>
    <row r="280" spans="1:4" x14ac:dyDescent="0.25">
      <c r="A280" s="13" t="e">
        <f>VLOOKUP(B280:B987,#REF!,1,FALSE)</f>
        <v>#REF!</v>
      </c>
      <c r="B280" s="27">
        <v>42894</v>
      </c>
      <c r="C280" s="7" t="s">
        <v>155</v>
      </c>
      <c r="D280" s="30" t="s">
        <v>1455</v>
      </c>
    </row>
    <row r="281" spans="1:4" x14ac:dyDescent="0.25">
      <c r="A281" s="13" t="e">
        <f>VLOOKUP(B281:B988,#REF!,1,FALSE)</f>
        <v>#REF!</v>
      </c>
      <c r="B281" s="27">
        <v>42981</v>
      </c>
      <c r="C281" s="7" t="s">
        <v>1093</v>
      </c>
      <c r="D281" s="6" t="s">
        <v>1094</v>
      </c>
    </row>
    <row r="282" spans="1:4" x14ac:dyDescent="0.25">
      <c r="A282" s="13" t="e">
        <f>VLOOKUP(B282:B989,#REF!,1,FALSE)</f>
        <v>#REF!</v>
      </c>
      <c r="B282" s="27">
        <v>42997</v>
      </c>
      <c r="C282" s="7" t="s">
        <v>156</v>
      </c>
      <c r="D282" s="6" t="s">
        <v>774</v>
      </c>
    </row>
    <row r="283" spans="1:4" x14ac:dyDescent="0.25">
      <c r="A283" s="13" t="e">
        <f>VLOOKUP(B283:B990,#REF!,1,FALSE)</f>
        <v>#REF!</v>
      </c>
      <c r="B283" s="27">
        <v>43167</v>
      </c>
      <c r="C283" s="7" t="s">
        <v>158</v>
      </c>
      <c r="D283" s="6" t="s">
        <v>710</v>
      </c>
    </row>
    <row r="284" spans="1:4" x14ac:dyDescent="0.25">
      <c r="A284" s="13" t="e">
        <f>VLOOKUP(B284:B991,#REF!,1,FALSE)</f>
        <v>#REF!</v>
      </c>
      <c r="B284" s="27">
        <v>43168</v>
      </c>
      <c r="C284" s="7" t="s">
        <v>160</v>
      </c>
      <c r="D284" s="6" t="s">
        <v>722</v>
      </c>
    </row>
    <row r="285" spans="1:4" x14ac:dyDescent="0.25">
      <c r="A285" s="13" t="e">
        <f>VLOOKUP(B285:B992,#REF!,1,FALSE)</f>
        <v>#REF!</v>
      </c>
      <c r="B285" s="27">
        <v>43222</v>
      </c>
      <c r="C285" s="7" t="s">
        <v>1091</v>
      </c>
      <c r="D285" s="6" t="s">
        <v>1092</v>
      </c>
    </row>
    <row r="286" spans="1:4" x14ac:dyDescent="0.25">
      <c r="A286" s="13" t="e">
        <f>VLOOKUP(B286:B993,#REF!,1,FALSE)</f>
        <v>#REF!</v>
      </c>
      <c r="B286" s="27">
        <v>43257</v>
      </c>
      <c r="C286" s="7" t="s">
        <v>1089</v>
      </c>
      <c r="D286" s="6" t="s">
        <v>1090</v>
      </c>
    </row>
    <row r="287" spans="1:4" x14ac:dyDescent="0.25">
      <c r="A287" s="13" t="e">
        <f>VLOOKUP(B287:B994,#REF!,1,FALSE)</f>
        <v>#REF!</v>
      </c>
      <c r="B287" s="14">
        <v>43324</v>
      </c>
      <c r="C287" s="12" t="s">
        <v>379</v>
      </c>
      <c r="D287" s="16" t="s">
        <v>1415</v>
      </c>
    </row>
    <row r="288" spans="1:4" ht="36" x14ac:dyDescent="0.25">
      <c r="A288" s="13" t="e">
        <f>VLOOKUP(B288:B995,#REF!,1,FALSE)</f>
        <v>#REF!</v>
      </c>
      <c r="B288" s="27">
        <v>43390</v>
      </c>
      <c r="C288" s="7" t="s">
        <v>162</v>
      </c>
      <c r="D288" s="31" t="s">
        <v>1456</v>
      </c>
    </row>
    <row r="289" spans="1:4" x14ac:dyDescent="0.25">
      <c r="A289" s="13" t="e">
        <f>VLOOKUP(B289:B996,#REF!,1,FALSE)</f>
        <v>#REF!</v>
      </c>
      <c r="B289" s="27">
        <v>43555</v>
      </c>
      <c r="C289" s="7" t="s">
        <v>856</v>
      </c>
      <c r="D289" s="30" t="s">
        <v>857</v>
      </c>
    </row>
    <row r="290" spans="1:4" x14ac:dyDescent="0.25">
      <c r="A290" s="13" t="e">
        <f>VLOOKUP(B290:B997,#REF!,1,FALSE)</f>
        <v>#REF!</v>
      </c>
      <c r="B290" s="27">
        <v>43660</v>
      </c>
      <c r="C290" s="7" t="s">
        <v>1087</v>
      </c>
      <c r="D290" s="30" t="s">
        <v>1088</v>
      </c>
    </row>
    <row r="291" spans="1:4" x14ac:dyDescent="0.25">
      <c r="A291" s="13" t="e">
        <f>VLOOKUP(B291:B998,#REF!,1,FALSE)</f>
        <v>#REF!</v>
      </c>
      <c r="B291" s="27">
        <v>43662</v>
      </c>
      <c r="C291" s="7" t="s">
        <v>1085</v>
      </c>
      <c r="D291" s="30" t="s">
        <v>1086</v>
      </c>
    </row>
    <row r="292" spans="1:4" x14ac:dyDescent="0.25">
      <c r="A292" s="13" t="e">
        <f>VLOOKUP(B292:B999,#REF!,1,FALSE)</f>
        <v>#REF!</v>
      </c>
      <c r="B292" s="27">
        <v>43663</v>
      </c>
      <c r="C292" s="7" t="s">
        <v>1083</v>
      </c>
      <c r="D292" s="30" t="s">
        <v>1084</v>
      </c>
    </row>
    <row r="293" spans="1:4" x14ac:dyDescent="0.25">
      <c r="A293" s="13" t="e">
        <f>VLOOKUP(B293:B1000,#REF!,1,FALSE)</f>
        <v>#REF!</v>
      </c>
      <c r="B293" s="27">
        <v>43664</v>
      </c>
      <c r="C293" s="7" t="s">
        <v>1081</v>
      </c>
      <c r="D293" s="30" t="s">
        <v>1082</v>
      </c>
    </row>
    <row r="294" spans="1:4" x14ac:dyDescent="0.25">
      <c r="A294" s="13" t="e">
        <f>VLOOKUP(B294:B1001,#REF!,1,FALSE)</f>
        <v>#REF!</v>
      </c>
      <c r="B294" s="27">
        <v>43665</v>
      </c>
      <c r="C294" s="7" t="s">
        <v>1079</v>
      </c>
      <c r="D294" s="6" t="s">
        <v>1080</v>
      </c>
    </row>
    <row r="295" spans="1:4" x14ac:dyDescent="0.25">
      <c r="A295" s="13" t="e">
        <f>VLOOKUP(B295:B1002,#REF!,1,FALSE)</f>
        <v>#REF!</v>
      </c>
      <c r="B295" s="27">
        <v>43956</v>
      </c>
      <c r="C295" s="7" t="s">
        <v>1077</v>
      </c>
      <c r="D295" s="6" t="s">
        <v>1078</v>
      </c>
    </row>
    <row r="296" spans="1:4" x14ac:dyDescent="0.25">
      <c r="A296" s="13" t="e">
        <f>VLOOKUP(B296:B1003,#REF!,1,FALSE)</f>
        <v>#REF!</v>
      </c>
      <c r="B296" s="27">
        <v>43962</v>
      </c>
      <c r="C296" s="7" t="s">
        <v>1075</v>
      </c>
      <c r="D296" s="6" t="s">
        <v>1076</v>
      </c>
    </row>
    <row r="297" spans="1:4" x14ac:dyDescent="0.25">
      <c r="A297" s="13" t="e">
        <f>VLOOKUP(B297:B1004,#REF!,1,FALSE)</f>
        <v>#REF!</v>
      </c>
      <c r="B297" s="27">
        <v>43980</v>
      </c>
      <c r="C297" s="7" t="s">
        <v>163</v>
      </c>
      <c r="D297" s="6" t="s">
        <v>616</v>
      </c>
    </row>
    <row r="298" spans="1:4" x14ac:dyDescent="0.25">
      <c r="A298" s="13" t="e">
        <f>VLOOKUP(B298:B1005,#REF!,1,FALSE)</f>
        <v>#REF!</v>
      </c>
      <c r="B298" s="27">
        <v>43989</v>
      </c>
      <c r="C298" s="7" t="s">
        <v>164</v>
      </c>
      <c r="D298" s="6" t="s">
        <v>620</v>
      </c>
    </row>
    <row r="299" spans="1:4" x14ac:dyDescent="0.25">
      <c r="A299" s="13" t="e">
        <f>VLOOKUP(B299:B1006,#REF!,1,FALSE)</f>
        <v>#REF!</v>
      </c>
      <c r="B299" s="27">
        <v>44052</v>
      </c>
      <c r="C299" s="9" t="s">
        <v>165</v>
      </c>
      <c r="D299" s="6" t="s">
        <v>689</v>
      </c>
    </row>
    <row r="300" spans="1:4" x14ac:dyDescent="0.25">
      <c r="A300" s="13" t="e">
        <f>VLOOKUP(B300:B1007,#REF!,1,FALSE)</f>
        <v>#REF!</v>
      </c>
      <c r="B300" s="27">
        <v>44074</v>
      </c>
      <c r="C300" s="7" t="s">
        <v>166</v>
      </c>
      <c r="D300" s="6" t="s">
        <v>638</v>
      </c>
    </row>
    <row r="301" spans="1:4" x14ac:dyDescent="0.25">
      <c r="A301" s="13" t="e">
        <f>VLOOKUP(B301:B1008,#REF!,1,FALSE)</f>
        <v>#REF!</v>
      </c>
      <c r="B301" s="27">
        <v>44093</v>
      </c>
      <c r="C301" s="7" t="s">
        <v>167</v>
      </c>
      <c r="D301" s="6" t="s">
        <v>702</v>
      </c>
    </row>
    <row r="302" spans="1:4" x14ac:dyDescent="0.25">
      <c r="A302" s="13" t="e">
        <f>VLOOKUP(B302:B1009,#REF!,1,FALSE)</f>
        <v>#REF!</v>
      </c>
      <c r="B302" s="14">
        <v>44096</v>
      </c>
      <c r="C302" s="12" t="s">
        <v>380</v>
      </c>
      <c r="D302" s="16" t="s">
        <v>381</v>
      </c>
    </row>
    <row r="303" spans="1:4" x14ac:dyDescent="0.25">
      <c r="A303" s="13" t="e">
        <f>VLOOKUP(B303:B1010,#REF!,1,FALSE)</f>
        <v>#REF!</v>
      </c>
      <c r="B303" s="14">
        <v>44237</v>
      </c>
      <c r="C303" s="12" t="s">
        <v>382</v>
      </c>
      <c r="D303" s="15" t="s">
        <v>383</v>
      </c>
    </row>
    <row r="304" spans="1:4" x14ac:dyDescent="0.25">
      <c r="A304" s="13" t="e">
        <f>VLOOKUP(B304:B1011,#REF!,1,FALSE)</f>
        <v>#REF!</v>
      </c>
      <c r="B304" s="27">
        <v>44267</v>
      </c>
      <c r="C304" s="7" t="s">
        <v>168</v>
      </c>
      <c r="D304" s="6" t="s">
        <v>752</v>
      </c>
    </row>
    <row r="305" spans="1:4" x14ac:dyDescent="0.25">
      <c r="A305" s="13" t="e">
        <f>VLOOKUP(B305:B1012,#REF!,1,FALSE)</f>
        <v>#REF!</v>
      </c>
      <c r="B305" s="27">
        <v>44362</v>
      </c>
      <c r="C305" s="7" t="s">
        <v>169</v>
      </c>
      <c r="D305" s="6" t="s">
        <v>730</v>
      </c>
    </row>
    <row r="306" spans="1:4" x14ac:dyDescent="0.25">
      <c r="A306" s="13" t="e">
        <f>VLOOKUP(B306:B1013,#REF!,1,FALSE)</f>
        <v>#REF!</v>
      </c>
      <c r="B306" s="27">
        <v>44378</v>
      </c>
      <c r="C306" s="7" t="s">
        <v>170</v>
      </c>
      <c r="D306" s="30" t="s">
        <v>1457</v>
      </c>
    </row>
    <row r="307" spans="1:4" x14ac:dyDescent="0.25">
      <c r="A307" s="13" t="e">
        <f>VLOOKUP(B307:B1014,#REF!,1,FALSE)</f>
        <v>#REF!</v>
      </c>
      <c r="B307" s="27">
        <v>44491</v>
      </c>
      <c r="C307" s="7" t="s">
        <v>1073</v>
      </c>
      <c r="D307" s="6" t="s">
        <v>1074</v>
      </c>
    </row>
    <row r="308" spans="1:4" x14ac:dyDescent="0.25">
      <c r="A308" s="13" t="e">
        <f>VLOOKUP(B308:B1015,#REF!,1,FALSE)</f>
        <v>#REF!</v>
      </c>
      <c r="B308" s="24">
        <v>44505</v>
      </c>
      <c r="C308" s="10" t="s">
        <v>1273</v>
      </c>
      <c r="D308" s="8" t="s">
        <v>1274</v>
      </c>
    </row>
    <row r="309" spans="1:4" x14ac:dyDescent="0.25">
      <c r="A309" s="13" t="e">
        <f>VLOOKUP(B309:B1016,#REF!,1,FALSE)</f>
        <v>#REF!</v>
      </c>
      <c r="B309" s="27">
        <v>44539</v>
      </c>
      <c r="C309" s="7" t="s">
        <v>1071</v>
      </c>
      <c r="D309" s="6" t="s">
        <v>1072</v>
      </c>
    </row>
    <row r="310" spans="1:4" x14ac:dyDescent="0.25">
      <c r="A310" s="13" t="e">
        <f>VLOOKUP(B310:B1017,#REF!,1,FALSE)</f>
        <v>#REF!</v>
      </c>
      <c r="B310" s="14">
        <v>44584</v>
      </c>
      <c r="C310" s="12" t="s">
        <v>384</v>
      </c>
      <c r="D310" s="15" t="s">
        <v>385</v>
      </c>
    </row>
    <row r="311" spans="1:4" x14ac:dyDescent="0.25">
      <c r="A311" s="13" t="e">
        <f>VLOOKUP(B311:B1018,#REF!,1,FALSE)</f>
        <v>#REF!</v>
      </c>
      <c r="B311" s="27">
        <v>44605</v>
      </c>
      <c r="C311" s="7" t="s">
        <v>1069</v>
      </c>
      <c r="D311" s="6" t="s">
        <v>1070</v>
      </c>
    </row>
    <row r="312" spans="1:4" x14ac:dyDescent="0.25">
      <c r="A312" s="13" t="e">
        <f>VLOOKUP(B312:B1019,#REF!,1,FALSE)</f>
        <v>#REF!</v>
      </c>
      <c r="B312" s="27">
        <v>44641</v>
      </c>
      <c r="C312" s="7" t="s">
        <v>1067</v>
      </c>
      <c r="D312" s="6" t="s">
        <v>1068</v>
      </c>
    </row>
    <row r="313" spans="1:4" x14ac:dyDescent="0.25">
      <c r="A313" s="13" t="e">
        <f>VLOOKUP(B313:B1020,#REF!,1,FALSE)</f>
        <v>#REF!</v>
      </c>
      <c r="B313" s="19">
        <v>44686</v>
      </c>
      <c r="C313" s="12" t="s">
        <v>544</v>
      </c>
      <c r="D313" s="15" t="s">
        <v>545</v>
      </c>
    </row>
    <row r="314" spans="1:4" x14ac:dyDescent="0.25">
      <c r="A314" s="13" t="e">
        <f>VLOOKUP(B314:B1021,#REF!,1,FALSE)</f>
        <v>#REF!</v>
      </c>
      <c r="B314" s="14">
        <v>44688</v>
      </c>
      <c r="C314" s="12" t="s">
        <v>386</v>
      </c>
      <c r="D314" s="16" t="s">
        <v>1416</v>
      </c>
    </row>
    <row r="315" spans="1:4" x14ac:dyDescent="0.25">
      <c r="A315" s="13" t="e">
        <f>VLOOKUP(B315:B1022,#REF!,1,FALSE)</f>
        <v>#REF!</v>
      </c>
      <c r="B315" s="27">
        <v>44742</v>
      </c>
      <c r="C315" s="7" t="s">
        <v>1065</v>
      </c>
      <c r="D315" s="6" t="s">
        <v>1066</v>
      </c>
    </row>
    <row r="316" spans="1:4" x14ac:dyDescent="0.25">
      <c r="A316" s="13" t="e">
        <f>VLOOKUP(B316:B1023,#REF!,1,FALSE)</f>
        <v>#REF!</v>
      </c>
      <c r="B316" s="19">
        <v>44751</v>
      </c>
      <c r="C316" s="12" t="s">
        <v>564</v>
      </c>
      <c r="D316" s="15" t="s">
        <v>565</v>
      </c>
    </row>
    <row r="317" spans="1:4" x14ac:dyDescent="0.25">
      <c r="A317" s="13" t="e">
        <f>VLOOKUP(B317:B1024,#REF!,1,FALSE)</f>
        <v>#REF!</v>
      </c>
      <c r="B317" s="14">
        <v>44755</v>
      </c>
      <c r="C317" s="12" t="s">
        <v>172</v>
      </c>
      <c r="D317" s="16" t="s">
        <v>1417</v>
      </c>
    </row>
    <row r="318" spans="1:4" x14ac:dyDescent="0.25">
      <c r="A318" s="13" t="e">
        <f>VLOOKUP(B318:B1025,#REF!,1,FALSE)</f>
        <v>#REF!</v>
      </c>
      <c r="B318" s="20">
        <v>44756</v>
      </c>
      <c r="C318" s="12" t="s">
        <v>317</v>
      </c>
      <c r="D318" s="21" t="s">
        <v>1397</v>
      </c>
    </row>
    <row r="319" spans="1:4" x14ac:dyDescent="0.25">
      <c r="A319" s="13" t="e">
        <f>VLOOKUP(B319:B1026,#REF!,1,FALSE)</f>
        <v>#REF!</v>
      </c>
      <c r="B319" s="27">
        <v>44759</v>
      </c>
      <c r="C319" s="7" t="s">
        <v>173</v>
      </c>
      <c r="D319" s="6" t="s">
        <v>690</v>
      </c>
    </row>
    <row r="320" spans="1:4" x14ac:dyDescent="0.25">
      <c r="A320" s="13" t="e">
        <f>VLOOKUP(B320:B1027,#REF!,1,FALSE)</f>
        <v>#REF!</v>
      </c>
      <c r="B320" s="27">
        <v>44760</v>
      </c>
      <c r="C320" s="7" t="s">
        <v>1063</v>
      </c>
      <c r="D320" s="6" t="s">
        <v>1064</v>
      </c>
    </row>
    <row r="321" spans="1:4" x14ac:dyDescent="0.25">
      <c r="A321" s="13" t="e">
        <f>VLOOKUP(B321:B1028,#REF!,1,FALSE)</f>
        <v>#REF!</v>
      </c>
      <c r="B321" s="24">
        <v>44763</v>
      </c>
      <c r="C321" s="10" t="s">
        <v>1379</v>
      </c>
      <c r="D321" s="8" t="s">
        <v>1380</v>
      </c>
    </row>
    <row r="322" spans="1:4" x14ac:dyDescent="0.25">
      <c r="A322" s="13" t="e">
        <f>VLOOKUP(B322:B1029,#REF!,1,FALSE)</f>
        <v>#REF!</v>
      </c>
      <c r="B322" s="27">
        <v>44766</v>
      </c>
      <c r="C322" s="7" t="s">
        <v>1159</v>
      </c>
      <c r="D322" s="6"/>
    </row>
    <row r="323" spans="1:4" x14ac:dyDescent="0.25">
      <c r="A323" s="13" t="e">
        <f>VLOOKUP(B323:B1030,#REF!,1,FALSE)</f>
        <v>#REF!</v>
      </c>
      <c r="B323" s="24">
        <v>44772</v>
      </c>
      <c r="C323" s="10" t="s">
        <v>1275</v>
      </c>
      <c r="D323" s="8" t="s">
        <v>1276</v>
      </c>
    </row>
    <row r="324" spans="1:4" x14ac:dyDescent="0.25">
      <c r="A324" s="13" t="e">
        <f>VLOOKUP(B324:B1031,#REF!,1,FALSE)</f>
        <v>#REF!</v>
      </c>
      <c r="B324" s="27">
        <v>44776</v>
      </c>
      <c r="C324" s="7" t="s">
        <v>1061</v>
      </c>
      <c r="D324" s="6" t="s">
        <v>1062</v>
      </c>
    </row>
    <row r="325" spans="1:4" x14ac:dyDescent="0.25">
      <c r="A325" s="13" t="e">
        <f>VLOOKUP(B325:B1032,#REF!,1,FALSE)</f>
        <v>#REF!</v>
      </c>
      <c r="B325" s="24">
        <v>44778</v>
      </c>
      <c r="C325" s="10" t="s">
        <v>175</v>
      </c>
      <c r="D325" s="8" t="s">
        <v>1277</v>
      </c>
    </row>
    <row r="326" spans="1:4" x14ac:dyDescent="0.25">
      <c r="A326" s="13" t="e">
        <f>VLOOKUP(B326:B1033,#REF!,1,FALSE)</f>
        <v>#REF!</v>
      </c>
      <c r="B326" s="27">
        <v>44788</v>
      </c>
      <c r="C326" s="7" t="s">
        <v>9132</v>
      </c>
      <c r="D326" s="30" t="s">
        <v>1476</v>
      </c>
    </row>
    <row r="327" spans="1:4" x14ac:dyDescent="0.25">
      <c r="A327" s="13" t="e">
        <f>VLOOKUP(B327:B1034,#REF!,1,FALSE)</f>
        <v>#REF!</v>
      </c>
      <c r="B327" s="27">
        <v>44795</v>
      </c>
      <c r="C327" s="7" t="s">
        <v>806</v>
      </c>
      <c r="D327" s="6" t="s">
        <v>807</v>
      </c>
    </row>
    <row r="328" spans="1:4" x14ac:dyDescent="0.25">
      <c r="A328" s="13" t="e">
        <f>VLOOKUP(B328:B1035,#REF!,1,FALSE)</f>
        <v>#REF!</v>
      </c>
      <c r="B328" s="27">
        <v>44796</v>
      </c>
      <c r="C328" s="7" t="s">
        <v>176</v>
      </c>
      <c r="D328" s="30" t="s">
        <v>1475</v>
      </c>
    </row>
    <row r="329" spans="1:4" x14ac:dyDescent="0.25">
      <c r="A329" s="13" t="e">
        <f>VLOOKUP(B329:B1036,#REF!,1,FALSE)</f>
        <v>#REF!</v>
      </c>
      <c r="B329" s="27">
        <v>44801</v>
      </c>
      <c r="C329" s="7" t="s">
        <v>1059</v>
      </c>
      <c r="D329" s="6" t="s">
        <v>1060</v>
      </c>
    </row>
    <row r="330" spans="1:4" x14ac:dyDescent="0.25">
      <c r="A330" s="13" t="e">
        <f>VLOOKUP(B330:B1037,#REF!,1,FALSE)</f>
        <v>#REF!</v>
      </c>
      <c r="B330" s="27">
        <v>44802</v>
      </c>
      <c r="C330" s="7" t="s">
        <v>1057</v>
      </c>
      <c r="D330" s="6" t="s">
        <v>1058</v>
      </c>
    </row>
    <row r="331" spans="1:4" x14ac:dyDescent="0.25">
      <c r="A331" s="13" t="e">
        <f>VLOOKUP(B331:B1038,#REF!,1,FALSE)</f>
        <v>#REF!</v>
      </c>
      <c r="B331" s="27">
        <v>44804</v>
      </c>
      <c r="C331" s="7" t="s">
        <v>842</v>
      </c>
      <c r="D331" s="6" t="s">
        <v>843</v>
      </c>
    </row>
    <row r="332" spans="1:4" x14ac:dyDescent="0.25">
      <c r="A332" s="13" t="e">
        <f>VLOOKUP(B332:B1039,#REF!,1,FALSE)</f>
        <v>#REF!</v>
      </c>
      <c r="B332" s="27">
        <v>44805</v>
      </c>
      <c r="C332" s="7" t="s">
        <v>840</v>
      </c>
      <c r="D332" s="6" t="s">
        <v>841</v>
      </c>
    </row>
    <row r="333" spans="1:4" x14ac:dyDescent="0.25">
      <c r="A333" s="13" t="e">
        <f>VLOOKUP(B333:B1040,#REF!,1,FALSE)</f>
        <v>#REF!</v>
      </c>
      <c r="B333" s="27">
        <v>44808</v>
      </c>
      <c r="C333" s="7" t="s">
        <v>1055</v>
      </c>
      <c r="D333" s="6" t="s">
        <v>1056</v>
      </c>
    </row>
    <row r="334" spans="1:4" x14ac:dyDescent="0.25">
      <c r="A334" s="13" t="e">
        <f>VLOOKUP(B334:B1041,#REF!,1,FALSE)</f>
        <v>#REF!</v>
      </c>
      <c r="B334" s="14">
        <v>44829</v>
      </c>
      <c r="C334" s="12" t="s">
        <v>387</v>
      </c>
      <c r="D334" s="16" t="s">
        <v>388</v>
      </c>
    </row>
    <row r="335" spans="1:4" x14ac:dyDescent="0.25">
      <c r="A335" s="13" t="e">
        <f>VLOOKUP(B335:B1042,#REF!,1,FALSE)</f>
        <v>#REF!</v>
      </c>
      <c r="B335" s="24">
        <v>44835</v>
      </c>
      <c r="C335" s="10" t="s">
        <v>1278</v>
      </c>
      <c r="D335" s="8" t="s">
        <v>1279</v>
      </c>
    </row>
    <row r="336" spans="1:4" x14ac:dyDescent="0.25">
      <c r="A336" s="13" t="e">
        <f>VLOOKUP(B336:B1043,#REF!,1,FALSE)</f>
        <v>#REF!</v>
      </c>
      <c r="B336" s="27">
        <v>44854</v>
      </c>
      <c r="C336" s="7" t="s">
        <v>1160</v>
      </c>
      <c r="D336" s="6" t="s">
        <v>1148</v>
      </c>
    </row>
    <row r="337" spans="1:4" x14ac:dyDescent="0.25">
      <c r="A337" s="13" t="e">
        <f>VLOOKUP(B337:B1044,#REF!,1,FALSE)</f>
        <v>#REF!</v>
      </c>
      <c r="B337" s="27">
        <v>44856</v>
      </c>
      <c r="C337" s="7" t="s">
        <v>177</v>
      </c>
      <c r="D337" s="6" t="s">
        <v>641</v>
      </c>
    </row>
    <row r="338" spans="1:4" x14ac:dyDescent="0.25">
      <c r="A338" s="13" t="e">
        <f>VLOOKUP(B338:B1045,#REF!,1,FALSE)</f>
        <v>#REF!</v>
      </c>
      <c r="B338" s="24">
        <v>44867</v>
      </c>
      <c r="C338" s="10" t="s">
        <v>1280</v>
      </c>
      <c r="D338" s="8" t="s">
        <v>1281</v>
      </c>
    </row>
    <row r="339" spans="1:4" x14ac:dyDescent="0.25">
      <c r="A339" s="13" t="e">
        <f>VLOOKUP(B339:B1046,#REF!,1,FALSE)</f>
        <v>#REF!</v>
      </c>
      <c r="B339" s="27">
        <v>44869</v>
      </c>
      <c r="C339" s="9" t="s">
        <v>178</v>
      </c>
      <c r="D339" s="6" t="s">
        <v>688</v>
      </c>
    </row>
    <row r="340" spans="1:4" x14ac:dyDescent="0.25">
      <c r="A340" s="13" t="e">
        <f>VLOOKUP(B340:B1047,#REF!,1,FALSE)</f>
        <v>#REF!</v>
      </c>
      <c r="B340" s="27">
        <v>44872</v>
      </c>
      <c r="C340" s="9" t="s">
        <v>180</v>
      </c>
      <c r="D340" s="6" t="s">
        <v>691</v>
      </c>
    </row>
    <row r="341" spans="1:4" x14ac:dyDescent="0.25">
      <c r="A341" s="13" t="e">
        <f>VLOOKUP(B341:B1048,#REF!,1,FALSE)</f>
        <v>#REF!</v>
      </c>
      <c r="B341" s="27">
        <v>44877</v>
      </c>
      <c r="C341" s="9" t="s">
        <v>182</v>
      </c>
      <c r="D341" s="6" t="s">
        <v>683</v>
      </c>
    </row>
    <row r="342" spans="1:4" x14ac:dyDescent="0.25">
      <c r="A342" s="13" t="e">
        <f>VLOOKUP(B342:B1049,#REF!,1,FALSE)</f>
        <v>#REF!</v>
      </c>
      <c r="B342" s="27">
        <v>44984</v>
      </c>
      <c r="C342" s="7" t="s">
        <v>1053</v>
      </c>
      <c r="D342" s="6" t="s">
        <v>1054</v>
      </c>
    </row>
    <row r="343" spans="1:4" x14ac:dyDescent="0.25">
      <c r="A343" s="13" t="e">
        <f>VLOOKUP(B343:B1050,#REF!,1,FALSE)</f>
        <v>#REF!</v>
      </c>
      <c r="B343" s="27">
        <v>44985</v>
      </c>
      <c r="C343" s="7" t="s">
        <v>850</v>
      </c>
      <c r="D343" s="6" t="s">
        <v>851</v>
      </c>
    </row>
    <row r="344" spans="1:4" x14ac:dyDescent="0.25">
      <c r="A344" s="13" t="e">
        <f>VLOOKUP(B344:B1051,#REF!,1,FALSE)</f>
        <v>#REF!</v>
      </c>
      <c r="B344" s="27">
        <v>44987</v>
      </c>
      <c r="C344" s="7" t="s">
        <v>1051</v>
      </c>
      <c r="D344" s="6" t="s">
        <v>1052</v>
      </c>
    </row>
    <row r="345" spans="1:4" x14ac:dyDescent="0.25">
      <c r="A345" s="13" t="e">
        <f>VLOOKUP(B345:B1052,#REF!,1,FALSE)</f>
        <v>#REF!</v>
      </c>
      <c r="B345" s="14">
        <v>44990</v>
      </c>
      <c r="C345" s="12" t="s">
        <v>389</v>
      </c>
      <c r="D345" s="16" t="s">
        <v>390</v>
      </c>
    </row>
    <row r="346" spans="1:4" x14ac:dyDescent="0.25">
      <c r="A346" s="13" t="e">
        <f>VLOOKUP(B346:B1053,#REF!,1,FALSE)</f>
        <v>#REF!</v>
      </c>
      <c r="B346" s="14">
        <v>45025</v>
      </c>
      <c r="C346" s="12" t="s">
        <v>391</v>
      </c>
      <c r="D346" s="16" t="s">
        <v>392</v>
      </c>
    </row>
    <row r="347" spans="1:4" ht="36" x14ac:dyDescent="0.25">
      <c r="A347" s="13" t="e">
        <f>VLOOKUP(B347:B1054,#REF!,1,FALSE)</f>
        <v>#REF!</v>
      </c>
      <c r="B347" s="27">
        <v>45038</v>
      </c>
      <c r="C347" s="7" t="s">
        <v>183</v>
      </c>
      <c r="D347" s="31" t="s">
        <v>1474</v>
      </c>
    </row>
    <row r="348" spans="1:4" x14ac:dyDescent="0.25">
      <c r="A348" s="13" t="e">
        <f>VLOOKUP(B348:B1055,#REF!,1,FALSE)</f>
        <v>#REF!</v>
      </c>
      <c r="B348" s="27">
        <v>45039</v>
      </c>
      <c r="C348" s="9" t="s">
        <v>184</v>
      </c>
      <c r="D348" s="30" t="s">
        <v>685</v>
      </c>
    </row>
    <row r="349" spans="1:4" x14ac:dyDescent="0.25">
      <c r="A349" s="13" t="e">
        <f>VLOOKUP(B349:B1056,#REF!,1,FALSE)</f>
        <v>#REF!</v>
      </c>
      <c r="B349" s="27">
        <v>45041</v>
      </c>
      <c r="C349" s="7" t="s">
        <v>1049</v>
      </c>
      <c r="D349" s="30" t="s">
        <v>1050</v>
      </c>
    </row>
    <row r="350" spans="1:4" x14ac:dyDescent="0.25">
      <c r="A350" s="13" t="e">
        <f>VLOOKUP(B350:B1057,#REF!,1,FALSE)</f>
        <v>#REF!</v>
      </c>
      <c r="B350" s="14">
        <v>45061</v>
      </c>
      <c r="C350" s="12" t="s">
        <v>186</v>
      </c>
      <c r="D350" s="30" t="s">
        <v>1477</v>
      </c>
    </row>
    <row r="351" spans="1:4" x14ac:dyDescent="0.25">
      <c r="A351" s="13" t="e">
        <f>VLOOKUP(B351:B1058,#REF!,1,FALSE)</f>
        <v>#REF!</v>
      </c>
      <c r="B351" s="14">
        <v>45062</v>
      </c>
      <c r="C351" s="12" t="s">
        <v>187</v>
      </c>
      <c r="D351" s="30" t="s">
        <v>1478</v>
      </c>
    </row>
    <row r="352" spans="1:4" x14ac:dyDescent="0.25">
      <c r="A352" s="13" t="e">
        <f>VLOOKUP(B352:B1059,#REF!,1,FALSE)</f>
        <v>#REF!</v>
      </c>
      <c r="B352" s="27">
        <v>45109</v>
      </c>
      <c r="C352" s="7" t="s">
        <v>188</v>
      </c>
      <c r="D352" s="30" t="s">
        <v>772</v>
      </c>
    </row>
    <row r="353" spans="1:4" x14ac:dyDescent="0.25">
      <c r="A353" s="13" t="e">
        <f>VLOOKUP(B353:B1060,#REF!,1,FALSE)</f>
        <v>#REF!</v>
      </c>
      <c r="B353" s="27">
        <v>45111</v>
      </c>
      <c r="C353" s="7" t="s">
        <v>1047</v>
      </c>
      <c r="D353" s="6" t="s">
        <v>1048</v>
      </c>
    </row>
    <row r="354" spans="1:4" x14ac:dyDescent="0.25">
      <c r="A354" s="13" t="e">
        <f>VLOOKUP(B354:B1061,#REF!,1,FALSE)</f>
        <v>#REF!</v>
      </c>
      <c r="B354" s="27">
        <v>45114</v>
      </c>
      <c r="C354" s="7" t="s">
        <v>189</v>
      </c>
      <c r="D354" s="6" t="s">
        <v>773</v>
      </c>
    </row>
    <row r="355" spans="1:4" x14ac:dyDescent="0.25">
      <c r="A355" s="13" t="e">
        <f>VLOOKUP(B355:B1062,#REF!,1,FALSE)</f>
        <v>#REF!</v>
      </c>
      <c r="B355" s="27">
        <v>45115</v>
      </c>
      <c r="C355" s="7" t="s">
        <v>190</v>
      </c>
      <c r="D355" s="6" t="s">
        <v>758</v>
      </c>
    </row>
    <row r="356" spans="1:4" x14ac:dyDescent="0.25">
      <c r="A356" s="13" t="e">
        <f>VLOOKUP(B356:B1063,#REF!,1,FALSE)</f>
        <v>#REF!</v>
      </c>
      <c r="B356" s="19">
        <v>45130</v>
      </c>
      <c r="C356" s="12" t="s">
        <v>529</v>
      </c>
      <c r="D356" s="15" t="s">
        <v>530</v>
      </c>
    </row>
    <row r="357" spans="1:4" x14ac:dyDescent="0.25">
      <c r="A357" s="13" t="e">
        <f>VLOOKUP(B357:B1064,#REF!,1,FALSE)</f>
        <v>#REF!</v>
      </c>
      <c r="B357" s="24">
        <v>45142</v>
      </c>
      <c r="C357" s="10" t="s">
        <v>1282</v>
      </c>
      <c r="D357" s="8" t="s">
        <v>1283</v>
      </c>
    </row>
    <row r="358" spans="1:4" x14ac:dyDescent="0.25">
      <c r="A358" s="13" t="e">
        <f>VLOOKUP(B358:B1065,#REF!,1,FALSE)</f>
        <v>#REF!</v>
      </c>
      <c r="B358" s="27">
        <v>45169</v>
      </c>
      <c r="C358" s="7" t="s">
        <v>852</v>
      </c>
      <c r="D358" s="6" t="s">
        <v>853</v>
      </c>
    </row>
    <row r="359" spans="1:4" x14ac:dyDescent="0.25">
      <c r="A359" s="13" t="e">
        <f>VLOOKUP(B359:B1066,#REF!,1,FALSE)</f>
        <v>#REF!</v>
      </c>
      <c r="B359" s="27">
        <v>45181</v>
      </c>
      <c r="C359" s="7" t="s">
        <v>1045</v>
      </c>
      <c r="D359" s="6" t="s">
        <v>1046</v>
      </c>
    </row>
    <row r="360" spans="1:4" x14ac:dyDescent="0.25">
      <c r="A360" s="13" t="e">
        <f>VLOOKUP(B360:B1067,#REF!,1,FALSE)</f>
        <v>#REF!</v>
      </c>
      <c r="B360" s="27">
        <v>45182</v>
      </c>
      <c r="C360" s="7" t="s">
        <v>1043</v>
      </c>
      <c r="D360" s="6" t="s">
        <v>1044</v>
      </c>
    </row>
    <row r="361" spans="1:4" x14ac:dyDescent="0.25">
      <c r="A361" s="13" t="e">
        <f>VLOOKUP(B361:B1068,#REF!,1,FALSE)</f>
        <v>#REF!</v>
      </c>
      <c r="B361" s="14">
        <v>45187</v>
      </c>
      <c r="C361" s="12" t="s">
        <v>393</v>
      </c>
      <c r="D361" s="15" t="s">
        <v>394</v>
      </c>
    </row>
    <row r="362" spans="1:4" x14ac:dyDescent="0.25">
      <c r="A362" s="13" t="e">
        <f>VLOOKUP(B362:B1069,#REF!,1,FALSE)</f>
        <v>#REF!</v>
      </c>
      <c r="B362" s="27">
        <v>45253</v>
      </c>
      <c r="C362" s="7" t="s">
        <v>1041</v>
      </c>
      <c r="D362" s="6" t="s">
        <v>1042</v>
      </c>
    </row>
    <row r="363" spans="1:4" x14ac:dyDescent="0.25">
      <c r="A363" s="13" t="e">
        <f>VLOOKUP(B363:B1070,#REF!,1,FALSE)</f>
        <v>#REF!</v>
      </c>
      <c r="B363" s="14">
        <v>45254</v>
      </c>
      <c r="C363" s="12" t="s">
        <v>395</v>
      </c>
      <c r="D363" s="15" t="s">
        <v>396</v>
      </c>
    </row>
    <row r="364" spans="1:4" x14ac:dyDescent="0.25">
      <c r="A364" s="13" t="e">
        <f>VLOOKUP(B364:B1071,#REF!,1,FALSE)</f>
        <v>#REF!</v>
      </c>
      <c r="B364" s="14">
        <v>45322</v>
      </c>
      <c r="C364" s="12" t="s">
        <v>397</v>
      </c>
      <c r="D364" s="16" t="s">
        <v>398</v>
      </c>
    </row>
    <row r="365" spans="1:4" x14ac:dyDescent="0.25">
      <c r="A365" s="13" t="e">
        <f>VLOOKUP(B365:B1072,#REF!,1,FALSE)</f>
        <v>#REF!</v>
      </c>
      <c r="B365" s="14">
        <v>45389</v>
      </c>
      <c r="C365" s="12" t="s">
        <v>399</v>
      </c>
      <c r="D365" s="15" t="s">
        <v>400</v>
      </c>
    </row>
    <row r="366" spans="1:4" x14ac:dyDescent="0.25">
      <c r="A366" s="13" t="e">
        <f>VLOOKUP(B366:B1073,#REF!,1,FALSE)</f>
        <v>#REF!</v>
      </c>
      <c r="B366" s="14">
        <v>45401</v>
      </c>
      <c r="C366" s="12" t="s">
        <v>401</v>
      </c>
      <c r="D366" s="15" t="s">
        <v>402</v>
      </c>
    </row>
    <row r="367" spans="1:4" x14ac:dyDescent="0.25">
      <c r="A367" s="13" t="e">
        <f>VLOOKUP(B367:B1074,#REF!,1,FALSE)</f>
        <v>#REF!</v>
      </c>
      <c r="B367" s="14">
        <v>45414</v>
      </c>
      <c r="C367" s="12" t="s">
        <v>403</v>
      </c>
      <c r="D367" s="15" t="s">
        <v>404</v>
      </c>
    </row>
    <row r="368" spans="1:4" x14ac:dyDescent="0.25">
      <c r="A368" s="13" t="e">
        <f>VLOOKUP(B368:B1075,#REF!,1,FALSE)</f>
        <v>#REF!</v>
      </c>
      <c r="B368" s="14">
        <v>45417</v>
      </c>
      <c r="C368" s="12" t="s">
        <v>405</v>
      </c>
      <c r="D368" s="16" t="s">
        <v>406</v>
      </c>
    </row>
    <row r="369" spans="1:4" x14ac:dyDescent="0.25">
      <c r="A369" s="13" t="e">
        <f>VLOOKUP(B369:B1076,#REF!,1,FALSE)</f>
        <v>#REF!</v>
      </c>
      <c r="B369" s="27">
        <v>45518</v>
      </c>
      <c r="C369" s="7" t="s">
        <v>814</v>
      </c>
      <c r="D369" s="6" t="s">
        <v>815</v>
      </c>
    </row>
    <row r="370" spans="1:4" x14ac:dyDescent="0.25">
      <c r="A370" s="13" t="e">
        <f>VLOOKUP(B370:B1077,#REF!,1,FALSE)</f>
        <v>#REF!</v>
      </c>
      <c r="B370" s="14">
        <v>45597</v>
      </c>
      <c r="C370" s="12" t="s">
        <v>407</v>
      </c>
      <c r="D370" s="16" t="s">
        <v>1418</v>
      </c>
    </row>
    <row r="371" spans="1:4" x14ac:dyDescent="0.25">
      <c r="A371" s="13" t="e">
        <f>VLOOKUP(B371:B1078,#REF!,1,FALSE)</f>
        <v>#REF!</v>
      </c>
      <c r="B371" s="14">
        <v>45694</v>
      </c>
      <c r="C371" s="12" t="s">
        <v>191</v>
      </c>
      <c r="D371" s="16" t="s">
        <v>408</v>
      </c>
    </row>
    <row r="372" spans="1:4" x14ac:dyDescent="0.25">
      <c r="A372" s="13" t="e">
        <f>VLOOKUP(B372:B1079,#REF!,1,FALSE)</f>
        <v>#REF!</v>
      </c>
      <c r="B372" s="27">
        <v>45716</v>
      </c>
      <c r="C372" s="7" t="s">
        <v>193</v>
      </c>
      <c r="D372" s="6" t="s">
        <v>662</v>
      </c>
    </row>
    <row r="373" spans="1:4" x14ac:dyDescent="0.25">
      <c r="A373" s="13" t="e">
        <f>VLOOKUP(B373:B1080,#REF!,1,FALSE)</f>
        <v>#REF!</v>
      </c>
      <c r="B373" s="14">
        <v>45804</v>
      </c>
      <c r="C373" s="12" t="s">
        <v>195</v>
      </c>
      <c r="D373" s="15" t="s">
        <v>409</v>
      </c>
    </row>
    <row r="374" spans="1:4" x14ac:dyDescent="0.25">
      <c r="A374" s="13" t="e">
        <f>VLOOKUP(B374:B1081,#REF!,1,FALSE)</f>
        <v>#REF!</v>
      </c>
      <c r="B374" s="24">
        <v>45805</v>
      </c>
      <c r="C374" s="10" t="s">
        <v>1284</v>
      </c>
      <c r="D374" s="8" t="s">
        <v>1285</v>
      </c>
    </row>
    <row r="375" spans="1:4" x14ac:dyDescent="0.25">
      <c r="A375" s="13" t="e">
        <f>VLOOKUP(B375:B1082,#REF!,1,FALSE)</f>
        <v>#REF!</v>
      </c>
      <c r="B375" s="14">
        <v>45814</v>
      </c>
      <c r="C375" s="12" t="s">
        <v>410</v>
      </c>
      <c r="D375" s="16" t="s">
        <v>411</v>
      </c>
    </row>
    <row r="376" spans="1:4" x14ac:dyDescent="0.25">
      <c r="A376" s="13" t="e">
        <f>VLOOKUP(B376:B1083,#REF!,1,FALSE)</f>
        <v>#REF!</v>
      </c>
      <c r="B376" s="14">
        <v>45892</v>
      </c>
      <c r="C376" s="12" t="s">
        <v>412</v>
      </c>
      <c r="D376" s="16" t="s">
        <v>413</v>
      </c>
    </row>
    <row r="377" spans="1:4" x14ac:dyDescent="0.25">
      <c r="A377" s="13" t="e">
        <f>VLOOKUP(B377:B1084,#REF!,1,FALSE)</f>
        <v>#REF!</v>
      </c>
      <c r="B377" s="14">
        <v>45893</v>
      </c>
      <c r="C377" s="12" t="s">
        <v>414</v>
      </c>
      <c r="D377" s="16" t="s">
        <v>415</v>
      </c>
    </row>
    <row r="378" spans="1:4" x14ac:dyDescent="0.25">
      <c r="A378" s="13" t="e">
        <f>VLOOKUP(B378:B1085,#REF!,1,FALSE)</f>
        <v>#REF!</v>
      </c>
      <c r="B378" s="14">
        <v>45895</v>
      </c>
      <c r="C378" s="12" t="s">
        <v>416</v>
      </c>
      <c r="D378" s="16" t="s">
        <v>417</v>
      </c>
    </row>
    <row r="379" spans="1:4" x14ac:dyDescent="0.25">
      <c r="A379" s="13" t="e">
        <f>VLOOKUP(B379:B1086,#REF!,1,FALSE)</f>
        <v>#REF!</v>
      </c>
      <c r="B379" s="19">
        <v>45966</v>
      </c>
      <c r="C379" s="12" t="s">
        <v>589</v>
      </c>
      <c r="D379" s="15" t="s">
        <v>590</v>
      </c>
    </row>
    <row r="380" spans="1:4" x14ac:dyDescent="0.25">
      <c r="A380" s="13" t="e">
        <f>VLOOKUP(B380:B1087,#REF!,1,FALSE)</f>
        <v>#REF!</v>
      </c>
      <c r="B380" s="24">
        <v>46007</v>
      </c>
      <c r="C380" s="10" t="s">
        <v>1286</v>
      </c>
      <c r="D380" s="8" t="s">
        <v>1287</v>
      </c>
    </row>
    <row r="381" spans="1:4" x14ac:dyDescent="0.25">
      <c r="A381" s="13" t="e">
        <f>VLOOKUP(B381:B1088,#REF!,1,FALSE)</f>
        <v>#REF!</v>
      </c>
      <c r="B381" s="27">
        <v>46031</v>
      </c>
      <c r="C381" s="7" t="s">
        <v>1039</v>
      </c>
      <c r="D381" s="6" t="s">
        <v>1040</v>
      </c>
    </row>
    <row r="382" spans="1:4" x14ac:dyDescent="0.25">
      <c r="A382" s="13" t="e">
        <f>VLOOKUP(B382:B1089,#REF!,1,FALSE)</f>
        <v>#REF!</v>
      </c>
      <c r="B382" s="27">
        <v>46059</v>
      </c>
      <c r="C382" s="7" t="s">
        <v>1037</v>
      </c>
      <c r="D382" s="6" t="s">
        <v>1038</v>
      </c>
    </row>
    <row r="383" spans="1:4" x14ac:dyDescent="0.25">
      <c r="A383" s="13" t="e">
        <f>VLOOKUP(B383:B1090,#REF!,1,FALSE)</f>
        <v>#REF!</v>
      </c>
      <c r="B383" s="27">
        <v>46102</v>
      </c>
      <c r="C383" s="7" t="s">
        <v>196</v>
      </c>
      <c r="D383" s="6" t="s">
        <v>651</v>
      </c>
    </row>
    <row r="384" spans="1:4" x14ac:dyDescent="0.25">
      <c r="A384" s="13" t="e">
        <f>VLOOKUP(B384:B1091,#REF!,1,FALSE)</f>
        <v>#REF!</v>
      </c>
      <c r="B384" s="14">
        <v>46115</v>
      </c>
      <c r="C384" s="12" t="s">
        <v>418</v>
      </c>
      <c r="D384" s="16" t="s">
        <v>419</v>
      </c>
    </row>
    <row r="385" spans="1:4" x14ac:dyDescent="0.25">
      <c r="A385" s="13" t="e">
        <f>VLOOKUP(B385:B1092,#REF!,1,FALSE)</f>
        <v>#REF!</v>
      </c>
      <c r="B385" s="27">
        <v>46119</v>
      </c>
      <c r="C385" s="7" t="s">
        <v>1035</v>
      </c>
      <c r="D385" s="6" t="s">
        <v>1036</v>
      </c>
    </row>
    <row r="386" spans="1:4" x14ac:dyDescent="0.25">
      <c r="A386" s="13" t="e">
        <f>VLOOKUP(B386:B1093,#REF!,1,FALSE)</f>
        <v>#REF!</v>
      </c>
      <c r="B386" s="27">
        <v>46139</v>
      </c>
      <c r="C386" s="7" t="s">
        <v>810</v>
      </c>
      <c r="D386" s="6" t="s">
        <v>811</v>
      </c>
    </row>
    <row r="387" spans="1:4" x14ac:dyDescent="0.25">
      <c r="A387" s="13" t="e">
        <f>VLOOKUP(B387:B1094,#REF!,1,FALSE)</f>
        <v>#REF!</v>
      </c>
      <c r="B387" s="27">
        <v>46165</v>
      </c>
      <c r="C387" s="7" t="s">
        <v>197</v>
      </c>
      <c r="D387" s="6" t="s">
        <v>660</v>
      </c>
    </row>
    <row r="388" spans="1:4" x14ac:dyDescent="0.25">
      <c r="A388" s="13" t="e">
        <f>VLOOKUP(B388:B1095,#REF!,1,FALSE)</f>
        <v>#REF!</v>
      </c>
      <c r="B388" s="14">
        <v>46206</v>
      </c>
      <c r="C388" s="12" t="s">
        <v>420</v>
      </c>
      <c r="D388" s="16" t="s">
        <v>1419</v>
      </c>
    </row>
    <row r="389" spans="1:4" x14ac:dyDescent="0.25">
      <c r="A389" s="13" t="e">
        <f>VLOOKUP(B389:B1096,#REF!,1,FALSE)</f>
        <v>#REF!</v>
      </c>
      <c r="B389" s="27">
        <v>46208</v>
      </c>
      <c r="C389" s="7" t="s">
        <v>198</v>
      </c>
      <c r="D389" s="30" t="s">
        <v>1473</v>
      </c>
    </row>
    <row r="390" spans="1:4" x14ac:dyDescent="0.25">
      <c r="A390" s="13" t="e">
        <f>VLOOKUP(B390:B1097,#REF!,1,FALSE)</f>
        <v>#REF!</v>
      </c>
      <c r="B390" s="24">
        <v>46217</v>
      </c>
      <c r="C390" s="10" t="s">
        <v>1288</v>
      </c>
      <c r="D390" s="8" t="s">
        <v>1288</v>
      </c>
    </row>
    <row r="391" spans="1:4" x14ac:dyDescent="0.25">
      <c r="A391" s="13" t="e">
        <f>VLOOKUP(B391:B1098,#REF!,1,FALSE)</f>
        <v>#REF!</v>
      </c>
      <c r="B391" s="24">
        <v>46265</v>
      </c>
      <c r="C391" s="10" t="s">
        <v>1289</v>
      </c>
      <c r="D391" s="8" t="s">
        <v>1290</v>
      </c>
    </row>
    <row r="392" spans="1:4" x14ac:dyDescent="0.25">
      <c r="A392" s="13" t="e">
        <f>VLOOKUP(B392:B1099,#REF!,1,FALSE)</f>
        <v>#REF!</v>
      </c>
      <c r="B392" s="27">
        <v>46268</v>
      </c>
      <c r="C392" s="7" t="s">
        <v>199</v>
      </c>
      <c r="D392" s="30" t="s">
        <v>1472</v>
      </c>
    </row>
    <row r="393" spans="1:4" x14ac:dyDescent="0.25">
      <c r="A393" s="13" t="e">
        <f>VLOOKUP(B393:B1100,#REF!,1,FALSE)</f>
        <v>#REF!</v>
      </c>
      <c r="B393" s="24">
        <v>46269</v>
      </c>
      <c r="C393" s="10" t="s">
        <v>1291</v>
      </c>
      <c r="D393" s="8" t="s">
        <v>1292</v>
      </c>
    </row>
    <row r="394" spans="1:4" x14ac:dyDescent="0.25">
      <c r="A394" s="13" t="e">
        <f>VLOOKUP(B394:B1101,#REF!,1,FALSE)</f>
        <v>#REF!</v>
      </c>
      <c r="B394" s="27">
        <v>46272</v>
      </c>
      <c r="C394" s="7" t="s">
        <v>200</v>
      </c>
      <c r="D394" s="6" t="s">
        <v>652</v>
      </c>
    </row>
    <row r="395" spans="1:4" x14ac:dyDescent="0.25">
      <c r="A395" s="13" t="e">
        <f>VLOOKUP(B395:B1102,#REF!,1,FALSE)</f>
        <v>#REF!</v>
      </c>
      <c r="B395" s="27">
        <v>46277</v>
      </c>
      <c r="C395" s="9" t="s">
        <v>201</v>
      </c>
      <c r="D395" s="6" t="s">
        <v>609</v>
      </c>
    </row>
    <row r="396" spans="1:4" x14ac:dyDescent="0.25">
      <c r="A396" s="13" t="e">
        <f>VLOOKUP(B396:B1103,#REF!,1,FALSE)</f>
        <v>#REF!</v>
      </c>
      <c r="B396" s="27">
        <v>46281</v>
      </c>
      <c r="C396" s="7" t="s">
        <v>202</v>
      </c>
      <c r="D396" s="6" t="s">
        <v>633</v>
      </c>
    </row>
    <row r="397" spans="1:4" x14ac:dyDescent="0.25">
      <c r="A397" s="13" t="e">
        <f>VLOOKUP(B397:B1104,#REF!,1,FALSE)</f>
        <v>#REF!</v>
      </c>
      <c r="B397" s="14">
        <v>46317</v>
      </c>
      <c r="C397" s="12" t="s">
        <v>421</v>
      </c>
      <c r="D397" s="16" t="s">
        <v>422</v>
      </c>
    </row>
    <row r="398" spans="1:4" x14ac:dyDescent="0.25">
      <c r="A398" s="13" t="e">
        <f>VLOOKUP(B398:B1105,#REF!,1,FALSE)</f>
        <v>#REF!</v>
      </c>
      <c r="B398" s="19">
        <v>46332</v>
      </c>
      <c r="C398" s="12" t="s">
        <v>570</v>
      </c>
      <c r="D398" s="15" t="s">
        <v>571</v>
      </c>
    </row>
    <row r="399" spans="1:4" x14ac:dyDescent="0.25">
      <c r="A399" s="13" t="e">
        <f>VLOOKUP(B399:B1106,#REF!,1,FALSE)</f>
        <v>#REF!</v>
      </c>
      <c r="B399" s="27">
        <v>46350</v>
      </c>
      <c r="C399" s="7" t="s">
        <v>1033</v>
      </c>
      <c r="D399" s="6" t="s">
        <v>1034</v>
      </c>
    </row>
    <row r="400" spans="1:4" x14ac:dyDescent="0.25">
      <c r="A400" s="13" t="e">
        <f>VLOOKUP(B400:B1107,#REF!,1,FALSE)</f>
        <v>#REF!</v>
      </c>
      <c r="B400" s="27">
        <v>46352</v>
      </c>
      <c r="C400" s="7" t="s">
        <v>203</v>
      </c>
      <c r="D400" s="6" t="s">
        <v>636</v>
      </c>
    </row>
    <row r="401" spans="1:4" x14ac:dyDescent="0.25">
      <c r="A401" s="13" t="e">
        <f>VLOOKUP(B401:B1108,#REF!,1,FALSE)</f>
        <v>#REF!</v>
      </c>
      <c r="B401" s="14">
        <v>46355</v>
      </c>
      <c r="C401" s="12" t="s">
        <v>423</v>
      </c>
      <c r="D401" s="16" t="s">
        <v>1420</v>
      </c>
    </row>
    <row r="402" spans="1:4" x14ac:dyDescent="0.25">
      <c r="A402" s="13" t="e">
        <f>VLOOKUP(B402:B1109,#REF!,1,FALSE)</f>
        <v>#REF!</v>
      </c>
      <c r="B402" s="14">
        <v>46359</v>
      </c>
      <c r="C402" s="12" t="s">
        <v>424</v>
      </c>
      <c r="D402" s="16" t="s">
        <v>1421</v>
      </c>
    </row>
    <row r="403" spans="1:4" x14ac:dyDescent="0.25">
      <c r="A403" s="13" t="e">
        <f>VLOOKUP(B403:B1110,#REF!,1,FALSE)</f>
        <v>#REF!</v>
      </c>
      <c r="B403" s="14">
        <v>46404</v>
      </c>
      <c r="C403" s="12" t="s">
        <v>425</v>
      </c>
      <c r="D403" s="16" t="s">
        <v>426</v>
      </c>
    </row>
    <row r="404" spans="1:4" x14ac:dyDescent="0.25">
      <c r="A404" s="13" t="e">
        <f>VLOOKUP(B404:B1111,#REF!,1,FALSE)</f>
        <v>#REF!</v>
      </c>
      <c r="B404" s="24">
        <v>46428</v>
      </c>
      <c r="C404" s="10" t="s">
        <v>1293</v>
      </c>
      <c r="D404" s="8" t="s">
        <v>1294</v>
      </c>
    </row>
    <row r="405" spans="1:4" x14ac:dyDescent="0.25">
      <c r="A405" s="13" t="e">
        <f>VLOOKUP(B405:B1112,#REF!,1,FALSE)</f>
        <v>#REF!</v>
      </c>
      <c r="B405" s="14">
        <v>46429</v>
      </c>
      <c r="C405" s="12" t="s">
        <v>427</v>
      </c>
      <c r="D405" s="16" t="s">
        <v>1422</v>
      </c>
    </row>
    <row r="406" spans="1:4" x14ac:dyDescent="0.25">
      <c r="A406" s="13" t="e">
        <f>VLOOKUP(B406:B1113,#REF!,1,FALSE)</f>
        <v>#REF!</v>
      </c>
      <c r="B406" s="24">
        <v>46430</v>
      </c>
      <c r="C406" s="10" t="s">
        <v>1295</v>
      </c>
      <c r="D406" s="8" t="s">
        <v>1296</v>
      </c>
    </row>
    <row r="407" spans="1:4" x14ac:dyDescent="0.25">
      <c r="A407" s="13" t="e">
        <f>VLOOKUP(B407:B1114,#REF!,1,FALSE)</f>
        <v>#REF!</v>
      </c>
      <c r="B407" s="14">
        <v>46453</v>
      </c>
      <c r="C407" s="12" t="s">
        <v>204</v>
      </c>
      <c r="D407" s="15" t="s">
        <v>428</v>
      </c>
    </row>
    <row r="408" spans="1:4" x14ac:dyDescent="0.25">
      <c r="A408" s="13" t="e">
        <f>VLOOKUP(B408:B1115,#REF!,1,FALSE)</f>
        <v>#REF!</v>
      </c>
      <c r="B408" s="27">
        <v>46476</v>
      </c>
      <c r="C408" s="7" t="s">
        <v>1031</v>
      </c>
      <c r="D408" s="6" t="s">
        <v>1032</v>
      </c>
    </row>
    <row r="409" spans="1:4" x14ac:dyDescent="0.25">
      <c r="A409" s="13" t="e">
        <f>VLOOKUP(B409:B1116,#REF!,1,FALSE)</f>
        <v>#REF!</v>
      </c>
      <c r="B409" s="27">
        <v>46479</v>
      </c>
      <c r="C409" s="7" t="s">
        <v>205</v>
      </c>
      <c r="D409" s="6" t="s">
        <v>764</v>
      </c>
    </row>
    <row r="410" spans="1:4" x14ac:dyDescent="0.25">
      <c r="A410" s="13" t="e">
        <f>VLOOKUP(B410:B1117,#REF!,1,FALSE)</f>
        <v>#REF!</v>
      </c>
      <c r="B410" s="27">
        <v>46505</v>
      </c>
      <c r="C410" s="7" t="s">
        <v>1029</v>
      </c>
      <c r="D410" s="6" t="s">
        <v>1030</v>
      </c>
    </row>
    <row r="411" spans="1:4" x14ac:dyDescent="0.25">
      <c r="A411" s="13" t="e">
        <f>VLOOKUP(B411:B1118,#REF!,1,FALSE)</f>
        <v>#REF!</v>
      </c>
      <c r="B411" s="27">
        <v>46524</v>
      </c>
      <c r="C411" s="7" t="s">
        <v>1027</v>
      </c>
      <c r="D411" s="6" t="s">
        <v>1028</v>
      </c>
    </row>
    <row r="412" spans="1:4" x14ac:dyDescent="0.25">
      <c r="A412" s="13" t="e">
        <f>VLOOKUP(B412:B1119,#REF!,1,FALSE)</f>
        <v>#REF!</v>
      </c>
      <c r="B412" s="27">
        <v>46536</v>
      </c>
      <c r="C412" s="7" t="s">
        <v>1025</v>
      </c>
      <c r="D412" s="6" t="s">
        <v>1026</v>
      </c>
    </row>
    <row r="413" spans="1:4" x14ac:dyDescent="0.25">
      <c r="A413" s="13" t="e">
        <f>VLOOKUP(B413:B1120,#REF!,1,FALSE)</f>
        <v>#REF!</v>
      </c>
      <c r="B413" s="27">
        <v>46580</v>
      </c>
      <c r="C413" s="9" t="s">
        <v>207</v>
      </c>
      <c r="D413" s="6" t="s">
        <v>611</v>
      </c>
    </row>
    <row r="414" spans="1:4" x14ac:dyDescent="0.25">
      <c r="A414" s="13" t="e">
        <f>VLOOKUP(B414:B1121,#REF!,1,FALSE)</f>
        <v>#REF!</v>
      </c>
      <c r="B414" s="14">
        <v>46583</v>
      </c>
      <c r="C414" s="12" t="s">
        <v>429</v>
      </c>
      <c r="D414" s="16" t="s">
        <v>1423</v>
      </c>
    </row>
    <row r="415" spans="1:4" x14ac:dyDescent="0.25">
      <c r="A415" s="13" t="e">
        <f>VLOOKUP(B415:B1122,#REF!,1,FALSE)</f>
        <v>#REF!</v>
      </c>
      <c r="B415" s="27">
        <v>46585</v>
      </c>
      <c r="C415" s="7" t="s">
        <v>208</v>
      </c>
      <c r="D415" s="6" t="s">
        <v>726</v>
      </c>
    </row>
    <row r="416" spans="1:4" x14ac:dyDescent="0.25">
      <c r="A416" s="13" t="e">
        <f>VLOOKUP(B416:B1123,#REF!,1,FALSE)</f>
        <v>#REF!</v>
      </c>
      <c r="B416" s="24">
        <v>46633</v>
      </c>
      <c r="C416" s="10" t="s">
        <v>1297</v>
      </c>
      <c r="D416" s="8" t="s">
        <v>1298</v>
      </c>
    </row>
    <row r="417" spans="1:4" x14ac:dyDescent="0.25">
      <c r="A417" s="13" t="e">
        <f>VLOOKUP(B417:B1124,#REF!,1,FALSE)</f>
        <v>#REF!</v>
      </c>
      <c r="B417" s="27">
        <v>46638</v>
      </c>
      <c r="C417" s="7" t="s">
        <v>210</v>
      </c>
      <c r="D417" s="30" t="s">
        <v>1471</v>
      </c>
    </row>
    <row r="418" spans="1:4" x14ac:dyDescent="0.25">
      <c r="A418" s="13" t="e">
        <f>VLOOKUP(B418:B1125,#REF!,1,FALSE)</f>
        <v>#REF!</v>
      </c>
      <c r="B418" s="27">
        <v>46639</v>
      </c>
      <c r="C418" s="7" t="s">
        <v>1023</v>
      </c>
      <c r="D418" s="6" t="s">
        <v>1024</v>
      </c>
    </row>
    <row r="419" spans="1:4" x14ac:dyDescent="0.25">
      <c r="A419" s="13" t="e">
        <f>VLOOKUP(B419:B1126,#REF!,1,FALSE)</f>
        <v>#REF!</v>
      </c>
      <c r="B419" s="27">
        <v>46641</v>
      </c>
      <c r="C419" s="7" t="s">
        <v>211</v>
      </c>
      <c r="D419" s="30" t="s">
        <v>1470</v>
      </c>
    </row>
    <row r="420" spans="1:4" x14ac:dyDescent="0.25">
      <c r="A420" s="13" t="e">
        <f>VLOOKUP(B420:B1127,#REF!,1,FALSE)</f>
        <v>#REF!</v>
      </c>
      <c r="B420" s="27">
        <v>46642</v>
      </c>
      <c r="C420" s="7" t="s">
        <v>213</v>
      </c>
      <c r="D420" s="30" t="s">
        <v>1469</v>
      </c>
    </row>
    <row r="421" spans="1:4" x14ac:dyDescent="0.25">
      <c r="A421" s="13" t="e">
        <f>VLOOKUP(B421:B1128,#REF!,1,FALSE)</f>
        <v>#REF!</v>
      </c>
      <c r="B421" s="27">
        <v>46644</v>
      </c>
      <c r="C421" s="7" t="s">
        <v>1017</v>
      </c>
      <c r="D421" s="6" t="s">
        <v>1018</v>
      </c>
    </row>
    <row r="422" spans="1:4" x14ac:dyDescent="0.25">
      <c r="A422" s="13" t="e">
        <f>VLOOKUP(B422:B1129,#REF!,1,FALSE)</f>
        <v>#REF!</v>
      </c>
      <c r="B422" s="14">
        <v>46646</v>
      </c>
      <c r="C422" s="12" t="s">
        <v>214</v>
      </c>
      <c r="D422" s="16" t="s">
        <v>1424</v>
      </c>
    </row>
    <row r="423" spans="1:4" x14ac:dyDescent="0.25">
      <c r="A423" s="13" t="e">
        <f>VLOOKUP(B423:B1130,#REF!,1,FALSE)</f>
        <v>#REF!</v>
      </c>
      <c r="B423" s="27">
        <v>46647</v>
      </c>
      <c r="C423" s="7" t="s">
        <v>780</v>
      </c>
      <c r="D423" s="6" t="s">
        <v>781</v>
      </c>
    </row>
    <row r="424" spans="1:4" x14ac:dyDescent="0.25">
      <c r="A424" s="13" t="e">
        <f>VLOOKUP(B424:B1131,#REF!,1,FALSE)</f>
        <v>#REF!</v>
      </c>
      <c r="B424" s="27">
        <v>46649</v>
      </c>
      <c r="C424" s="7" t="s">
        <v>1015</v>
      </c>
      <c r="D424" s="6" t="s">
        <v>1016</v>
      </c>
    </row>
    <row r="425" spans="1:4" x14ac:dyDescent="0.25">
      <c r="A425" s="13" t="e">
        <f>VLOOKUP(B425:B1132,#REF!,1,FALSE)</f>
        <v>#REF!</v>
      </c>
      <c r="B425" s="27">
        <v>46651</v>
      </c>
      <c r="C425" s="7" t="s">
        <v>830</v>
      </c>
      <c r="D425" s="6" t="s">
        <v>831</v>
      </c>
    </row>
    <row r="426" spans="1:4" x14ac:dyDescent="0.25">
      <c r="A426" s="13" t="e">
        <f>VLOOKUP(B426:B1133,#REF!,1,FALSE)</f>
        <v>#REF!</v>
      </c>
      <c r="B426" s="27">
        <v>46653</v>
      </c>
      <c r="C426" s="7" t="s">
        <v>798</v>
      </c>
      <c r="D426" s="6" t="s">
        <v>799</v>
      </c>
    </row>
    <row r="427" spans="1:4" x14ac:dyDescent="0.25">
      <c r="A427" s="13" t="e">
        <f>VLOOKUP(B427:B1134,#REF!,1,FALSE)</f>
        <v>#REF!</v>
      </c>
      <c r="B427" s="14">
        <v>46676</v>
      </c>
      <c r="C427" s="12" t="s">
        <v>430</v>
      </c>
      <c r="D427" s="16" t="s">
        <v>431</v>
      </c>
    </row>
    <row r="428" spans="1:4" x14ac:dyDescent="0.25">
      <c r="A428" s="13" t="e">
        <f>VLOOKUP(B428:B1135,#REF!,1,FALSE)</f>
        <v>#REF!</v>
      </c>
      <c r="B428" s="24">
        <v>46679</v>
      </c>
      <c r="C428" s="10" t="s">
        <v>1299</v>
      </c>
      <c r="D428" s="8" t="s">
        <v>1300</v>
      </c>
    </row>
    <row r="429" spans="1:4" x14ac:dyDescent="0.25">
      <c r="A429" s="13" t="e">
        <f>VLOOKUP(B429:B1136,#REF!,1,FALSE)</f>
        <v>#REF!</v>
      </c>
      <c r="B429" s="24">
        <v>46719</v>
      </c>
      <c r="C429" s="10" t="s">
        <v>1301</v>
      </c>
      <c r="D429" s="8" t="s">
        <v>1302</v>
      </c>
    </row>
    <row r="430" spans="1:4" x14ac:dyDescent="0.25">
      <c r="A430" s="13" t="e">
        <f>VLOOKUP(B430:B1137,#REF!,1,FALSE)</f>
        <v>#REF!</v>
      </c>
      <c r="B430" s="27">
        <v>46721</v>
      </c>
      <c r="C430" s="7" t="s">
        <v>1021</v>
      </c>
      <c r="D430" s="6" t="s">
        <v>1022</v>
      </c>
    </row>
    <row r="431" spans="1:4" x14ac:dyDescent="0.25">
      <c r="A431" s="13" t="e">
        <f>VLOOKUP(B431:B1138,#REF!,1,FALSE)</f>
        <v>#REF!</v>
      </c>
      <c r="B431" s="19">
        <v>46737</v>
      </c>
      <c r="C431" s="12" t="s">
        <v>578</v>
      </c>
      <c r="D431" s="15" t="s">
        <v>579</v>
      </c>
    </row>
    <row r="432" spans="1:4" x14ac:dyDescent="0.25">
      <c r="A432" s="13" t="e">
        <f>VLOOKUP(B432:B1139,#REF!,1,FALSE)</f>
        <v>#REF!</v>
      </c>
      <c r="B432" s="27">
        <v>46750</v>
      </c>
      <c r="C432" s="7" t="s">
        <v>1019</v>
      </c>
      <c r="D432" s="6" t="s">
        <v>1020</v>
      </c>
    </row>
    <row r="433" spans="1:4" x14ac:dyDescent="0.25">
      <c r="A433" s="13" t="e">
        <f>VLOOKUP(B433:B1140,#REF!,1,FALSE)</f>
        <v>#REF!</v>
      </c>
      <c r="B433" s="27">
        <v>46751</v>
      </c>
      <c r="C433" s="7" t="s">
        <v>215</v>
      </c>
      <c r="D433" s="30" t="s">
        <v>1468</v>
      </c>
    </row>
    <row r="434" spans="1:4" x14ac:dyDescent="0.25">
      <c r="A434" s="13" t="e">
        <f>VLOOKUP(B434:B1141,#REF!,1,FALSE)</f>
        <v>#REF!</v>
      </c>
      <c r="B434" s="27">
        <v>46768</v>
      </c>
      <c r="C434" s="7" t="s">
        <v>1013</v>
      </c>
      <c r="D434" s="6" t="s">
        <v>1014</v>
      </c>
    </row>
    <row r="435" spans="1:4" x14ac:dyDescent="0.25">
      <c r="A435" s="13" t="e">
        <f>VLOOKUP(B435:B1142,#REF!,1,FALSE)</f>
        <v>#REF!</v>
      </c>
      <c r="B435" s="27">
        <v>46773</v>
      </c>
      <c r="C435" s="7" t="s">
        <v>1011</v>
      </c>
      <c r="D435" s="6" t="s">
        <v>1012</v>
      </c>
    </row>
    <row r="436" spans="1:4" x14ac:dyDescent="0.25">
      <c r="A436" s="13" t="e">
        <f>VLOOKUP(B436:B1143,#REF!,1,FALSE)</f>
        <v>#REF!</v>
      </c>
      <c r="B436" s="27">
        <v>46774</v>
      </c>
      <c r="C436" s="7" t="s">
        <v>216</v>
      </c>
      <c r="D436" s="30" t="s">
        <v>1467</v>
      </c>
    </row>
    <row r="437" spans="1:4" x14ac:dyDescent="0.25">
      <c r="A437" s="13" t="e">
        <f>VLOOKUP(B437:B1144,#REF!,1,FALSE)</f>
        <v>#REF!</v>
      </c>
      <c r="B437" s="27">
        <v>46800</v>
      </c>
      <c r="C437" s="7" t="s">
        <v>217</v>
      </c>
      <c r="D437" s="6" t="s">
        <v>626</v>
      </c>
    </row>
    <row r="438" spans="1:4" x14ac:dyDescent="0.25">
      <c r="A438" s="13" t="e">
        <f>VLOOKUP(B438:B1145,#REF!,1,FALSE)</f>
        <v>#REF!</v>
      </c>
      <c r="B438" s="19">
        <v>46801</v>
      </c>
      <c r="C438" s="12" t="s">
        <v>218</v>
      </c>
      <c r="D438" s="15" t="s">
        <v>537</v>
      </c>
    </row>
    <row r="439" spans="1:4" x14ac:dyDescent="0.25">
      <c r="A439" s="13" t="e">
        <f>VLOOKUP(B439:B1146,#REF!,1,FALSE)</f>
        <v>#REF!</v>
      </c>
      <c r="B439" s="14">
        <v>46859</v>
      </c>
      <c r="C439" s="12" t="s">
        <v>432</v>
      </c>
      <c r="D439" s="16" t="s">
        <v>433</v>
      </c>
    </row>
    <row r="440" spans="1:4" x14ac:dyDescent="0.25">
      <c r="A440" s="13" t="e">
        <f>VLOOKUP(B440:B1147,#REF!,1,FALSE)</f>
        <v>#REF!</v>
      </c>
      <c r="B440" s="14">
        <v>46860</v>
      </c>
      <c r="C440" s="12" t="s">
        <v>434</v>
      </c>
      <c r="D440" s="16" t="s">
        <v>435</v>
      </c>
    </row>
    <row r="441" spans="1:4" x14ac:dyDescent="0.25">
      <c r="A441" s="13" t="e">
        <f>VLOOKUP(B441:B1148,#REF!,1,FALSE)</f>
        <v>#REF!</v>
      </c>
      <c r="B441" s="19">
        <v>46880</v>
      </c>
      <c r="C441" s="12" t="s">
        <v>597</v>
      </c>
      <c r="D441" s="15" t="s">
        <v>598</v>
      </c>
    </row>
    <row r="442" spans="1:4" x14ac:dyDescent="0.25">
      <c r="A442" s="13" t="e">
        <f>VLOOKUP(B442:B1149,#REF!,1,FALSE)</f>
        <v>#REF!</v>
      </c>
      <c r="B442" s="14">
        <v>46899</v>
      </c>
      <c r="C442" s="12" t="s">
        <v>436</v>
      </c>
      <c r="D442" s="16" t="s">
        <v>1425</v>
      </c>
    </row>
    <row r="443" spans="1:4" x14ac:dyDescent="0.25">
      <c r="A443" s="13" t="e">
        <f>VLOOKUP(B443:B1150,#REF!,1,FALSE)</f>
        <v>#REF!</v>
      </c>
      <c r="B443" s="24">
        <v>46924</v>
      </c>
      <c r="C443" s="10" t="s">
        <v>1303</v>
      </c>
      <c r="D443" s="8" t="s">
        <v>1304</v>
      </c>
    </row>
    <row r="444" spans="1:4" x14ac:dyDescent="0.25">
      <c r="A444" s="13" t="e">
        <f>VLOOKUP(B444:B1151,#REF!,1,FALSE)</f>
        <v>#REF!</v>
      </c>
      <c r="B444" s="19">
        <v>46930</v>
      </c>
      <c r="C444" s="12" t="s">
        <v>593</v>
      </c>
      <c r="D444" s="15" t="s">
        <v>594</v>
      </c>
    </row>
    <row r="445" spans="1:4" x14ac:dyDescent="0.25">
      <c r="A445" s="13" t="e">
        <f>VLOOKUP(B445:B1152,#REF!,1,FALSE)</f>
        <v>#REF!</v>
      </c>
      <c r="B445" s="24">
        <v>46945</v>
      </c>
      <c r="C445" s="10" t="s">
        <v>1305</v>
      </c>
      <c r="D445" s="8" t="s">
        <v>1306</v>
      </c>
    </row>
    <row r="446" spans="1:4" x14ac:dyDescent="0.25">
      <c r="A446" s="13" t="e">
        <f>VLOOKUP(B446:B1153,#REF!,1,FALSE)</f>
        <v>#REF!</v>
      </c>
      <c r="B446" s="27">
        <v>46950</v>
      </c>
      <c r="C446" s="9" t="s">
        <v>219</v>
      </c>
      <c r="D446" s="6" t="s">
        <v>608</v>
      </c>
    </row>
    <row r="447" spans="1:4" x14ac:dyDescent="0.25">
      <c r="A447" s="13" t="e">
        <f>VLOOKUP(B447:B1154,#REF!,1,FALSE)</f>
        <v>#REF!</v>
      </c>
      <c r="B447" s="27">
        <v>46952</v>
      </c>
      <c r="C447" s="7" t="s">
        <v>220</v>
      </c>
      <c r="D447" s="6" t="s">
        <v>649</v>
      </c>
    </row>
    <row r="448" spans="1:4" x14ac:dyDescent="0.25">
      <c r="A448" s="13" t="e">
        <f>VLOOKUP(B448:B1155,#REF!,1,FALSE)</f>
        <v>#REF!</v>
      </c>
      <c r="B448" s="19">
        <v>47018</v>
      </c>
      <c r="C448" s="12" t="s">
        <v>531</v>
      </c>
      <c r="D448" s="15" t="s">
        <v>532</v>
      </c>
    </row>
    <row r="449" spans="1:4" x14ac:dyDescent="0.25">
      <c r="A449" s="13" t="e">
        <f>VLOOKUP(B449:B1156,#REF!,1,FALSE)</f>
        <v>#REF!</v>
      </c>
      <c r="B449" s="27">
        <v>47021</v>
      </c>
      <c r="C449" s="7" t="s">
        <v>1009</v>
      </c>
      <c r="D449" s="6" t="s">
        <v>1010</v>
      </c>
    </row>
    <row r="450" spans="1:4" x14ac:dyDescent="0.25">
      <c r="A450" s="13" t="e">
        <f>VLOOKUP(B450:B1157,#REF!,1,FALSE)</f>
        <v>#REF!</v>
      </c>
      <c r="B450" s="27">
        <v>47022</v>
      </c>
      <c r="C450" s="7" t="s">
        <v>822</v>
      </c>
      <c r="D450" s="6" t="s">
        <v>823</v>
      </c>
    </row>
    <row r="451" spans="1:4" x14ac:dyDescent="0.25">
      <c r="A451" s="13" t="e">
        <f>VLOOKUP(B451:B1158,#REF!,1,FALSE)</f>
        <v>#REF!</v>
      </c>
      <c r="B451" s="24">
        <v>47056</v>
      </c>
      <c r="C451" s="10" t="s">
        <v>1307</v>
      </c>
      <c r="D451" s="8" t="s">
        <v>1308</v>
      </c>
    </row>
    <row r="452" spans="1:4" x14ac:dyDescent="0.25">
      <c r="A452" s="13" t="e">
        <f>VLOOKUP(B452:B1159,#REF!,1,FALSE)</f>
        <v>#REF!</v>
      </c>
      <c r="B452" s="19">
        <v>47065</v>
      </c>
      <c r="C452" s="12" t="s">
        <v>542</v>
      </c>
      <c r="D452" s="15" t="s">
        <v>543</v>
      </c>
    </row>
    <row r="453" spans="1:4" x14ac:dyDescent="0.25">
      <c r="A453" s="13" t="e">
        <f>VLOOKUP(B453:B1160,#REF!,1,FALSE)</f>
        <v>#REF!</v>
      </c>
      <c r="B453" s="27">
        <v>47079</v>
      </c>
      <c r="C453" s="7" t="s">
        <v>221</v>
      </c>
      <c r="D453" s="6" t="s">
        <v>614</v>
      </c>
    </row>
    <row r="454" spans="1:4" x14ac:dyDescent="0.25">
      <c r="A454" s="13" t="e">
        <f>VLOOKUP(B454:B1161,#REF!,1,FALSE)</f>
        <v>#REF!</v>
      </c>
      <c r="B454" s="24">
        <v>47138</v>
      </c>
      <c r="C454" s="10" t="s">
        <v>1391</v>
      </c>
      <c r="D454" s="8" t="s">
        <v>1392</v>
      </c>
    </row>
    <row r="455" spans="1:4" x14ac:dyDescent="0.25">
      <c r="A455" s="13" t="e">
        <f>VLOOKUP(B455:B1162,#REF!,1,FALSE)</f>
        <v>#REF!</v>
      </c>
      <c r="B455" s="27">
        <v>47143</v>
      </c>
      <c r="C455" s="7" t="s">
        <v>222</v>
      </c>
      <c r="D455" s="6" t="s">
        <v>610</v>
      </c>
    </row>
    <row r="456" spans="1:4" x14ac:dyDescent="0.25">
      <c r="A456" s="13" t="e">
        <f>VLOOKUP(B456:B1163,#REF!,1,FALSE)</f>
        <v>#REF!</v>
      </c>
      <c r="B456" s="19">
        <v>47186</v>
      </c>
      <c r="C456" s="12" t="s">
        <v>514</v>
      </c>
      <c r="D456" s="15" t="s">
        <v>515</v>
      </c>
    </row>
    <row r="457" spans="1:4" x14ac:dyDescent="0.25">
      <c r="A457" s="13" t="e">
        <f>VLOOKUP(B457:B1164,#REF!,1,FALSE)</f>
        <v>#REF!</v>
      </c>
      <c r="B457" s="19">
        <v>47192</v>
      </c>
      <c r="C457" s="12" t="s">
        <v>572</v>
      </c>
      <c r="D457" s="15" t="s">
        <v>573</v>
      </c>
    </row>
    <row r="458" spans="1:4" x14ac:dyDescent="0.25">
      <c r="A458" s="13" t="e">
        <f>VLOOKUP(B458:B1165,#REF!,1,FALSE)</f>
        <v>#REF!</v>
      </c>
      <c r="B458" s="14">
        <v>47193</v>
      </c>
      <c r="C458" s="12" t="s">
        <v>437</v>
      </c>
      <c r="D458" s="16" t="s">
        <v>438</v>
      </c>
    </row>
    <row r="459" spans="1:4" x14ac:dyDescent="0.25">
      <c r="A459" s="13" t="e">
        <f>VLOOKUP(B459:B1166,#REF!,1,FALSE)</f>
        <v>#REF!</v>
      </c>
      <c r="B459" s="24">
        <v>47247</v>
      </c>
      <c r="C459" s="10" t="s">
        <v>1309</v>
      </c>
      <c r="D459" s="8" t="s">
        <v>1310</v>
      </c>
    </row>
    <row r="460" spans="1:4" x14ac:dyDescent="0.25">
      <c r="A460" s="13" t="e">
        <f>VLOOKUP(B460:B1167,#REF!,1,FALSE)</f>
        <v>#REF!</v>
      </c>
      <c r="B460" s="14">
        <v>47342</v>
      </c>
      <c r="C460" s="12" t="s">
        <v>439</v>
      </c>
      <c r="D460" s="16" t="s">
        <v>440</v>
      </c>
    </row>
    <row r="461" spans="1:4" x14ac:dyDescent="0.25">
      <c r="A461" s="13" t="e">
        <f>VLOOKUP(B461:B1168,#REF!,1,FALSE)</f>
        <v>#REF!</v>
      </c>
      <c r="B461" s="14">
        <v>47362</v>
      </c>
      <c r="C461" s="12" t="s">
        <v>441</v>
      </c>
      <c r="D461" s="16" t="s">
        <v>442</v>
      </c>
    </row>
    <row r="462" spans="1:4" x14ac:dyDescent="0.25">
      <c r="A462" s="13" t="e">
        <f>VLOOKUP(B462:B1169,#REF!,1,FALSE)</f>
        <v>#REF!</v>
      </c>
      <c r="B462" s="19">
        <v>47415</v>
      </c>
      <c r="C462" s="12" t="s">
        <v>523</v>
      </c>
      <c r="D462" s="15" t="s">
        <v>524</v>
      </c>
    </row>
    <row r="463" spans="1:4" x14ac:dyDescent="0.25">
      <c r="A463" s="13" t="e">
        <f>VLOOKUP(B463:B1170,#REF!,1,FALSE)</f>
        <v>#REF!</v>
      </c>
      <c r="B463" s="19">
        <v>47431</v>
      </c>
      <c r="C463" s="12" t="s">
        <v>533</v>
      </c>
      <c r="D463" s="15" t="s">
        <v>534</v>
      </c>
    </row>
    <row r="464" spans="1:4" x14ac:dyDescent="0.25">
      <c r="A464" s="13" t="e">
        <f>VLOOKUP(B464:B1171,#REF!,1,FALSE)</f>
        <v>#REF!</v>
      </c>
      <c r="B464" s="19">
        <v>47432</v>
      </c>
      <c r="C464" s="12" t="s">
        <v>535</v>
      </c>
      <c r="D464" s="15" t="s">
        <v>536</v>
      </c>
    </row>
    <row r="465" spans="1:4" x14ac:dyDescent="0.25">
      <c r="A465" s="13" t="e">
        <f>VLOOKUP(B465:B1172,#REF!,1,FALSE)</f>
        <v>#REF!</v>
      </c>
      <c r="B465" s="27">
        <v>47457</v>
      </c>
      <c r="C465" s="9" t="s">
        <v>223</v>
      </c>
      <c r="D465" s="6" t="s">
        <v>694</v>
      </c>
    </row>
    <row r="466" spans="1:4" x14ac:dyDescent="0.25">
      <c r="A466" s="13" t="e">
        <f>VLOOKUP(B466:B1173,#REF!,1,FALSE)</f>
        <v>#REF!</v>
      </c>
      <c r="B466" s="19">
        <v>47487</v>
      </c>
      <c r="C466" s="12" t="s">
        <v>224</v>
      </c>
      <c r="D466" s="15" t="s">
        <v>582</v>
      </c>
    </row>
    <row r="467" spans="1:4" x14ac:dyDescent="0.25">
      <c r="A467" s="13" t="e">
        <f>VLOOKUP(B467:B1174,#REF!,1,FALSE)</f>
        <v>#REF!</v>
      </c>
      <c r="B467" s="27">
        <v>47493</v>
      </c>
      <c r="C467" s="7" t="s">
        <v>800</v>
      </c>
      <c r="D467" s="6" t="s">
        <v>801</v>
      </c>
    </row>
    <row r="468" spans="1:4" x14ac:dyDescent="0.25">
      <c r="A468" s="13" t="e">
        <f>VLOOKUP(B468:B1175,#REF!,1,FALSE)</f>
        <v>#REF!</v>
      </c>
      <c r="B468" s="27">
        <v>47515</v>
      </c>
      <c r="C468" s="7" t="s">
        <v>225</v>
      </c>
      <c r="D468" s="6" t="s">
        <v>624</v>
      </c>
    </row>
    <row r="469" spans="1:4" x14ac:dyDescent="0.25">
      <c r="A469" s="13" t="e">
        <f>VLOOKUP(B469:B1176,#REF!,1,FALSE)</f>
        <v>#REF!</v>
      </c>
      <c r="B469" s="14">
        <v>47531</v>
      </c>
      <c r="C469" s="12" t="s">
        <v>443</v>
      </c>
      <c r="D469" s="16" t="s">
        <v>1426</v>
      </c>
    </row>
    <row r="470" spans="1:4" x14ac:dyDescent="0.25">
      <c r="A470" s="13" t="e">
        <f>VLOOKUP(B470:B1177,#REF!,1,FALSE)</f>
        <v>#REF!</v>
      </c>
      <c r="B470" s="19">
        <v>47546</v>
      </c>
      <c r="C470" s="12" t="s">
        <v>548</v>
      </c>
      <c r="D470" s="15" t="s">
        <v>549</v>
      </c>
    </row>
    <row r="471" spans="1:4" x14ac:dyDescent="0.25">
      <c r="A471" s="13" t="e">
        <f>VLOOKUP(B471:B1178,#REF!,1,FALSE)</f>
        <v>#REF!</v>
      </c>
      <c r="B471" s="19">
        <v>47547</v>
      </c>
      <c r="C471" s="12" t="s">
        <v>550</v>
      </c>
      <c r="D471" s="15" t="s">
        <v>551</v>
      </c>
    </row>
    <row r="472" spans="1:4" x14ac:dyDescent="0.25">
      <c r="A472" s="13" t="e">
        <f>VLOOKUP(B472:B1179,#REF!,1,FALSE)</f>
        <v>#REF!</v>
      </c>
      <c r="B472" s="27">
        <v>47554</v>
      </c>
      <c r="C472" s="7" t="s">
        <v>848</v>
      </c>
      <c r="D472" s="6" t="s">
        <v>849</v>
      </c>
    </row>
    <row r="473" spans="1:4" x14ac:dyDescent="0.25">
      <c r="A473" s="13" t="e">
        <f>VLOOKUP(B473:B1180,#REF!,1,FALSE)</f>
        <v>#REF!</v>
      </c>
      <c r="B473" s="27">
        <v>47562</v>
      </c>
      <c r="C473" s="7" t="s">
        <v>1007</v>
      </c>
      <c r="D473" s="6" t="s">
        <v>1008</v>
      </c>
    </row>
    <row r="474" spans="1:4" x14ac:dyDescent="0.25">
      <c r="A474" s="13" t="e">
        <f>VLOOKUP(B474:B1181,#REF!,1,FALSE)</f>
        <v>#REF!</v>
      </c>
      <c r="B474" s="27">
        <v>47563</v>
      </c>
      <c r="C474" s="7" t="s">
        <v>1005</v>
      </c>
      <c r="D474" s="6" t="s">
        <v>1006</v>
      </c>
    </row>
    <row r="475" spans="1:4" x14ac:dyDescent="0.25">
      <c r="A475" s="13" t="e">
        <f>VLOOKUP(B475:B1182,#REF!,1,FALSE)</f>
        <v>#REF!</v>
      </c>
      <c r="B475" s="27">
        <v>47569</v>
      </c>
      <c r="C475" s="7" t="s">
        <v>226</v>
      </c>
      <c r="D475" s="6" t="s">
        <v>687</v>
      </c>
    </row>
    <row r="476" spans="1:4" x14ac:dyDescent="0.25">
      <c r="A476" s="13" t="e">
        <f>VLOOKUP(B476:B1183,#REF!,1,FALSE)</f>
        <v>#REF!</v>
      </c>
      <c r="B476" s="27">
        <v>47624</v>
      </c>
      <c r="C476" s="7" t="s">
        <v>1003</v>
      </c>
      <c r="D476" s="6" t="s">
        <v>1004</v>
      </c>
    </row>
    <row r="477" spans="1:4" x14ac:dyDescent="0.25">
      <c r="A477" s="13" t="e">
        <f>VLOOKUP(B477:B1184,#REF!,1,FALSE)</f>
        <v>#REF!</v>
      </c>
      <c r="B477" s="14">
        <v>47625</v>
      </c>
      <c r="C477" s="12" t="s">
        <v>227</v>
      </c>
      <c r="D477" s="16" t="s">
        <v>1427</v>
      </c>
    </row>
    <row r="478" spans="1:4" x14ac:dyDescent="0.25">
      <c r="A478" s="13" t="e">
        <f>VLOOKUP(B478:B1185,#REF!,1,FALSE)</f>
        <v>#REF!</v>
      </c>
      <c r="B478" s="24">
        <v>47631</v>
      </c>
      <c r="C478" s="10" t="s">
        <v>1311</v>
      </c>
      <c r="D478" s="8" t="s">
        <v>1312</v>
      </c>
    </row>
    <row r="479" spans="1:4" x14ac:dyDescent="0.25">
      <c r="A479" s="13" t="e">
        <f>VLOOKUP(B479:B1186,#REF!,1,FALSE)</f>
        <v>#REF!</v>
      </c>
      <c r="B479" s="27">
        <v>47634</v>
      </c>
      <c r="C479" s="7" t="s">
        <v>1001</v>
      </c>
      <c r="D479" s="6" t="s">
        <v>1002</v>
      </c>
    </row>
    <row r="480" spans="1:4" x14ac:dyDescent="0.25">
      <c r="A480" s="13" t="e">
        <f>VLOOKUP(B480:B1187,#REF!,1,FALSE)</f>
        <v>#REF!</v>
      </c>
      <c r="B480" s="27">
        <v>47635</v>
      </c>
      <c r="C480" s="7" t="s">
        <v>228</v>
      </c>
      <c r="D480" s="30" t="s">
        <v>1466</v>
      </c>
    </row>
    <row r="481" spans="1:4" x14ac:dyDescent="0.25">
      <c r="A481" s="13" t="e">
        <f>VLOOKUP(B481:B1188,#REF!,1,FALSE)</f>
        <v>#REF!</v>
      </c>
      <c r="B481" s="27">
        <v>47636</v>
      </c>
      <c r="C481" s="7" t="s">
        <v>229</v>
      </c>
      <c r="D481" s="30" t="s">
        <v>1465</v>
      </c>
    </row>
    <row r="482" spans="1:4" x14ac:dyDescent="0.25">
      <c r="A482" s="13" t="e">
        <f>VLOOKUP(B482:B1189,#REF!,1,FALSE)</f>
        <v>#REF!</v>
      </c>
      <c r="B482" s="27">
        <v>47637</v>
      </c>
      <c r="C482" s="7" t="s">
        <v>999</v>
      </c>
      <c r="D482" s="6" t="s">
        <v>1000</v>
      </c>
    </row>
    <row r="483" spans="1:4" x14ac:dyDescent="0.25">
      <c r="A483" s="13" t="e">
        <f>VLOOKUP(B483:B1190,#REF!,1,FALSE)</f>
        <v>#REF!</v>
      </c>
      <c r="B483" s="19">
        <v>47675</v>
      </c>
      <c r="C483" s="12" t="s">
        <v>555</v>
      </c>
      <c r="D483" s="15" t="s">
        <v>556</v>
      </c>
    </row>
    <row r="484" spans="1:4" x14ac:dyDescent="0.25">
      <c r="A484" s="13" t="e">
        <f>VLOOKUP(B484:B1191,#REF!,1,FALSE)</f>
        <v>#REF!</v>
      </c>
      <c r="B484" s="27">
        <v>47677</v>
      </c>
      <c r="C484" s="7" t="s">
        <v>997</v>
      </c>
      <c r="D484" s="6" t="s">
        <v>998</v>
      </c>
    </row>
    <row r="485" spans="1:4" x14ac:dyDescent="0.25">
      <c r="A485" s="13" t="e">
        <f>VLOOKUP(B485:B1192,#REF!,1,FALSE)</f>
        <v>#REF!</v>
      </c>
      <c r="B485" s="27">
        <v>47703</v>
      </c>
      <c r="C485" s="7" t="s">
        <v>995</v>
      </c>
      <c r="D485" s="6" t="s">
        <v>996</v>
      </c>
    </row>
    <row r="486" spans="1:4" x14ac:dyDescent="0.25">
      <c r="A486" s="13" t="e">
        <f>VLOOKUP(B486:B1193,#REF!,1,FALSE)</f>
        <v>#REF!</v>
      </c>
      <c r="B486" s="27">
        <v>47715</v>
      </c>
      <c r="C486" s="7" t="s">
        <v>993</v>
      </c>
      <c r="D486" s="6" t="s">
        <v>994</v>
      </c>
    </row>
    <row r="487" spans="1:4" x14ac:dyDescent="0.25">
      <c r="A487" s="13" t="e">
        <f>VLOOKUP(B487:B1194,#REF!,1,FALSE)</f>
        <v>#REF!</v>
      </c>
      <c r="B487" s="27">
        <v>47730</v>
      </c>
      <c r="C487" s="7" t="s">
        <v>991</v>
      </c>
      <c r="D487" s="6" t="s">
        <v>992</v>
      </c>
    </row>
    <row r="488" spans="1:4" x14ac:dyDescent="0.25">
      <c r="A488" s="13" t="e">
        <f>VLOOKUP(B488:B1195,#REF!,1,FALSE)</f>
        <v>#REF!</v>
      </c>
      <c r="B488" s="27">
        <v>47743</v>
      </c>
      <c r="C488" s="7" t="s">
        <v>989</v>
      </c>
      <c r="D488" s="6" t="s">
        <v>990</v>
      </c>
    </row>
    <row r="489" spans="1:4" x14ac:dyDescent="0.25">
      <c r="A489" s="13" t="e">
        <f>VLOOKUP(B489:B1196,#REF!,1,FALSE)</f>
        <v>#REF!</v>
      </c>
      <c r="B489" s="27">
        <v>47744</v>
      </c>
      <c r="C489" s="7" t="s">
        <v>1161</v>
      </c>
      <c r="D489" s="6" t="s">
        <v>1162</v>
      </c>
    </row>
    <row r="490" spans="1:4" x14ac:dyDescent="0.25">
      <c r="A490" s="13" t="e">
        <f>VLOOKUP(B490:B1197,#REF!,1,FALSE)</f>
        <v>#REF!</v>
      </c>
      <c r="B490" s="27">
        <v>47745</v>
      </c>
      <c r="C490" s="7" t="s">
        <v>987</v>
      </c>
      <c r="D490" s="6" t="s">
        <v>988</v>
      </c>
    </row>
    <row r="491" spans="1:4" x14ac:dyDescent="0.25">
      <c r="A491" s="13" t="e">
        <f>VLOOKUP(B491:B1198,#REF!,1,FALSE)</f>
        <v>#REF!</v>
      </c>
      <c r="B491" s="27">
        <v>47748</v>
      </c>
      <c r="C491" s="7" t="s">
        <v>985</v>
      </c>
      <c r="D491" s="6" t="s">
        <v>986</v>
      </c>
    </row>
    <row r="492" spans="1:4" x14ac:dyDescent="0.25">
      <c r="A492" s="13" t="e">
        <f>VLOOKUP(B492:B1199,#REF!,1,FALSE)</f>
        <v>#REF!</v>
      </c>
      <c r="B492" s="27">
        <v>47749</v>
      </c>
      <c r="C492" s="7" t="s">
        <v>983</v>
      </c>
      <c r="D492" s="6" t="s">
        <v>984</v>
      </c>
    </row>
    <row r="493" spans="1:4" x14ac:dyDescent="0.25">
      <c r="A493" s="13" t="e">
        <f>VLOOKUP(B493:B1200,#REF!,1,FALSE)</f>
        <v>#REF!</v>
      </c>
      <c r="B493" s="27">
        <v>47759</v>
      </c>
      <c r="C493" s="7" t="s">
        <v>981</v>
      </c>
      <c r="D493" s="6" t="s">
        <v>982</v>
      </c>
    </row>
    <row r="494" spans="1:4" x14ac:dyDescent="0.25">
      <c r="A494" s="13" t="e">
        <f>VLOOKUP(B494:B1201,#REF!,1,FALSE)</f>
        <v>#REF!</v>
      </c>
      <c r="B494" s="27">
        <v>47762</v>
      </c>
      <c r="C494" s="7" t="s">
        <v>979</v>
      </c>
      <c r="D494" s="6" t="s">
        <v>980</v>
      </c>
    </row>
    <row r="495" spans="1:4" x14ac:dyDescent="0.25">
      <c r="A495" s="13" t="e">
        <f>VLOOKUP(B495:B1202,#REF!,1,FALSE)</f>
        <v>#REF!</v>
      </c>
      <c r="B495" s="18">
        <v>47763</v>
      </c>
      <c r="C495" s="12" t="s">
        <v>444</v>
      </c>
      <c r="D495" s="15" t="s">
        <v>445</v>
      </c>
    </row>
    <row r="496" spans="1:4" x14ac:dyDescent="0.25">
      <c r="A496" s="13" t="e">
        <f>VLOOKUP(B496:B1203,#REF!,1,FALSE)</f>
        <v>#REF!</v>
      </c>
      <c r="B496" s="27">
        <v>47779</v>
      </c>
      <c r="C496" s="7" t="s">
        <v>230</v>
      </c>
      <c r="D496" s="6" t="s">
        <v>658</v>
      </c>
    </row>
    <row r="497" spans="1:4" x14ac:dyDescent="0.25">
      <c r="A497" s="13" t="e">
        <f>VLOOKUP(B497:B1204,#REF!,1,FALSE)</f>
        <v>#REF!</v>
      </c>
      <c r="B497" s="27">
        <v>47786</v>
      </c>
      <c r="C497" s="7" t="s">
        <v>231</v>
      </c>
      <c r="D497" s="6" t="s">
        <v>770</v>
      </c>
    </row>
    <row r="498" spans="1:4" x14ac:dyDescent="0.25">
      <c r="A498" s="13" t="e">
        <f>VLOOKUP(B498:B1205,#REF!,1,FALSE)</f>
        <v>#REF!</v>
      </c>
      <c r="B498" s="27">
        <v>47788</v>
      </c>
      <c r="C498" s="7" t="s">
        <v>804</v>
      </c>
      <c r="D498" s="6" t="s">
        <v>805</v>
      </c>
    </row>
    <row r="499" spans="1:4" x14ac:dyDescent="0.25">
      <c r="A499" s="13" t="e">
        <f>VLOOKUP(B499:B1206,#REF!,1,FALSE)</f>
        <v>#REF!</v>
      </c>
      <c r="B499" s="27">
        <v>47807</v>
      </c>
      <c r="C499" s="7" t="s">
        <v>232</v>
      </c>
      <c r="D499" s="6" t="s">
        <v>769</v>
      </c>
    </row>
    <row r="500" spans="1:4" x14ac:dyDescent="0.25">
      <c r="A500" s="13" t="e">
        <f>VLOOKUP(B500:B1207,#REF!,1,FALSE)</f>
        <v>#REF!</v>
      </c>
      <c r="B500" s="27">
        <v>47814</v>
      </c>
      <c r="C500" s="7" t="s">
        <v>977</v>
      </c>
      <c r="D500" s="6" t="s">
        <v>978</v>
      </c>
    </row>
    <row r="501" spans="1:4" x14ac:dyDescent="0.25">
      <c r="A501" s="13" t="e">
        <f>VLOOKUP(B501:B1208,#REF!,1,FALSE)</f>
        <v>#REF!</v>
      </c>
      <c r="B501" s="27">
        <v>47815</v>
      </c>
      <c r="C501" s="9" t="s">
        <v>234</v>
      </c>
      <c r="D501" s="6" t="s">
        <v>682</v>
      </c>
    </row>
    <row r="502" spans="1:4" x14ac:dyDescent="0.25">
      <c r="A502" s="13" t="e">
        <f>VLOOKUP(B502:B1209,#REF!,1,FALSE)</f>
        <v>#REF!</v>
      </c>
      <c r="B502" s="14">
        <v>47829</v>
      </c>
      <c r="C502" s="12" t="s">
        <v>235</v>
      </c>
      <c r="D502" s="15" t="s">
        <v>446</v>
      </c>
    </row>
    <row r="503" spans="1:4" x14ac:dyDescent="0.25">
      <c r="A503" s="13" t="e">
        <f>VLOOKUP(B503:B1210,#REF!,1,FALSE)</f>
        <v>#REF!</v>
      </c>
      <c r="B503" s="27">
        <v>47830</v>
      </c>
      <c r="C503" s="7" t="s">
        <v>975</v>
      </c>
      <c r="D503" s="6" t="s">
        <v>976</v>
      </c>
    </row>
    <row r="504" spans="1:4" x14ac:dyDescent="0.25">
      <c r="A504" s="13" t="e">
        <f>VLOOKUP(B504:B1211,#REF!,1,FALSE)</f>
        <v>#REF!</v>
      </c>
      <c r="B504" s="14">
        <v>47831</v>
      </c>
      <c r="C504" s="12" t="s">
        <v>236</v>
      </c>
      <c r="D504" s="16" t="s">
        <v>1428</v>
      </c>
    </row>
    <row r="505" spans="1:4" x14ac:dyDescent="0.25">
      <c r="A505" s="13" t="e">
        <f>VLOOKUP(B505:B1212,#REF!,1,FALSE)</f>
        <v>#REF!</v>
      </c>
      <c r="B505" s="27">
        <v>47845</v>
      </c>
      <c r="C505" s="7" t="s">
        <v>973</v>
      </c>
      <c r="D505" s="6" t="s">
        <v>974</v>
      </c>
    </row>
    <row r="506" spans="1:4" x14ac:dyDescent="0.25">
      <c r="A506" s="13" t="e">
        <f>VLOOKUP(B506:B1213,#REF!,1,FALSE)</f>
        <v>#REF!</v>
      </c>
      <c r="B506" s="27">
        <v>47847</v>
      </c>
      <c r="C506" s="7" t="s">
        <v>238</v>
      </c>
      <c r="D506" s="6" t="s">
        <v>763</v>
      </c>
    </row>
    <row r="507" spans="1:4" x14ac:dyDescent="0.25">
      <c r="A507" s="13" t="e">
        <f>VLOOKUP(B507:B1214,#REF!,1,FALSE)</f>
        <v>#REF!</v>
      </c>
      <c r="B507" s="27">
        <v>47848</v>
      </c>
      <c r="C507" s="7" t="s">
        <v>239</v>
      </c>
      <c r="D507" s="6" t="s">
        <v>618</v>
      </c>
    </row>
    <row r="508" spans="1:4" x14ac:dyDescent="0.25">
      <c r="A508" s="13" t="e">
        <f>VLOOKUP(B508:B1215,#REF!,1,FALSE)</f>
        <v>#REF!</v>
      </c>
      <c r="B508" s="27">
        <v>47856</v>
      </c>
      <c r="C508" s="7" t="s">
        <v>1209</v>
      </c>
      <c r="D508" s="6" t="s">
        <v>1210</v>
      </c>
    </row>
    <row r="509" spans="1:4" x14ac:dyDescent="0.25">
      <c r="A509" s="13" t="e">
        <f>VLOOKUP(B509:B1216,#REF!,1,FALSE)</f>
        <v>#REF!</v>
      </c>
      <c r="B509" s="27">
        <v>47858</v>
      </c>
      <c r="C509" s="7" t="s">
        <v>971</v>
      </c>
      <c r="D509" s="6" t="s">
        <v>972</v>
      </c>
    </row>
    <row r="510" spans="1:4" x14ac:dyDescent="0.25">
      <c r="A510" s="13" t="e">
        <f>VLOOKUP(B510:B1217,#REF!,1,FALSE)</f>
        <v>#REF!</v>
      </c>
      <c r="B510" s="24">
        <v>47860</v>
      </c>
      <c r="C510" s="10" t="s">
        <v>1313</v>
      </c>
      <c r="D510" s="8" t="s">
        <v>1314</v>
      </c>
    </row>
    <row r="511" spans="1:4" x14ac:dyDescent="0.25">
      <c r="A511" s="13" t="e">
        <f>VLOOKUP(B511:B1218,#REF!,1,FALSE)</f>
        <v>#REF!</v>
      </c>
      <c r="B511" s="27">
        <v>47862</v>
      </c>
      <c r="C511" s="7" t="s">
        <v>838</v>
      </c>
      <c r="D511" s="6" t="s">
        <v>839</v>
      </c>
    </row>
    <row r="512" spans="1:4" x14ac:dyDescent="0.25">
      <c r="A512" s="13" t="e">
        <f>VLOOKUP(B512:B1219,#REF!,1,FALSE)</f>
        <v>#REF!</v>
      </c>
      <c r="B512" s="27">
        <v>47863</v>
      </c>
      <c r="C512" s="7" t="s">
        <v>969</v>
      </c>
      <c r="D512" s="6" t="s">
        <v>970</v>
      </c>
    </row>
    <row r="513" spans="1:4" x14ac:dyDescent="0.25">
      <c r="A513" s="13" t="e">
        <f>VLOOKUP(B513:B1220,#REF!,1,FALSE)</f>
        <v>#REF!</v>
      </c>
      <c r="B513" s="27">
        <v>47864</v>
      </c>
      <c r="C513" s="7" t="s">
        <v>1163</v>
      </c>
      <c r="D513" s="6" t="s">
        <v>1164</v>
      </c>
    </row>
    <row r="514" spans="1:4" x14ac:dyDescent="0.25">
      <c r="A514" s="13" t="e">
        <f>VLOOKUP(B514:B1221,#REF!,1,FALSE)</f>
        <v>#REF!</v>
      </c>
      <c r="B514" s="27">
        <v>47865</v>
      </c>
      <c r="C514" s="7" t="s">
        <v>1165</v>
      </c>
      <c r="D514" s="6" t="s">
        <v>1166</v>
      </c>
    </row>
    <row r="515" spans="1:4" x14ac:dyDescent="0.25">
      <c r="A515" s="13" t="e">
        <f>VLOOKUP(B515:B1222,#REF!,1,FALSE)</f>
        <v>#REF!</v>
      </c>
      <c r="B515" s="27">
        <v>47866</v>
      </c>
      <c r="C515" s="7" t="s">
        <v>1167</v>
      </c>
      <c r="D515" s="6" t="s">
        <v>1168</v>
      </c>
    </row>
    <row r="516" spans="1:4" x14ac:dyDescent="0.25">
      <c r="A516" s="13" t="e">
        <f>VLOOKUP(B516:B1223,#REF!,1,FALSE)</f>
        <v>#REF!</v>
      </c>
      <c r="B516" s="27">
        <v>47867</v>
      </c>
      <c r="C516" s="7" t="s">
        <v>1169</v>
      </c>
      <c r="D516" s="6" t="s">
        <v>1170</v>
      </c>
    </row>
    <row r="517" spans="1:4" x14ac:dyDescent="0.25">
      <c r="A517" s="13" t="e">
        <f>VLOOKUP(B517:B1224,#REF!,1,FALSE)</f>
        <v>#REF!</v>
      </c>
      <c r="B517" s="27">
        <v>47870</v>
      </c>
      <c r="C517" s="7" t="s">
        <v>844</v>
      </c>
      <c r="D517" s="6" t="s">
        <v>845</v>
      </c>
    </row>
    <row r="518" spans="1:4" x14ac:dyDescent="0.25">
      <c r="A518" s="13" t="e">
        <f>VLOOKUP(B518:B1225,#REF!,1,FALSE)</f>
        <v>#REF!</v>
      </c>
      <c r="B518" s="27">
        <v>47872</v>
      </c>
      <c r="C518" s="7" t="s">
        <v>1171</v>
      </c>
      <c r="D518" s="6" t="s">
        <v>1172</v>
      </c>
    </row>
    <row r="519" spans="1:4" x14ac:dyDescent="0.25">
      <c r="A519" s="13" t="e">
        <f>VLOOKUP(B519:B1226,#REF!,1,FALSE)</f>
        <v>#REF!</v>
      </c>
      <c r="B519" s="27">
        <v>47873</v>
      </c>
      <c r="C519" s="7" t="s">
        <v>1173</v>
      </c>
      <c r="D519" s="6" t="s">
        <v>1174</v>
      </c>
    </row>
    <row r="520" spans="1:4" x14ac:dyDescent="0.25">
      <c r="A520" s="13" t="e">
        <f>VLOOKUP(B520:B1227,#REF!,1,FALSE)</f>
        <v>#REF!</v>
      </c>
      <c r="B520" s="27">
        <v>47874</v>
      </c>
      <c r="C520" s="7" t="s">
        <v>1175</v>
      </c>
      <c r="D520" s="6" t="s">
        <v>1176</v>
      </c>
    </row>
    <row r="521" spans="1:4" x14ac:dyDescent="0.25">
      <c r="A521" s="13" t="e">
        <f>VLOOKUP(B521:B1228,#REF!,1,FALSE)</f>
        <v>#REF!</v>
      </c>
      <c r="B521" s="27">
        <v>47875</v>
      </c>
      <c r="C521" s="7" t="s">
        <v>973</v>
      </c>
      <c r="D521" s="6" t="s">
        <v>974</v>
      </c>
    </row>
    <row r="522" spans="1:4" x14ac:dyDescent="0.25">
      <c r="A522" s="13" t="e">
        <f>VLOOKUP(B522:B1229,#REF!,1,FALSE)</f>
        <v>#REF!</v>
      </c>
      <c r="B522" s="27">
        <v>47886</v>
      </c>
      <c r="C522" s="7" t="s">
        <v>1177</v>
      </c>
      <c r="D522" s="6" t="s">
        <v>1178</v>
      </c>
    </row>
    <row r="523" spans="1:4" x14ac:dyDescent="0.25">
      <c r="A523" s="13" t="e">
        <f>VLOOKUP(B523:B1230,#REF!,1,FALSE)</f>
        <v>#REF!</v>
      </c>
      <c r="B523" s="27">
        <v>47900</v>
      </c>
      <c r="C523" s="7" t="s">
        <v>1179</v>
      </c>
      <c r="D523" s="6" t="s">
        <v>1180</v>
      </c>
    </row>
    <row r="524" spans="1:4" x14ac:dyDescent="0.25">
      <c r="A524" s="13" t="e">
        <f>VLOOKUP(B524:B1231,#REF!,1,FALSE)</f>
        <v>#REF!</v>
      </c>
      <c r="B524" s="27">
        <v>47901</v>
      </c>
      <c r="C524" s="7" t="s">
        <v>1211</v>
      </c>
      <c r="D524" s="6" t="s">
        <v>1212</v>
      </c>
    </row>
    <row r="525" spans="1:4" x14ac:dyDescent="0.25">
      <c r="A525" s="13" t="e">
        <f>VLOOKUP(B525:B1232,#REF!,1,FALSE)</f>
        <v>#REF!</v>
      </c>
      <c r="B525" s="27">
        <v>47904</v>
      </c>
      <c r="C525" s="7" t="s">
        <v>1181</v>
      </c>
      <c r="D525" s="6" t="s">
        <v>1182</v>
      </c>
    </row>
    <row r="526" spans="1:4" x14ac:dyDescent="0.25">
      <c r="A526" s="13" t="e">
        <f>VLOOKUP(B526:B1233,#REF!,1,FALSE)</f>
        <v>#REF!</v>
      </c>
      <c r="B526" s="27">
        <v>47905</v>
      </c>
      <c r="C526" s="7" t="s">
        <v>1213</v>
      </c>
      <c r="D526" s="6" t="s">
        <v>1214</v>
      </c>
    </row>
    <row r="527" spans="1:4" x14ac:dyDescent="0.25">
      <c r="A527" s="13" t="e">
        <f>VLOOKUP(B527:B1234,#REF!,1,FALSE)</f>
        <v>#REF!</v>
      </c>
      <c r="B527" s="24">
        <v>47927</v>
      </c>
      <c r="C527" s="10" t="s">
        <v>1315</v>
      </c>
      <c r="D527" s="8" t="s">
        <v>1316</v>
      </c>
    </row>
    <row r="528" spans="1:4" x14ac:dyDescent="0.25">
      <c r="A528" s="13" t="e">
        <f>VLOOKUP(B528:B1235,#REF!,1,FALSE)</f>
        <v>#REF!</v>
      </c>
      <c r="B528" s="27">
        <v>47930</v>
      </c>
      <c r="C528" s="7" t="s">
        <v>1183</v>
      </c>
      <c r="D528" s="6" t="s">
        <v>1184</v>
      </c>
    </row>
    <row r="529" spans="1:4" x14ac:dyDescent="0.25">
      <c r="A529" s="13" t="e">
        <f>VLOOKUP(B529:B1236,#REF!,1,FALSE)</f>
        <v>#REF!</v>
      </c>
      <c r="B529" s="27">
        <v>47951</v>
      </c>
      <c r="C529" s="7" t="s">
        <v>1215</v>
      </c>
      <c r="D529" s="6" t="s">
        <v>1216</v>
      </c>
    </row>
    <row r="530" spans="1:4" x14ac:dyDescent="0.25">
      <c r="A530" s="13" t="e">
        <f>VLOOKUP(B530:B1237,#REF!,1,FALSE)</f>
        <v>#REF!</v>
      </c>
      <c r="B530" s="14">
        <v>47986</v>
      </c>
      <c r="C530" s="12" t="s">
        <v>447</v>
      </c>
      <c r="D530" s="16" t="s">
        <v>1429</v>
      </c>
    </row>
    <row r="531" spans="1:4" x14ac:dyDescent="0.25">
      <c r="A531" s="13" t="e">
        <f>VLOOKUP(B531:B1238,#REF!,1,FALSE)</f>
        <v>#REF!</v>
      </c>
      <c r="B531" s="27">
        <v>47996</v>
      </c>
      <c r="C531" s="7" t="s">
        <v>1185</v>
      </c>
      <c r="D531" s="6" t="s">
        <v>1186</v>
      </c>
    </row>
    <row r="532" spans="1:4" x14ac:dyDescent="0.25">
      <c r="A532" s="13" t="e">
        <f>VLOOKUP(B532:B1239,#REF!,1,FALSE)</f>
        <v>#REF!</v>
      </c>
      <c r="B532" s="27">
        <v>47997</v>
      </c>
      <c r="C532" s="7" t="s">
        <v>1187</v>
      </c>
      <c r="D532" s="6" t="s">
        <v>1188</v>
      </c>
    </row>
    <row r="533" spans="1:4" x14ac:dyDescent="0.25">
      <c r="A533" s="13" t="e">
        <f>VLOOKUP(B533:B1240,#REF!,1,FALSE)</f>
        <v>#REF!</v>
      </c>
      <c r="B533" s="14">
        <v>48019</v>
      </c>
      <c r="C533" s="12" t="s">
        <v>448</v>
      </c>
      <c r="D533" s="16" t="s">
        <v>1430</v>
      </c>
    </row>
    <row r="534" spans="1:4" x14ac:dyDescent="0.25">
      <c r="A534" s="13" t="e">
        <f>VLOOKUP(B534:B1241,#REF!,1,FALSE)</f>
        <v>#REF!</v>
      </c>
      <c r="B534" s="27">
        <v>48024</v>
      </c>
      <c r="C534" s="7" t="s">
        <v>1217</v>
      </c>
      <c r="D534" s="6" t="s">
        <v>1218</v>
      </c>
    </row>
    <row r="535" spans="1:4" x14ac:dyDescent="0.25">
      <c r="A535" s="13" t="e">
        <f>VLOOKUP(B535:B1242,#REF!,1,FALSE)</f>
        <v>#REF!</v>
      </c>
      <c r="B535" s="27">
        <v>48025</v>
      </c>
      <c r="C535" s="7" t="s">
        <v>967</v>
      </c>
      <c r="D535" s="6" t="s">
        <v>968</v>
      </c>
    </row>
    <row r="536" spans="1:4" x14ac:dyDescent="0.25">
      <c r="A536" s="13" t="e">
        <f>VLOOKUP(B536:B1243,#REF!,1,FALSE)</f>
        <v>#REF!</v>
      </c>
      <c r="B536" s="27">
        <v>48044</v>
      </c>
      <c r="C536" s="7" t="s">
        <v>965</v>
      </c>
      <c r="D536" s="6" t="s">
        <v>966</v>
      </c>
    </row>
    <row r="537" spans="1:4" x14ac:dyDescent="0.25">
      <c r="A537" s="13" t="e">
        <f>VLOOKUP(B537:B1244,#REF!,1,FALSE)</f>
        <v>#REF!</v>
      </c>
      <c r="B537" s="27">
        <v>48055</v>
      </c>
      <c r="C537" s="7" t="s">
        <v>240</v>
      </c>
      <c r="D537" s="6" t="s">
        <v>732</v>
      </c>
    </row>
    <row r="538" spans="1:4" x14ac:dyDescent="0.25">
      <c r="A538" s="13" t="e">
        <f>VLOOKUP(B538:B1245,#REF!,1,FALSE)</f>
        <v>#REF!</v>
      </c>
      <c r="B538" s="27">
        <v>48056</v>
      </c>
      <c r="C538" s="7" t="s">
        <v>241</v>
      </c>
      <c r="D538" s="6" t="s">
        <v>731</v>
      </c>
    </row>
    <row r="539" spans="1:4" x14ac:dyDescent="0.25">
      <c r="A539" s="13" t="e">
        <f>VLOOKUP(B539:B1246,#REF!,1,FALSE)</f>
        <v>#REF!</v>
      </c>
      <c r="B539" s="27">
        <v>48059</v>
      </c>
      <c r="C539" s="7" t="s">
        <v>254</v>
      </c>
      <c r="D539" s="6" t="s">
        <v>964</v>
      </c>
    </row>
    <row r="540" spans="1:4" x14ac:dyDescent="0.25">
      <c r="A540" s="13" t="e">
        <f>VLOOKUP(B540:B1247,#REF!,1,FALSE)</f>
        <v>#REF!</v>
      </c>
      <c r="B540" s="27">
        <v>48066</v>
      </c>
      <c r="C540" s="7" t="s">
        <v>242</v>
      </c>
      <c r="D540" s="6" t="s">
        <v>756</v>
      </c>
    </row>
    <row r="541" spans="1:4" x14ac:dyDescent="0.25">
      <c r="A541" s="13" t="e">
        <f>VLOOKUP(B541:B1248,#REF!,1,FALSE)</f>
        <v>#REF!</v>
      </c>
      <c r="B541" s="27">
        <v>48067</v>
      </c>
      <c r="C541" s="7" t="s">
        <v>244</v>
      </c>
      <c r="D541" s="6" t="s">
        <v>740</v>
      </c>
    </row>
    <row r="542" spans="1:4" x14ac:dyDescent="0.25">
      <c r="A542" s="13" t="e">
        <f>VLOOKUP(B542:B1249,#REF!,1,FALSE)</f>
        <v>#REF!</v>
      </c>
      <c r="B542" s="27">
        <v>48068</v>
      </c>
      <c r="C542" s="7" t="s">
        <v>246</v>
      </c>
      <c r="D542" s="6" t="s">
        <v>715</v>
      </c>
    </row>
    <row r="543" spans="1:4" x14ac:dyDescent="0.25">
      <c r="A543" s="13" t="e">
        <f>VLOOKUP(B543:B1250,#REF!,1,FALSE)</f>
        <v>#REF!</v>
      </c>
      <c r="B543" s="27">
        <v>48069</v>
      </c>
      <c r="C543" s="7" t="s">
        <v>247</v>
      </c>
      <c r="D543" s="6" t="s">
        <v>714</v>
      </c>
    </row>
    <row r="544" spans="1:4" x14ac:dyDescent="0.25">
      <c r="A544" s="13" t="e">
        <f>VLOOKUP(B544:B1251,#REF!,1,FALSE)</f>
        <v>#REF!</v>
      </c>
      <c r="B544" s="27">
        <v>48070</v>
      </c>
      <c r="C544" s="7" t="s">
        <v>248</v>
      </c>
      <c r="D544" s="6" t="s">
        <v>716</v>
      </c>
    </row>
    <row r="545" spans="1:4" x14ac:dyDescent="0.25">
      <c r="A545" s="13" t="e">
        <f>VLOOKUP(B545:B1252,#REF!,1,FALSE)</f>
        <v>#REF!</v>
      </c>
      <c r="B545" s="14">
        <v>48082</v>
      </c>
      <c r="C545" s="12" t="s">
        <v>449</v>
      </c>
      <c r="D545" s="16" t="s">
        <v>450</v>
      </c>
    </row>
    <row r="546" spans="1:4" x14ac:dyDescent="0.25">
      <c r="A546" s="13" t="e">
        <f>VLOOKUP(B546:B1253,#REF!,1,FALSE)</f>
        <v>#REF!</v>
      </c>
      <c r="B546" s="27">
        <v>48088</v>
      </c>
      <c r="C546" s="7" t="s">
        <v>250</v>
      </c>
      <c r="D546" s="6" t="s">
        <v>721</v>
      </c>
    </row>
    <row r="547" spans="1:4" x14ac:dyDescent="0.25">
      <c r="A547" s="13" t="e">
        <f>VLOOKUP(B547:B1254,#REF!,1,FALSE)</f>
        <v>#REF!</v>
      </c>
      <c r="B547" s="27">
        <v>48089</v>
      </c>
      <c r="C547" s="7" t="s">
        <v>251</v>
      </c>
      <c r="D547" s="6" t="s">
        <v>734</v>
      </c>
    </row>
    <row r="548" spans="1:4" x14ac:dyDescent="0.25">
      <c r="A548" s="13" t="e">
        <f>VLOOKUP(B548:B1255,#REF!,1,FALSE)</f>
        <v>#REF!</v>
      </c>
      <c r="B548" s="27">
        <v>48090</v>
      </c>
      <c r="C548" s="7" t="s">
        <v>253</v>
      </c>
      <c r="D548" s="6" t="s">
        <v>724</v>
      </c>
    </row>
    <row r="549" spans="1:4" x14ac:dyDescent="0.25">
      <c r="A549" s="13" t="e">
        <f>VLOOKUP(B549:B1256,#REF!,1,FALSE)</f>
        <v>#REF!</v>
      </c>
      <c r="B549" s="27">
        <v>48091</v>
      </c>
      <c r="C549" s="7" t="s">
        <v>254</v>
      </c>
      <c r="D549" s="30" t="s">
        <v>1464</v>
      </c>
    </row>
    <row r="550" spans="1:4" x14ac:dyDescent="0.25">
      <c r="A550" s="13" t="e">
        <f>VLOOKUP(B550:B1257,#REF!,1,FALSE)</f>
        <v>#REF!</v>
      </c>
      <c r="B550" s="27">
        <v>48092</v>
      </c>
      <c r="C550" s="7" t="s">
        <v>256</v>
      </c>
      <c r="D550" s="6" t="s">
        <v>743</v>
      </c>
    </row>
    <row r="551" spans="1:4" x14ac:dyDescent="0.25">
      <c r="A551" s="13" t="e">
        <f>VLOOKUP(B551:B1258,#REF!,1,FALSE)</f>
        <v>#REF!</v>
      </c>
      <c r="B551" s="24">
        <v>48140</v>
      </c>
      <c r="C551" s="10" t="s">
        <v>1317</v>
      </c>
      <c r="D551" s="8" t="s">
        <v>1318</v>
      </c>
    </row>
    <row r="552" spans="1:4" x14ac:dyDescent="0.25">
      <c r="A552" s="13" t="e">
        <f>VLOOKUP(B552:B1259,#REF!,1,FALSE)</f>
        <v>#REF!</v>
      </c>
      <c r="B552" s="24">
        <v>48141</v>
      </c>
      <c r="C552" s="10" t="s">
        <v>1319</v>
      </c>
      <c r="D552" s="8" t="s">
        <v>1320</v>
      </c>
    </row>
    <row r="553" spans="1:4" x14ac:dyDescent="0.25">
      <c r="A553" s="13" t="e">
        <f>VLOOKUP(B553:B1260,#REF!,1,FALSE)</f>
        <v>#REF!</v>
      </c>
      <c r="B553" s="24">
        <v>48142</v>
      </c>
      <c r="C553" s="10" t="s">
        <v>1321</v>
      </c>
      <c r="D553" s="8" t="s">
        <v>1322</v>
      </c>
    </row>
    <row r="554" spans="1:4" x14ac:dyDescent="0.25">
      <c r="A554" s="13" t="e">
        <f>VLOOKUP(B554:B1261,#REF!,1,FALSE)</f>
        <v>#REF!</v>
      </c>
      <c r="B554" s="24">
        <v>48143</v>
      </c>
      <c r="C554" s="10" t="s">
        <v>1323</v>
      </c>
      <c r="D554" s="8" t="s">
        <v>1324</v>
      </c>
    </row>
    <row r="555" spans="1:4" x14ac:dyDescent="0.25">
      <c r="A555" s="13" t="e">
        <f>VLOOKUP(B555:B1262,#REF!,1,FALSE)</f>
        <v>#REF!</v>
      </c>
      <c r="B555" s="24">
        <v>48144</v>
      </c>
      <c r="C555" s="10" t="s">
        <v>1325</v>
      </c>
      <c r="D555" s="8" t="s">
        <v>1326</v>
      </c>
    </row>
    <row r="556" spans="1:4" x14ac:dyDescent="0.25">
      <c r="A556" s="13" t="e">
        <f>VLOOKUP(B556:B1263,#REF!,1,FALSE)</f>
        <v>#REF!</v>
      </c>
      <c r="B556" s="27">
        <v>48155</v>
      </c>
      <c r="C556" s="7" t="s">
        <v>257</v>
      </c>
      <c r="D556" s="6" t="s">
        <v>619</v>
      </c>
    </row>
    <row r="557" spans="1:4" x14ac:dyDescent="0.25">
      <c r="A557" s="13" t="e">
        <f>VLOOKUP(B557:B1264,#REF!,1,FALSE)</f>
        <v>#REF!</v>
      </c>
      <c r="B557" s="27">
        <v>48164</v>
      </c>
      <c r="C557" s="7" t="s">
        <v>962</v>
      </c>
      <c r="D557" s="6" t="s">
        <v>963</v>
      </c>
    </row>
    <row r="558" spans="1:4" x14ac:dyDescent="0.25">
      <c r="A558" s="13" t="e">
        <f>VLOOKUP(B558:B1265,#REF!,1,FALSE)</f>
        <v>#REF!</v>
      </c>
      <c r="B558" s="27">
        <v>48165</v>
      </c>
      <c r="C558" s="7" t="s">
        <v>960</v>
      </c>
      <c r="D558" s="6" t="s">
        <v>961</v>
      </c>
    </row>
    <row r="559" spans="1:4" x14ac:dyDescent="0.25">
      <c r="A559" s="13" t="e">
        <f>VLOOKUP(B559:B1266,#REF!,1,FALSE)</f>
        <v>#REF!</v>
      </c>
      <c r="B559" s="27">
        <v>48180</v>
      </c>
      <c r="C559" s="7" t="s">
        <v>258</v>
      </c>
      <c r="D559" s="6" t="s">
        <v>749</v>
      </c>
    </row>
    <row r="560" spans="1:4" x14ac:dyDescent="0.25">
      <c r="A560" s="13" t="e">
        <f>VLOOKUP(B560:B1267,#REF!,1,FALSE)</f>
        <v>#REF!</v>
      </c>
      <c r="B560" s="27">
        <v>48181</v>
      </c>
      <c r="C560" s="7" t="s">
        <v>259</v>
      </c>
      <c r="D560" s="6" t="s">
        <v>747</v>
      </c>
    </row>
    <row r="561" spans="1:4" x14ac:dyDescent="0.25">
      <c r="A561" s="13" t="e">
        <f>VLOOKUP(B561:B1268,#REF!,1,FALSE)</f>
        <v>#REF!</v>
      </c>
      <c r="B561" s="27">
        <v>48189</v>
      </c>
      <c r="C561" s="7" t="s">
        <v>958</v>
      </c>
      <c r="D561" s="6" t="s">
        <v>959</v>
      </c>
    </row>
    <row r="562" spans="1:4" x14ac:dyDescent="0.25">
      <c r="A562" s="13" t="e">
        <f>VLOOKUP(B562:B1269,#REF!,1,FALSE)</f>
        <v>#REF!</v>
      </c>
      <c r="B562" s="27">
        <v>49479</v>
      </c>
      <c r="C562" s="7" t="s">
        <v>956</v>
      </c>
      <c r="D562" s="6" t="s">
        <v>957</v>
      </c>
    </row>
    <row r="563" spans="1:4" x14ac:dyDescent="0.25">
      <c r="A563" s="13" t="e">
        <f>VLOOKUP(B563:B1270,#REF!,1,FALSE)</f>
        <v>#REF!</v>
      </c>
      <c r="B563" s="27">
        <v>52522</v>
      </c>
      <c r="C563" s="7" t="s">
        <v>954</v>
      </c>
      <c r="D563" s="6" t="s">
        <v>955</v>
      </c>
    </row>
    <row r="564" spans="1:4" x14ac:dyDescent="0.25">
      <c r="A564" s="13" t="e">
        <f>VLOOKUP(B564:B1271,#REF!,1,FALSE)</f>
        <v>#REF!</v>
      </c>
      <c r="B564" s="19">
        <v>52751</v>
      </c>
      <c r="C564" s="12" t="s">
        <v>510</v>
      </c>
      <c r="D564" s="15" t="s">
        <v>518</v>
      </c>
    </row>
    <row r="565" spans="1:4" x14ac:dyDescent="0.25">
      <c r="A565" s="13" t="e">
        <f>VLOOKUP(B565:B1272,#REF!,1,FALSE)</f>
        <v>#REF!</v>
      </c>
      <c r="B565" s="24">
        <v>53303</v>
      </c>
      <c r="C565" s="10" t="s">
        <v>1327</v>
      </c>
      <c r="D565" s="8" t="s">
        <v>1328</v>
      </c>
    </row>
    <row r="566" spans="1:4" x14ac:dyDescent="0.25">
      <c r="A566" s="13" t="e">
        <f>VLOOKUP(B566:B1273,#REF!,1,FALSE)</f>
        <v>#REF!</v>
      </c>
      <c r="B566" s="24">
        <v>55791</v>
      </c>
      <c r="C566" s="10" t="s">
        <v>1329</v>
      </c>
      <c r="D566" s="8" t="s">
        <v>1330</v>
      </c>
    </row>
    <row r="567" spans="1:4" x14ac:dyDescent="0.25">
      <c r="A567" s="13" t="e">
        <f>VLOOKUP(B567:B1274,#REF!,1,FALSE)</f>
        <v>#REF!</v>
      </c>
      <c r="B567" s="27">
        <v>55833</v>
      </c>
      <c r="C567" s="7" t="s">
        <v>260</v>
      </c>
      <c r="D567" s="6" t="s">
        <v>753</v>
      </c>
    </row>
    <row r="568" spans="1:4" x14ac:dyDescent="0.25">
      <c r="A568" s="13" t="e">
        <f>VLOOKUP(B568:B1275,#REF!,1,FALSE)</f>
        <v>#REF!</v>
      </c>
      <c r="B568" s="27">
        <v>55851</v>
      </c>
      <c r="C568" s="7" t="s">
        <v>952</v>
      </c>
      <c r="D568" s="6" t="s">
        <v>953</v>
      </c>
    </row>
    <row r="569" spans="1:4" x14ac:dyDescent="0.25">
      <c r="A569" s="13" t="e">
        <f>VLOOKUP(B569:B1276,#REF!,1,FALSE)</f>
        <v>#REF!</v>
      </c>
      <c r="B569" s="14">
        <v>56296</v>
      </c>
      <c r="C569" s="12" t="s">
        <v>451</v>
      </c>
      <c r="D569" s="16" t="s">
        <v>452</v>
      </c>
    </row>
    <row r="570" spans="1:4" x14ac:dyDescent="0.25">
      <c r="A570" s="13" t="e">
        <f>VLOOKUP(B570:B1277,#REF!,1,FALSE)</f>
        <v>#REF!</v>
      </c>
      <c r="B570" s="27">
        <v>56302</v>
      </c>
      <c r="C570" s="7" t="s">
        <v>950</v>
      </c>
      <c r="D570" s="6" t="s">
        <v>951</v>
      </c>
    </row>
    <row r="571" spans="1:4" x14ac:dyDescent="0.25">
      <c r="A571" s="13" t="e">
        <f>VLOOKUP(B571:B1278,#REF!,1,FALSE)</f>
        <v>#REF!</v>
      </c>
      <c r="B571" s="14">
        <v>56636</v>
      </c>
      <c r="C571" s="12" t="s">
        <v>453</v>
      </c>
      <c r="D571" s="16" t="s">
        <v>454</v>
      </c>
    </row>
    <row r="572" spans="1:4" x14ac:dyDescent="0.25">
      <c r="A572" s="13" t="e">
        <f>VLOOKUP(B572:B1279,#REF!,1,FALSE)</f>
        <v>#REF!</v>
      </c>
      <c r="B572" s="27">
        <v>56637</v>
      </c>
      <c r="C572" s="7" t="s">
        <v>261</v>
      </c>
      <c r="D572" s="6" t="s">
        <v>776</v>
      </c>
    </row>
    <row r="573" spans="1:4" x14ac:dyDescent="0.25">
      <c r="A573" s="13" t="e">
        <f>VLOOKUP(B573:B1280,#REF!,1,FALSE)</f>
        <v>#REF!</v>
      </c>
      <c r="B573" s="24">
        <v>56640</v>
      </c>
      <c r="C573" s="10" t="s">
        <v>1387</v>
      </c>
      <c r="D573" s="8" t="s">
        <v>1388</v>
      </c>
    </row>
    <row r="574" spans="1:4" x14ac:dyDescent="0.25">
      <c r="A574" s="13" t="e">
        <f>VLOOKUP(B574:B1281,#REF!,1,FALSE)</f>
        <v>#REF!</v>
      </c>
      <c r="B574" s="27">
        <v>56642</v>
      </c>
      <c r="C574" s="7" t="s">
        <v>262</v>
      </c>
      <c r="D574" s="6" t="s">
        <v>709</v>
      </c>
    </row>
    <row r="575" spans="1:4" x14ac:dyDescent="0.25">
      <c r="A575" s="13" t="e">
        <f>VLOOKUP(B575:B1282,#REF!,1,FALSE)</f>
        <v>#REF!</v>
      </c>
      <c r="B575" s="27">
        <v>56643</v>
      </c>
      <c r="C575" s="7" t="s">
        <v>836</v>
      </c>
      <c r="D575" s="6" t="s">
        <v>837</v>
      </c>
    </row>
    <row r="576" spans="1:4" x14ac:dyDescent="0.25">
      <c r="A576" s="13" t="e">
        <f>VLOOKUP(B576:B1283,#REF!,1,FALSE)</f>
        <v>#REF!</v>
      </c>
      <c r="B576" s="27">
        <v>56644</v>
      </c>
      <c r="C576" s="7" t="s">
        <v>948</v>
      </c>
      <c r="D576" s="6" t="s">
        <v>949</v>
      </c>
    </row>
    <row r="577" spans="1:4" x14ac:dyDescent="0.25">
      <c r="A577" s="13" t="e">
        <f>VLOOKUP(B577:B1284,#REF!,1,FALSE)</f>
        <v>#REF!</v>
      </c>
      <c r="B577" s="27">
        <v>56649</v>
      </c>
      <c r="C577" s="7" t="s">
        <v>263</v>
      </c>
      <c r="D577" s="6" t="s">
        <v>684</v>
      </c>
    </row>
    <row r="578" spans="1:4" x14ac:dyDescent="0.25">
      <c r="A578" s="13" t="e">
        <f>VLOOKUP(B578:B1285,#REF!,1,FALSE)</f>
        <v>#REF!</v>
      </c>
      <c r="B578" s="24">
        <v>56684</v>
      </c>
      <c r="C578" s="10" t="s">
        <v>1331</v>
      </c>
      <c r="D578" s="8" t="s">
        <v>1332</v>
      </c>
    </row>
    <row r="579" spans="1:4" x14ac:dyDescent="0.25">
      <c r="A579" s="13" t="e">
        <f>VLOOKUP(B579:B1286,#REF!,1,FALSE)</f>
        <v>#REF!</v>
      </c>
      <c r="B579" s="24">
        <v>56706</v>
      </c>
      <c r="C579" s="10" t="s">
        <v>1333</v>
      </c>
      <c r="D579" s="8" t="s">
        <v>1334</v>
      </c>
    </row>
    <row r="580" spans="1:4" x14ac:dyDescent="0.25">
      <c r="A580" s="13" t="e">
        <f>VLOOKUP(B580:B1287,#REF!,1,FALSE)</f>
        <v>#REF!</v>
      </c>
      <c r="B580" s="27">
        <v>56710</v>
      </c>
      <c r="C580" s="7" t="s">
        <v>946</v>
      </c>
      <c r="D580" s="6" t="s">
        <v>947</v>
      </c>
    </row>
    <row r="581" spans="1:4" x14ac:dyDescent="0.25">
      <c r="A581" s="13" t="e">
        <f>VLOOKUP(B581:B1288,#REF!,1,FALSE)</f>
        <v>#REF!</v>
      </c>
      <c r="B581" s="24">
        <v>56915</v>
      </c>
      <c r="C581" s="10" t="s">
        <v>1335</v>
      </c>
      <c r="D581" s="8" t="s">
        <v>1336</v>
      </c>
    </row>
    <row r="582" spans="1:4" x14ac:dyDescent="0.25">
      <c r="A582" s="13" t="e">
        <f>VLOOKUP(B582:B1289,#REF!,1,FALSE)</f>
        <v>#REF!</v>
      </c>
      <c r="B582" s="24">
        <v>56919</v>
      </c>
      <c r="C582" s="10" t="s">
        <v>1337</v>
      </c>
      <c r="D582" s="8" t="s">
        <v>1338</v>
      </c>
    </row>
    <row r="583" spans="1:4" x14ac:dyDescent="0.25">
      <c r="A583" s="13" t="e">
        <f>VLOOKUP(B583:B1290,#REF!,1,FALSE)</f>
        <v>#REF!</v>
      </c>
      <c r="B583" s="24">
        <v>57797</v>
      </c>
      <c r="C583" s="10" t="s">
        <v>1339</v>
      </c>
      <c r="D583" s="8" t="s">
        <v>1340</v>
      </c>
    </row>
    <row r="584" spans="1:4" x14ac:dyDescent="0.25">
      <c r="A584" s="13" t="e">
        <f>VLOOKUP(B584:B1291,#REF!,1,FALSE)</f>
        <v>#REF!</v>
      </c>
      <c r="B584" s="27">
        <v>57805</v>
      </c>
      <c r="C584" s="7" t="s">
        <v>788</v>
      </c>
      <c r="D584" s="6" t="s">
        <v>789</v>
      </c>
    </row>
    <row r="585" spans="1:4" x14ac:dyDescent="0.25">
      <c r="A585" s="13" t="e">
        <f>VLOOKUP(B585:B1292,#REF!,1,FALSE)</f>
        <v>#REF!</v>
      </c>
      <c r="B585" s="27">
        <v>57806</v>
      </c>
      <c r="C585" s="7" t="s">
        <v>802</v>
      </c>
      <c r="D585" s="6" t="s">
        <v>803</v>
      </c>
    </row>
    <row r="586" spans="1:4" x14ac:dyDescent="0.25">
      <c r="A586" s="13" t="e">
        <f>VLOOKUP(B586:B1293,#REF!,1,FALSE)</f>
        <v>#REF!</v>
      </c>
      <c r="B586" s="14">
        <v>57825</v>
      </c>
      <c r="C586" s="12" t="s">
        <v>455</v>
      </c>
      <c r="D586" s="16" t="s">
        <v>1431</v>
      </c>
    </row>
    <row r="587" spans="1:4" x14ac:dyDescent="0.25">
      <c r="A587" s="13" t="e">
        <f>VLOOKUP(B587:B1294,#REF!,1,FALSE)</f>
        <v>#REF!</v>
      </c>
      <c r="B587" s="32">
        <v>57871</v>
      </c>
      <c r="C587" s="10" t="s">
        <v>1341</v>
      </c>
      <c r="D587" s="8" t="s">
        <v>1342</v>
      </c>
    </row>
    <row r="588" spans="1:4" x14ac:dyDescent="0.25">
      <c r="A588" s="13" t="e">
        <f>VLOOKUP(B588:B1295,#REF!,1,FALSE)</f>
        <v>#REF!</v>
      </c>
      <c r="B588" s="27">
        <v>57874</v>
      </c>
      <c r="C588" s="7" t="s">
        <v>264</v>
      </c>
      <c r="D588" s="6" t="s">
        <v>671</v>
      </c>
    </row>
    <row r="589" spans="1:4" x14ac:dyDescent="0.25">
      <c r="A589" s="13" t="e">
        <f>VLOOKUP(B589:B1296,#REF!,1,FALSE)</f>
        <v>#REF!</v>
      </c>
      <c r="B589" s="19">
        <v>57956</v>
      </c>
      <c r="C589" s="12" t="s">
        <v>521</v>
      </c>
      <c r="D589" s="15" t="s">
        <v>522</v>
      </c>
    </row>
    <row r="590" spans="1:4" x14ac:dyDescent="0.25">
      <c r="A590" s="13" t="e">
        <f>VLOOKUP(B590:B1297,#REF!,1,FALSE)</f>
        <v>#REF!</v>
      </c>
      <c r="B590" s="24">
        <v>58007</v>
      </c>
      <c r="C590" s="10" t="s">
        <v>1343</v>
      </c>
      <c r="D590" s="8" t="s">
        <v>1344</v>
      </c>
    </row>
    <row r="591" spans="1:4" x14ac:dyDescent="0.25">
      <c r="A591" s="13" t="e">
        <f>VLOOKUP(B591:B1298,#REF!,1,FALSE)</f>
        <v>#REF!</v>
      </c>
      <c r="B591" s="19">
        <v>58016</v>
      </c>
      <c r="C591" s="12" t="s">
        <v>566</v>
      </c>
      <c r="D591" s="15" t="s">
        <v>567</v>
      </c>
    </row>
    <row r="592" spans="1:4" x14ac:dyDescent="0.25">
      <c r="A592" s="13" t="e">
        <f>VLOOKUP(B592:B1299,#REF!,1,FALSE)</f>
        <v>#REF!</v>
      </c>
      <c r="B592" s="19">
        <v>58017</v>
      </c>
      <c r="C592" s="12" t="s">
        <v>553</v>
      </c>
      <c r="D592" s="15" t="s">
        <v>554</v>
      </c>
    </row>
    <row r="593" spans="1:4" x14ac:dyDescent="0.25">
      <c r="A593" s="13" t="e">
        <f>VLOOKUP(B593:B1300,#REF!,1,FALSE)</f>
        <v>#REF!</v>
      </c>
      <c r="B593" s="24">
        <v>58029</v>
      </c>
      <c r="C593" s="10" t="s">
        <v>1345</v>
      </c>
      <c r="D593" s="8" t="s">
        <v>1346</v>
      </c>
    </row>
    <row r="594" spans="1:4" x14ac:dyDescent="0.25">
      <c r="A594" s="13" t="e">
        <f>VLOOKUP(B594:B1301,#REF!,1,FALSE)</f>
        <v>#REF!</v>
      </c>
      <c r="B594" s="14">
        <v>58040</v>
      </c>
      <c r="C594" s="12" t="s">
        <v>456</v>
      </c>
      <c r="D594" s="16" t="s">
        <v>457</v>
      </c>
    </row>
    <row r="595" spans="1:4" x14ac:dyDescent="0.25">
      <c r="A595" s="13" t="e">
        <f>VLOOKUP(B595:B1302,#REF!,1,FALSE)</f>
        <v>#REF!</v>
      </c>
      <c r="B595" s="27">
        <v>58044</v>
      </c>
      <c r="C595" s="7" t="s">
        <v>265</v>
      </c>
      <c r="D595" s="6" t="s">
        <v>634</v>
      </c>
    </row>
    <row r="596" spans="1:4" x14ac:dyDescent="0.25">
      <c r="A596" s="13" t="e">
        <f>VLOOKUP(B596:B1303,#REF!,1,FALSE)</f>
        <v>#REF!</v>
      </c>
      <c r="B596" s="19">
        <v>58050</v>
      </c>
      <c r="C596" s="12" t="s">
        <v>574</v>
      </c>
      <c r="D596" s="15" t="s">
        <v>575</v>
      </c>
    </row>
    <row r="597" spans="1:4" x14ac:dyDescent="0.25">
      <c r="A597" s="13" t="e">
        <f>VLOOKUP(B597:B1304,#REF!,1,FALSE)</f>
        <v>#REF!</v>
      </c>
      <c r="B597" s="19">
        <v>58068</v>
      </c>
      <c r="C597" s="12" t="s">
        <v>562</v>
      </c>
      <c r="D597" s="15" t="s">
        <v>563</v>
      </c>
    </row>
    <row r="598" spans="1:4" x14ac:dyDescent="0.25">
      <c r="A598" s="13" t="e">
        <f>VLOOKUP(B598:B1305,#REF!,1,FALSE)</f>
        <v>#REF!</v>
      </c>
      <c r="B598" s="14">
        <v>58147</v>
      </c>
      <c r="C598" s="12" t="s">
        <v>458</v>
      </c>
      <c r="D598" s="16" t="s">
        <v>459</v>
      </c>
    </row>
    <row r="599" spans="1:4" x14ac:dyDescent="0.25">
      <c r="A599" s="13" t="e">
        <f>VLOOKUP(B599:B1306,#REF!,1,FALSE)</f>
        <v>#REF!</v>
      </c>
      <c r="B599" s="27">
        <v>58173</v>
      </c>
      <c r="C599" s="7" t="s">
        <v>266</v>
      </c>
      <c r="D599" s="6" t="s">
        <v>642</v>
      </c>
    </row>
    <row r="600" spans="1:4" x14ac:dyDescent="0.25">
      <c r="A600" s="13" t="e">
        <f>VLOOKUP(B600:B1307,#REF!,1,FALSE)</f>
        <v>#REF!</v>
      </c>
      <c r="B600" s="27">
        <v>58188</v>
      </c>
      <c r="C600" s="7" t="s">
        <v>944</v>
      </c>
      <c r="D600" s="6" t="s">
        <v>945</v>
      </c>
    </row>
    <row r="601" spans="1:4" x14ac:dyDescent="0.25">
      <c r="A601" s="13" t="e">
        <f>VLOOKUP(B601:B1308,#REF!,1,FALSE)</f>
        <v>#REF!</v>
      </c>
      <c r="B601" s="27">
        <v>58293</v>
      </c>
      <c r="C601" s="7" t="s">
        <v>942</v>
      </c>
      <c r="D601" s="6" t="s">
        <v>943</v>
      </c>
    </row>
    <row r="602" spans="1:4" x14ac:dyDescent="0.25">
      <c r="A602" s="13" t="e">
        <f>VLOOKUP(B602:B1309,#REF!,1,FALSE)</f>
        <v>#REF!</v>
      </c>
      <c r="B602" s="27">
        <v>58297</v>
      </c>
      <c r="C602" s="7" t="s">
        <v>940</v>
      </c>
      <c r="D602" s="6" t="s">
        <v>941</v>
      </c>
    </row>
    <row r="603" spans="1:4" x14ac:dyDescent="0.25">
      <c r="A603" s="13" t="e">
        <f>VLOOKUP(B603:B1310,#REF!,1,FALSE)</f>
        <v>#REF!</v>
      </c>
      <c r="B603" s="27">
        <v>58387</v>
      </c>
      <c r="C603" s="7" t="s">
        <v>938</v>
      </c>
      <c r="D603" s="6" t="s">
        <v>939</v>
      </c>
    </row>
    <row r="604" spans="1:4" x14ac:dyDescent="0.25">
      <c r="A604" s="13" t="e">
        <f>VLOOKUP(B604:B1311,#REF!,1,FALSE)</f>
        <v>#REF!</v>
      </c>
      <c r="B604" s="14">
        <v>58479</v>
      </c>
      <c r="C604" s="12" t="s">
        <v>267</v>
      </c>
      <c r="D604" s="16" t="s">
        <v>1432</v>
      </c>
    </row>
    <row r="605" spans="1:4" x14ac:dyDescent="0.25">
      <c r="A605" s="13" t="e">
        <f>VLOOKUP(B605:B1312,#REF!,1,FALSE)</f>
        <v>#REF!</v>
      </c>
      <c r="B605" s="14">
        <v>58480</v>
      </c>
      <c r="C605" s="12" t="s">
        <v>268</v>
      </c>
      <c r="D605" s="16" t="s">
        <v>1433</v>
      </c>
    </row>
    <row r="606" spans="1:4" x14ac:dyDescent="0.25">
      <c r="A606" s="13" t="e">
        <f>VLOOKUP(B606:B1313,#REF!,1,FALSE)</f>
        <v>#REF!</v>
      </c>
      <c r="B606" s="27">
        <v>58481</v>
      </c>
      <c r="C606" s="7" t="s">
        <v>269</v>
      </c>
      <c r="D606" s="6" t="s">
        <v>760</v>
      </c>
    </row>
    <row r="607" spans="1:4" x14ac:dyDescent="0.25">
      <c r="A607" s="13" t="e">
        <f>VLOOKUP(B607:B1314,#REF!,1,FALSE)</f>
        <v>#REF!</v>
      </c>
      <c r="B607" s="19">
        <v>58483</v>
      </c>
      <c r="C607" s="12" t="s">
        <v>509</v>
      </c>
      <c r="D607" s="15" t="s">
        <v>511</v>
      </c>
    </row>
    <row r="608" spans="1:4" x14ac:dyDescent="0.25">
      <c r="A608" s="13" t="e">
        <f>VLOOKUP(B608:B1315,#REF!,1,FALSE)</f>
        <v>#REF!</v>
      </c>
      <c r="B608" s="27">
        <v>58714</v>
      </c>
      <c r="C608" s="7" t="s">
        <v>828</v>
      </c>
      <c r="D608" s="6" t="s">
        <v>829</v>
      </c>
    </row>
    <row r="609" spans="1:4" x14ac:dyDescent="0.25">
      <c r="A609" s="13" t="e">
        <f>VLOOKUP(B609:B1316,#REF!,1,FALSE)</f>
        <v>#REF!</v>
      </c>
      <c r="B609" s="27">
        <v>58715</v>
      </c>
      <c r="C609" s="7" t="s">
        <v>271</v>
      </c>
      <c r="D609" s="6" t="s">
        <v>762</v>
      </c>
    </row>
    <row r="610" spans="1:4" x14ac:dyDescent="0.25">
      <c r="A610" s="13" t="e">
        <f>VLOOKUP(B610:B1317,#REF!,1,FALSE)</f>
        <v>#REF!</v>
      </c>
      <c r="B610" s="27">
        <v>58716</v>
      </c>
      <c r="C610" s="7" t="s">
        <v>272</v>
      </c>
      <c r="D610" s="6" t="s">
        <v>766</v>
      </c>
    </row>
    <row r="611" spans="1:4" x14ac:dyDescent="0.25">
      <c r="A611" s="13" t="e">
        <f>VLOOKUP(B611:B1318,#REF!,1,FALSE)</f>
        <v>#REF!</v>
      </c>
      <c r="B611" s="27">
        <v>58772</v>
      </c>
      <c r="C611" s="7" t="s">
        <v>936</v>
      </c>
      <c r="D611" s="6" t="s">
        <v>937</v>
      </c>
    </row>
    <row r="612" spans="1:4" x14ac:dyDescent="0.25">
      <c r="A612" s="13" t="e">
        <f>VLOOKUP(B612:B1319,#REF!,1,FALSE)</f>
        <v>#REF!</v>
      </c>
      <c r="B612" s="27">
        <v>58776</v>
      </c>
      <c r="C612" s="7" t="s">
        <v>934</v>
      </c>
      <c r="D612" s="6" t="s">
        <v>935</v>
      </c>
    </row>
    <row r="613" spans="1:4" x14ac:dyDescent="0.25">
      <c r="A613" s="13" t="e">
        <f>VLOOKUP(B613:B1320,#REF!,1,FALSE)</f>
        <v>#REF!</v>
      </c>
      <c r="B613" s="27">
        <v>58784</v>
      </c>
      <c r="C613" s="7" t="s">
        <v>273</v>
      </c>
      <c r="D613" s="6" t="s">
        <v>771</v>
      </c>
    </row>
    <row r="614" spans="1:4" x14ac:dyDescent="0.25">
      <c r="A614" s="13" t="e">
        <f>VLOOKUP(B614:B1321,#REF!,1,FALSE)</f>
        <v>#REF!</v>
      </c>
      <c r="B614" s="27">
        <v>58804</v>
      </c>
      <c r="C614" s="7" t="s">
        <v>932</v>
      </c>
      <c r="D614" s="6" t="s">
        <v>933</v>
      </c>
    </row>
    <row r="615" spans="1:4" x14ac:dyDescent="0.25">
      <c r="A615" s="13" t="e">
        <f>VLOOKUP(B615:B1322,#REF!,1,FALSE)</f>
        <v>#REF!</v>
      </c>
      <c r="B615" s="14">
        <v>58856</v>
      </c>
      <c r="C615" s="12" t="s">
        <v>460</v>
      </c>
      <c r="D615" s="16" t="s">
        <v>1434</v>
      </c>
    </row>
    <row r="616" spans="1:4" x14ac:dyDescent="0.25">
      <c r="A616" s="13" t="e">
        <f>VLOOKUP(B616:B1323,#REF!,1,FALSE)</f>
        <v>#REF!</v>
      </c>
      <c r="B616" s="19">
        <v>58864</v>
      </c>
      <c r="C616" s="12" t="s">
        <v>595</v>
      </c>
      <c r="D616" s="15" t="s">
        <v>596</v>
      </c>
    </row>
    <row r="617" spans="1:4" x14ac:dyDescent="0.25">
      <c r="A617" s="13" t="e">
        <f>VLOOKUP(B617:B1324,#REF!,1,FALSE)</f>
        <v>#REF!</v>
      </c>
      <c r="B617" s="24">
        <v>58865</v>
      </c>
      <c r="C617" s="10" t="s">
        <v>1347</v>
      </c>
      <c r="D617" s="8" t="s">
        <v>1348</v>
      </c>
    </row>
    <row r="618" spans="1:4" x14ac:dyDescent="0.25">
      <c r="A618" s="13" t="e">
        <f>VLOOKUP(B618:B1325,#REF!,1,FALSE)</f>
        <v>#REF!</v>
      </c>
      <c r="B618" s="27">
        <v>58908</v>
      </c>
      <c r="C618" s="7" t="s">
        <v>275</v>
      </c>
      <c r="D618" s="6" t="s">
        <v>778</v>
      </c>
    </row>
    <row r="619" spans="1:4" x14ac:dyDescent="0.25">
      <c r="A619" s="13" t="e">
        <f>VLOOKUP(B619:B1326,#REF!,1,FALSE)</f>
        <v>#REF!</v>
      </c>
      <c r="B619" s="27">
        <v>58910</v>
      </c>
      <c r="C619" s="7" t="s">
        <v>930</v>
      </c>
      <c r="D619" s="6" t="s">
        <v>931</v>
      </c>
    </row>
    <row r="620" spans="1:4" x14ac:dyDescent="0.25">
      <c r="A620" s="13" t="e">
        <f>VLOOKUP(B620:B1327,#REF!,1,FALSE)</f>
        <v>#REF!</v>
      </c>
      <c r="B620" s="14">
        <v>58927</v>
      </c>
      <c r="C620" s="12" t="s">
        <v>276</v>
      </c>
      <c r="D620" s="15" t="s">
        <v>461</v>
      </c>
    </row>
    <row r="621" spans="1:4" x14ac:dyDescent="0.25">
      <c r="A621" s="13" t="e">
        <f>VLOOKUP(B621:B1328,#REF!,1,FALSE)</f>
        <v>#REF!</v>
      </c>
      <c r="B621" s="27">
        <v>58984</v>
      </c>
      <c r="C621" s="7" t="s">
        <v>928</v>
      </c>
      <c r="D621" s="6" t="s">
        <v>929</v>
      </c>
    </row>
    <row r="622" spans="1:4" x14ac:dyDescent="0.25">
      <c r="A622" s="13" t="e">
        <f>VLOOKUP(B622:B1329,#REF!,1,FALSE)</f>
        <v>#REF!</v>
      </c>
      <c r="B622" s="27">
        <v>59009</v>
      </c>
      <c r="C622" s="7" t="s">
        <v>926</v>
      </c>
      <c r="D622" s="6" t="s">
        <v>927</v>
      </c>
    </row>
    <row r="623" spans="1:4" x14ac:dyDescent="0.25">
      <c r="A623" s="13" t="e">
        <f>VLOOKUP(B623:B1330,#REF!,1,FALSE)</f>
        <v>#REF!</v>
      </c>
      <c r="B623" s="14">
        <v>59036</v>
      </c>
      <c r="C623" s="12" t="s">
        <v>462</v>
      </c>
      <c r="D623" s="16" t="s">
        <v>1435</v>
      </c>
    </row>
    <row r="624" spans="1:4" x14ac:dyDescent="0.25">
      <c r="A624" s="13" t="e">
        <f>VLOOKUP(B624:B1331,#REF!,1,FALSE)</f>
        <v>#REF!</v>
      </c>
      <c r="B624" s="27">
        <v>59230</v>
      </c>
      <c r="C624" s="7" t="s">
        <v>924</v>
      </c>
      <c r="D624" s="6" t="s">
        <v>925</v>
      </c>
    </row>
    <row r="625" spans="1:4" x14ac:dyDescent="0.25">
      <c r="A625" s="13" t="e">
        <f>VLOOKUP(B625:B1332,#REF!,1,FALSE)</f>
        <v>#REF!</v>
      </c>
      <c r="B625" s="14">
        <v>59281</v>
      </c>
      <c r="C625" s="12" t="s">
        <v>463</v>
      </c>
      <c r="D625" s="16" t="s">
        <v>464</v>
      </c>
    </row>
    <row r="626" spans="1:4" x14ac:dyDescent="0.25">
      <c r="A626" s="13" t="e">
        <f>VLOOKUP(B626:B1333,#REF!,1,FALSE)</f>
        <v>#REF!</v>
      </c>
      <c r="B626" s="19">
        <v>59676</v>
      </c>
      <c r="C626" s="12" t="s">
        <v>580</v>
      </c>
      <c r="D626" s="15" t="s">
        <v>581</v>
      </c>
    </row>
    <row r="627" spans="1:4" x14ac:dyDescent="0.25">
      <c r="A627" s="13" t="e">
        <f>VLOOKUP(B627:B1334,#REF!,1,FALSE)</f>
        <v>#REF!</v>
      </c>
      <c r="B627" s="27">
        <v>59688</v>
      </c>
      <c r="C627" s="7" t="s">
        <v>277</v>
      </c>
      <c r="D627" s="6" t="s">
        <v>744</v>
      </c>
    </row>
    <row r="628" spans="1:4" x14ac:dyDescent="0.25">
      <c r="A628" s="13" t="e">
        <f>VLOOKUP(B628:B1335,#REF!,1,FALSE)</f>
        <v>#REF!</v>
      </c>
      <c r="B628" s="14">
        <v>59870</v>
      </c>
      <c r="C628" s="12" t="s">
        <v>465</v>
      </c>
      <c r="D628" s="16" t="s">
        <v>466</v>
      </c>
    </row>
    <row r="629" spans="1:4" x14ac:dyDescent="0.25">
      <c r="A629" s="13" t="e">
        <f>VLOOKUP(B629:B1336,#REF!,1,FALSE)</f>
        <v>#REF!</v>
      </c>
      <c r="B629" s="14">
        <v>59871</v>
      </c>
      <c r="C629" s="12" t="s">
        <v>467</v>
      </c>
      <c r="D629" s="16" t="s">
        <v>468</v>
      </c>
    </row>
    <row r="630" spans="1:4" x14ac:dyDescent="0.25">
      <c r="A630" s="13" t="e">
        <f>VLOOKUP(B630:B1337,#REF!,1,FALSE)</f>
        <v>#REF!</v>
      </c>
      <c r="B630" s="14">
        <v>59872</v>
      </c>
      <c r="C630" s="12" t="s">
        <v>469</v>
      </c>
      <c r="D630" s="16" t="s">
        <v>470</v>
      </c>
    </row>
    <row r="631" spans="1:4" x14ac:dyDescent="0.25">
      <c r="A631" s="13" t="e">
        <f>VLOOKUP(B631:B1338,#REF!,1,FALSE)</f>
        <v>#REF!</v>
      </c>
      <c r="B631" s="14">
        <v>59873</v>
      </c>
      <c r="C631" s="12" t="s">
        <v>471</v>
      </c>
      <c r="D631" s="16" t="s">
        <v>472</v>
      </c>
    </row>
    <row r="632" spans="1:4" x14ac:dyDescent="0.25">
      <c r="A632" s="13" t="e">
        <f>VLOOKUP(B632:B1339,#REF!,1,FALSE)</f>
        <v>#REF!</v>
      </c>
      <c r="B632" s="14">
        <v>59874</v>
      </c>
      <c r="C632" s="12" t="s">
        <v>473</v>
      </c>
      <c r="D632" s="16" t="s">
        <v>474</v>
      </c>
    </row>
    <row r="633" spans="1:4" x14ac:dyDescent="0.25">
      <c r="A633" s="13" t="e">
        <f>VLOOKUP(B633:B1340,#REF!,1,FALSE)</f>
        <v>#REF!</v>
      </c>
      <c r="B633" s="14">
        <v>59875</v>
      </c>
      <c r="C633" s="12" t="s">
        <v>475</v>
      </c>
      <c r="D633" s="16" t="s">
        <v>476</v>
      </c>
    </row>
    <row r="634" spans="1:4" x14ac:dyDescent="0.25">
      <c r="A634" s="13" t="e">
        <f>VLOOKUP(B634:B1341,#REF!,1,FALSE)</f>
        <v>#REF!</v>
      </c>
      <c r="B634" s="14">
        <v>60300</v>
      </c>
      <c r="C634" s="12" t="s">
        <v>477</v>
      </c>
      <c r="D634" s="16" t="s">
        <v>1436</v>
      </c>
    </row>
    <row r="635" spans="1:4" x14ac:dyDescent="0.25">
      <c r="A635" s="13" t="e">
        <f>VLOOKUP(B635:B1342,#REF!,1,FALSE)</f>
        <v>#REF!</v>
      </c>
      <c r="B635" s="27">
        <v>60367</v>
      </c>
      <c r="C635" s="7" t="s">
        <v>278</v>
      </c>
      <c r="D635" s="30" t="s">
        <v>1463</v>
      </c>
    </row>
    <row r="636" spans="1:4" x14ac:dyDescent="0.25">
      <c r="A636" s="13" t="e">
        <f>VLOOKUP(B636:B1343,#REF!,1,FALSE)</f>
        <v>#REF!</v>
      </c>
      <c r="B636" s="27">
        <v>60447</v>
      </c>
      <c r="C636" s="7" t="s">
        <v>922</v>
      </c>
      <c r="D636" s="6" t="s">
        <v>923</v>
      </c>
    </row>
    <row r="637" spans="1:4" x14ac:dyDescent="0.25">
      <c r="A637" s="13" t="e">
        <f>VLOOKUP(B637:B1344,#REF!,1,FALSE)</f>
        <v>#REF!</v>
      </c>
      <c r="B637" s="27">
        <v>60512</v>
      </c>
      <c r="C637" s="7" t="s">
        <v>279</v>
      </c>
      <c r="D637" s="6" t="s">
        <v>720</v>
      </c>
    </row>
    <row r="638" spans="1:4" x14ac:dyDescent="0.25">
      <c r="A638" s="13" t="e">
        <f>VLOOKUP(B638:B1345,#REF!,1,FALSE)</f>
        <v>#REF!</v>
      </c>
      <c r="B638" s="27">
        <v>60516</v>
      </c>
      <c r="C638" s="7" t="s">
        <v>281</v>
      </c>
      <c r="D638" s="6" t="s">
        <v>728</v>
      </c>
    </row>
    <row r="639" spans="1:4" x14ac:dyDescent="0.25">
      <c r="A639" s="13" t="e">
        <f>VLOOKUP(B639:B1346,#REF!,1,FALSE)</f>
        <v>#REF!</v>
      </c>
      <c r="B639" s="14">
        <v>60538</v>
      </c>
      <c r="C639" s="12" t="s">
        <v>478</v>
      </c>
      <c r="D639" s="16" t="s">
        <v>479</v>
      </c>
    </row>
    <row r="640" spans="1:4" x14ac:dyDescent="0.25">
      <c r="A640" s="13" t="e">
        <f>VLOOKUP(B640:B1347,#REF!,1,FALSE)</f>
        <v>#REF!</v>
      </c>
      <c r="B640" s="14">
        <v>60540</v>
      </c>
      <c r="C640" s="12" t="s">
        <v>480</v>
      </c>
      <c r="D640" s="16" t="s">
        <v>481</v>
      </c>
    </row>
    <row r="641" spans="1:4" x14ac:dyDescent="0.25">
      <c r="A641" s="13" t="e">
        <f>VLOOKUP(B641:B1348,#REF!,1,FALSE)</f>
        <v>#REF!</v>
      </c>
      <c r="B641" s="27">
        <v>60637</v>
      </c>
      <c r="C641" s="7" t="s">
        <v>282</v>
      </c>
      <c r="D641" s="6" t="s">
        <v>600</v>
      </c>
    </row>
    <row r="642" spans="1:4" x14ac:dyDescent="0.25">
      <c r="A642" s="13" t="e">
        <f>VLOOKUP(B642:B1349,#REF!,1,FALSE)</f>
        <v>#REF!</v>
      </c>
      <c r="B642" s="27">
        <v>60762</v>
      </c>
      <c r="C642" s="7" t="s">
        <v>784</v>
      </c>
      <c r="D642" s="6" t="s">
        <v>785</v>
      </c>
    </row>
    <row r="643" spans="1:4" x14ac:dyDescent="0.25">
      <c r="A643" s="13" t="e">
        <f>VLOOKUP(B643:B1350,#REF!,1,FALSE)</f>
        <v>#REF!</v>
      </c>
      <c r="B643" s="19">
        <v>60842</v>
      </c>
      <c r="C643" s="12" t="s">
        <v>512</v>
      </c>
      <c r="D643" s="15" t="s">
        <v>513</v>
      </c>
    </row>
    <row r="644" spans="1:4" x14ac:dyDescent="0.25">
      <c r="A644" s="13" t="e">
        <f>VLOOKUP(B644:B1351,#REF!,1,FALSE)</f>
        <v>#REF!</v>
      </c>
      <c r="B644" s="27">
        <v>60847</v>
      </c>
      <c r="C644" s="7" t="s">
        <v>786</v>
      </c>
      <c r="D644" s="6" t="s">
        <v>787</v>
      </c>
    </row>
    <row r="645" spans="1:4" x14ac:dyDescent="0.25">
      <c r="A645" s="13" t="e">
        <f>VLOOKUP(B645:B1352,#REF!,1,FALSE)</f>
        <v>#REF!</v>
      </c>
      <c r="B645" s="27">
        <v>60931</v>
      </c>
      <c r="C645" s="7" t="s">
        <v>283</v>
      </c>
      <c r="D645" s="30" t="s">
        <v>1462</v>
      </c>
    </row>
    <row r="646" spans="1:4" x14ac:dyDescent="0.25">
      <c r="A646" s="13" t="e">
        <f>VLOOKUP(B646:B1353,#REF!,1,FALSE)</f>
        <v>#REF!</v>
      </c>
      <c r="B646" s="27">
        <v>60936</v>
      </c>
      <c r="C646" s="7" t="s">
        <v>284</v>
      </c>
      <c r="D646" s="30" t="s">
        <v>1461</v>
      </c>
    </row>
    <row r="647" spans="1:4" x14ac:dyDescent="0.25">
      <c r="A647" s="13" t="e">
        <f>VLOOKUP(B647:B1354,#REF!,1,FALSE)</f>
        <v>#REF!</v>
      </c>
      <c r="B647" s="27">
        <v>60937</v>
      </c>
      <c r="C647" s="7" t="s">
        <v>285</v>
      </c>
      <c r="D647" s="30" t="s">
        <v>1460</v>
      </c>
    </row>
    <row r="648" spans="1:4" x14ac:dyDescent="0.25">
      <c r="A648" s="13" t="e">
        <f>VLOOKUP(B648:B1355,#REF!,1,FALSE)</f>
        <v>#REF!</v>
      </c>
      <c r="B648" s="27">
        <v>60939</v>
      </c>
      <c r="C648" s="7" t="s">
        <v>286</v>
      </c>
      <c r="D648" s="6" t="s">
        <v>615</v>
      </c>
    </row>
    <row r="649" spans="1:4" x14ac:dyDescent="0.25">
      <c r="A649" s="13" t="e">
        <f>VLOOKUP(B649:B1356,#REF!,1,FALSE)</f>
        <v>#REF!</v>
      </c>
      <c r="B649" s="27">
        <v>60940</v>
      </c>
      <c r="C649" s="7" t="s">
        <v>287</v>
      </c>
      <c r="D649" s="6" t="s">
        <v>601</v>
      </c>
    </row>
    <row r="650" spans="1:4" x14ac:dyDescent="0.25">
      <c r="A650" s="13" t="e">
        <f>VLOOKUP(B650:B1357,#REF!,1,FALSE)</f>
        <v>#REF!</v>
      </c>
      <c r="B650" s="27">
        <v>61029</v>
      </c>
      <c r="C650" s="7" t="s">
        <v>918</v>
      </c>
      <c r="D650" s="6" t="s">
        <v>919</v>
      </c>
    </row>
    <row r="651" spans="1:4" x14ac:dyDescent="0.25">
      <c r="A651" s="13" t="e">
        <f>VLOOKUP(B651:B1358,#REF!,1,FALSE)</f>
        <v>#REF!</v>
      </c>
      <c r="B651" s="27">
        <v>61085</v>
      </c>
      <c r="C651" s="7" t="s">
        <v>916</v>
      </c>
      <c r="D651" s="6" t="s">
        <v>917</v>
      </c>
    </row>
    <row r="652" spans="1:4" x14ac:dyDescent="0.25">
      <c r="A652" s="13" t="e">
        <f>VLOOKUP(B652:B1359,#REF!,1,FALSE)</f>
        <v>#REF!</v>
      </c>
      <c r="B652" s="27">
        <v>61118</v>
      </c>
      <c r="C652" s="7" t="s">
        <v>289</v>
      </c>
      <c r="D652" s="6" t="s">
        <v>639</v>
      </c>
    </row>
    <row r="653" spans="1:4" x14ac:dyDescent="0.25">
      <c r="A653" s="13" t="e">
        <f>VLOOKUP(B653:B1360,#REF!,1,FALSE)</f>
        <v>#REF!</v>
      </c>
      <c r="B653" s="27">
        <v>61123</v>
      </c>
      <c r="C653" s="7" t="s">
        <v>290</v>
      </c>
      <c r="D653" s="6" t="s">
        <v>631</v>
      </c>
    </row>
    <row r="654" spans="1:4" x14ac:dyDescent="0.25">
      <c r="A654" s="13" t="e">
        <f>VLOOKUP(B654:B1361,#REF!,1,FALSE)</f>
        <v>#REF!</v>
      </c>
      <c r="B654" s="27">
        <v>61154</v>
      </c>
      <c r="C654" s="7" t="s">
        <v>914</v>
      </c>
      <c r="D654" s="6" t="s">
        <v>915</v>
      </c>
    </row>
    <row r="655" spans="1:4" x14ac:dyDescent="0.25">
      <c r="A655" s="13" t="e">
        <f>VLOOKUP(B655:B1362,#REF!,1,FALSE)</f>
        <v>#REF!</v>
      </c>
      <c r="B655" s="27">
        <v>61158</v>
      </c>
      <c r="C655" s="7" t="s">
        <v>291</v>
      </c>
      <c r="D655" s="6" t="s">
        <v>630</v>
      </c>
    </row>
    <row r="656" spans="1:4" x14ac:dyDescent="0.25">
      <c r="A656" s="13" t="e">
        <f>VLOOKUP(B656:B1363,#REF!,1,FALSE)</f>
        <v>#REF!</v>
      </c>
      <c r="B656" s="27">
        <v>61159</v>
      </c>
      <c r="C656" s="7" t="s">
        <v>292</v>
      </c>
      <c r="D656" s="6" t="s">
        <v>622</v>
      </c>
    </row>
    <row r="657" spans="1:4" x14ac:dyDescent="0.25">
      <c r="A657" s="13" t="e">
        <f>VLOOKUP(B657:B1364,#REF!,1,FALSE)</f>
        <v>#REF!</v>
      </c>
      <c r="B657" s="27">
        <v>61211</v>
      </c>
      <c r="C657" s="7" t="s">
        <v>920</v>
      </c>
      <c r="D657" s="6" t="s">
        <v>921</v>
      </c>
    </row>
    <row r="658" spans="1:4" x14ac:dyDescent="0.25">
      <c r="A658" s="13" t="e">
        <f>VLOOKUP(B658:B1365,#REF!,1,FALSE)</f>
        <v>#REF!</v>
      </c>
      <c r="B658" s="27">
        <v>61271</v>
      </c>
      <c r="C658" s="7" t="s">
        <v>912</v>
      </c>
      <c r="D658" s="6" t="s">
        <v>913</v>
      </c>
    </row>
    <row r="659" spans="1:4" x14ac:dyDescent="0.25">
      <c r="A659" s="13" t="e">
        <f>VLOOKUP(B659:B1366,#REF!,1,FALSE)</f>
        <v>#REF!</v>
      </c>
      <c r="B659" s="24">
        <v>61286</v>
      </c>
      <c r="C659" s="10" t="s">
        <v>1349</v>
      </c>
      <c r="D659" s="8" t="s">
        <v>1350</v>
      </c>
    </row>
    <row r="660" spans="1:4" x14ac:dyDescent="0.25">
      <c r="A660" s="13" t="e">
        <f>VLOOKUP(B660:B1367,#REF!,1,FALSE)</f>
        <v>#REF!</v>
      </c>
      <c r="B660" s="24">
        <v>61287</v>
      </c>
      <c r="C660" s="10" t="s">
        <v>1351</v>
      </c>
      <c r="D660" s="8" t="s">
        <v>1352</v>
      </c>
    </row>
    <row r="661" spans="1:4" x14ac:dyDescent="0.25">
      <c r="A661" s="13" t="e">
        <f>VLOOKUP(B661:B1368,#REF!,1,FALSE)</f>
        <v>#REF!</v>
      </c>
      <c r="B661" s="27">
        <v>61324</v>
      </c>
      <c r="C661" s="7" t="s">
        <v>816</v>
      </c>
      <c r="D661" s="6" t="s">
        <v>817</v>
      </c>
    </row>
    <row r="662" spans="1:4" x14ac:dyDescent="0.25">
      <c r="A662" s="13" t="e">
        <f>VLOOKUP(B662:B1369,#REF!,1,FALSE)</f>
        <v>#REF!</v>
      </c>
      <c r="B662" s="27">
        <v>61325</v>
      </c>
      <c r="C662" s="7" t="s">
        <v>293</v>
      </c>
      <c r="D662" s="30" t="s">
        <v>1459</v>
      </c>
    </row>
    <row r="663" spans="1:4" x14ac:dyDescent="0.25">
      <c r="A663" s="13" t="e">
        <f>VLOOKUP(B663:B1370,#REF!,1,FALSE)</f>
        <v>#REF!</v>
      </c>
      <c r="B663" s="27">
        <v>61375</v>
      </c>
      <c r="C663" s="7" t="s">
        <v>295</v>
      </c>
      <c r="D663" s="6" t="s">
        <v>623</v>
      </c>
    </row>
    <row r="664" spans="1:4" x14ac:dyDescent="0.25">
      <c r="A664" s="13" t="e">
        <f>VLOOKUP(B664:B1371,#REF!,1,FALSE)</f>
        <v>#REF!</v>
      </c>
      <c r="B664" s="27">
        <v>61376</v>
      </c>
      <c r="C664" s="7" t="s">
        <v>296</v>
      </c>
      <c r="D664" s="6" t="s">
        <v>621</v>
      </c>
    </row>
    <row r="665" spans="1:4" x14ac:dyDescent="0.25">
      <c r="A665" s="13" t="e">
        <f>VLOOKUP(B665:B1372,#REF!,1,FALSE)</f>
        <v>#REF!</v>
      </c>
      <c r="B665" s="27">
        <v>61398</v>
      </c>
      <c r="C665" s="7" t="s">
        <v>297</v>
      </c>
      <c r="D665" s="6" t="s">
        <v>617</v>
      </c>
    </row>
    <row r="666" spans="1:4" x14ac:dyDescent="0.25">
      <c r="A666" s="13" t="e">
        <f>VLOOKUP(B666:B1373,#REF!,1,FALSE)</f>
        <v>#REF!</v>
      </c>
      <c r="B666" s="27">
        <v>61399</v>
      </c>
      <c r="C666" s="7" t="s">
        <v>298</v>
      </c>
      <c r="D666" s="6" t="s">
        <v>628</v>
      </c>
    </row>
    <row r="667" spans="1:4" x14ac:dyDescent="0.25">
      <c r="A667" s="13" t="e">
        <f>VLOOKUP(B667:B1374,#REF!,1,FALSE)</f>
        <v>#REF!</v>
      </c>
      <c r="B667" s="27">
        <v>61401</v>
      </c>
      <c r="C667" s="7" t="s">
        <v>300</v>
      </c>
      <c r="D667" s="6" t="s">
        <v>640</v>
      </c>
    </row>
    <row r="668" spans="1:4" x14ac:dyDescent="0.25">
      <c r="A668" s="13" t="e">
        <f>VLOOKUP(B668:B1375,#REF!,1,FALSE)</f>
        <v>#REF!</v>
      </c>
      <c r="B668" s="14">
        <v>61425</v>
      </c>
      <c r="C668" s="12" t="s">
        <v>482</v>
      </c>
      <c r="D668" s="16" t="s">
        <v>483</v>
      </c>
    </row>
    <row r="669" spans="1:4" x14ac:dyDescent="0.25">
      <c r="A669" s="13" t="e">
        <f>VLOOKUP(B669:B1376,#REF!,1,FALSE)</f>
        <v>#REF!</v>
      </c>
      <c r="B669" s="27">
        <v>61440</v>
      </c>
      <c r="C669" s="7" t="s">
        <v>302</v>
      </c>
      <c r="D669" s="6" t="s">
        <v>632</v>
      </c>
    </row>
    <row r="670" spans="1:4" x14ac:dyDescent="0.25">
      <c r="A670" s="13" t="e">
        <f>VLOOKUP(B670:B1377,#REF!,1,FALSE)</f>
        <v>#REF!</v>
      </c>
      <c r="B670" s="27">
        <v>61465</v>
      </c>
      <c r="C670" s="7" t="s">
        <v>908</v>
      </c>
      <c r="D670" s="6" t="s">
        <v>909</v>
      </c>
    </row>
    <row r="671" spans="1:4" x14ac:dyDescent="0.25">
      <c r="A671" s="13" t="e">
        <f>VLOOKUP(B671:B1378,#REF!,1,FALSE)</f>
        <v>#REF!</v>
      </c>
      <c r="B671" s="27">
        <v>61523</v>
      </c>
      <c r="C671" s="7" t="s">
        <v>303</v>
      </c>
      <c r="D671" s="6" t="s">
        <v>625</v>
      </c>
    </row>
    <row r="672" spans="1:4" x14ac:dyDescent="0.25">
      <c r="A672" s="13" t="e">
        <f>VLOOKUP(B672:B1379,#REF!,1,FALSE)</f>
        <v>#REF!</v>
      </c>
      <c r="B672" s="27">
        <v>61556</v>
      </c>
      <c r="C672" s="7" t="s">
        <v>826</v>
      </c>
      <c r="D672" s="6" t="s">
        <v>827</v>
      </c>
    </row>
    <row r="673" spans="1:4" x14ac:dyDescent="0.25">
      <c r="A673" s="13" t="e">
        <f>VLOOKUP(B673:B1380,#REF!,1,FALSE)</f>
        <v>#REF!</v>
      </c>
      <c r="B673" s="24">
        <v>61622</v>
      </c>
      <c r="C673" s="10" t="s">
        <v>1353</v>
      </c>
      <c r="D673" s="8" t="s">
        <v>1354</v>
      </c>
    </row>
    <row r="674" spans="1:4" x14ac:dyDescent="0.25">
      <c r="A674" s="13" t="e">
        <f>VLOOKUP(B674:B1381,#REF!,1,FALSE)</f>
        <v>#REF!</v>
      </c>
      <c r="B674" s="24">
        <v>61623</v>
      </c>
      <c r="C674" s="10" t="s">
        <v>1355</v>
      </c>
      <c r="D674" s="8" t="s">
        <v>1356</v>
      </c>
    </row>
    <row r="675" spans="1:4" x14ac:dyDescent="0.25">
      <c r="A675" s="13" t="e">
        <f>VLOOKUP(B675:B1382,#REF!,1,FALSE)</f>
        <v>#REF!</v>
      </c>
      <c r="B675" s="24">
        <v>61624</v>
      </c>
      <c r="C675" s="10" t="s">
        <v>1357</v>
      </c>
      <c r="D675" s="8" t="s">
        <v>1358</v>
      </c>
    </row>
    <row r="676" spans="1:4" x14ac:dyDescent="0.25">
      <c r="A676" s="13" t="e">
        <f>VLOOKUP(B676:B1383,#REF!,1,FALSE)</f>
        <v>#REF!</v>
      </c>
      <c r="B676" s="14">
        <v>61668</v>
      </c>
      <c r="C676" s="12" t="s">
        <v>304</v>
      </c>
      <c r="D676" s="16" t="s">
        <v>484</v>
      </c>
    </row>
    <row r="677" spans="1:4" x14ac:dyDescent="0.25">
      <c r="A677" s="13" t="e">
        <f>VLOOKUP(B677:B1384,#REF!,1,FALSE)</f>
        <v>#REF!</v>
      </c>
      <c r="B677" s="14">
        <v>61669</v>
      </c>
      <c r="C677" s="12" t="s">
        <v>485</v>
      </c>
      <c r="D677" s="16" t="s">
        <v>486</v>
      </c>
    </row>
    <row r="678" spans="1:4" x14ac:dyDescent="0.25">
      <c r="A678" s="13" t="e">
        <f>VLOOKUP(B678:B1385,#REF!,1,FALSE)</f>
        <v>#REF!</v>
      </c>
      <c r="B678" s="14">
        <v>61670</v>
      </c>
      <c r="C678" s="12" t="s">
        <v>306</v>
      </c>
      <c r="D678" s="16" t="s">
        <v>487</v>
      </c>
    </row>
    <row r="679" spans="1:4" x14ac:dyDescent="0.25">
      <c r="A679" s="13" t="e">
        <f>VLOOKUP(B679:B1386,#REF!,1,FALSE)</f>
        <v>#REF!</v>
      </c>
      <c r="B679" s="14">
        <v>61671</v>
      </c>
      <c r="C679" s="12" t="s">
        <v>307</v>
      </c>
      <c r="D679" s="16" t="s">
        <v>488</v>
      </c>
    </row>
    <row r="680" spans="1:4" x14ac:dyDescent="0.25">
      <c r="A680" s="13" t="e">
        <f>VLOOKUP(B680:B1387,#REF!,1,FALSE)</f>
        <v>#REF!</v>
      </c>
      <c r="B680" s="14">
        <v>61688</v>
      </c>
      <c r="C680" s="12" t="s">
        <v>308</v>
      </c>
      <c r="D680" s="16" t="s">
        <v>1437</v>
      </c>
    </row>
    <row r="681" spans="1:4" x14ac:dyDescent="0.25">
      <c r="A681" s="13" t="e">
        <f>VLOOKUP(B681:B1388,#REF!,1,FALSE)</f>
        <v>#REF!</v>
      </c>
      <c r="B681" s="14">
        <v>61689</v>
      </c>
      <c r="C681" s="12" t="s">
        <v>309</v>
      </c>
      <c r="D681" s="16" t="s">
        <v>1438</v>
      </c>
    </row>
    <row r="682" spans="1:4" x14ac:dyDescent="0.25">
      <c r="A682" s="13" t="e">
        <f>VLOOKUP(B682:B1389,#REF!,1,FALSE)</f>
        <v>#REF!</v>
      </c>
      <c r="B682" s="14">
        <v>61690</v>
      </c>
      <c r="C682" s="12" t="s">
        <v>310</v>
      </c>
      <c r="D682" s="16" t="s">
        <v>489</v>
      </c>
    </row>
    <row r="683" spans="1:4" x14ac:dyDescent="0.25">
      <c r="A683" s="13" t="e">
        <f>VLOOKUP(B683:B1390,#REF!,1,FALSE)</f>
        <v>#REF!</v>
      </c>
      <c r="B683" s="14">
        <v>61691</v>
      </c>
      <c r="C683" s="12" t="s">
        <v>311</v>
      </c>
      <c r="D683" s="16" t="s">
        <v>490</v>
      </c>
    </row>
    <row r="684" spans="1:4" x14ac:dyDescent="0.25">
      <c r="A684" s="13" t="e">
        <f>VLOOKUP(B684:B1391,#REF!,1,FALSE)</f>
        <v>#REF!</v>
      </c>
      <c r="B684" s="27">
        <v>61754</v>
      </c>
      <c r="C684" s="7" t="s">
        <v>312</v>
      </c>
      <c r="D684" s="30" t="s">
        <v>1458</v>
      </c>
    </row>
    <row r="685" spans="1:4" x14ac:dyDescent="0.25">
      <c r="A685" s="13" t="e">
        <f>VLOOKUP(B685:B1392,#REF!,1,FALSE)</f>
        <v>#REF!</v>
      </c>
      <c r="B685" s="14">
        <v>61785</v>
      </c>
      <c r="C685" s="12" t="s">
        <v>491</v>
      </c>
      <c r="D685" s="16" t="s">
        <v>1439</v>
      </c>
    </row>
    <row r="686" spans="1:4" x14ac:dyDescent="0.25">
      <c r="A686" s="13" t="e">
        <f>VLOOKUP(B686:B1393,#REF!,1,FALSE)</f>
        <v>#REF!</v>
      </c>
      <c r="B686" s="27">
        <v>61797</v>
      </c>
      <c r="C686" s="7" t="s">
        <v>910</v>
      </c>
      <c r="D686" s="6" t="s">
        <v>911</v>
      </c>
    </row>
    <row r="687" spans="1:4" x14ac:dyDescent="0.25">
      <c r="A687" s="13" t="e">
        <f>VLOOKUP(B687:B1394,#REF!,1,FALSE)</f>
        <v>#REF!</v>
      </c>
      <c r="B687" s="27">
        <v>61798</v>
      </c>
      <c r="C687" s="7" t="s">
        <v>313</v>
      </c>
      <c r="D687" s="6" t="s">
        <v>627</v>
      </c>
    </row>
    <row r="688" spans="1:4" x14ac:dyDescent="0.25">
      <c r="A688" s="13" t="e">
        <f>VLOOKUP(B688:B1395,#REF!,1,FALSE)</f>
        <v>#REF!</v>
      </c>
      <c r="B688" s="14">
        <v>61800</v>
      </c>
      <c r="C688" s="12" t="s">
        <v>492</v>
      </c>
      <c r="D688" s="16" t="s">
        <v>1440</v>
      </c>
    </row>
    <row r="689" spans="1:4" x14ac:dyDescent="0.25">
      <c r="A689" s="13" t="e">
        <f>VLOOKUP(B689:B1396,#REF!,1,FALSE)</f>
        <v>#REF!</v>
      </c>
      <c r="B689" s="14">
        <v>61801</v>
      </c>
      <c r="C689" s="12" t="s">
        <v>493</v>
      </c>
      <c r="D689" s="15" t="s">
        <v>494</v>
      </c>
    </row>
    <row r="690" spans="1:4" x14ac:dyDescent="0.25">
      <c r="A690" s="13" t="e">
        <f>VLOOKUP(B690:B1397,#REF!,1,FALSE)</f>
        <v>#REF!</v>
      </c>
      <c r="B690" s="14">
        <v>61809</v>
      </c>
      <c r="C690" s="12" t="s">
        <v>495</v>
      </c>
      <c r="D690" s="16" t="s">
        <v>1441</v>
      </c>
    </row>
    <row r="691" spans="1:4" x14ac:dyDescent="0.25">
      <c r="A691" s="13" t="e">
        <f>VLOOKUP(B691:B1398,#REF!,1,FALSE)</f>
        <v>#REF!</v>
      </c>
      <c r="B691" s="24">
        <v>61810</v>
      </c>
      <c r="C691" s="10" t="s">
        <v>1359</v>
      </c>
      <c r="D691" s="8" t="s">
        <v>1360</v>
      </c>
    </row>
    <row r="692" spans="1:4" x14ac:dyDescent="0.25">
      <c r="A692" s="13" t="e">
        <f>VLOOKUP(B692:B1399,#REF!,1,FALSE)</f>
        <v>#REF!</v>
      </c>
      <c r="B692" s="14">
        <v>61811</v>
      </c>
      <c r="C692" s="12" t="s">
        <v>496</v>
      </c>
      <c r="D692" s="16" t="s">
        <v>1442</v>
      </c>
    </row>
    <row r="693" spans="1:4" x14ac:dyDescent="0.25">
      <c r="A693" s="13" t="e">
        <f>VLOOKUP(B693:B1400,#REF!,1,FALSE)</f>
        <v>#REF!</v>
      </c>
      <c r="B693" s="24">
        <v>61812</v>
      </c>
      <c r="C693" s="10" t="s">
        <v>1361</v>
      </c>
      <c r="D693" s="8" t="s">
        <v>1362</v>
      </c>
    </row>
    <row r="694" spans="1:4" x14ac:dyDescent="0.25">
      <c r="A694" s="13" t="e">
        <f>VLOOKUP(B694:B1401,#REF!,1,FALSE)</f>
        <v>#REF!</v>
      </c>
      <c r="B694" s="14">
        <v>61813</v>
      </c>
      <c r="C694" s="12" t="s">
        <v>497</v>
      </c>
      <c r="D694" s="15" t="s">
        <v>498</v>
      </c>
    </row>
    <row r="695" spans="1:4" x14ac:dyDescent="0.25">
      <c r="A695" s="13" t="e">
        <f>VLOOKUP(B695:B1402,#REF!,1,FALSE)</f>
        <v>#REF!</v>
      </c>
      <c r="B695" s="24">
        <v>61814</v>
      </c>
      <c r="C695" s="10" t="s">
        <v>1363</v>
      </c>
      <c r="D695" s="8" t="s">
        <v>1364</v>
      </c>
    </row>
    <row r="696" spans="1:4" x14ac:dyDescent="0.25">
      <c r="A696" s="13" t="e">
        <f>VLOOKUP(B696:B1403,#REF!,1,FALSE)</f>
        <v>#REF!</v>
      </c>
      <c r="B696" s="24">
        <v>61817</v>
      </c>
      <c r="C696" s="10" t="s">
        <v>1365</v>
      </c>
      <c r="D696" s="8" t="s">
        <v>1366</v>
      </c>
    </row>
    <row r="697" spans="1:4" x14ac:dyDescent="0.25">
      <c r="A697" s="13" t="e">
        <f>VLOOKUP(B697:B1404,#REF!,1,FALSE)</f>
        <v>#REF!</v>
      </c>
      <c r="B697" s="24">
        <v>61823</v>
      </c>
      <c r="C697" s="10" t="s">
        <v>1367</v>
      </c>
      <c r="D697" s="8" t="s">
        <v>1368</v>
      </c>
    </row>
    <row r="698" spans="1:4" x14ac:dyDescent="0.25">
      <c r="A698" s="13" t="e">
        <f>VLOOKUP(B698:B1405,#REF!,1,FALSE)</f>
        <v>#REF!</v>
      </c>
      <c r="B698" s="14">
        <v>61825</v>
      </c>
      <c r="C698" s="12" t="s">
        <v>499</v>
      </c>
      <c r="D698" s="16" t="s">
        <v>500</v>
      </c>
    </row>
    <row r="699" spans="1:4" x14ac:dyDescent="0.25">
      <c r="A699" s="13" t="e">
        <f>VLOOKUP(B699:B1406,#REF!,1,FALSE)</f>
        <v>#REF!</v>
      </c>
      <c r="B699" s="24">
        <v>61845</v>
      </c>
      <c r="C699" s="10" t="s">
        <v>1369</v>
      </c>
      <c r="D699" s="8" t="s">
        <v>1370</v>
      </c>
    </row>
    <row r="700" spans="1:4" x14ac:dyDescent="0.25">
      <c r="A700" s="13" t="e">
        <f>VLOOKUP(B700:B1407,#REF!,1,FALSE)</f>
        <v>#REF!</v>
      </c>
      <c r="B700" s="27">
        <v>61854</v>
      </c>
      <c r="C700" s="9" t="s">
        <v>314</v>
      </c>
      <c r="D700" s="6" t="s">
        <v>605</v>
      </c>
    </row>
    <row r="701" spans="1:4" x14ac:dyDescent="0.25">
      <c r="A701" s="13" t="e">
        <f>VLOOKUP(B701:B1408,#REF!,1,FALSE)</f>
        <v>#REF!</v>
      </c>
      <c r="B701" s="14">
        <v>61869</v>
      </c>
      <c r="C701" s="12" t="s">
        <v>501</v>
      </c>
      <c r="D701" s="16" t="s">
        <v>502</v>
      </c>
    </row>
    <row r="702" spans="1:4" x14ac:dyDescent="0.25">
      <c r="A702" s="13" t="e">
        <f>VLOOKUP(B702:B1409,#REF!,1,FALSE)</f>
        <v>#REF!</v>
      </c>
      <c r="B702" s="24">
        <v>61872</v>
      </c>
      <c r="C702" s="10" t="s">
        <v>1371</v>
      </c>
      <c r="D702" s="8" t="s">
        <v>1372</v>
      </c>
    </row>
    <row r="703" spans="1:4" x14ac:dyDescent="0.25">
      <c r="A703" s="13" t="e">
        <f>VLOOKUP(B703:B1410,#REF!,1,FALSE)</f>
        <v>#REF!</v>
      </c>
      <c r="B703" s="27">
        <v>61875</v>
      </c>
      <c r="C703" s="7" t="s">
        <v>906</v>
      </c>
      <c r="D703" s="6" t="s">
        <v>907</v>
      </c>
    </row>
    <row r="704" spans="1:4" x14ac:dyDescent="0.25">
      <c r="A704" s="13" t="e">
        <f>VLOOKUP(B704:B1411,#REF!,1,FALSE)</f>
        <v>#REF!</v>
      </c>
      <c r="B704" s="27">
        <v>61917</v>
      </c>
      <c r="C704" s="7" t="s">
        <v>904</v>
      </c>
      <c r="D704" s="6" t="s">
        <v>905</v>
      </c>
    </row>
    <row r="705" spans="1:4" x14ac:dyDescent="0.25">
      <c r="A705" s="13" t="e">
        <f>VLOOKUP(B705:B1412,#REF!,1,FALSE)</f>
        <v>#REF!</v>
      </c>
      <c r="B705" s="18">
        <v>61945</v>
      </c>
      <c r="C705" s="12" t="s">
        <v>503</v>
      </c>
      <c r="D705" s="16" t="s">
        <v>504</v>
      </c>
    </row>
    <row r="706" spans="1:4" x14ac:dyDescent="0.25">
      <c r="A706" s="13" t="e">
        <f>VLOOKUP(B706:B1413,#REF!,1,FALSE)</f>
        <v>#REF!</v>
      </c>
      <c r="B706" s="24">
        <v>61951</v>
      </c>
      <c r="C706" s="10" t="s">
        <v>1373</v>
      </c>
      <c r="D706" s="8" t="s">
        <v>1374</v>
      </c>
    </row>
    <row r="707" spans="1:4" x14ac:dyDescent="0.25">
      <c r="A707" s="13" t="e">
        <f>VLOOKUP(B707:B1414,#REF!,1,FALSE)</f>
        <v>#REF!</v>
      </c>
      <c r="B707" s="27">
        <v>61952</v>
      </c>
      <c r="C707" s="7" t="s">
        <v>902</v>
      </c>
      <c r="D707" s="6" t="s">
        <v>903</v>
      </c>
    </row>
    <row r="708" spans="1:4" x14ac:dyDescent="0.25">
      <c r="A708" s="13" t="e">
        <f>VLOOKUP(B708:B1415,#REF!,1,FALSE)</f>
        <v>#REF!</v>
      </c>
      <c r="B708" s="24">
        <v>62109</v>
      </c>
      <c r="C708" s="10" t="s">
        <v>1375</v>
      </c>
      <c r="D708" s="8" t="s">
        <v>1376</v>
      </c>
    </row>
    <row r="709" spans="1:4" x14ac:dyDescent="0.25">
      <c r="A709" s="13" t="e">
        <f>VLOOKUP(B709:B1416,#REF!,1,FALSE)</f>
        <v>#REF!</v>
      </c>
      <c r="B709" s="24">
        <v>62116</v>
      </c>
      <c r="C709" s="10" t="s">
        <v>1377</v>
      </c>
      <c r="D709" s="8" t="s">
        <v>1378</v>
      </c>
    </row>
    <row r="710" spans="1:4" x14ac:dyDescent="0.25">
      <c r="A710" s="13"/>
      <c r="B710" s="24">
        <v>10718</v>
      </c>
      <c r="C710" s="47" t="s">
        <v>9133</v>
      </c>
      <c r="D710" s="30" t="s">
        <v>9134</v>
      </c>
    </row>
    <row r="711" spans="1:4" x14ac:dyDescent="0.25">
      <c r="B711" s="4"/>
      <c r="C711" s="5" t="s">
        <v>599</v>
      </c>
      <c r="D711" s="6"/>
    </row>
  </sheetData>
  <conditionalFormatting sqref="B1:B586 B588:B1048576">
    <cfRule type="duplicateValues" dxfId="30" priority="9"/>
    <cfRule type="duplicateValues" dxfId="29" priority="10"/>
    <cfRule type="duplicateValues" dxfId="28" priority="11"/>
    <cfRule type="duplicateValues" dxfId="27" priority="12"/>
  </conditionalFormatting>
  <conditionalFormatting sqref="A1">
    <cfRule type="duplicateValues" dxfId="26" priority="1"/>
    <cfRule type="duplicateValues" dxfId="25" priority="2"/>
    <cfRule type="duplicateValues" dxfId="24" priority="3"/>
    <cfRule type="duplicateValues" dxfId="23" priority="4"/>
  </conditionalFormatting>
  <hyperlinks>
    <hyperlink ref="C262" r:id="rId1" display="https://www.gmdnagency.org/TermDetails.aspx?tid=118170"/>
    <hyperlink ref="C560" r:id="rId2" location="138071" display="https://www.gmdnagency.org/Terms/Search?keyword=48181&amp;lang=en&amp;advanced=false&amp;scope=1&amp;period=1&amp;rows=25&amp;definition=true - 138071"/>
    <hyperlink ref="C549" r:id="rId3" location="137982" display="https://www.gmdnagency.org/Terms/Search?keyword=48091&amp;lang=en&amp;advanced=False&amp;scope=1&amp;period=1&amp;rows=25 - 137982"/>
    <hyperlink ref="C389" r:id="rId4" location="136554" display="https://www.gmdnagency.org/Terms/Search?keyword=46208&amp;lang=en&amp;advanced=False&amp;scope=1&amp;period=1&amp;rows=25 - 136554"/>
    <hyperlink ref="C647" r:id="rId5" location="2001963" display="https://www.gmdnagency.org/Terms/Search?keyword=60937&amp;lang=en&amp;advanced=False&amp;scope=1&amp;period=1&amp;rows=25 - 2001963"/>
    <hyperlink ref="C635" r:id="rId6" location="2001368" display="https://www.gmdnagency.org/Terms/Search?keyword=60367&amp;lang=en&amp;advanced=False&amp;scope=1&amp;period=1&amp;rows=25 - 2001368"/>
    <hyperlink ref="C436" r:id="rId7" location="137085" display="https://www.gmdnagency.org/Terms/Search?keyword=46774&amp;lang=en&amp;advanced=False&amp;scope=1&amp;period=1&amp;rows=25 - 137085"/>
    <hyperlink ref="C326" r:id="rId8" location="134983" display="https://www.gmdnagency.org/Terms/Search?keyword=44778&amp;lang=en&amp;advanced=False&amp;scope=1&amp;period=1&amp;rows=25 - 134983"/>
    <hyperlink ref="C166" r:id="rId9" location="119739" display="https://www.gmdnagency.org/Terms/Search?keyword=35095&amp;lang=en&amp;advanced=False&amp;scope=1&amp;period=1&amp;rows=25 - 119739"/>
    <hyperlink ref="C420" r:id="rId10" location="136958" display="https://www.gmdnagency.org/Terms/Search?keyword=46642&amp;lang=en&amp;advanced=False&amp;scope=1&amp;period=1&amp;rows=25 - 136958"/>
    <hyperlink ref="C347" r:id="rId11" location="135272" display="https://www.gmdnagency.org/Terms/Search?keyword=45038&amp;lang=en&amp;advanced=False&amp;scope=1&amp;period=1&amp;rows=25 - 135272"/>
    <hyperlink ref="C419" r:id="rId12" location="136951" display="136951"/>
    <hyperlink ref="C67" r:id="rId13" location="117387" display="https://www.gmdnagency.org/Terms/Search?keyword=17751&amp;lang=en&amp;advanced=False&amp;scope=1&amp;period=1&amp;rows=25 - 117387"/>
    <hyperlink ref="C481" r:id="rId14" location="137646" display="https://www.gmdnagency.org/Terms/Search?keyword=47636&amp;lang=en&amp;advanced=False&amp;scope=1&amp;period=1&amp;rows=25 - 137646"/>
    <hyperlink ref="C480" r:id="rId15" location="129407" display="https://www.gmdnagency.org/Terms/Search?keyword=47635&amp;lang=en&amp;advanced=False&amp;scope=1&amp;period=1&amp;rows=25 - 129407"/>
    <hyperlink ref="C392" r:id="rId16" location="136610" display="https://www.gmdnagency.org/Terms/Search?keyword=46268&amp;lang=en&amp;advanced=False&amp;scope=1&amp;period=1&amp;rows=25 - 136610"/>
    <hyperlink ref="C133" r:id="rId17" location="115807" display="https://www.gmdnagency.org/Terms/Search?keyword=34017&amp;lang=en&amp;advanced=False&amp;scope=1&amp;period=1&amp;rows=25 - 115807"/>
    <hyperlink ref="B280" r:id="rId18" location="136957" display="https://www.gmdnagency.org/Terms/Search?keyword=46638&amp;lang=en&amp;advanced=False&amp;scope=1&amp;period=1&amp;rows=25 - 136957"/>
    <hyperlink ref="C417" r:id="rId19" location="136957" display="https://www.gmdnagency.org/Terms/Search?keyword=46638&amp;lang=en&amp;advanced=False&amp;scope=1&amp;period=1&amp;rows=25 - 136957"/>
    <hyperlink ref="C280" r:id="rId20" location="119557" display="https://www.gmdnagency.org/Terms/Search?keyword=42894&amp;lang=en&amp;advanced=False&amp;scope=1&amp;period=1&amp;rows=25 - 119557"/>
    <hyperlink ref="C433" r:id="rId21" location="137070" display="https://www.gmdnagency.org/Terms/Search?keyword=46751&amp;lang=en&amp;advanced=False&amp;scope=1&amp;period=1&amp;rows=25 - 137070"/>
    <hyperlink ref="C191" r:id="rId22" location="119465" display="https://www.gmdnagency.org/Terms/Search?keyword=35685&amp;lang=en&amp;advanced=False&amp;scope=1&amp;period=1&amp;rows=25 - 119465"/>
    <hyperlink ref="C102" r:id="rId23" location="123794" display="https://www.gmdnagency.org/Terms/Search?keyword=32885&amp;lang=en&amp;advanced=False&amp;scope=1&amp;period=1&amp;rows=25 - 123794"/>
    <hyperlink ref="C103" r:id="rId24" location="119565" display="https://www.gmdnagency.org/Terms/Search?keyword=32886&amp;lang=en&amp;advanced=False&amp;scope=1&amp;period=1&amp;rows=25 - 119565"/>
  </hyperlinks>
  <pageMargins left="0.7" right="0.7" top="0.75" bottom="0.75" header="0.3" footer="0.3"/>
  <pageSetup orientation="portrait" r:id="rId25"/>
  <tableParts count="1">
    <tablePart r:id="rId2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R3745"/>
  <sheetViews>
    <sheetView tabSelected="1" workbookViewId="0">
      <selection activeCell="L9" sqref="L9"/>
    </sheetView>
  </sheetViews>
  <sheetFormatPr defaultRowHeight="15" x14ac:dyDescent="0.25"/>
  <cols>
    <col min="3" max="3" width="22" customWidth="1"/>
    <col min="4" max="4" width="10.7109375" customWidth="1"/>
    <col min="5" max="5" width="34.140625" customWidth="1"/>
    <col min="6" max="6" width="28.85546875" customWidth="1"/>
    <col min="7" max="7" width="9" customWidth="1"/>
    <col min="8" max="8" width="23.140625" customWidth="1"/>
    <col min="9" max="9" width="17.85546875" customWidth="1"/>
    <col min="10" max="10" width="10" customWidth="1"/>
    <col min="11" max="11" width="10.28515625" customWidth="1"/>
    <col min="12" max="12" width="12.5703125" customWidth="1"/>
    <col min="13" max="13" width="17.140625" customWidth="1"/>
    <col min="14" max="14" width="16.5703125" style="46" customWidth="1"/>
    <col min="15" max="15" width="61" customWidth="1"/>
    <col min="16" max="16" width="21.5703125" customWidth="1"/>
    <col min="17" max="17" width="11.7109375" customWidth="1"/>
    <col min="18" max="18" width="11.42578125" customWidth="1"/>
  </cols>
  <sheetData>
    <row r="1" spans="1:18" ht="15" customHeight="1" x14ac:dyDescent="0.25">
      <c r="C1" s="37" t="s">
        <v>1479</v>
      </c>
      <c r="D1" s="38" t="s">
        <v>1480</v>
      </c>
      <c r="E1" s="37" t="s">
        <v>1481</v>
      </c>
      <c r="F1" s="38" t="s">
        <v>1482</v>
      </c>
      <c r="G1" s="38" t="s">
        <v>1483</v>
      </c>
      <c r="H1" s="37" t="s">
        <v>1484</v>
      </c>
      <c r="I1" s="38" t="s">
        <v>1485</v>
      </c>
      <c r="J1" s="38" t="s">
        <v>1486</v>
      </c>
      <c r="K1" s="37" t="s">
        <v>1487</v>
      </c>
      <c r="L1" s="38" t="s">
        <v>1488</v>
      </c>
      <c r="M1" s="38" t="s">
        <v>1489</v>
      </c>
      <c r="N1" s="43" t="s">
        <v>9130</v>
      </c>
      <c r="O1" s="37" t="s">
        <v>1490</v>
      </c>
      <c r="P1" s="38" t="s">
        <v>1491</v>
      </c>
      <c r="Q1" s="39" t="s">
        <v>1492</v>
      </c>
      <c r="R1" s="39" t="s">
        <v>1493</v>
      </c>
    </row>
    <row r="2" spans="1:18" ht="15" customHeight="1" x14ac:dyDescent="0.25">
      <c r="A2" t="str">
        <f>IFERROR(RANK(B2,$B:$B,1)+COUNTIF($B$1:B1,B2),"")</f>
        <v/>
      </c>
      <c r="B2" t="str">
        <f>IFERROR(SEARCH(#REF!,Table4[[#This Row],[Commodity Title]],1),"")</f>
        <v/>
      </c>
      <c r="C2" s="33" t="s">
        <v>1494</v>
      </c>
      <c r="D2" s="33" t="s">
        <v>1495</v>
      </c>
      <c r="E2" s="33" t="s">
        <v>1496</v>
      </c>
      <c r="F2" s="33" t="s">
        <v>1497</v>
      </c>
      <c r="G2" s="33" t="s">
        <v>1494</v>
      </c>
      <c r="H2" s="33" t="s">
        <v>1494</v>
      </c>
      <c r="I2" s="33" t="s">
        <v>1494</v>
      </c>
      <c r="J2" s="33">
        <v>104269</v>
      </c>
      <c r="K2" s="33" t="s">
        <v>1494</v>
      </c>
      <c r="L2" s="33" t="s">
        <v>1494</v>
      </c>
      <c r="M2" s="33" t="s">
        <v>1494</v>
      </c>
      <c r="N2" s="44" t="s">
        <v>1494</v>
      </c>
      <c r="O2" s="33" t="s">
        <v>1494</v>
      </c>
      <c r="P2" s="33" t="s">
        <v>1494</v>
      </c>
      <c r="Q2" s="34" t="s">
        <v>1494</v>
      </c>
      <c r="R2" s="34" t="s">
        <v>1494</v>
      </c>
    </row>
    <row r="3" spans="1:18" ht="15" customHeight="1" x14ac:dyDescent="0.25">
      <c r="A3" t="str">
        <f>IFERROR(RANK(B3,$B:$B,1)+COUNTIF($B$1:B2,B3),"")</f>
        <v/>
      </c>
      <c r="B3" t="str">
        <f>IFERROR(SEARCH(#REF!,Table4[[#This Row],[Commodity Title]],1),"")</f>
        <v/>
      </c>
      <c r="C3" s="33" t="s">
        <v>1494</v>
      </c>
      <c r="D3" s="33" t="s">
        <v>1495</v>
      </c>
      <c r="E3" s="33" t="s">
        <v>1496</v>
      </c>
      <c r="F3" s="33" t="s">
        <v>1497</v>
      </c>
      <c r="G3" s="33" t="s">
        <v>1498</v>
      </c>
      <c r="H3" s="33" t="s">
        <v>1499</v>
      </c>
      <c r="I3" s="33" t="s">
        <v>1500</v>
      </c>
      <c r="J3" s="33">
        <v>104774</v>
      </c>
      <c r="K3" s="33" t="s">
        <v>1494</v>
      </c>
      <c r="L3" s="33" t="s">
        <v>1494</v>
      </c>
      <c r="M3" s="33" t="s">
        <v>1494</v>
      </c>
      <c r="N3" s="44" t="s">
        <v>1494</v>
      </c>
      <c r="O3" s="33" t="s">
        <v>1494</v>
      </c>
      <c r="P3" s="33" t="s">
        <v>1494</v>
      </c>
      <c r="Q3" s="34" t="s">
        <v>1494</v>
      </c>
      <c r="R3" s="34" t="s">
        <v>1494</v>
      </c>
    </row>
    <row r="4" spans="1:18" ht="15" customHeight="1" x14ac:dyDescent="0.25">
      <c r="A4" t="str">
        <f>IFERROR(RANK(B4,$B:$B,1)+COUNTIF($B$1:B3,B4),"")</f>
        <v/>
      </c>
      <c r="B4" t="str">
        <f>IFERROR(SEARCH(#REF!,Table4[[#This Row],[Commodity Title]],1),"")</f>
        <v/>
      </c>
      <c r="C4" s="33" t="s">
        <v>1494</v>
      </c>
      <c r="D4" s="33" t="s">
        <v>1495</v>
      </c>
      <c r="E4" s="33" t="s">
        <v>1496</v>
      </c>
      <c r="F4" s="33" t="s">
        <v>1497</v>
      </c>
      <c r="G4" s="33" t="s">
        <v>1498</v>
      </c>
      <c r="H4" s="33" t="s">
        <v>1499</v>
      </c>
      <c r="I4" s="33" t="s">
        <v>1500</v>
      </c>
      <c r="J4" s="33">
        <v>104775</v>
      </c>
      <c r="K4" s="33" t="s">
        <v>1501</v>
      </c>
      <c r="L4" s="33" t="s">
        <v>1502</v>
      </c>
      <c r="M4" s="33" t="s">
        <v>1503</v>
      </c>
      <c r="N4" s="44" t="s">
        <v>1494</v>
      </c>
      <c r="O4" s="33" t="s">
        <v>1494</v>
      </c>
      <c r="P4" s="33" t="s">
        <v>1494</v>
      </c>
      <c r="Q4" s="34" t="s">
        <v>1494</v>
      </c>
      <c r="R4" s="34" t="s">
        <v>1494</v>
      </c>
    </row>
    <row r="5" spans="1:18" ht="15" customHeight="1" x14ac:dyDescent="0.25">
      <c r="A5" t="str">
        <f>IFERROR(RANK(B5,$B:$B,1)+COUNTIF($B$1:B4,B5),"")</f>
        <v/>
      </c>
      <c r="B5" t="str">
        <f>IFERROR(SEARCH(#REF!,Table4[[#This Row],[Commodity Title]],1),"")</f>
        <v/>
      </c>
      <c r="C5" s="35">
        <v>42121501</v>
      </c>
      <c r="D5" s="33" t="s">
        <v>1495</v>
      </c>
      <c r="E5" s="33" t="s">
        <v>1496</v>
      </c>
      <c r="F5" s="33" t="s">
        <v>1497</v>
      </c>
      <c r="G5" s="33" t="s">
        <v>1498</v>
      </c>
      <c r="H5" s="33" t="s">
        <v>1499</v>
      </c>
      <c r="I5" s="33" t="s">
        <v>1500</v>
      </c>
      <c r="J5" s="33">
        <v>104776</v>
      </c>
      <c r="K5" s="33" t="s">
        <v>1501</v>
      </c>
      <c r="L5" s="33" t="s">
        <v>1502</v>
      </c>
      <c r="M5" s="33" t="s">
        <v>1503</v>
      </c>
      <c r="N5" s="44">
        <v>42121501</v>
      </c>
      <c r="O5" s="33" t="s">
        <v>1504</v>
      </c>
      <c r="P5" s="33" t="s">
        <v>1505</v>
      </c>
      <c r="Q5" s="34" t="s">
        <v>1494</v>
      </c>
      <c r="R5" s="34" t="s">
        <v>1494</v>
      </c>
    </row>
    <row r="6" spans="1:18" ht="15" customHeight="1" x14ac:dyDescent="0.25">
      <c r="A6" t="str">
        <f>IFERROR(RANK(B6,$B:$B,1)+COUNTIF($B$1:B5,B6),"")</f>
        <v/>
      </c>
      <c r="B6" t="str">
        <f>IFERROR(SEARCH(#REF!,Table4[[#This Row],[Commodity Title]],1),"")</f>
        <v/>
      </c>
      <c r="C6" s="35">
        <v>42121502</v>
      </c>
      <c r="D6" s="33" t="s">
        <v>1495</v>
      </c>
      <c r="E6" s="33" t="s">
        <v>1496</v>
      </c>
      <c r="F6" s="33" t="s">
        <v>1497</v>
      </c>
      <c r="G6" s="33" t="s">
        <v>1498</v>
      </c>
      <c r="H6" s="33" t="s">
        <v>1499</v>
      </c>
      <c r="I6" s="33" t="s">
        <v>1500</v>
      </c>
      <c r="J6" s="33">
        <v>104777</v>
      </c>
      <c r="K6" s="33" t="s">
        <v>1501</v>
      </c>
      <c r="L6" s="33" t="s">
        <v>1502</v>
      </c>
      <c r="M6" s="33" t="s">
        <v>1503</v>
      </c>
      <c r="N6" s="44">
        <v>42121502</v>
      </c>
      <c r="O6" s="33" t="s">
        <v>1506</v>
      </c>
      <c r="P6" s="33" t="s">
        <v>1507</v>
      </c>
      <c r="Q6" s="34" t="s">
        <v>1494</v>
      </c>
      <c r="R6" s="34" t="s">
        <v>1494</v>
      </c>
    </row>
    <row r="7" spans="1:18" ht="15" customHeight="1" x14ac:dyDescent="0.25">
      <c r="A7" t="str">
        <f>IFERROR(RANK(B7,$B:$B,1)+COUNTIF($B$1:B6,B7),"")</f>
        <v/>
      </c>
      <c r="B7" t="str">
        <f>IFERROR(SEARCH(#REF!,Table4[[#This Row],[Commodity Title]],1),"")</f>
        <v/>
      </c>
      <c r="C7" s="35">
        <v>42121503</v>
      </c>
      <c r="D7" s="33" t="s">
        <v>1495</v>
      </c>
      <c r="E7" s="33" t="s">
        <v>1496</v>
      </c>
      <c r="F7" s="33" t="s">
        <v>1497</v>
      </c>
      <c r="G7" s="33" t="s">
        <v>1498</v>
      </c>
      <c r="H7" s="33" t="s">
        <v>1499</v>
      </c>
      <c r="I7" s="33" t="s">
        <v>1500</v>
      </c>
      <c r="J7" s="33">
        <v>104778</v>
      </c>
      <c r="K7" s="33" t="s">
        <v>1501</v>
      </c>
      <c r="L7" s="33" t="s">
        <v>1502</v>
      </c>
      <c r="M7" s="33" t="s">
        <v>1503</v>
      </c>
      <c r="N7" s="44">
        <v>42121503</v>
      </c>
      <c r="O7" s="33" t="s">
        <v>1508</v>
      </c>
      <c r="P7" s="33" t="s">
        <v>1509</v>
      </c>
      <c r="Q7" s="34" t="s">
        <v>1494</v>
      </c>
      <c r="R7" s="34" t="s">
        <v>1494</v>
      </c>
    </row>
    <row r="8" spans="1:18" ht="15" customHeight="1" x14ac:dyDescent="0.25">
      <c r="A8" t="str">
        <f>IFERROR(RANK(B8,$B:$B,1)+COUNTIF($B$1:B7,B8),"")</f>
        <v/>
      </c>
      <c r="B8" t="str">
        <f>IFERROR(SEARCH(#REF!,Table4[[#This Row],[Commodity Title]],1),"")</f>
        <v/>
      </c>
      <c r="C8" s="35">
        <v>42121504</v>
      </c>
      <c r="D8" s="33" t="s">
        <v>1495</v>
      </c>
      <c r="E8" s="33" t="s">
        <v>1496</v>
      </c>
      <c r="F8" s="33" t="s">
        <v>1497</v>
      </c>
      <c r="G8" s="33" t="s">
        <v>1498</v>
      </c>
      <c r="H8" s="33" t="s">
        <v>1499</v>
      </c>
      <c r="I8" s="33" t="s">
        <v>1500</v>
      </c>
      <c r="J8" s="33">
        <v>104779</v>
      </c>
      <c r="K8" s="33" t="s">
        <v>1501</v>
      </c>
      <c r="L8" s="33" t="s">
        <v>1502</v>
      </c>
      <c r="M8" s="33" t="s">
        <v>1503</v>
      </c>
      <c r="N8" s="44">
        <v>42121504</v>
      </c>
      <c r="O8" s="33" t="s">
        <v>1510</v>
      </c>
      <c r="P8" s="33" t="s">
        <v>1511</v>
      </c>
      <c r="Q8" s="34" t="s">
        <v>1494</v>
      </c>
      <c r="R8" s="34" t="s">
        <v>1494</v>
      </c>
    </row>
    <row r="9" spans="1:18" ht="15" customHeight="1" x14ac:dyDescent="0.25">
      <c r="A9" t="str">
        <f>IFERROR(RANK(B9,$B:$B,1)+COUNTIF($B$1:B8,B9),"")</f>
        <v/>
      </c>
      <c r="B9" t="str">
        <f>IFERROR(SEARCH(#REF!,Table4[[#This Row],[Commodity Title]],1),"")</f>
        <v/>
      </c>
      <c r="C9" s="35">
        <v>42121505</v>
      </c>
      <c r="D9" s="33" t="s">
        <v>1495</v>
      </c>
      <c r="E9" s="33" t="s">
        <v>1496</v>
      </c>
      <c r="F9" s="33" t="s">
        <v>1497</v>
      </c>
      <c r="G9" s="33" t="s">
        <v>1498</v>
      </c>
      <c r="H9" s="33" t="s">
        <v>1499</v>
      </c>
      <c r="I9" s="33" t="s">
        <v>1500</v>
      </c>
      <c r="J9" s="33">
        <v>104780</v>
      </c>
      <c r="K9" s="33" t="s">
        <v>1501</v>
      </c>
      <c r="L9" s="33" t="s">
        <v>1502</v>
      </c>
      <c r="M9" s="33" t="s">
        <v>1503</v>
      </c>
      <c r="N9" s="44">
        <v>42121505</v>
      </c>
      <c r="O9" s="33" t="s">
        <v>1512</v>
      </c>
      <c r="P9" s="33" t="s">
        <v>1513</v>
      </c>
      <c r="Q9" s="34" t="s">
        <v>1494</v>
      </c>
      <c r="R9" s="34" t="s">
        <v>1494</v>
      </c>
    </row>
    <row r="10" spans="1:18" ht="15" customHeight="1" x14ac:dyDescent="0.25">
      <c r="A10" t="str">
        <f>IFERROR(RANK(B10,$B:$B,1)+COUNTIF($B$1:B9,B10),"")</f>
        <v/>
      </c>
      <c r="B10" t="str">
        <f>IFERROR(SEARCH(#REF!,Table4[[#This Row],[Commodity Title]],1),"")</f>
        <v/>
      </c>
      <c r="C10" s="35">
        <v>42121506</v>
      </c>
      <c r="D10" s="33" t="s">
        <v>1495</v>
      </c>
      <c r="E10" s="33" t="s">
        <v>1496</v>
      </c>
      <c r="F10" s="33" t="s">
        <v>1497</v>
      </c>
      <c r="G10" s="33" t="s">
        <v>1498</v>
      </c>
      <c r="H10" s="33" t="s">
        <v>1499</v>
      </c>
      <c r="I10" s="33" t="s">
        <v>1500</v>
      </c>
      <c r="J10" s="33">
        <v>142246</v>
      </c>
      <c r="K10" s="33" t="s">
        <v>1501</v>
      </c>
      <c r="L10" s="33" t="s">
        <v>1502</v>
      </c>
      <c r="M10" s="33" t="s">
        <v>1503</v>
      </c>
      <c r="N10" s="44">
        <v>42121506</v>
      </c>
      <c r="O10" s="33" t="s">
        <v>1514</v>
      </c>
      <c r="P10" s="33" t="s">
        <v>1515</v>
      </c>
      <c r="Q10" s="34" t="s">
        <v>1494</v>
      </c>
      <c r="R10" s="34" t="s">
        <v>1494</v>
      </c>
    </row>
    <row r="11" spans="1:18" ht="15" customHeight="1" x14ac:dyDescent="0.25">
      <c r="A11" t="str">
        <f>IFERROR(RANK(B11,$B:$B,1)+COUNTIF($B$1:B10,B11),"")</f>
        <v/>
      </c>
      <c r="B11" t="str">
        <f>IFERROR(SEARCH(#REF!,Table4[[#This Row],[Commodity Title]],1),"")</f>
        <v/>
      </c>
      <c r="C11" s="35">
        <v>42121507</v>
      </c>
      <c r="D11" s="33" t="s">
        <v>1495</v>
      </c>
      <c r="E11" s="33" t="s">
        <v>1496</v>
      </c>
      <c r="F11" s="33" t="s">
        <v>1497</v>
      </c>
      <c r="G11" s="33" t="s">
        <v>1498</v>
      </c>
      <c r="H11" s="33" t="s">
        <v>1499</v>
      </c>
      <c r="I11" s="33" t="s">
        <v>1500</v>
      </c>
      <c r="J11" s="33">
        <v>142247</v>
      </c>
      <c r="K11" s="33" t="s">
        <v>1501</v>
      </c>
      <c r="L11" s="33" t="s">
        <v>1502</v>
      </c>
      <c r="M11" s="33" t="s">
        <v>1503</v>
      </c>
      <c r="N11" s="44">
        <v>42121507</v>
      </c>
      <c r="O11" s="33" t="s">
        <v>1516</v>
      </c>
      <c r="P11" s="33" t="s">
        <v>1517</v>
      </c>
      <c r="Q11" s="34" t="s">
        <v>1494</v>
      </c>
      <c r="R11" s="34" t="s">
        <v>1494</v>
      </c>
    </row>
    <row r="12" spans="1:18" ht="15" customHeight="1" x14ac:dyDescent="0.25">
      <c r="A12" t="str">
        <f>IFERROR(RANK(B12,$B:$B,1)+COUNTIF($B$1:B11,B12),"")</f>
        <v/>
      </c>
      <c r="B12" t="str">
        <f>IFERROR(SEARCH(#REF!,Table4[[#This Row],[Commodity Title]],1),"")</f>
        <v/>
      </c>
      <c r="C12" s="35">
        <v>42121508</v>
      </c>
      <c r="D12" s="33" t="s">
        <v>1495</v>
      </c>
      <c r="E12" s="33" t="s">
        <v>1496</v>
      </c>
      <c r="F12" s="33" t="s">
        <v>1497</v>
      </c>
      <c r="G12" s="33" t="s">
        <v>1498</v>
      </c>
      <c r="H12" s="33" t="s">
        <v>1499</v>
      </c>
      <c r="I12" s="33" t="s">
        <v>1500</v>
      </c>
      <c r="J12" s="33">
        <v>142248</v>
      </c>
      <c r="K12" s="33" t="s">
        <v>1501</v>
      </c>
      <c r="L12" s="33" t="s">
        <v>1502</v>
      </c>
      <c r="M12" s="33" t="s">
        <v>1503</v>
      </c>
      <c r="N12" s="44">
        <v>42121508</v>
      </c>
      <c r="O12" s="33" t="s">
        <v>1518</v>
      </c>
      <c r="P12" s="33" t="s">
        <v>1519</v>
      </c>
      <c r="Q12" s="34" t="s">
        <v>1494</v>
      </c>
      <c r="R12" s="34" t="s">
        <v>1494</v>
      </c>
    </row>
    <row r="13" spans="1:18" ht="15" customHeight="1" x14ac:dyDescent="0.25">
      <c r="A13" t="str">
        <f>IFERROR(RANK(B13,$B:$B,1)+COUNTIF($B$1:B12,B13),"")</f>
        <v/>
      </c>
      <c r="B13" t="str">
        <f>IFERROR(SEARCH(#REF!,Table4[[#This Row],[Commodity Title]],1),"")</f>
        <v/>
      </c>
      <c r="C13" s="35">
        <v>42121509</v>
      </c>
      <c r="D13" s="33" t="s">
        <v>1495</v>
      </c>
      <c r="E13" s="33" t="s">
        <v>1496</v>
      </c>
      <c r="F13" s="33" t="s">
        <v>1497</v>
      </c>
      <c r="G13" s="33" t="s">
        <v>1498</v>
      </c>
      <c r="H13" s="33" t="s">
        <v>1499</v>
      </c>
      <c r="I13" s="33" t="s">
        <v>1500</v>
      </c>
      <c r="J13" s="33">
        <v>142249</v>
      </c>
      <c r="K13" s="33" t="s">
        <v>1501</v>
      </c>
      <c r="L13" s="33" t="s">
        <v>1502</v>
      </c>
      <c r="M13" s="33" t="s">
        <v>1503</v>
      </c>
      <c r="N13" s="44">
        <v>42121509</v>
      </c>
      <c r="O13" s="33" t="s">
        <v>1520</v>
      </c>
      <c r="P13" s="33" t="s">
        <v>1521</v>
      </c>
      <c r="Q13" s="34" t="s">
        <v>1494</v>
      </c>
      <c r="R13" s="34" t="s">
        <v>1494</v>
      </c>
    </row>
    <row r="14" spans="1:18" ht="15" customHeight="1" x14ac:dyDescent="0.25">
      <c r="A14" t="str">
        <f>IFERROR(RANK(B14,$B:$B,1)+COUNTIF($B$1:B13,B14),"")</f>
        <v/>
      </c>
      <c r="B14" t="str">
        <f>IFERROR(SEARCH(#REF!,Table4[[#This Row],[Commodity Title]],1),"")</f>
        <v/>
      </c>
      <c r="C14" s="35">
        <v>42121511</v>
      </c>
      <c r="D14" s="33" t="s">
        <v>1495</v>
      </c>
      <c r="E14" s="33" t="s">
        <v>1496</v>
      </c>
      <c r="F14" s="33" t="s">
        <v>1497</v>
      </c>
      <c r="G14" s="33" t="s">
        <v>1498</v>
      </c>
      <c r="H14" s="33" t="s">
        <v>1499</v>
      </c>
      <c r="I14" s="33" t="s">
        <v>1500</v>
      </c>
      <c r="J14" s="33">
        <v>142251</v>
      </c>
      <c r="K14" s="33" t="s">
        <v>1501</v>
      </c>
      <c r="L14" s="33" t="s">
        <v>1502</v>
      </c>
      <c r="M14" s="33" t="s">
        <v>1503</v>
      </c>
      <c r="N14" s="44">
        <v>42121511</v>
      </c>
      <c r="O14" s="33" t="s">
        <v>1522</v>
      </c>
      <c r="P14" s="33" t="s">
        <v>1523</v>
      </c>
      <c r="Q14" s="34" t="s">
        <v>1494</v>
      </c>
      <c r="R14" s="34" t="s">
        <v>1494</v>
      </c>
    </row>
    <row r="15" spans="1:18" ht="15" customHeight="1" x14ac:dyDescent="0.25">
      <c r="A15" t="str">
        <f>IFERROR(RANK(B15,$B:$B,1)+COUNTIF($B$1:B14,B15),"")</f>
        <v/>
      </c>
      <c r="B15" t="str">
        <f>IFERROR(SEARCH(#REF!,Table4[[#This Row],[Commodity Title]],1),"")</f>
        <v/>
      </c>
      <c r="C15" s="35">
        <v>42121512</v>
      </c>
      <c r="D15" s="33" t="s">
        <v>1495</v>
      </c>
      <c r="E15" s="33" t="s">
        <v>1496</v>
      </c>
      <c r="F15" s="33" t="s">
        <v>1497</v>
      </c>
      <c r="G15" s="33" t="s">
        <v>1498</v>
      </c>
      <c r="H15" s="33" t="s">
        <v>1499</v>
      </c>
      <c r="I15" s="33" t="s">
        <v>1500</v>
      </c>
      <c r="J15" s="33">
        <v>142252</v>
      </c>
      <c r="K15" s="33" t="s">
        <v>1501</v>
      </c>
      <c r="L15" s="33" t="s">
        <v>1502</v>
      </c>
      <c r="M15" s="33" t="s">
        <v>1503</v>
      </c>
      <c r="N15" s="44">
        <v>42121512</v>
      </c>
      <c r="O15" s="33" t="s">
        <v>1524</v>
      </c>
      <c r="P15" s="33" t="s">
        <v>1525</v>
      </c>
      <c r="Q15" s="34" t="s">
        <v>1494</v>
      </c>
      <c r="R15" s="34" t="s">
        <v>1494</v>
      </c>
    </row>
    <row r="16" spans="1:18" ht="15" customHeight="1" x14ac:dyDescent="0.25">
      <c r="A16" t="str">
        <f>IFERROR(RANK(B16,$B:$B,1)+COUNTIF($B$1:B15,B16),"")</f>
        <v/>
      </c>
      <c r="B16" t="str">
        <f>IFERROR(SEARCH(#REF!,Table4[[#This Row],[Commodity Title]],1),"")</f>
        <v/>
      </c>
      <c r="C16" s="35">
        <v>42121513</v>
      </c>
      <c r="D16" s="33" t="s">
        <v>1495</v>
      </c>
      <c r="E16" s="33" t="s">
        <v>1496</v>
      </c>
      <c r="F16" s="33" t="s">
        <v>1497</v>
      </c>
      <c r="G16" s="33" t="s">
        <v>1498</v>
      </c>
      <c r="H16" s="33" t="s">
        <v>1499</v>
      </c>
      <c r="I16" s="33" t="s">
        <v>1500</v>
      </c>
      <c r="J16" s="33">
        <v>142253</v>
      </c>
      <c r="K16" s="33" t="s">
        <v>1501</v>
      </c>
      <c r="L16" s="33" t="s">
        <v>1502</v>
      </c>
      <c r="M16" s="33" t="s">
        <v>1503</v>
      </c>
      <c r="N16" s="44">
        <v>42121513</v>
      </c>
      <c r="O16" s="33" t="s">
        <v>1526</v>
      </c>
      <c r="P16" s="33" t="s">
        <v>1527</v>
      </c>
      <c r="Q16" s="34" t="s">
        <v>1494</v>
      </c>
      <c r="R16" s="34" t="s">
        <v>1494</v>
      </c>
    </row>
    <row r="17" spans="1:18" ht="15" customHeight="1" x14ac:dyDescent="0.25">
      <c r="A17" t="str">
        <f>IFERROR(RANK(B17,$B:$B,1)+COUNTIF($B$1:B16,B17),"")</f>
        <v/>
      </c>
      <c r="B17" t="str">
        <f>IFERROR(SEARCH(#REF!,Table4[[#This Row],[Commodity Title]],1),"")</f>
        <v/>
      </c>
      <c r="C17" s="35">
        <v>42121514</v>
      </c>
      <c r="D17" s="33" t="s">
        <v>1495</v>
      </c>
      <c r="E17" s="33" t="s">
        <v>1496</v>
      </c>
      <c r="F17" s="33" t="s">
        <v>1497</v>
      </c>
      <c r="G17" s="33" t="s">
        <v>1498</v>
      </c>
      <c r="H17" s="33" t="s">
        <v>1499</v>
      </c>
      <c r="I17" s="33" t="s">
        <v>1500</v>
      </c>
      <c r="J17" s="33">
        <v>142254</v>
      </c>
      <c r="K17" s="33" t="s">
        <v>1501</v>
      </c>
      <c r="L17" s="33" t="s">
        <v>1502</v>
      </c>
      <c r="M17" s="33" t="s">
        <v>1503</v>
      </c>
      <c r="N17" s="44">
        <v>42121514</v>
      </c>
      <c r="O17" s="33" t="s">
        <v>1528</v>
      </c>
      <c r="P17" s="33" t="s">
        <v>1529</v>
      </c>
      <c r="Q17" s="34" t="s">
        <v>1494</v>
      </c>
      <c r="R17" s="34" t="s">
        <v>1494</v>
      </c>
    </row>
    <row r="18" spans="1:18" ht="15" customHeight="1" x14ac:dyDescent="0.25">
      <c r="A18" t="str">
        <f>IFERROR(RANK(B18,$B:$B,1)+COUNTIF($B$1:B17,B18),"")</f>
        <v/>
      </c>
      <c r="B18" t="str">
        <f>IFERROR(SEARCH(#REF!,Table4[[#This Row],[Commodity Title]],1),"")</f>
        <v/>
      </c>
      <c r="C18" s="35">
        <v>42121515</v>
      </c>
      <c r="D18" s="33" t="s">
        <v>1495</v>
      </c>
      <c r="E18" s="33" t="s">
        <v>1496</v>
      </c>
      <c r="F18" s="33" t="s">
        <v>1497</v>
      </c>
      <c r="G18" s="33" t="s">
        <v>1498</v>
      </c>
      <c r="H18" s="33" t="s">
        <v>1499</v>
      </c>
      <c r="I18" s="33" t="s">
        <v>1500</v>
      </c>
      <c r="J18" s="33">
        <v>142255</v>
      </c>
      <c r="K18" s="33" t="s">
        <v>1501</v>
      </c>
      <c r="L18" s="33" t="s">
        <v>1502</v>
      </c>
      <c r="M18" s="33" t="s">
        <v>1503</v>
      </c>
      <c r="N18" s="44">
        <v>42121515</v>
      </c>
      <c r="O18" s="33" t="s">
        <v>1530</v>
      </c>
      <c r="P18" s="33" t="s">
        <v>1531</v>
      </c>
      <c r="Q18" s="34" t="s">
        <v>1494</v>
      </c>
      <c r="R18" s="34" t="s">
        <v>1494</v>
      </c>
    </row>
    <row r="19" spans="1:18" ht="15" customHeight="1" x14ac:dyDescent="0.25">
      <c r="A19" t="str">
        <f>IFERROR(RANK(B19,$B:$B,1)+COUNTIF($B$1:B18,B19),"")</f>
        <v/>
      </c>
      <c r="B19" t="str">
        <f>IFERROR(SEARCH(#REF!,Table4[[#This Row],[Commodity Title]],1),"")</f>
        <v/>
      </c>
      <c r="C19" s="35">
        <v>42121516</v>
      </c>
      <c r="D19" s="33" t="s">
        <v>1495</v>
      </c>
      <c r="E19" s="33" t="s">
        <v>1496</v>
      </c>
      <c r="F19" s="33" t="s">
        <v>1497</v>
      </c>
      <c r="G19" s="33" t="s">
        <v>1498</v>
      </c>
      <c r="H19" s="33" t="s">
        <v>1499</v>
      </c>
      <c r="I19" s="33" t="s">
        <v>1500</v>
      </c>
      <c r="J19" s="33">
        <v>202337</v>
      </c>
      <c r="K19" s="33" t="s">
        <v>1501</v>
      </c>
      <c r="L19" s="33" t="s">
        <v>1502</v>
      </c>
      <c r="M19" s="33" t="s">
        <v>1503</v>
      </c>
      <c r="N19" s="44">
        <v>42121516</v>
      </c>
      <c r="O19" s="33" t="s">
        <v>1532</v>
      </c>
      <c r="P19" s="33" t="s">
        <v>1533</v>
      </c>
      <c r="Q19" s="34" t="s">
        <v>1494</v>
      </c>
      <c r="R19" s="34" t="s">
        <v>1494</v>
      </c>
    </row>
    <row r="20" spans="1:18" ht="15" customHeight="1" x14ac:dyDescent="0.25">
      <c r="A20" t="str">
        <f>IFERROR(RANK(B20,$B:$B,1)+COUNTIF($B$1:B19,B20),"")</f>
        <v/>
      </c>
      <c r="B20" t="str">
        <f>IFERROR(SEARCH(#REF!,Table4[[#This Row],[Commodity Title]],1),"")</f>
        <v/>
      </c>
      <c r="C20" s="35">
        <v>42121517</v>
      </c>
      <c r="D20" s="33" t="s">
        <v>1495</v>
      </c>
      <c r="E20" s="33" t="s">
        <v>1496</v>
      </c>
      <c r="F20" s="33" t="s">
        <v>1497</v>
      </c>
      <c r="G20" s="33" t="s">
        <v>1498</v>
      </c>
      <c r="H20" s="33" t="s">
        <v>1499</v>
      </c>
      <c r="I20" s="33" t="s">
        <v>1500</v>
      </c>
      <c r="J20" s="33">
        <v>202338</v>
      </c>
      <c r="K20" s="33" t="s">
        <v>1501</v>
      </c>
      <c r="L20" s="33" t="s">
        <v>1502</v>
      </c>
      <c r="M20" s="33" t="s">
        <v>1503</v>
      </c>
      <c r="N20" s="44">
        <v>42121517</v>
      </c>
      <c r="O20" s="33" t="s">
        <v>1534</v>
      </c>
      <c r="P20" s="33" t="s">
        <v>1535</v>
      </c>
      <c r="Q20" s="34" t="s">
        <v>1494</v>
      </c>
      <c r="R20" s="34" t="s">
        <v>1494</v>
      </c>
    </row>
    <row r="21" spans="1:18" ht="15" customHeight="1" x14ac:dyDescent="0.25">
      <c r="A21" t="str">
        <f>IFERROR(RANK(B21,$B:$B,1)+COUNTIF($B$1:B20,B21),"")</f>
        <v/>
      </c>
      <c r="B21" t="str">
        <f>IFERROR(SEARCH(#REF!,Table4[[#This Row],[Commodity Title]],1),"")</f>
        <v/>
      </c>
      <c r="C21" s="35">
        <v>42121518</v>
      </c>
      <c r="D21" s="33" t="s">
        <v>1495</v>
      </c>
      <c r="E21" s="33" t="s">
        <v>1496</v>
      </c>
      <c r="F21" s="33" t="s">
        <v>1497</v>
      </c>
      <c r="G21" s="33" t="s">
        <v>1498</v>
      </c>
      <c r="H21" s="33" t="s">
        <v>1499</v>
      </c>
      <c r="I21" s="33" t="s">
        <v>1500</v>
      </c>
      <c r="J21" s="33">
        <v>202339</v>
      </c>
      <c r="K21" s="33" t="s">
        <v>1501</v>
      </c>
      <c r="L21" s="33" t="s">
        <v>1502</v>
      </c>
      <c r="M21" s="33" t="s">
        <v>1503</v>
      </c>
      <c r="N21" s="44">
        <v>42121518</v>
      </c>
      <c r="O21" s="33" t="s">
        <v>1536</v>
      </c>
      <c r="P21" s="33" t="s">
        <v>1537</v>
      </c>
      <c r="Q21" s="34" t="s">
        <v>1494</v>
      </c>
      <c r="R21" s="34" t="s">
        <v>1494</v>
      </c>
    </row>
    <row r="22" spans="1:18" ht="15" customHeight="1" x14ac:dyDescent="0.25">
      <c r="A22" t="str">
        <f>IFERROR(RANK(B22,$B:$B,1)+COUNTIF($B$1:B21,B22),"")</f>
        <v/>
      </c>
      <c r="B22" t="str">
        <f>IFERROR(SEARCH(#REF!,Table4[[#This Row],[Commodity Title]],1),"")</f>
        <v/>
      </c>
      <c r="C22" s="35">
        <v>42121519</v>
      </c>
      <c r="D22" s="33" t="s">
        <v>1495</v>
      </c>
      <c r="E22" s="33" t="s">
        <v>1496</v>
      </c>
      <c r="F22" s="33" t="s">
        <v>1497</v>
      </c>
      <c r="G22" s="33" t="s">
        <v>1498</v>
      </c>
      <c r="H22" s="33" t="s">
        <v>1499</v>
      </c>
      <c r="I22" s="33" t="s">
        <v>1500</v>
      </c>
      <c r="J22" s="33">
        <v>208407</v>
      </c>
      <c r="K22" s="33" t="s">
        <v>1501</v>
      </c>
      <c r="L22" s="33" t="s">
        <v>1502</v>
      </c>
      <c r="M22" s="33" t="s">
        <v>1503</v>
      </c>
      <c r="N22" s="44">
        <v>42121519</v>
      </c>
      <c r="O22" s="33" t="s">
        <v>1538</v>
      </c>
      <c r="P22" s="33" t="s">
        <v>1539</v>
      </c>
      <c r="Q22" s="34" t="s">
        <v>1494</v>
      </c>
      <c r="R22" s="34" t="s">
        <v>1494</v>
      </c>
    </row>
    <row r="23" spans="1:18" ht="15" customHeight="1" x14ac:dyDescent="0.25">
      <c r="A23" t="str">
        <f>IFERROR(RANK(B23,$B:$B,1)+COUNTIF($B$1:B22,B23),"")</f>
        <v/>
      </c>
      <c r="B23" t="str">
        <f>IFERROR(SEARCH(#REF!,Table4[[#This Row],[Commodity Title]],1),"")</f>
        <v/>
      </c>
      <c r="C23" s="35">
        <v>42121520</v>
      </c>
      <c r="D23" s="33" t="s">
        <v>1495</v>
      </c>
      <c r="E23" s="33" t="s">
        <v>1496</v>
      </c>
      <c r="F23" s="33" t="s">
        <v>1497</v>
      </c>
      <c r="G23" s="33" t="s">
        <v>1498</v>
      </c>
      <c r="H23" s="33" t="s">
        <v>1499</v>
      </c>
      <c r="I23" s="33" t="s">
        <v>1500</v>
      </c>
      <c r="J23" s="33">
        <v>208408</v>
      </c>
      <c r="K23" s="33" t="s">
        <v>1501</v>
      </c>
      <c r="L23" s="33" t="s">
        <v>1502</v>
      </c>
      <c r="M23" s="33" t="s">
        <v>1503</v>
      </c>
      <c r="N23" s="44">
        <v>42121520</v>
      </c>
      <c r="O23" s="33" t="s">
        <v>1540</v>
      </c>
      <c r="P23" s="33" t="s">
        <v>1541</v>
      </c>
      <c r="Q23" s="34" t="s">
        <v>1494</v>
      </c>
      <c r="R23" s="34" t="s">
        <v>1494</v>
      </c>
    </row>
    <row r="24" spans="1:18" ht="15" customHeight="1" x14ac:dyDescent="0.25">
      <c r="A24" t="str">
        <f>IFERROR(RANK(B24,$B:$B,1)+COUNTIF($B$1:B23,B24),"")</f>
        <v/>
      </c>
      <c r="B24" t="str">
        <f>IFERROR(SEARCH(#REF!,Table4[[#This Row],[Commodity Title]],1),"")</f>
        <v/>
      </c>
      <c r="C24" s="33" t="s">
        <v>1494</v>
      </c>
      <c r="D24" s="33" t="s">
        <v>1495</v>
      </c>
      <c r="E24" s="33" t="s">
        <v>1496</v>
      </c>
      <c r="F24" s="33" t="s">
        <v>1497</v>
      </c>
      <c r="G24" s="33" t="s">
        <v>1498</v>
      </c>
      <c r="H24" s="33" t="s">
        <v>1499</v>
      </c>
      <c r="I24" s="33" t="s">
        <v>1500</v>
      </c>
      <c r="J24" s="33">
        <v>104781</v>
      </c>
      <c r="K24" s="33" t="s">
        <v>1542</v>
      </c>
      <c r="L24" s="33" t="s">
        <v>1543</v>
      </c>
      <c r="M24" s="33" t="s">
        <v>1544</v>
      </c>
      <c r="N24" s="44" t="s">
        <v>1494</v>
      </c>
      <c r="O24" s="33" t="s">
        <v>1494</v>
      </c>
      <c r="P24" s="33" t="s">
        <v>1494</v>
      </c>
      <c r="Q24" s="34" t="s">
        <v>1494</v>
      </c>
      <c r="R24" s="34" t="s">
        <v>1494</v>
      </c>
    </row>
    <row r="25" spans="1:18" ht="15" customHeight="1" x14ac:dyDescent="0.25">
      <c r="A25" t="str">
        <f>IFERROR(RANK(B25,$B:$B,1)+COUNTIF($B$1:B24,B25),"")</f>
        <v/>
      </c>
      <c r="B25" t="str">
        <f>IFERROR(SEARCH(#REF!,Table4[[#This Row],[Commodity Title]],1),"")</f>
        <v/>
      </c>
      <c r="C25" s="35">
        <v>42121601</v>
      </c>
      <c r="D25" s="33" t="s">
        <v>1495</v>
      </c>
      <c r="E25" s="33" t="s">
        <v>1496</v>
      </c>
      <c r="F25" s="33" t="s">
        <v>1497</v>
      </c>
      <c r="G25" s="33" t="s">
        <v>1498</v>
      </c>
      <c r="H25" s="33" t="s">
        <v>1499</v>
      </c>
      <c r="I25" s="33" t="s">
        <v>1500</v>
      </c>
      <c r="J25" s="33">
        <v>104782</v>
      </c>
      <c r="K25" s="33" t="s">
        <v>1542</v>
      </c>
      <c r="L25" s="33" t="s">
        <v>1543</v>
      </c>
      <c r="M25" s="33" t="s">
        <v>1544</v>
      </c>
      <c r="N25" s="44">
        <v>42121601</v>
      </c>
      <c r="O25" s="33" t="s">
        <v>1545</v>
      </c>
      <c r="P25" s="33" t="s">
        <v>1546</v>
      </c>
      <c r="Q25" s="34" t="s">
        <v>1494</v>
      </c>
      <c r="R25" s="34" t="s">
        <v>1494</v>
      </c>
    </row>
    <row r="26" spans="1:18" ht="15" customHeight="1" x14ac:dyDescent="0.25">
      <c r="A26" t="str">
        <f>IFERROR(RANK(B26,$B:$B,1)+COUNTIF($B$1:B25,B26),"")</f>
        <v/>
      </c>
      <c r="B26" t="str">
        <f>IFERROR(SEARCH(#REF!,Table4[[#This Row],[Commodity Title]],1),"")</f>
        <v/>
      </c>
      <c r="C26" s="35">
        <v>42121602</v>
      </c>
      <c r="D26" s="33" t="s">
        <v>1495</v>
      </c>
      <c r="E26" s="33" t="s">
        <v>1496</v>
      </c>
      <c r="F26" s="33" t="s">
        <v>1497</v>
      </c>
      <c r="G26" s="33" t="s">
        <v>1498</v>
      </c>
      <c r="H26" s="33" t="s">
        <v>1499</v>
      </c>
      <c r="I26" s="33" t="s">
        <v>1500</v>
      </c>
      <c r="J26" s="33">
        <v>104783</v>
      </c>
      <c r="K26" s="33" t="s">
        <v>1542</v>
      </c>
      <c r="L26" s="33" t="s">
        <v>1543</v>
      </c>
      <c r="M26" s="33" t="s">
        <v>1544</v>
      </c>
      <c r="N26" s="44">
        <v>42121602</v>
      </c>
      <c r="O26" s="33" t="s">
        <v>1547</v>
      </c>
      <c r="P26" s="33" t="s">
        <v>1548</v>
      </c>
      <c r="Q26" s="34" t="s">
        <v>1494</v>
      </c>
      <c r="R26" s="34" t="s">
        <v>1494</v>
      </c>
    </row>
    <row r="27" spans="1:18" ht="15" customHeight="1" x14ac:dyDescent="0.25">
      <c r="A27" t="str">
        <f>IFERROR(RANK(B27,$B:$B,1)+COUNTIF($B$1:B26,B27),"")</f>
        <v/>
      </c>
      <c r="B27" t="str">
        <f>IFERROR(SEARCH(#REF!,Table4[[#This Row],[Commodity Title]],1),"")</f>
        <v/>
      </c>
      <c r="C27" s="35">
        <v>42121603</v>
      </c>
      <c r="D27" s="33" t="s">
        <v>1495</v>
      </c>
      <c r="E27" s="33" t="s">
        <v>1496</v>
      </c>
      <c r="F27" s="33" t="s">
        <v>1497</v>
      </c>
      <c r="G27" s="33" t="s">
        <v>1498</v>
      </c>
      <c r="H27" s="33" t="s">
        <v>1499</v>
      </c>
      <c r="I27" s="33" t="s">
        <v>1500</v>
      </c>
      <c r="J27" s="33">
        <v>104784</v>
      </c>
      <c r="K27" s="33" t="s">
        <v>1542</v>
      </c>
      <c r="L27" s="33" t="s">
        <v>1543</v>
      </c>
      <c r="M27" s="33" t="s">
        <v>1544</v>
      </c>
      <c r="N27" s="44">
        <v>42121603</v>
      </c>
      <c r="O27" s="33" t="s">
        <v>1549</v>
      </c>
      <c r="P27" s="33" t="s">
        <v>1550</v>
      </c>
      <c r="Q27" s="34" t="s">
        <v>1494</v>
      </c>
      <c r="R27" s="34" t="s">
        <v>1494</v>
      </c>
    </row>
    <row r="28" spans="1:18" ht="15" customHeight="1" x14ac:dyDescent="0.25">
      <c r="A28" t="str">
        <f>IFERROR(RANK(B28,$B:$B,1)+COUNTIF($B$1:B27,B28),"")</f>
        <v/>
      </c>
      <c r="B28" t="str">
        <f>IFERROR(SEARCH(#REF!,Table4[[#This Row],[Commodity Title]],1),"")</f>
        <v/>
      </c>
      <c r="C28" s="35">
        <v>42121604</v>
      </c>
      <c r="D28" s="33" t="s">
        <v>1495</v>
      </c>
      <c r="E28" s="33" t="s">
        <v>1496</v>
      </c>
      <c r="F28" s="33" t="s">
        <v>1497</v>
      </c>
      <c r="G28" s="33" t="s">
        <v>1498</v>
      </c>
      <c r="H28" s="33" t="s">
        <v>1499</v>
      </c>
      <c r="I28" s="33" t="s">
        <v>1500</v>
      </c>
      <c r="J28" s="33">
        <v>104785</v>
      </c>
      <c r="K28" s="33" t="s">
        <v>1542</v>
      </c>
      <c r="L28" s="33" t="s">
        <v>1543</v>
      </c>
      <c r="M28" s="33" t="s">
        <v>1544</v>
      </c>
      <c r="N28" s="44">
        <v>42121604</v>
      </c>
      <c r="O28" s="33" t="s">
        <v>1551</v>
      </c>
      <c r="P28" s="33" t="s">
        <v>1552</v>
      </c>
      <c r="Q28" s="34" t="s">
        <v>1494</v>
      </c>
      <c r="R28" s="34" t="s">
        <v>1494</v>
      </c>
    </row>
    <row r="29" spans="1:18" ht="15" customHeight="1" x14ac:dyDescent="0.25">
      <c r="A29" t="str">
        <f>IFERROR(RANK(B29,$B:$B,1)+COUNTIF($B$1:B28,B29),"")</f>
        <v/>
      </c>
      <c r="B29" t="str">
        <f>IFERROR(SEARCH(#REF!,Table4[[#This Row],[Commodity Title]],1),"")</f>
        <v/>
      </c>
      <c r="C29" s="35">
        <v>42121605</v>
      </c>
      <c r="D29" s="33" t="s">
        <v>1495</v>
      </c>
      <c r="E29" s="33" t="s">
        <v>1496</v>
      </c>
      <c r="F29" s="33" t="s">
        <v>1497</v>
      </c>
      <c r="G29" s="33" t="s">
        <v>1498</v>
      </c>
      <c r="H29" s="33" t="s">
        <v>1499</v>
      </c>
      <c r="I29" s="33" t="s">
        <v>1500</v>
      </c>
      <c r="J29" s="33">
        <v>104786</v>
      </c>
      <c r="K29" s="33" t="s">
        <v>1542</v>
      </c>
      <c r="L29" s="33" t="s">
        <v>1543</v>
      </c>
      <c r="M29" s="33" t="s">
        <v>1544</v>
      </c>
      <c r="N29" s="44">
        <v>42121605</v>
      </c>
      <c r="O29" s="33" t="s">
        <v>1553</v>
      </c>
      <c r="P29" s="33" t="s">
        <v>1554</v>
      </c>
      <c r="Q29" s="34" t="s">
        <v>1494</v>
      </c>
      <c r="R29" s="34" t="s">
        <v>1494</v>
      </c>
    </row>
    <row r="30" spans="1:18" ht="15" customHeight="1" x14ac:dyDescent="0.25">
      <c r="A30" t="str">
        <f>IFERROR(RANK(B30,$B:$B,1)+COUNTIF($B$1:B29,B30),"")</f>
        <v/>
      </c>
      <c r="B30" t="str">
        <f>IFERROR(SEARCH(#REF!,Table4[[#This Row],[Commodity Title]],1),"")</f>
        <v/>
      </c>
      <c r="C30" s="35">
        <v>42121606</v>
      </c>
      <c r="D30" s="33" t="s">
        <v>1495</v>
      </c>
      <c r="E30" s="33" t="s">
        <v>1496</v>
      </c>
      <c r="F30" s="33" t="s">
        <v>1497</v>
      </c>
      <c r="G30" s="33" t="s">
        <v>1498</v>
      </c>
      <c r="H30" s="33" t="s">
        <v>1499</v>
      </c>
      <c r="I30" s="33" t="s">
        <v>1500</v>
      </c>
      <c r="J30" s="33">
        <v>104787</v>
      </c>
      <c r="K30" s="33" t="s">
        <v>1542</v>
      </c>
      <c r="L30" s="33" t="s">
        <v>1543</v>
      </c>
      <c r="M30" s="33" t="s">
        <v>1544</v>
      </c>
      <c r="N30" s="44">
        <v>42121606</v>
      </c>
      <c r="O30" s="33" t="s">
        <v>1555</v>
      </c>
      <c r="P30" s="33" t="s">
        <v>1556</v>
      </c>
      <c r="Q30" s="34" t="s">
        <v>1494</v>
      </c>
      <c r="R30" s="34" t="s">
        <v>1494</v>
      </c>
    </row>
    <row r="31" spans="1:18" ht="15" customHeight="1" x14ac:dyDescent="0.25">
      <c r="A31" t="str">
        <f>IFERROR(RANK(B31,$B:$B,1)+COUNTIF($B$1:B30,B31),"")</f>
        <v/>
      </c>
      <c r="B31" t="str">
        <f>IFERROR(SEARCH(#REF!,Table4[[#This Row],[Commodity Title]],1),"")</f>
        <v/>
      </c>
      <c r="C31" s="35">
        <v>42121607</v>
      </c>
      <c r="D31" s="33" t="s">
        <v>1495</v>
      </c>
      <c r="E31" s="33" t="s">
        <v>1496</v>
      </c>
      <c r="F31" s="33" t="s">
        <v>1497</v>
      </c>
      <c r="G31" s="33" t="s">
        <v>1498</v>
      </c>
      <c r="H31" s="33" t="s">
        <v>1499</v>
      </c>
      <c r="I31" s="33" t="s">
        <v>1500</v>
      </c>
      <c r="J31" s="33">
        <v>104788</v>
      </c>
      <c r="K31" s="33" t="s">
        <v>1542</v>
      </c>
      <c r="L31" s="33" t="s">
        <v>1543</v>
      </c>
      <c r="M31" s="33" t="s">
        <v>1544</v>
      </c>
      <c r="N31" s="44">
        <v>42121607</v>
      </c>
      <c r="O31" s="33" t="s">
        <v>1557</v>
      </c>
      <c r="P31" s="33" t="s">
        <v>1558</v>
      </c>
      <c r="Q31" s="34" t="s">
        <v>1494</v>
      </c>
      <c r="R31" s="34" t="s">
        <v>1494</v>
      </c>
    </row>
    <row r="32" spans="1:18" ht="15" customHeight="1" x14ac:dyDescent="0.25">
      <c r="A32" t="str">
        <f>IFERROR(RANK(B32,$B:$B,1)+COUNTIF($B$1:B31,B32),"")</f>
        <v/>
      </c>
      <c r="B32" t="str">
        <f>IFERROR(SEARCH(#REF!,Table4[[#This Row],[Commodity Title]],1),"")</f>
        <v/>
      </c>
      <c r="C32" s="35">
        <v>42121608</v>
      </c>
      <c r="D32" s="33" t="s">
        <v>1495</v>
      </c>
      <c r="E32" s="33" t="s">
        <v>1496</v>
      </c>
      <c r="F32" s="33" t="s">
        <v>1497</v>
      </c>
      <c r="G32" s="33" t="s">
        <v>1498</v>
      </c>
      <c r="H32" s="33" t="s">
        <v>1499</v>
      </c>
      <c r="I32" s="33" t="s">
        <v>1500</v>
      </c>
      <c r="J32" s="33">
        <v>142040</v>
      </c>
      <c r="K32" s="33" t="s">
        <v>1542</v>
      </c>
      <c r="L32" s="33" t="s">
        <v>1543</v>
      </c>
      <c r="M32" s="33" t="s">
        <v>1544</v>
      </c>
      <c r="N32" s="44">
        <v>42121608</v>
      </c>
      <c r="O32" s="33" t="s">
        <v>1559</v>
      </c>
      <c r="P32" s="33" t="s">
        <v>1560</v>
      </c>
      <c r="Q32" s="34" t="s">
        <v>1494</v>
      </c>
      <c r="R32" s="34" t="s">
        <v>1494</v>
      </c>
    </row>
    <row r="33" spans="1:18" ht="15" customHeight="1" x14ac:dyDescent="0.25">
      <c r="A33" t="str">
        <f>IFERROR(RANK(B33,$B:$B,1)+COUNTIF($B$1:B32,B33),"")</f>
        <v/>
      </c>
      <c r="B33" t="str">
        <f>IFERROR(SEARCH(#REF!,Table4[[#This Row],[Commodity Title]],1),"")</f>
        <v/>
      </c>
      <c r="C33" s="33" t="s">
        <v>1494</v>
      </c>
      <c r="D33" s="33" t="s">
        <v>1495</v>
      </c>
      <c r="E33" s="33" t="s">
        <v>1496</v>
      </c>
      <c r="F33" s="33" t="s">
        <v>1497</v>
      </c>
      <c r="G33" s="33" t="s">
        <v>1498</v>
      </c>
      <c r="H33" s="33" t="s">
        <v>1499</v>
      </c>
      <c r="I33" s="33" t="s">
        <v>1500</v>
      </c>
      <c r="J33" s="33">
        <v>142243</v>
      </c>
      <c r="K33" s="33" t="s">
        <v>1561</v>
      </c>
      <c r="L33" s="33" t="s">
        <v>1562</v>
      </c>
      <c r="M33" s="33" t="s">
        <v>1563</v>
      </c>
      <c r="N33" s="44" t="s">
        <v>1494</v>
      </c>
      <c r="O33" s="33" t="s">
        <v>1494</v>
      </c>
      <c r="P33" s="33" t="s">
        <v>1494</v>
      </c>
      <c r="Q33" s="34" t="s">
        <v>1494</v>
      </c>
      <c r="R33" s="34" t="s">
        <v>1494</v>
      </c>
    </row>
    <row r="34" spans="1:18" ht="15" customHeight="1" x14ac:dyDescent="0.25">
      <c r="A34" t="str">
        <f>IFERROR(RANK(B34,$B:$B,1)+COUNTIF($B$1:B33,B34),"")</f>
        <v/>
      </c>
      <c r="B34" t="str">
        <f>IFERROR(SEARCH(#REF!,Table4[[#This Row],[Commodity Title]],1),"")</f>
        <v/>
      </c>
      <c r="C34" s="35">
        <v>42121701</v>
      </c>
      <c r="D34" s="33" t="s">
        <v>1495</v>
      </c>
      <c r="E34" s="33" t="s">
        <v>1496</v>
      </c>
      <c r="F34" s="33" t="s">
        <v>1497</v>
      </c>
      <c r="G34" s="33" t="s">
        <v>1498</v>
      </c>
      <c r="H34" s="33" t="s">
        <v>1499</v>
      </c>
      <c r="I34" s="33" t="s">
        <v>1500</v>
      </c>
      <c r="J34" s="33">
        <v>142244</v>
      </c>
      <c r="K34" s="33" t="s">
        <v>1561</v>
      </c>
      <c r="L34" s="33" t="s">
        <v>1562</v>
      </c>
      <c r="M34" s="33" t="s">
        <v>1563</v>
      </c>
      <c r="N34" s="44">
        <v>42121701</v>
      </c>
      <c r="O34" s="33" t="s">
        <v>1564</v>
      </c>
      <c r="P34" s="33" t="s">
        <v>1565</v>
      </c>
      <c r="Q34" s="34" t="s">
        <v>1494</v>
      </c>
      <c r="R34" s="34" t="s">
        <v>1494</v>
      </c>
    </row>
    <row r="35" spans="1:18" ht="15" customHeight="1" x14ac:dyDescent="0.25">
      <c r="A35" t="str">
        <f>IFERROR(RANK(B35,$B:$B,1)+COUNTIF($B$1:B34,B35),"")</f>
        <v/>
      </c>
      <c r="B35" t="str">
        <f>IFERROR(SEARCH(#REF!,Table4[[#This Row],[Commodity Title]],1),"")</f>
        <v/>
      </c>
      <c r="C35" s="35">
        <v>42121702</v>
      </c>
      <c r="D35" s="33" t="s">
        <v>1495</v>
      </c>
      <c r="E35" s="33" t="s">
        <v>1496</v>
      </c>
      <c r="F35" s="33" t="s">
        <v>1497</v>
      </c>
      <c r="G35" s="33" t="s">
        <v>1498</v>
      </c>
      <c r="H35" s="33" t="s">
        <v>1499</v>
      </c>
      <c r="I35" s="33" t="s">
        <v>1500</v>
      </c>
      <c r="J35" s="33">
        <v>142245</v>
      </c>
      <c r="K35" s="33" t="s">
        <v>1561</v>
      </c>
      <c r="L35" s="33" t="s">
        <v>1562</v>
      </c>
      <c r="M35" s="33" t="s">
        <v>1563</v>
      </c>
      <c r="N35" s="44">
        <v>42121702</v>
      </c>
      <c r="O35" s="33" t="s">
        <v>1566</v>
      </c>
      <c r="P35" s="33" t="s">
        <v>1567</v>
      </c>
      <c r="Q35" s="34" t="s">
        <v>1494</v>
      </c>
      <c r="R35" s="34" t="s">
        <v>1494</v>
      </c>
    </row>
    <row r="36" spans="1:18" ht="15" customHeight="1" x14ac:dyDescent="0.25">
      <c r="A36" t="str">
        <f>IFERROR(RANK(B36,$B:$B,1)+COUNTIF($B$1:B35,B36),"")</f>
        <v/>
      </c>
      <c r="B36" t="str">
        <f>IFERROR(SEARCH(#REF!,Table4[[#This Row],[Commodity Title]],1),"")</f>
        <v/>
      </c>
      <c r="C36" s="33" t="s">
        <v>1494</v>
      </c>
      <c r="D36" s="33" t="s">
        <v>1495</v>
      </c>
      <c r="E36" s="33" t="s">
        <v>1496</v>
      </c>
      <c r="F36" s="33" t="s">
        <v>1497</v>
      </c>
      <c r="G36" s="33" t="s">
        <v>1498</v>
      </c>
      <c r="H36" s="33" t="s">
        <v>1499</v>
      </c>
      <c r="I36" s="33" t="s">
        <v>1500</v>
      </c>
      <c r="J36" s="33">
        <v>146112</v>
      </c>
      <c r="K36" s="33" t="s">
        <v>1568</v>
      </c>
      <c r="L36" s="33" t="s">
        <v>1569</v>
      </c>
      <c r="M36" s="33" t="s">
        <v>1570</v>
      </c>
      <c r="N36" s="44" t="s">
        <v>1494</v>
      </c>
      <c r="O36" s="33" t="s">
        <v>1494</v>
      </c>
      <c r="P36" s="33" t="s">
        <v>1494</v>
      </c>
      <c r="Q36" s="34" t="s">
        <v>1494</v>
      </c>
      <c r="R36" s="34" t="s">
        <v>1494</v>
      </c>
    </row>
    <row r="37" spans="1:18" ht="15" customHeight="1" x14ac:dyDescent="0.25">
      <c r="A37" t="str">
        <f>IFERROR(RANK(B37,$B:$B,1)+COUNTIF($B$1:B36,B37),"")</f>
        <v/>
      </c>
      <c r="B37" t="str">
        <f>IFERROR(SEARCH(#REF!,Table4[[#This Row],[Commodity Title]],1),"")</f>
        <v/>
      </c>
      <c r="C37" s="35">
        <v>42121801</v>
      </c>
      <c r="D37" s="33" t="s">
        <v>1495</v>
      </c>
      <c r="E37" s="33" t="s">
        <v>1496</v>
      </c>
      <c r="F37" s="33" t="s">
        <v>1497</v>
      </c>
      <c r="G37" s="33" t="s">
        <v>1498</v>
      </c>
      <c r="H37" s="33" t="s">
        <v>1499</v>
      </c>
      <c r="I37" s="33" t="s">
        <v>1500</v>
      </c>
      <c r="J37" s="33">
        <v>146121</v>
      </c>
      <c r="K37" s="33" t="s">
        <v>1568</v>
      </c>
      <c r="L37" s="33" t="s">
        <v>1569</v>
      </c>
      <c r="M37" s="33" t="s">
        <v>1570</v>
      </c>
      <c r="N37" s="44">
        <v>42121801</v>
      </c>
      <c r="O37" s="33" t="s">
        <v>1571</v>
      </c>
      <c r="P37" s="33" t="s">
        <v>1572</v>
      </c>
      <c r="Q37" s="34" t="s">
        <v>1494</v>
      </c>
      <c r="R37" s="34" t="s">
        <v>1494</v>
      </c>
    </row>
    <row r="38" spans="1:18" ht="15" customHeight="1" x14ac:dyDescent="0.25">
      <c r="A38" t="str">
        <f>IFERROR(RANK(B38,$B:$B,1)+COUNTIF($B$1:B37,B38),"")</f>
        <v/>
      </c>
      <c r="B38" t="str">
        <f>IFERROR(SEARCH(#REF!,Table4[[#This Row],[Commodity Title]],1),"")</f>
        <v/>
      </c>
      <c r="C38" s="35">
        <v>42121802</v>
      </c>
      <c r="D38" s="33" t="s">
        <v>1495</v>
      </c>
      <c r="E38" s="33" t="s">
        <v>1496</v>
      </c>
      <c r="F38" s="33" t="s">
        <v>1497</v>
      </c>
      <c r="G38" s="33" t="s">
        <v>1498</v>
      </c>
      <c r="H38" s="33" t="s">
        <v>1499</v>
      </c>
      <c r="I38" s="33" t="s">
        <v>1500</v>
      </c>
      <c r="J38" s="33">
        <v>146122</v>
      </c>
      <c r="K38" s="33" t="s">
        <v>1568</v>
      </c>
      <c r="L38" s="33" t="s">
        <v>1569</v>
      </c>
      <c r="M38" s="33" t="s">
        <v>1570</v>
      </c>
      <c r="N38" s="44">
        <v>42121802</v>
      </c>
      <c r="O38" s="33" t="s">
        <v>1573</v>
      </c>
      <c r="P38" s="33" t="s">
        <v>1574</v>
      </c>
      <c r="Q38" s="34" t="s">
        <v>1494</v>
      </c>
      <c r="R38" s="34" t="s">
        <v>1494</v>
      </c>
    </row>
    <row r="39" spans="1:18" ht="15" customHeight="1" x14ac:dyDescent="0.25">
      <c r="A39" t="str">
        <f>IFERROR(RANK(B39,$B:$B,1)+COUNTIF($B$1:B38,B39),"")</f>
        <v/>
      </c>
      <c r="B39" t="str">
        <f>IFERROR(SEARCH(#REF!,Table4[[#This Row],[Commodity Title]],1),"")</f>
        <v/>
      </c>
      <c r="C39" s="35">
        <v>42121803</v>
      </c>
      <c r="D39" s="33" t="s">
        <v>1495</v>
      </c>
      <c r="E39" s="33" t="s">
        <v>1496</v>
      </c>
      <c r="F39" s="33" t="s">
        <v>1497</v>
      </c>
      <c r="G39" s="33" t="s">
        <v>1498</v>
      </c>
      <c r="H39" s="33" t="s">
        <v>1499</v>
      </c>
      <c r="I39" s="33" t="s">
        <v>1500</v>
      </c>
      <c r="J39" s="33">
        <v>146123</v>
      </c>
      <c r="K39" s="33" t="s">
        <v>1568</v>
      </c>
      <c r="L39" s="33" t="s">
        <v>1569</v>
      </c>
      <c r="M39" s="33" t="s">
        <v>1570</v>
      </c>
      <c r="N39" s="44">
        <v>42121803</v>
      </c>
      <c r="O39" s="33" t="s">
        <v>1575</v>
      </c>
      <c r="P39" s="33" t="s">
        <v>1576</v>
      </c>
      <c r="Q39" s="34" t="s">
        <v>1494</v>
      </c>
      <c r="R39" s="34" t="s">
        <v>1494</v>
      </c>
    </row>
    <row r="40" spans="1:18" ht="15" customHeight="1" x14ac:dyDescent="0.25">
      <c r="A40" t="str">
        <f>IFERROR(RANK(B40,$B:$B,1)+COUNTIF($B$1:B39,B40),"")</f>
        <v/>
      </c>
      <c r="B40" t="str">
        <f>IFERROR(SEARCH(#REF!,Table4[[#This Row],[Commodity Title]],1),"")</f>
        <v/>
      </c>
      <c r="C40" s="35">
        <v>42121804</v>
      </c>
      <c r="D40" s="33" t="s">
        <v>1495</v>
      </c>
      <c r="E40" s="33" t="s">
        <v>1496</v>
      </c>
      <c r="F40" s="33" t="s">
        <v>1497</v>
      </c>
      <c r="G40" s="33" t="s">
        <v>1498</v>
      </c>
      <c r="H40" s="33" t="s">
        <v>1499</v>
      </c>
      <c r="I40" s="33" t="s">
        <v>1500</v>
      </c>
      <c r="J40" s="33">
        <v>146124</v>
      </c>
      <c r="K40" s="33" t="s">
        <v>1568</v>
      </c>
      <c r="L40" s="33" t="s">
        <v>1569</v>
      </c>
      <c r="M40" s="33" t="s">
        <v>1570</v>
      </c>
      <c r="N40" s="44">
        <v>42121804</v>
      </c>
      <c r="O40" s="33" t="s">
        <v>1577</v>
      </c>
      <c r="P40" s="33" t="s">
        <v>1578</v>
      </c>
      <c r="Q40" s="34" t="s">
        <v>1494</v>
      </c>
      <c r="R40" s="34" t="s">
        <v>1494</v>
      </c>
    </row>
    <row r="41" spans="1:18" ht="15" customHeight="1" x14ac:dyDescent="0.25">
      <c r="A41" t="str">
        <f>IFERROR(RANK(B41,$B:$B,1)+COUNTIF($B$1:B40,B41),"")</f>
        <v/>
      </c>
      <c r="B41" t="str">
        <f>IFERROR(SEARCH(#REF!,Table4[[#This Row],[Commodity Title]],1),"")</f>
        <v/>
      </c>
      <c r="C41" s="33" t="s">
        <v>1494</v>
      </c>
      <c r="D41" s="33" t="s">
        <v>1495</v>
      </c>
      <c r="E41" s="33" t="s">
        <v>1496</v>
      </c>
      <c r="F41" s="33" t="s">
        <v>1497</v>
      </c>
      <c r="G41" s="33" t="s">
        <v>1579</v>
      </c>
      <c r="H41" s="33" t="s">
        <v>1580</v>
      </c>
      <c r="I41" s="33" t="s">
        <v>1581</v>
      </c>
      <c r="J41" s="33">
        <v>114799</v>
      </c>
      <c r="K41" s="33" t="s">
        <v>1494</v>
      </c>
      <c r="L41" s="33" t="s">
        <v>1494</v>
      </c>
      <c r="M41" s="33" t="s">
        <v>1494</v>
      </c>
      <c r="N41" s="44" t="s">
        <v>1494</v>
      </c>
      <c r="O41" s="33" t="s">
        <v>1494</v>
      </c>
      <c r="P41" s="33" t="s">
        <v>1494</v>
      </c>
      <c r="Q41" s="34" t="s">
        <v>1494</v>
      </c>
      <c r="R41" s="34" t="s">
        <v>1494</v>
      </c>
    </row>
    <row r="42" spans="1:18" ht="15" customHeight="1" x14ac:dyDescent="0.25">
      <c r="A42" t="str">
        <f>IFERROR(RANK(B42,$B:$B,1)+COUNTIF($B$1:B41,B42),"")</f>
        <v/>
      </c>
      <c r="B42" t="str">
        <f>IFERROR(SEARCH(#REF!,Table4[[#This Row],[Commodity Title]],1),"")</f>
        <v/>
      </c>
      <c r="C42" s="33" t="s">
        <v>1494</v>
      </c>
      <c r="D42" s="33" t="s">
        <v>1495</v>
      </c>
      <c r="E42" s="33" t="s">
        <v>1496</v>
      </c>
      <c r="F42" s="33" t="s">
        <v>1497</v>
      </c>
      <c r="G42" s="33" t="s">
        <v>1579</v>
      </c>
      <c r="H42" s="33" t="s">
        <v>1580</v>
      </c>
      <c r="I42" s="33" t="s">
        <v>1581</v>
      </c>
      <c r="J42" s="33">
        <v>114800</v>
      </c>
      <c r="K42" s="33" t="s">
        <v>1582</v>
      </c>
      <c r="L42" s="33" t="s">
        <v>1583</v>
      </c>
      <c r="M42" s="33" t="s">
        <v>1584</v>
      </c>
      <c r="N42" s="44" t="s">
        <v>1494</v>
      </c>
      <c r="O42" s="33" t="s">
        <v>1494</v>
      </c>
      <c r="P42" s="33" t="s">
        <v>1494</v>
      </c>
      <c r="Q42" s="34" t="s">
        <v>1494</v>
      </c>
      <c r="R42" s="34" t="s">
        <v>1494</v>
      </c>
    </row>
    <row r="43" spans="1:18" ht="15" customHeight="1" x14ac:dyDescent="0.25">
      <c r="A43" t="str">
        <f>IFERROR(RANK(B43,$B:$B,1)+COUNTIF($B$1:B42,B43),"")</f>
        <v/>
      </c>
      <c r="B43" t="str">
        <f>IFERROR(SEARCH(#REF!,Table4[[#This Row],[Commodity Title]],1),"")</f>
        <v/>
      </c>
      <c r="C43" s="35">
        <v>42131501</v>
      </c>
      <c r="D43" s="33" t="s">
        <v>1495</v>
      </c>
      <c r="E43" s="33" t="s">
        <v>1496</v>
      </c>
      <c r="F43" s="33" t="s">
        <v>1497</v>
      </c>
      <c r="G43" s="33" t="s">
        <v>1579</v>
      </c>
      <c r="H43" s="33" t="s">
        <v>1580</v>
      </c>
      <c r="I43" s="33" t="s">
        <v>1581</v>
      </c>
      <c r="J43" s="33">
        <v>114801</v>
      </c>
      <c r="K43" s="33" t="s">
        <v>1582</v>
      </c>
      <c r="L43" s="33" t="s">
        <v>1583</v>
      </c>
      <c r="M43" s="33" t="s">
        <v>1584</v>
      </c>
      <c r="N43" s="44">
        <v>42131501</v>
      </c>
      <c r="O43" s="33" t="s">
        <v>1585</v>
      </c>
      <c r="P43" s="33" t="s">
        <v>1586</v>
      </c>
      <c r="Q43" s="34" t="s">
        <v>1494</v>
      </c>
      <c r="R43" s="34" t="s">
        <v>1494</v>
      </c>
    </row>
    <row r="44" spans="1:18" ht="15" customHeight="1" x14ac:dyDescent="0.25">
      <c r="A44" t="str">
        <f>IFERROR(RANK(B44,$B:$B,1)+COUNTIF($B$1:B43,B44),"")</f>
        <v/>
      </c>
      <c r="B44" t="str">
        <f>IFERROR(SEARCH(#REF!,Table4[[#This Row],[Commodity Title]],1),"")</f>
        <v/>
      </c>
      <c r="C44" s="35">
        <v>42131502</v>
      </c>
      <c r="D44" s="33" t="s">
        <v>1495</v>
      </c>
      <c r="E44" s="33" t="s">
        <v>1496</v>
      </c>
      <c r="F44" s="33" t="s">
        <v>1497</v>
      </c>
      <c r="G44" s="33" t="s">
        <v>1579</v>
      </c>
      <c r="H44" s="33" t="s">
        <v>1580</v>
      </c>
      <c r="I44" s="33" t="s">
        <v>1581</v>
      </c>
      <c r="J44" s="33">
        <v>114802</v>
      </c>
      <c r="K44" s="33" t="s">
        <v>1582</v>
      </c>
      <c r="L44" s="33" t="s">
        <v>1583</v>
      </c>
      <c r="M44" s="33" t="s">
        <v>1584</v>
      </c>
      <c r="N44" s="44">
        <v>42131502</v>
      </c>
      <c r="O44" s="33" t="s">
        <v>1587</v>
      </c>
      <c r="P44" s="33" t="s">
        <v>1588</v>
      </c>
      <c r="Q44" s="34" t="s">
        <v>1494</v>
      </c>
      <c r="R44" s="34" t="s">
        <v>1494</v>
      </c>
    </row>
    <row r="45" spans="1:18" ht="15" customHeight="1" x14ac:dyDescent="0.25">
      <c r="A45" t="str">
        <f>IFERROR(RANK(B45,$B:$B,1)+COUNTIF($B$1:B44,B45),"")</f>
        <v/>
      </c>
      <c r="B45" t="str">
        <f>IFERROR(SEARCH(#REF!,Table4[[#This Row],[Commodity Title]],1),"")</f>
        <v/>
      </c>
      <c r="C45" s="35">
        <v>42131503</v>
      </c>
      <c r="D45" s="33" t="s">
        <v>1495</v>
      </c>
      <c r="E45" s="33" t="s">
        <v>1496</v>
      </c>
      <c r="F45" s="33" t="s">
        <v>1497</v>
      </c>
      <c r="G45" s="33" t="s">
        <v>1579</v>
      </c>
      <c r="H45" s="33" t="s">
        <v>1580</v>
      </c>
      <c r="I45" s="33" t="s">
        <v>1581</v>
      </c>
      <c r="J45" s="33">
        <v>114803</v>
      </c>
      <c r="K45" s="33" t="s">
        <v>1582</v>
      </c>
      <c r="L45" s="33" t="s">
        <v>1583</v>
      </c>
      <c r="M45" s="33" t="s">
        <v>1584</v>
      </c>
      <c r="N45" s="44">
        <v>42131503</v>
      </c>
      <c r="O45" s="33" t="s">
        <v>1589</v>
      </c>
      <c r="P45" s="33" t="s">
        <v>1590</v>
      </c>
      <c r="Q45" s="34" t="s">
        <v>1494</v>
      </c>
      <c r="R45" s="34" t="s">
        <v>1494</v>
      </c>
    </row>
    <row r="46" spans="1:18" ht="15" customHeight="1" x14ac:dyDescent="0.25">
      <c r="A46" t="str">
        <f>IFERROR(RANK(B46,$B:$B,1)+COUNTIF($B$1:B45,B46),"")</f>
        <v/>
      </c>
      <c r="B46" t="str">
        <f>IFERROR(SEARCH(#REF!,Table4[[#This Row],[Commodity Title]],1),"")</f>
        <v/>
      </c>
      <c r="C46" s="35">
        <v>42131504</v>
      </c>
      <c r="D46" s="33" t="s">
        <v>1495</v>
      </c>
      <c r="E46" s="33" t="s">
        <v>1496</v>
      </c>
      <c r="F46" s="33" t="s">
        <v>1497</v>
      </c>
      <c r="G46" s="33" t="s">
        <v>1579</v>
      </c>
      <c r="H46" s="33" t="s">
        <v>1580</v>
      </c>
      <c r="I46" s="33" t="s">
        <v>1581</v>
      </c>
      <c r="J46" s="33">
        <v>114804</v>
      </c>
      <c r="K46" s="33" t="s">
        <v>1582</v>
      </c>
      <c r="L46" s="33" t="s">
        <v>1583</v>
      </c>
      <c r="M46" s="33" t="s">
        <v>1584</v>
      </c>
      <c r="N46" s="44">
        <v>42131504</v>
      </c>
      <c r="O46" s="33" t="s">
        <v>1591</v>
      </c>
      <c r="P46" s="33" t="s">
        <v>1592</v>
      </c>
      <c r="Q46" s="34" t="s">
        <v>1494</v>
      </c>
      <c r="R46" s="34" t="s">
        <v>1494</v>
      </c>
    </row>
    <row r="47" spans="1:18" ht="15" customHeight="1" x14ac:dyDescent="0.25">
      <c r="A47" t="str">
        <f>IFERROR(RANK(B47,$B:$B,1)+COUNTIF($B$1:B46,B47),"")</f>
        <v/>
      </c>
      <c r="B47" t="str">
        <f>IFERROR(SEARCH(#REF!,Table4[[#This Row],[Commodity Title]],1),"")</f>
        <v/>
      </c>
      <c r="C47" s="35">
        <v>42131505</v>
      </c>
      <c r="D47" s="33" t="s">
        <v>1495</v>
      </c>
      <c r="E47" s="33" t="s">
        <v>1496</v>
      </c>
      <c r="F47" s="33" t="s">
        <v>1497</v>
      </c>
      <c r="G47" s="33" t="s">
        <v>1579</v>
      </c>
      <c r="H47" s="33" t="s">
        <v>1580</v>
      </c>
      <c r="I47" s="33" t="s">
        <v>1581</v>
      </c>
      <c r="J47" s="33">
        <v>114805</v>
      </c>
      <c r="K47" s="33" t="s">
        <v>1582</v>
      </c>
      <c r="L47" s="33" t="s">
        <v>1583</v>
      </c>
      <c r="M47" s="33" t="s">
        <v>1584</v>
      </c>
      <c r="N47" s="44">
        <v>42131505</v>
      </c>
      <c r="O47" s="33" t="s">
        <v>1593</v>
      </c>
      <c r="P47" s="33" t="s">
        <v>1594</v>
      </c>
      <c r="Q47" s="34" t="s">
        <v>1494</v>
      </c>
      <c r="R47" s="34" t="s">
        <v>1494</v>
      </c>
    </row>
    <row r="48" spans="1:18" ht="15" customHeight="1" x14ac:dyDescent="0.25">
      <c r="A48" t="str">
        <f>IFERROR(RANK(B48,$B:$B,1)+COUNTIF($B$1:B47,B48),"")</f>
        <v/>
      </c>
      <c r="B48" t="str">
        <f>IFERROR(SEARCH(#REF!,Table4[[#This Row],[Commodity Title]],1),"")</f>
        <v/>
      </c>
      <c r="C48" s="35">
        <v>42131506</v>
      </c>
      <c r="D48" s="33" t="s">
        <v>1495</v>
      </c>
      <c r="E48" s="33" t="s">
        <v>1496</v>
      </c>
      <c r="F48" s="33" t="s">
        <v>1497</v>
      </c>
      <c r="G48" s="33" t="s">
        <v>1579</v>
      </c>
      <c r="H48" s="33" t="s">
        <v>1580</v>
      </c>
      <c r="I48" s="33" t="s">
        <v>1581</v>
      </c>
      <c r="J48" s="33">
        <v>114806</v>
      </c>
      <c r="K48" s="33" t="s">
        <v>1582</v>
      </c>
      <c r="L48" s="33" t="s">
        <v>1583</v>
      </c>
      <c r="M48" s="33" t="s">
        <v>1584</v>
      </c>
      <c r="N48" s="44">
        <v>42131506</v>
      </c>
      <c r="O48" s="33" t="s">
        <v>1595</v>
      </c>
      <c r="P48" s="33" t="s">
        <v>1596</v>
      </c>
      <c r="Q48" s="34" t="s">
        <v>1494</v>
      </c>
      <c r="R48" s="34" t="s">
        <v>1494</v>
      </c>
    </row>
    <row r="49" spans="1:18" ht="15" customHeight="1" x14ac:dyDescent="0.25">
      <c r="A49" t="str">
        <f>IFERROR(RANK(B49,$B:$B,1)+COUNTIF($B$1:B48,B49),"")</f>
        <v/>
      </c>
      <c r="B49" t="str">
        <f>IFERROR(SEARCH(#REF!,Table4[[#This Row],[Commodity Title]],1),"")</f>
        <v/>
      </c>
      <c r="C49" s="35">
        <v>42131507</v>
      </c>
      <c r="D49" s="33" t="s">
        <v>1495</v>
      </c>
      <c r="E49" s="33" t="s">
        <v>1496</v>
      </c>
      <c r="F49" s="33" t="s">
        <v>1497</v>
      </c>
      <c r="G49" s="33" t="s">
        <v>1579</v>
      </c>
      <c r="H49" s="33" t="s">
        <v>1580</v>
      </c>
      <c r="I49" s="33" t="s">
        <v>1581</v>
      </c>
      <c r="J49" s="33">
        <v>114807</v>
      </c>
      <c r="K49" s="33" t="s">
        <v>1582</v>
      </c>
      <c r="L49" s="33" t="s">
        <v>1583</v>
      </c>
      <c r="M49" s="33" t="s">
        <v>1584</v>
      </c>
      <c r="N49" s="44">
        <v>42131507</v>
      </c>
      <c r="O49" s="33" t="s">
        <v>1597</v>
      </c>
      <c r="P49" s="33" t="s">
        <v>1598</v>
      </c>
      <c r="Q49" s="34" t="s">
        <v>1494</v>
      </c>
      <c r="R49" s="34" t="s">
        <v>1494</v>
      </c>
    </row>
    <row r="50" spans="1:18" ht="15" customHeight="1" x14ac:dyDescent="0.25">
      <c r="A50" t="str">
        <f>IFERROR(RANK(B50,$B:$B,1)+COUNTIF($B$1:B49,B50),"")</f>
        <v/>
      </c>
      <c r="B50" t="str">
        <f>IFERROR(SEARCH(#REF!,Table4[[#This Row],[Commodity Title]],1),"")</f>
        <v/>
      </c>
      <c r="C50" s="35">
        <v>42131508</v>
      </c>
      <c r="D50" s="33" t="s">
        <v>1495</v>
      </c>
      <c r="E50" s="33" t="s">
        <v>1496</v>
      </c>
      <c r="F50" s="33" t="s">
        <v>1497</v>
      </c>
      <c r="G50" s="33" t="s">
        <v>1579</v>
      </c>
      <c r="H50" s="33" t="s">
        <v>1580</v>
      </c>
      <c r="I50" s="33" t="s">
        <v>1581</v>
      </c>
      <c r="J50" s="33">
        <v>114831</v>
      </c>
      <c r="K50" s="33" t="s">
        <v>1582</v>
      </c>
      <c r="L50" s="33" t="s">
        <v>1583</v>
      </c>
      <c r="M50" s="33" t="s">
        <v>1584</v>
      </c>
      <c r="N50" s="44">
        <v>42131508</v>
      </c>
      <c r="O50" s="33" t="s">
        <v>1599</v>
      </c>
      <c r="P50" s="33" t="s">
        <v>1600</v>
      </c>
      <c r="Q50" s="34" t="s">
        <v>1494</v>
      </c>
      <c r="R50" s="34" t="s">
        <v>1494</v>
      </c>
    </row>
    <row r="51" spans="1:18" ht="15" customHeight="1" x14ac:dyDescent="0.25">
      <c r="A51" t="str">
        <f>IFERROR(RANK(B51,$B:$B,1)+COUNTIF($B$1:B50,B51),"")</f>
        <v/>
      </c>
      <c r="B51" t="str">
        <f>IFERROR(SEARCH(#REF!,Table4[[#This Row],[Commodity Title]],1),"")</f>
        <v/>
      </c>
      <c r="C51" s="35">
        <v>42131509</v>
      </c>
      <c r="D51" s="33" t="s">
        <v>1495</v>
      </c>
      <c r="E51" s="33" t="s">
        <v>1496</v>
      </c>
      <c r="F51" s="33" t="s">
        <v>1497</v>
      </c>
      <c r="G51" s="33" t="s">
        <v>1579</v>
      </c>
      <c r="H51" s="33" t="s">
        <v>1580</v>
      </c>
      <c r="I51" s="33" t="s">
        <v>1581</v>
      </c>
      <c r="J51" s="33">
        <v>143484</v>
      </c>
      <c r="K51" s="33" t="s">
        <v>1582</v>
      </c>
      <c r="L51" s="33" t="s">
        <v>1583</v>
      </c>
      <c r="M51" s="33" t="s">
        <v>1584</v>
      </c>
      <c r="N51" s="44">
        <v>42131509</v>
      </c>
      <c r="O51" s="33" t="s">
        <v>1601</v>
      </c>
      <c r="P51" s="33" t="s">
        <v>1602</v>
      </c>
      <c r="Q51" s="34" t="s">
        <v>1494</v>
      </c>
      <c r="R51" s="34" t="s">
        <v>1494</v>
      </c>
    </row>
    <row r="52" spans="1:18" ht="15" customHeight="1" x14ac:dyDescent="0.25">
      <c r="A52" t="str">
        <f>IFERROR(RANK(B52,$B:$B,1)+COUNTIF($B$1:B51,B52),"")</f>
        <v/>
      </c>
      <c r="B52" t="str">
        <f>IFERROR(SEARCH(#REF!,Table4[[#This Row],[Commodity Title]],1),"")</f>
        <v/>
      </c>
      <c r="C52" s="35">
        <v>42131510</v>
      </c>
      <c r="D52" s="33" t="s">
        <v>1495</v>
      </c>
      <c r="E52" s="33" t="s">
        <v>1496</v>
      </c>
      <c r="F52" s="33" t="s">
        <v>1497</v>
      </c>
      <c r="G52" s="33" t="s">
        <v>1579</v>
      </c>
      <c r="H52" s="33" t="s">
        <v>1580</v>
      </c>
      <c r="I52" s="33" t="s">
        <v>1581</v>
      </c>
      <c r="J52" s="33">
        <v>142263</v>
      </c>
      <c r="K52" s="33" t="s">
        <v>1582</v>
      </c>
      <c r="L52" s="33" t="s">
        <v>1583</v>
      </c>
      <c r="M52" s="33" t="s">
        <v>1584</v>
      </c>
      <c r="N52" s="44">
        <v>42131510</v>
      </c>
      <c r="O52" s="33" t="s">
        <v>1603</v>
      </c>
      <c r="P52" s="33" t="s">
        <v>1604</v>
      </c>
      <c r="Q52" s="34" t="s">
        <v>1494</v>
      </c>
      <c r="R52" s="34" t="s">
        <v>1494</v>
      </c>
    </row>
    <row r="53" spans="1:18" ht="15" customHeight="1" x14ac:dyDescent="0.25">
      <c r="A53" t="str">
        <f>IFERROR(RANK(B53,$B:$B,1)+COUNTIF($B$1:B52,B53),"")</f>
        <v/>
      </c>
      <c r="B53" t="str">
        <f>IFERROR(SEARCH(#REF!,Table4[[#This Row],[Commodity Title]],1),"")</f>
        <v/>
      </c>
      <c r="C53" s="35">
        <v>42131511</v>
      </c>
      <c r="D53" s="33" t="s">
        <v>1495</v>
      </c>
      <c r="E53" s="33" t="s">
        <v>1496</v>
      </c>
      <c r="F53" s="33" t="s">
        <v>1497</v>
      </c>
      <c r="G53" s="33" t="s">
        <v>1579</v>
      </c>
      <c r="H53" s="33" t="s">
        <v>1580</v>
      </c>
      <c r="I53" s="33" t="s">
        <v>1581</v>
      </c>
      <c r="J53" s="33">
        <v>145080</v>
      </c>
      <c r="K53" s="33" t="s">
        <v>1582</v>
      </c>
      <c r="L53" s="33" t="s">
        <v>1583</v>
      </c>
      <c r="M53" s="33" t="s">
        <v>1584</v>
      </c>
      <c r="N53" s="44">
        <v>42131511</v>
      </c>
      <c r="O53" s="33" t="s">
        <v>1605</v>
      </c>
      <c r="P53" s="33" t="s">
        <v>1606</v>
      </c>
      <c r="Q53" s="34" t="s">
        <v>1494</v>
      </c>
      <c r="R53" s="34" t="s">
        <v>1494</v>
      </c>
    </row>
    <row r="54" spans="1:18" ht="15" customHeight="1" x14ac:dyDescent="0.25">
      <c r="A54" t="str">
        <f>IFERROR(RANK(B54,$B:$B,1)+COUNTIF($B$1:B53,B54),"")</f>
        <v/>
      </c>
      <c r="B54" t="str">
        <f>IFERROR(SEARCH(#REF!,Table4[[#This Row],[Commodity Title]],1),"")</f>
        <v/>
      </c>
      <c r="C54" s="35">
        <v>42131512</v>
      </c>
      <c r="D54" s="33" t="s">
        <v>1495</v>
      </c>
      <c r="E54" s="33" t="s">
        <v>1496</v>
      </c>
      <c r="F54" s="33" t="s">
        <v>1497</v>
      </c>
      <c r="G54" s="33" t="s">
        <v>1579</v>
      </c>
      <c r="H54" s="33" t="s">
        <v>1580</v>
      </c>
      <c r="I54" s="33" t="s">
        <v>1581</v>
      </c>
      <c r="J54" s="33">
        <v>177410</v>
      </c>
      <c r="K54" s="33" t="s">
        <v>1582</v>
      </c>
      <c r="L54" s="33" t="s">
        <v>1583</v>
      </c>
      <c r="M54" s="33" t="s">
        <v>1584</v>
      </c>
      <c r="N54" s="44">
        <v>42131512</v>
      </c>
      <c r="O54" s="33" t="s">
        <v>1607</v>
      </c>
      <c r="P54" s="33" t="s">
        <v>1608</v>
      </c>
      <c r="Q54" s="34" t="s">
        <v>1494</v>
      </c>
      <c r="R54" s="34" t="s">
        <v>1494</v>
      </c>
    </row>
    <row r="55" spans="1:18" ht="15" customHeight="1" x14ac:dyDescent="0.25">
      <c r="A55" t="str">
        <f>IFERROR(RANK(B55,$B:$B,1)+COUNTIF($B$1:B54,B55),"")</f>
        <v/>
      </c>
      <c r="B55" t="str">
        <f>IFERROR(SEARCH(#REF!,Table4[[#This Row],[Commodity Title]],1),"")</f>
        <v/>
      </c>
      <c r="C55" s="35">
        <v>42131513</v>
      </c>
      <c r="D55" s="33" t="s">
        <v>1495</v>
      </c>
      <c r="E55" s="33" t="s">
        <v>1496</v>
      </c>
      <c r="F55" s="33" t="s">
        <v>1497</v>
      </c>
      <c r="G55" s="33" t="s">
        <v>1579</v>
      </c>
      <c r="H55" s="33" t="s">
        <v>1580</v>
      </c>
      <c r="I55" s="33" t="s">
        <v>1581</v>
      </c>
      <c r="J55" s="33">
        <v>202340</v>
      </c>
      <c r="K55" s="33" t="s">
        <v>1582</v>
      </c>
      <c r="L55" s="33" t="s">
        <v>1583</v>
      </c>
      <c r="M55" s="33" t="s">
        <v>1584</v>
      </c>
      <c r="N55" s="44">
        <v>42131513</v>
      </c>
      <c r="O55" s="33" t="s">
        <v>1609</v>
      </c>
      <c r="P55" s="33" t="s">
        <v>1610</v>
      </c>
      <c r="Q55" s="34" t="s">
        <v>1494</v>
      </c>
      <c r="R55" s="34" t="s">
        <v>1494</v>
      </c>
    </row>
    <row r="56" spans="1:18" ht="15" customHeight="1" x14ac:dyDescent="0.25">
      <c r="A56" t="str">
        <f>IFERROR(RANK(B56,$B:$B,1)+COUNTIF($B$1:B55,B56),"")</f>
        <v/>
      </c>
      <c r="B56" t="str">
        <f>IFERROR(SEARCH(#REF!,Table4[[#This Row],[Commodity Title]],1),"")</f>
        <v/>
      </c>
      <c r="C56" s="35">
        <v>42131514</v>
      </c>
      <c r="D56" s="33" t="s">
        <v>1495</v>
      </c>
      <c r="E56" s="33" t="s">
        <v>1496</v>
      </c>
      <c r="F56" s="33" t="s">
        <v>1497</v>
      </c>
      <c r="G56" s="33" t="s">
        <v>1579</v>
      </c>
      <c r="H56" s="33" t="s">
        <v>1580</v>
      </c>
      <c r="I56" s="33" t="s">
        <v>1581</v>
      </c>
      <c r="J56" s="33">
        <v>202341</v>
      </c>
      <c r="K56" s="33" t="s">
        <v>1582</v>
      </c>
      <c r="L56" s="33" t="s">
        <v>1583</v>
      </c>
      <c r="M56" s="33" t="s">
        <v>1584</v>
      </c>
      <c r="N56" s="44">
        <v>42131514</v>
      </c>
      <c r="O56" s="33" t="s">
        <v>1611</v>
      </c>
      <c r="P56" s="33" t="s">
        <v>1612</v>
      </c>
      <c r="Q56" s="34" t="s">
        <v>1494</v>
      </c>
      <c r="R56" s="34" t="s">
        <v>1494</v>
      </c>
    </row>
    <row r="57" spans="1:18" ht="15" customHeight="1" x14ac:dyDescent="0.25">
      <c r="A57" t="str">
        <f>IFERROR(RANK(B57,$B:$B,1)+COUNTIF($B$1:B56,B57),"")</f>
        <v/>
      </c>
      <c r="B57" t="str">
        <f>IFERROR(SEARCH(#REF!,Table4[[#This Row],[Commodity Title]],1),"")</f>
        <v/>
      </c>
      <c r="C57" s="33" t="s">
        <v>1494</v>
      </c>
      <c r="D57" s="33" t="s">
        <v>1495</v>
      </c>
      <c r="E57" s="33" t="s">
        <v>1496</v>
      </c>
      <c r="F57" s="33" t="s">
        <v>1497</v>
      </c>
      <c r="G57" s="33" t="s">
        <v>1579</v>
      </c>
      <c r="H57" s="33" t="s">
        <v>1580</v>
      </c>
      <c r="I57" s="33" t="s">
        <v>1581</v>
      </c>
      <c r="J57" s="33">
        <v>114808</v>
      </c>
      <c r="K57" s="33" t="s">
        <v>1613</v>
      </c>
      <c r="L57" s="33" t="s">
        <v>1614</v>
      </c>
      <c r="M57" s="33" t="s">
        <v>1615</v>
      </c>
      <c r="N57" s="44" t="s">
        <v>1494</v>
      </c>
      <c r="O57" s="33" t="s">
        <v>1494</v>
      </c>
      <c r="P57" s="33" t="s">
        <v>1494</v>
      </c>
      <c r="Q57" s="34" t="s">
        <v>1494</v>
      </c>
      <c r="R57" s="34" t="s">
        <v>1494</v>
      </c>
    </row>
    <row r="58" spans="1:18" ht="15" customHeight="1" x14ac:dyDescent="0.25">
      <c r="A58" t="str">
        <f>IFERROR(RANK(B58,$B:$B,1)+COUNTIF($B$1:B57,B58),"")</f>
        <v/>
      </c>
      <c r="B58" t="str">
        <f>IFERROR(SEARCH(#REF!,Table4[[#This Row],[Commodity Title]],1),"")</f>
        <v/>
      </c>
      <c r="C58" s="35">
        <v>42131601</v>
      </c>
      <c r="D58" s="33" t="s">
        <v>1495</v>
      </c>
      <c r="E58" s="33" t="s">
        <v>1496</v>
      </c>
      <c r="F58" s="33" t="s">
        <v>1497</v>
      </c>
      <c r="G58" s="33" t="s">
        <v>1579</v>
      </c>
      <c r="H58" s="33" t="s">
        <v>1580</v>
      </c>
      <c r="I58" s="33" t="s">
        <v>1581</v>
      </c>
      <c r="J58" s="33">
        <v>114809</v>
      </c>
      <c r="K58" s="33" t="s">
        <v>1613</v>
      </c>
      <c r="L58" s="33" t="s">
        <v>1614</v>
      </c>
      <c r="M58" s="33" t="s">
        <v>1615</v>
      </c>
      <c r="N58" s="44">
        <v>42131601</v>
      </c>
      <c r="O58" s="33" t="s">
        <v>1616</v>
      </c>
      <c r="P58" s="33" t="s">
        <v>1617</v>
      </c>
      <c r="Q58" s="34" t="s">
        <v>1494</v>
      </c>
      <c r="R58" s="34" t="s">
        <v>1494</v>
      </c>
    </row>
    <row r="59" spans="1:18" ht="15" customHeight="1" x14ac:dyDescent="0.25">
      <c r="A59" t="str">
        <f>IFERROR(RANK(B59,$B:$B,1)+COUNTIF($B$1:B58,B59),"")</f>
        <v/>
      </c>
      <c r="B59" t="str">
        <f>IFERROR(SEARCH(#REF!,Table4[[#This Row],[Commodity Title]],1),"")</f>
        <v/>
      </c>
      <c r="C59" s="35">
        <v>42131602</v>
      </c>
      <c r="D59" s="33" t="s">
        <v>1495</v>
      </c>
      <c r="E59" s="33" t="s">
        <v>1496</v>
      </c>
      <c r="F59" s="33" t="s">
        <v>1497</v>
      </c>
      <c r="G59" s="33" t="s">
        <v>1579</v>
      </c>
      <c r="H59" s="33" t="s">
        <v>1580</v>
      </c>
      <c r="I59" s="33" t="s">
        <v>1581</v>
      </c>
      <c r="J59" s="33">
        <v>114810</v>
      </c>
      <c r="K59" s="33" t="s">
        <v>1613</v>
      </c>
      <c r="L59" s="33" t="s">
        <v>1614</v>
      </c>
      <c r="M59" s="33" t="s">
        <v>1615</v>
      </c>
      <c r="N59" s="44">
        <v>42131602</v>
      </c>
      <c r="O59" s="33" t="s">
        <v>1618</v>
      </c>
      <c r="P59" s="33" t="s">
        <v>1619</v>
      </c>
      <c r="Q59" s="34" t="s">
        <v>1494</v>
      </c>
      <c r="R59" s="34" t="s">
        <v>1494</v>
      </c>
    </row>
    <row r="60" spans="1:18" ht="15" customHeight="1" x14ac:dyDescent="0.25">
      <c r="A60" t="str">
        <f>IFERROR(RANK(B60,$B:$B,1)+COUNTIF($B$1:B59,B60),"")</f>
        <v/>
      </c>
      <c r="B60" t="str">
        <f>IFERROR(SEARCH(#REF!,Table4[[#This Row],[Commodity Title]],1),"")</f>
        <v/>
      </c>
      <c r="C60" s="35">
        <v>42131603</v>
      </c>
      <c r="D60" s="33" t="s">
        <v>1495</v>
      </c>
      <c r="E60" s="33" t="s">
        <v>1496</v>
      </c>
      <c r="F60" s="33" t="s">
        <v>1497</v>
      </c>
      <c r="G60" s="33" t="s">
        <v>1579</v>
      </c>
      <c r="H60" s="33" t="s">
        <v>1580</v>
      </c>
      <c r="I60" s="33" t="s">
        <v>1581</v>
      </c>
      <c r="J60" s="33">
        <v>114811</v>
      </c>
      <c r="K60" s="33" t="s">
        <v>1613</v>
      </c>
      <c r="L60" s="33" t="s">
        <v>1614</v>
      </c>
      <c r="M60" s="33" t="s">
        <v>1615</v>
      </c>
      <c r="N60" s="44">
        <v>42131603</v>
      </c>
      <c r="O60" s="33" t="s">
        <v>1620</v>
      </c>
      <c r="P60" s="33" t="s">
        <v>1621</v>
      </c>
      <c r="Q60" s="34" t="s">
        <v>1494</v>
      </c>
      <c r="R60" s="34" t="s">
        <v>1494</v>
      </c>
    </row>
    <row r="61" spans="1:18" ht="15" customHeight="1" x14ac:dyDescent="0.25">
      <c r="A61" t="str">
        <f>IFERROR(RANK(B61,$B:$B,1)+COUNTIF($B$1:B60,B61),"")</f>
        <v/>
      </c>
      <c r="B61" t="str">
        <f>IFERROR(SEARCH(#REF!,Table4[[#This Row],[Commodity Title]],1),"")</f>
        <v/>
      </c>
      <c r="C61" s="35">
        <v>42131604</v>
      </c>
      <c r="D61" s="33" t="s">
        <v>1495</v>
      </c>
      <c r="E61" s="33" t="s">
        <v>1496</v>
      </c>
      <c r="F61" s="33" t="s">
        <v>1497</v>
      </c>
      <c r="G61" s="33" t="s">
        <v>1579</v>
      </c>
      <c r="H61" s="33" t="s">
        <v>1580</v>
      </c>
      <c r="I61" s="33" t="s">
        <v>1581</v>
      </c>
      <c r="J61" s="33">
        <v>114812</v>
      </c>
      <c r="K61" s="33" t="s">
        <v>1613</v>
      </c>
      <c r="L61" s="33" t="s">
        <v>1614</v>
      </c>
      <c r="M61" s="33" t="s">
        <v>1615</v>
      </c>
      <c r="N61" s="44">
        <v>42131604</v>
      </c>
      <c r="O61" s="33" t="s">
        <v>1622</v>
      </c>
      <c r="P61" s="33" t="s">
        <v>1623</v>
      </c>
      <c r="Q61" s="34" t="s">
        <v>1494</v>
      </c>
      <c r="R61" s="34" t="s">
        <v>1494</v>
      </c>
    </row>
    <row r="62" spans="1:18" ht="15" customHeight="1" x14ac:dyDescent="0.25">
      <c r="A62" t="str">
        <f>IFERROR(RANK(B62,$B:$B,1)+COUNTIF($B$1:B61,B62),"")</f>
        <v/>
      </c>
      <c r="B62" t="str">
        <f>IFERROR(SEARCH(#REF!,Table4[[#This Row],[Commodity Title]],1),"")</f>
        <v/>
      </c>
      <c r="C62" s="35">
        <v>42131607</v>
      </c>
      <c r="D62" s="33" t="s">
        <v>1495</v>
      </c>
      <c r="E62" s="33" t="s">
        <v>1496</v>
      </c>
      <c r="F62" s="33" t="s">
        <v>1497</v>
      </c>
      <c r="G62" s="33" t="s">
        <v>1579</v>
      </c>
      <c r="H62" s="33" t="s">
        <v>1580</v>
      </c>
      <c r="I62" s="33" t="s">
        <v>1581</v>
      </c>
      <c r="J62" s="33">
        <v>114815</v>
      </c>
      <c r="K62" s="33" t="s">
        <v>1613</v>
      </c>
      <c r="L62" s="33" t="s">
        <v>1614</v>
      </c>
      <c r="M62" s="33" t="s">
        <v>1615</v>
      </c>
      <c r="N62" s="44">
        <v>42131607</v>
      </c>
      <c r="O62" s="33" t="s">
        <v>1624</v>
      </c>
      <c r="P62" s="33" t="s">
        <v>1625</v>
      </c>
      <c r="Q62" s="34" t="s">
        <v>1494</v>
      </c>
      <c r="R62" s="34" t="s">
        <v>1494</v>
      </c>
    </row>
    <row r="63" spans="1:18" ht="15" customHeight="1" x14ac:dyDescent="0.25">
      <c r="A63" t="str">
        <f>IFERROR(RANK(B63,$B:$B,1)+COUNTIF($B$1:B62,B63),"")</f>
        <v/>
      </c>
      <c r="B63" t="str">
        <f>IFERROR(SEARCH(#REF!,Table4[[#This Row],[Commodity Title]],1),"")</f>
        <v/>
      </c>
      <c r="C63" s="35">
        <v>42131608</v>
      </c>
      <c r="D63" s="33" t="s">
        <v>1495</v>
      </c>
      <c r="E63" s="33" t="s">
        <v>1496</v>
      </c>
      <c r="F63" s="33" t="s">
        <v>1497</v>
      </c>
      <c r="G63" s="33" t="s">
        <v>1579</v>
      </c>
      <c r="H63" s="33" t="s">
        <v>1580</v>
      </c>
      <c r="I63" s="33" t="s">
        <v>1581</v>
      </c>
      <c r="J63" s="33">
        <v>114816</v>
      </c>
      <c r="K63" s="33" t="s">
        <v>1613</v>
      </c>
      <c r="L63" s="33" t="s">
        <v>1614</v>
      </c>
      <c r="M63" s="33" t="s">
        <v>1615</v>
      </c>
      <c r="N63" s="44">
        <v>42131608</v>
      </c>
      <c r="O63" s="33" t="s">
        <v>1626</v>
      </c>
      <c r="P63" s="33" t="s">
        <v>1627</v>
      </c>
      <c r="Q63" s="34" t="s">
        <v>1494</v>
      </c>
      <c r="R63" s="34" t="s">
        <v>1494</v>
      </c>
    </row>
    <row r="64" spans="1:18" ht="15" customHeight="1" x14ac:dyDescent="0.25">
      <c r="A64" t="str">
        <f>IFERROR(RANK(B64,$B:$B,1)+COUNTIF($B$1:B63,B64),"")</f>
        <v/>
      </c>
      <c r="B64" t="str">
        <f>IFERROR(SEARCH(#REF!,Table4[[#This Row],[Commodity Title]],1),"")</f>
        <v/>
      </c>
      <c r="C64" s="35">
        <v>42131609</v>
      </c>
      <c r="D64" s="33" t="s">
        <v>1495</v>
      </c>
      <c r="E64" s="33" t="s">
        <v>1496</v>
      </c>
      <c r="F64" s="33" t="s">
        <v>1497</v>
      </c>
      <c r="G64" s="33" t="s">
        <v>1579</v>
      </c>
      <c r="H64" s="33" t="s">
        <v>1580</v>
      </c>
      <c r="I64" s="33" t="s">
        <v>1581</v>
      </c>
      <c r="J64" s="33">
        <v>114817</v>
      </c>
      <c r="K64" s="33" t="s">
        <v>1613</v>
      </c>
      <c r="L64" s="33" t="s">
        <v>1614</v>
      </c>
      <c r="M64" s="33" t="s">
        <v>1615</v>
      </c>
      <c r="N64" s="44">
        <v>42131609</v>
      </c>
      <c r="O64" s="33" t="s">
        <v>1628</v>
      </c>
      <c r="P64" s="33" t="s">
        <v>1629</v>
      </c>
      <c r="Q64" s="34" t="s">
        <v>1494</v>
      </c>
      <c r="R64" s="34" t="s">
        <v>1494</v>
      </c>
    </row>
    <row r="65" spans="1:18" ht="15" customHeight="1" x14ac:dyDescent="0.25">
      <c r="A65" t="str">
        <f>IFERROR(RANK(B65,$B:$B,1)+COUNTIF($B$1:B64,B65),"")</f>
        <v/>
      </c>
      <c r="B65" t="str">
        <f>IFERROR(SEARCH(#REF!,Table4[[#This Row],[Commodity Title]],1),"")</f>
        <v/>
      </c>
      <c r="C65" s="35">
        <v>42131610</v>
      </c>
      <c r="D65" s="33" t="s">
        <v>1495</v>
      </c>
      <c r="E65" s="33" t="s">
        <v>1496</v>
      </c>
      <c r="F65" s="33" t="s">
        <v>1497</v>
      </c>
      <c r="G65" s="33" t="s">
        <v>1579</v>
      </c>
      <c r="H65" s="33" t="s">
        <v>1580</v>
      </c>
      <c r="I65" s="33" t="s">
        <v>1581</v>
      </c>
      <c r="J65" s="33">
        <v>114818</v>
      </c>
      <c r="K65" s="33" t="s">
        <v>1613</v>
      </c>
      <c r="L65" s="33" t="s">
        <v>1614</v>
      </c>
      <c r="M65" s="33" t="s">
        <v>1615</v>
      </c>
      <c r="N65" s="44">
        <v>42131610</v>
      </c>
      <c r="O65" s="33" t="s">
        <v>1630</v>
      </c>
      <c r="P65" s="33" t="s">
        <v>1631</v>
      </c>
      <c r="Q65" s="34" t="s">
        <v>1494</v>
      </c>
      <c r="R65" s="34" t="s">
        <v>1494</v>
      </c>
    </row>
    <row r="66" spans="1:18" ht="15" customHeight="1" x14ac:dyDescent="0.25">
      <c r="A66" t="str">
        <f>IFERROR(RANK(B66,$B:$B,1)+COUNTIF($B$1:B65,B66),"")</f>
        <v/>
      </c>
      <c r="B66" t="str">
        <f>IFERROR(SEARCH(#REF!,Table4[[#This Row],[Commodity Title]],1),"")</f>
        <v/>
      </c>
      <c r="C66" s="35">
        <v>42131611</v>
      </c>
      <c r="D66" s="33" t="s">
        <v>1495</v>
      </c>
      <c r="E66" s="33" t="s">
        <v>1496</v>
      </c>
      <c r="F66" s="33" t="s">
        <v>1497</v>
      </c>
      <c r="G66" s="33" t="s">
        <v>1579</v>
      </c>
      <c r="H66" s="33" t="s">
        <v>1580</v>
      </c>
      <c r="I66" s="33" t="s">
        <v>1581</v>
      </c>
      <c r="J66" s="33">
        <v>114819</v>
      </c>
      <c r="K66" s="33" t="s">
        <v>1613</v>
      </c>
      <c r="L66" s="33" t="s">
        <v>1614</v>
      </c>
      <c r="M66" s="33" t="s">
        <v>1615</v>
      </c>
      <c r="N66" s="44">
        <v>42131611</v>
      </c>
      <c r="O66" s="33" t="s">
        <v>1632</v>
      </c>
      <c r="P66" s="33" t="s">
        <v>1633</v>
      </c>
      <c r="Q66" s="34" t="s">
        <v>1494</v>
      </c>
      <c r="R66" s="34" t="s">
        <v>1494</v>
      </c>
    </row>
    <row r="67" spans="1:18" ht="15" customHeight="1" x14ac:dyDescent="0.25">
      <c r="A67" t="str">
        <f>IFERROR(RANK(B67,$B:$B,1)+COUNTIF($B$1:B66,B67),"")</f>
        <v/>
      </c>
      <c r="B67" t="str">
        <f>IFERROR(SEARCH(#REF!,Table4[[#This Row],[Commodity Title]],1),"")</f>
        <v/>
      </c>
      <c r="C67" s="35">
        <v>42131612</v>
      </c>
      <c r="D67" s="33" t="s">
        <v>1495</v>
      </c>
      <c r="E67" s="33" t="s">
        <v>1496</v>
      </c>
      <c r="F67" s="33" t="s">
        <v>1497</v>
      </c>
      <c r="G67" s="33" t="s">
        <v>1579</v>
      </c>
      <c r="H67" s="33" t="s">
        <v>1580</v>
      </c>
      <c r="I67" s="33" t="s">
        <v>1581</v>
      </c>
      <c r="J67" s="33">
        <v>117622</v>
      </c>
      <c r="K67" s="33" t="s">
        <v>1613</v>
      </c>
      <c r="L67" s="33" t="s">
        <v>1614</v>
      </c>
      <c r="M67" s="33" t="s">
        <v>1615</v>
      </c>
      <c r="N67" s="44">
        <v>42131612</v>
      </c>
      <c r="O67" s="33" t="s">
        <v>1634</v>
      </c>
      <c r="P67" s="33" t="s">
        <v>1635</v>
      </c>
      <c r="Q67" s="34" t="s">
        <v>1494</v>
      </c>
      <c r="R67" s="34" t="s">
        <v>1494</v>
      </c>
    </row>
    <row r="68" spans="1:18" ht="15" customHeight="1" x14ac:dyDescent="0.25">
      <c r="A68" t="str">
        <f>IFERROR(RANK(B68,$B:$B,1)+COUNTIF($B$1:B67,B68),"")</f>
        <v/>
      </c>
      <c r="B68" t="str">
        <f>IFERROR(SEARCH(#REF!,Table4[[#This Row],[Commodity Title]],1),"")</f>
        <v/>
      </c>
      <c r="C68" s="35">
        <v>42131613</v>
      </c>
      <c r="D68" s="33" t="s">
        <v>1495</v>
      </c>
      <c r="E68" s="33" t="s">
        <v>1496</v>
      </c>
      <c r="F68" s="33" t="s">
        <v>1497</v>
      </c>
      <c r="G68" s="33" t="s">
        <v>1579</v>
      </c>
      <c r="H68" s="33" t="s">
        <v>1580</v>
      </c>
      <c r="I68" s="33" t="s">
        <v>1581</v>
      </c>
      <c r="J68" s="33">
        <v>165547</v>
      </c>
      <c r="K68" s="33" t="s">
        <v>1613</v>
      </c>
      <c r="L68" s="33" t="s">
        <v>1614</v>
      </c>
      <c r="M68" s="33" t="s">
        <v>1615</v>
      </c>
      <c r="N68" s="44">
        <v>42131613</v>
      </c>
      <c r="O68" s="33" t="s">
        <v>1636</v>
      </c>
      <c r="P68" s="33" t="s">
        <v>1637</v>
      </c>
      <c r="Q68" s="34" t="s">
        <v>1494</v>
      </c>
      <c r="R68" s="34" t="s">
        <v>1494</v>
      </c>
    </row>
    <row r="69" spans="1:18" ht="15" customHeight="1" x14ac:dyDescent="0.25">
      <c r="A69" t="str">
        <f>IFERROR(RANK(B69,$B:$B,1)+COUNTIF($B$1:B68,B69),"")</f>
        <v/>
      </c>
      <c r="B69" t="str">
        <f>IFERROR(SEARCH(#REF!,Table4[[#This Row],[Commodity Title]],1),"")</f>
        <v/>
      </c>
      <c r="C69" s="35">
        <v>42131614</v>
      </c>
      <c r="D69" s="33" t="s">
        <v>1495</v>
      </c>
      <c r="E69" s="33" t="s">
        <v>1496</v>
      </c>
      <c r="F69" s="33" t="s">
        <v>1497</v>
      </c>
      <c r="G69" s="33" t="s">
        <v>1579</v>
      </c>
      <c r="H69" s="33" t="s">
        <v>1580</v>
      </c>
      <c r="I69" s="33" t="s">
        <v>1581</v>
      </c>
      <c r="J69" s="33">
        <v>202342</v>
      </c>
      <c r="K69" s="33" t="s">
        <v>1613</v>
      </c>
      <c r="L69" s="33" t="s">
        <v>1614</v>
      </c>
      <c r="M69" s="33" t="s">
        <v>1615</v>
      </c>
      <c r="N69" s="44">
        <v>42131614</v>
      </c>
      <c r="O69" s="33" t="s">
        <v>1638</v>
      </c>
      <c r="P69" s="33" t="s">
        <v>1639</v>
      </c>
      <c r="Q69" s="34" t="s">
        <v>1494</v>
      </c>
      <c r="R69" s="34" t="s">
        <v>1494</v>
      </c>
    </row>
    <row r="70" spans="1:18" ht="15" customHeight="1" x14ac:dyDescent="0.25">
      <c r="A70" t="str">
        <f>IFERROR(RANK(B70,$B:$B,1)+COUNTIF($B$1:B69,B70),"")</f>
        <v/>
      </c>
      <c r="B70" t="str">
        <f>IFERROR(SEARCH(#REF!,Table4[[#This Row],[Commodity Title]],1),"")</f>
        <v/>
      </c>
      <c r="C70" s="35">
        <v>42131615</v>
      </c>
      <c r="D70" s="33" t="s">
        <v>1495</v>
      </c>
      <c r="E70" s="33" t="s">
        <v>1496</v>
      </c>
      <c r="F70" s="33" t="s">
        <v>1497</v>
      </c>
      <c r="G70" s="33" t="s">
        <v>1579</v>
      </c>
      <c r="H70" s="33" t="s">
        <v>1580</v>
      </c>
      <c r="I70" s="33" t="s">
        <v>1581</v>
      </c>
      <c r="J70" s="33">
        <v>202343</v>
      </c>
      <c r="K70" s="33" t="s">
        <v>1613</v>
      </c>
      <c r="L70" s="33" t="s">
        <v>1614</v>
      </c>
      <c r="M70" s="33" t="s">
        <v>1615</v>
      </c>
      <c r="N70" s="44">
        <v>42131615</v>
      </c>
      <c r="O70" s="33" t="s">
        <v>1640</v>
      </c>
      <c r="P70" s="33" t="s">
        <v>1641</v>
      </c>
      <c r="Q70" s="34" t="s">
        <v>1494</v>
      </c>
      <c r="R70" s="34" t="s">
        <v>1494</v>
      </c>
    </row>
    <row r="71" spans="1:18" ht="15" customHeight="1" x14ac:dyDescent="0.25">
      <c r="A71" t="str">
        <f>IFERROR(RANK(B71,$B:$B,1)+COUNTIF($B$1:B70,B71),"")</f>
        <v/>
      </c>
      <c r="B71" t="str">
        <f>IFERROR(SEARCH(#REF!,Table4[[#This Row],[Commodity Title]],1),"")</f>
        <v/>
      </c>
      <c r="C71" s="33" t="s">
        <v>1494</v>
      </c>
      <c r="D71" s="33" t="s">
        <v>1495</v>
      </c>
      <c r="E71" s="33" t="s">
        <v>1496</v>
      </c>
      <c r="F71" s="33" t="s">
        <v>1497</v>
      </c>
      <c r="G71" s="33" t="s">
        <v>1579</v>
      </c>
      <c r="H71" s="33" t="s">
        <v>1580</v>
      </c>
      <c r="I71" s="33" t="s">
        <v>1581</v>
      </c>
      <c r="J71" s="33">
        <v>114820</v>
      </c>
      <c r="K71" s="33" t="s">
        <v>1642</v>
      </c>
      <c r="L71" s="33" t="s">
        <v>1643</v>
      </c>
      <c r="M71" s="33" t="s">
        <v>1644</v>
      </c>
      <c r="N71" s="44" t="s">
        <v>1494</v>
      </c>
      <c r="O71" s="33" t="s">
        <v>1494</v>
      </c>
      <c r="P71" s="33" t="s">
        <v>1494</v>
      </c>
      <c r="Q71" s="34" t="s">
        <v>1494</v>
      </c>
      <c r="R71" s="34" t="s">
        <v>1494</v>
      </c>
    </row>
    <row r="72" spans="1:18" ht="15" customHeight="1" x14ac:dyDescent="0.25">
      <c r="A72" t="str">
        <f>IFERROR(RANK(B72,$B:$B,1)+COUNTIF($B$1:B71,B72),"")</f>
        <v/>
      </c>
      <c r="B72" t="str">
        <f>IFERROR(SEARCH(#REF!,Table4[[#This Row],[Commodity Title]],1),"")</f>
        <v/>
      </c>
      <c r="C72" s="35">
        <v>42131701</v>
      </c>
      <c r="D72" s="33" t="s">
        <v>1495</v>
      </c>
      <c r="E72" s="33" t="s">
        <v>1496</v>
      </c>
      <c r="F72" s="33" t="s">
        <v>1497</v>
      </c>
      <c r="G72" s="33" t="s">
        <v>1579</v>
      </c>
      <c r="H72" s="33" t="s">
        <v>1580</v>
      </c>
      <c r="I72" s="33" t="s">
        <v>1581</v>
      </c>
      <c r="J72" s="33">
        <v>114821</v>
      </c>
      <c r="K72" s="33" t="s">
        <v>1642</v>
      </c>
      <c r="L72" s="33" t="s">
        <v>1643</v>
      </c>
      <c r="M72" s="33" t="s">
        <v>1644</v>
      </c>
      <c r="N72" s="44">
        <v>42131701</v>
      </c>
      <c r="O72" s="33" t="s">
        <v>1645</v>
      </c>
      <c r="P72" s="33" t="s">
        <v>1646</v>
      </c>
      <c r="Q72" s="34" t="s">
        <v>1494</v>
      </c>
      <c r="R72" s="34" t="s">
        <v>1494</v>
      </c>
    </row>
    <row r="73" spans="1:18" ht="15" customHeight="1" x14ac:dyDescent="0.25">
      <c r="A73" t="str">
        <f>IFERROR(RANK(B73,$B:$B,1)+COUNTIF($B$1:B72,B73),"")</f>
        <v/>
      </c>
      <c r="B73" t="str">
        <f>IFERROR(SEARCH(#REF!,Table4[[#This Row],[Commodity Title]],1),"")</f>
        <v/>
      </c>
      <c r="C73" s="35">
        <v>42131702</v>
      </c>
      <c r="D73" s="33" t="s">
        <v>1495</v>
      </c>
      <c r="E73" s="33" t="s">
        <v>1496</v>
      </c>
      <c r="F73" s="33" t="s">
        <v>1497</v>
      </c>
      <c r="G73" s="33" t="s">
        <v>1579</v>
      </c>
      <c r="H73" s="33" t="s">
        <v>1580</v>
      </c>
      <c r="I73" s="33" t="s">
        <v>1581</v>
      </c>
      <c r="J73" s="33">
        <v>114822</v>
      </c>
      <c r="K73" s="33" t="s">
        <v>1642</v>
      </c>
      <c r="L73" s="33" t="s">
        <v>1643</v>
      </c>
      <c r="M73" s="33" t="s">
        <v>1644</v>
      </c>
      <c r="N73" s="44">
        <v>42131702</v>
      </c>
      <c r="O73" s="33" t="s">
        <v>1647</v>
      </c>
      <c r="P73" s="33" t="s">
        <v>1648</v>
      </c>
      <c r="Q73" s="34" t="s">
        <v>1494</v>
      </c>
      <c r="R73" s="34" t="s">
        <v>1494</v>
      </c>
    </row>
    <row r="74" spans="1:18" ht="15" customHeight="1" x14ac:dyDescent="0.25">
      <c r="A74" t="str">
        <f>IFERROR(RANK(B74,$B:$B,1)+COUNTIF($B$1:B73,B74),"")</f>
        <v/>
      </c>
      <c r="B74" t="str">
        <f>IFERROR(SEARCH(#REF!,Table4[[#This Row],[Commodity Title]],1),"")</f>
        <v/>
      </c>
      <c r="C74" s="35">
        <v>42131704</v>
      </c>
      <c r="D74" s="33" t="s">
        <v>1495</v>
      </c>
      <c r="E74" s="33" t="s">
        <v>1496</v>
      </c>
      <c r="F74" s="33" t="s">
        <v>1497</v>
      </c>
      <c r="G74" s="33" t="s">
        <v>1579</v>
      </c>
      <c r="H74" s="33" t="s">
        <v>1580</v>
      </c>
      <c r="I74" s="33" t="s">
        <v>1581</v>
      </c>
      <c r="J74" s="33">
        <v>117623</v>
      </c>
      <c r="K74" s="33" t="s">
        <v>1642</v>
      </c>
      <c r="L74" s="33" t="s">
        <v>1643</v>
      </c>
      <c r="M74" s="33" t="s">
        <v>1644</v>
      </c>
      <c r="N74" s="44">
        <v>42131704</v>
      </c>
      <c r="O74" s="33" t="s">
        <v>1649</v>
      </c>
      <c r="P74" s="33" t="s">
        <v>1650</v>
      </c>
      <c r="Q74" s="34" t="s">
        <v>1494</v>
      </c>
      <c r="R74" s="34" t="s">
        <v>1494</v>
      </c>
    </row>
    <row r="75" spans="1:18" ht="15" customHeight="1" x14ac:dyDescent="0.25">
      <c r="A75" t="str">
        <f>IFERROR(RANK(B75,$B:$B,1)+COUNTIF($B$1:B74,B75),"")</f>
        <v/>
      </c>
      <c r="B75" t="str">
        <f>IFERROR(SEARCH(#REF!,Table4[[#This Row],[Commodity Title]],1),"")</f>
        <v/>
      </c>
      <c r="C75" s="35">
        <v>42131706</v>
      </c>
      <c r="D75" s="33" t="s">
        <v>1495</v>
      </c>
      <c r="E75" s="33" t="s">
        <v>1496</v>
      </c>
      <c r="F75" s="33" t="s">
        <v>1497</v>
      </c>
      <c r="G75" s="33" t="s">
        <v>1579</v>
      </c>
      <c r="H75" s="33" t="s">
        <v>1580</v>
      </c>
      <c r="I75" s="33" t="s">
        <v>1581</v>
      </c>
      <c r="J75" s="33">
        <v>141982</v>
      </c>
      <c r="K75" s="33" t="s">
        <v>1642</v>
      </c>
      <c r="L75" s="33" t="s">
        <v>1643</v>
      </c>
      <c r="M75" s="33" t="s">
        <v>1644</v>
      </c>
      <c r="N75" s="44">
        <v>42131706</v>
      </c>
      <c r="O75" s="33" t="s">
        <v>1651</v>
      </c>
      <c r="P75" s="33" t="s">
        <v>1652</v>
      </c>
      <c r="Q75" s="34" t="s">
        <v>1494</v>
      </c>
      <c r="R75" s="34" t="s">
        <v>1494</v>
      </c>
    </row>
    <row r="76" spans="1:18" ht="15" customHeight="1" x14ac:dyDescent="0.25">
      <c r="A76" t="str">
        <f>IFERROR(RANK(B76,$B:$B,1)+COUNTIF($B$1:B75,B76),"")</f>
        <v/>
      </c>
      <c r="B76" t="str">
        <f>IFERROR(SEARCH(#REF!,Table4[[#This Row],[Commodity Title]],1),"")</f>
        <v/>
      </c>
      <c r="C76" s="35">
        <v>42131707</v>
      </c>
      <c r="D76" s="33" t="s">
        <v>1495</v>
      </c>
      <c r="E76" s="33" t="s">
        <v>1496</v>
      </c>
      <c r="F76" s="33" t="s">
        <v>1497</v>
      </c>
      <c r="G76" s="33" t="s">
        <v>1579</v>
      </c>
      <c r="H76" s="33" t="s">
        <v>1580</v>
      </c>
      <c r="I76" s="33" t="s">
        <v>1581</v>
      </c>
      <c r="J76" s="33">
        <v>143834</v>
      </c>
      <c r="K76" s="33" t="s">
        <v>1642</v>
      </c>
      <c r="L76" s="33" t="s">
        <v>1643</v>
      </c>
      <c r="M76" s="33" t="s">
        <v>1644</v>
      </c>
      <c r="N76" s="44">
        <v>42131707</v>
      </c>
      <c r="O76" s="33" t="s">
        <v>1653</v>
      </c>
      <c r="P76" s="33" t="s">
        <v>1654</v>
      </c>
      <c r="Q76" s="34" t="s">
        <v>1494</v>
      </c>
      <c r="R76" s="34" t="s">
        <v>1494</v>
      </c>
    </row>
    <row r="77" spans="1:18" ht="15" customHeight="1" x14ac:dyDescent="0.25">
      <c r="A77" t="str">
        <f>IFERROR(RANK(B77,$B:$B,1)+COUNTIF($B$1:B76,B77),"")</f>
        <v/>
      </c>
      <c r="B77" t="str">
        <f>IFERROR(SEARCH(#REF!,Table4[[#This Row],[Commodity Title]],1),"")</f>
        <v/>
      </c>
      <c r="C77" s="35">
        <v>42131708</v>
      </c>
      <c r="D77" s="33" t="s">
        <v>1495</v>
      </c>
      <c r="E77" s="33" t="s">
        <v>1496</v>
      </c>
      <c r="F77" s="33" t="s">
        <v>1497</v>
      </c>
      <c r="G77" s="33" t="s">
        <v>1579</v>
      </c>
      <c r="H77" s="33" t="s">
        <v>1580</v>
      </c>
      <c r="I77" s="33" t="s">
        <v>1581</v>
      </c>
      <c r="J77" s="33">
        <v>164850</v>
      </c>
      <c r="K77" s="33" t="s">
        <v>1642</v>
      </c>
      <c r="L77" s="33" t="s">
        <v>1643</v>
      </c>
      <c r="M77" s="33" t="s">
        <v>1644</v>
      </c>
      <c r="N77" s="44">
        <v>42131708</v>
      </c>
      <c r="O77" s="33" t="s">
        <v>1655</v>
      </c>
      <c r="P77" s="33" t="s">
        <v>1656</v>
      </c>
      <c r="Q77" s="34" t="s">
        <v>1494</v>
      </c>
      <c r="R77" s="34" t="s">
        <v>1494</v>
      </c>
    </row>
    <row r="78" spans="1:18" ht="15" customHeight="1" x14ac:dyDescent="0.25">
      <c r="A78" t="str">
        <f>IFERROR(RANK(B78,$B:$B,1)+COUNTIF($B$1:B77,B78),"")</f>
        <v/>
      </c>
      <c r="B78" t="str">
        <f>IFERROR(SEARCH(#REF!,Table4[[#This Row],[Commodity Title]],1),"")</f>
        <v/>
      </c>
      <c r="C78" s="35">
        <v>42131709</v>
      </c>
      <c r="D78" s="33" t="s">
        <v>1495</v>
      </c>
      <c r="E78" s="33" t="s">
        <v>1496</v>
      </c>
      <c r="F78" s="33" t="s">
        <v>1497</v>
      </c>
      <c r="G78" s="33" t="s">
        <v>1579</v>
      </c>
      <c r="H78" s="33" t="s">
        <v>1580</v>
      </c>
      <c r="I78" s="33" t="s">
        <v>1581</v>
      </c>
      <c r="J78" s="33">
        <v>202344</v>
      </c>
      <c r="K78" s="33" t="s">
        <v>1642</v>
      </c>
      <c r="L78" s="33" t="s">
        <v>1643</v>
      </c>
      <c r="M78" s="33" t="s">
        <v>1644</v>
      </c>
      <c r="N78" s="44">
        <v>42131709</v>
      </c>
      <c r="O78" s="33" t="s">
        <v>237</v>
      </c>
      <c r="P78" s="33" t="s">
        <v>1657</v>
      </c>
      <c r="Q78" s="34" t="s">
        <v>1494</v>
      </c>
      <c r="R78" s="34" t="s">
        <v>1494</v>
      </c>
    </row>
    <row r="79" spans="1:18" ht="15" customHeight="1" x14ac:dyDescent="0.25">
      <c r="A79" t="str">
        <f>IFERROR(RANK(B79,$B:$B,1)+COUNTIF($B$1:B78,B79),"")</f>
        <v/>
      </c>
      <c r="B79" t="str">
        <f>IFERROR(SEARCH(#REF!,Table4[[#This Row],[Commodity Title]],1),"")</f>
        <v/>
      </c>
      <c r="C79" s="35">
        <v>42131710</v>
      </c>
      <c r="D79" s="33" t="s">
        <v>1495</v>
      </c>
      <c r="E79" s="33" t="s">
        <v>1496</v>
      </c>
      <c r="F79" s="33" t="s">
        <v>1497</v>
      </c>
      <c r="G79" s="33" t="s">
        <v>1579</v>
      </c>
      <c r="H79" s="33" t="s">
        <v>1580</v>
      </c>
      <c r="I79" s="33" t="s">
        <v>1581</v>
      </c>
      <c r="J79" s="33">
        <v>202345</v>
      </c>
      <c r="K79" s="33" t="s">
        <v>1642</v>
      </c>
      <c r="L79" s="33" t="s">
        <v>1643</v>
      </c>
      <c r="M79" s="33" t="s">
        <v>1644</v>
      </c>
      <c r="N79" s="44">
        <v>42131710</v>
      </c>
      <c r="O79" s="33" t="s">
        <v>1658</v>
      </c>
      <c r="P79" s="33" t="s">
        <v>1659</v>
      </c>
      <c r="Q79" s="34" t="s">
        <v>1494</v>
      </c>
      <c r="R79" s="34" t="s">
        <v>1494</v>
      </c>
    </row>
    <row r="80" spans="1:18" ht="15" customHeight="1" x14ac:dyDescent="0.25">
      <c r="A80" t="str">
        <f>IFERROR(RANK(B80,$B:$B,1)+COUNTIF($B$1:B79,B80),"")</f>
        <v/>
      </c>
      <c r="B80" t="str">
        <f>IFERROR(SEARCH(#REF!,Table4[[#This Row],[Commodity Title]],1),"")</f>
        <v/>
      </c>
      <c r="C80" s="35">
        <v>42131711</v>
      </c>
      <c r="D80" s="33" t="s">
        <v>1495</v>
      </c>
      <c r="E80" s="33" t="s">
        <v>1496</v>
      </c>
      <c r="F80" s="33" t="s">
        <v>1497</v>
      </c>
      <c r="G80" s="33" t="s">
        <v>1579</v>
      </c>
      <c r="H80" s="33" t="s">
        <v>1580</v>
      </c>
      <c r="I80" s="33" t="s">
        <v>1581</v>
      </c>
      <c r="J80" s="33">
        <v>202346</v>
      </c>
      <c r="K80" s="33" t="s">
        <v>1642</v>
      </c>
      <c r="L80" s="33" t="s">
        <v>1643</v>
      </c>
      <c r="M80" s="33" t="s">
        <v>1644</v>
      </c>
      <c r="N80" s="44">
        <v>42131711</v>
      </c>
      <c r="O80" s="33" t="s">
        <v>1660</v>
      </c>
      <c r="P80" s="33" t="s">
        <v>1661</v>
      </c>
      <c r="Q80" s="34" t="s">
        <v>1494</v>
      </c>
      <c r="R80" s="34" t="s">
        <v>1494</v>
      </c>
    </row>
    <row r="81" spans="1:18" ht="15" customHeight="1" x14ac:dyDescent="0.25">
      <c r="A81" t="str">
        <f>IFERROR(RANK(B81,$B:$B,1)+COUNTIF($B$1:B80,B81),"")</f>
        <v/>
      </c>
      <c r="B81" t="str">
        <f>IFERROR(SEARCH(#REF!,Table4[[#This Row],[Commodity Title]],1),"")</f>
        <v/>
      </c>
      <c r="C81" s="35">
        <v>42131712</v>
      </c>
      <c r="D81" s="33" t="s">
        <v>1495</v>
      </c>
      <c r="E81" s="33" t="s">
        <v>1496</v>
      </c>
      <c r="F81" s="33" t="s">
        <v>1497</v>
      </c>
      <c r="G81" s="33" t="s">
        <v>1579</v>
      </c>
      <c r="H81" s="33" t="s">
        <v>1580</v>
      </c>
      <c r="I81" s="33" t="s">
        <v>1581</v>
      </c>
      <c r="J81" s="33">
        <v>202347</v>
      </c>
      <c r="K81" s="33" t="s">
        <v>1642</v>
      </c>
      <c r="L81" s="33" t="s">
        <v>1643</v>
      </c>
      <c r="M81" s="33" t="s">
        <v>1644</v>
      </c>
      <c r="N81" s="44">
        <v>42131712</v>
      </c>
      <c r="O81" s="33" t="s">
        <v>1662</v>
      </c>
      <c r="P81" s="33" t="s">
        <v>1663</v>
      </c>
      <c r="Q81" s="34" t="s">
        <v>1494</v>
      </c>
      <c r="R81" s="34" t="s">
        <v>1494</v>
      </c>
    </row>
    <row r="82" spans="1:18" ht="15" customHeight="1" x14ac:dyDescent="0.25">
      <c r="A82" t="str">
        <f>IFERROR(RANK(B82,$B:$B,1)+COUNTIF($B$1:B81,B82),"")</f>
        <v/>
      </c>
      <c r="B82" t="str">
        <f>IFERROR(SEARCH(#REF!,Table4[[#This Row],[Commodity Title]],1),"")</f>
        <v/>
      </c>
      <c r="C82" s="35">
        <v>42131713</v>
      </c>
      <c r="D82" s="33" t="s">
        <v>1495</v>
      </c>
      <c r="E82" s="33" t="s">
        <v>1496</v>
      </c>
      <c r="F82" s="33" t="s">
        <v>1497</v>
      </c>
      <c r="G82" s="33" t="s">
        <v>1579</v>
      </c>
      <c r="H82" s="33" t="s">
        <v>1580</v>
      </c>
      <c r="I82" s="33" t="s">
        <v>1581</v>
      </c>
      <c r="J82" s="33">
        <v>114814</v>
      </c>
      <c r="K82" s="33" t="s">
        <v>1642</v>
      </c>
      <c r="L82" s="33" t="s">
        <v>1643</v>
      </c>
      <c r="M82" s="33" t="s">
        <v>1644</v>
      </c>
      <c r="N82" s="44">
        <v>42131713</v>
      </c>
      <c r="O82" s="33" t="s">
        <v>1664</v>
      </c>
      <c r="P82" s="33" t="s">
        <v>1665</v>
      </c>
      <c r="Q82" s="34" t="s">
        <v>1494</v>
      </c>
      <c r="R82" s="34" t="s">
        <v>1494</v>
      </c>
    </row>
    <row r="83" spans="1:18" ht="15" customHeight="1" x14ac:dyDescent="0.25">
      <c r="A83" t="str">
        <f>IFERROR(RANK(B83,$B:$B,1)+COUNTIF($B$1:B82,B83),"")</f>
        <v/>
      </c>
      <c r="B83" t="str">
        <f>IFERROR(SEARCH(#REF!,Table4[[#This Row],[Commodity Title]],1),"")</f>
        <v/>
      </c>
      <c r="C83" s="35">
        <v>42131714</v>
      </c>
      <c r="D83" s="33" t="s">
        <v>1495</v>
      </c>
      <c r="E83" s="33" t="s">
        <v>1496</v>
      </c>
      <c r="F83" s="33" t="s">
        <v>1497</v>
      </c>
      <c r="G83" s="33" t="s">
        <v>1579</v>
      </c>
      <c r="H83" s="33" t="s">
        <v>1580</v>
      </c>
      <c r="I83" s="33" t="s">
        <v>1581</v>
      </c>
      <c r="J83" s="33">
        <v>202348</v>
      </c>
      <c r="K83" s="33" t="s">
        <v>1642</v>
      </c>
      <c r="L83" s="33" t="s">
        <v>1643</v>
      </c>
      <c r="M83" s="33" t="s">
        <v>1644</v>
      </c>
      <c r="N83" s="44">
        <v>42131714</v>
      </c>
      <c r="O83" s="33" t="s">
        <v>1666</v>
      </c>
      <c r="P83" s="33" t="s">
        <v>1667</v>
      </c>
      <c r="Q83" s="34" t="s">
        <v>1494</v>
      </c>
      <c r="R83" s="34" t="s">
        <v>1494</v>
      </c>
    </row>
    <row r="84" spans="1:18" ht="15" customHeight="1" x14ac:dyDescent="0.25">
      <c r="A84" t="str">
        <f>IFERROR(RANK(B84,$B:$B,1)+COUNTIF($B$1:B83,B84),"")</f>
        <v/>
      </c>
      <c r="B84" t="str">
        <f>IFERROR(SEARCH(#REF!,Table4[[#This Row],[Commodity Title]],1),"")</f>
        <v/>
      </c>
      <c r="C84" s="35">
        <v>42131715</v>
      </c>
      <c r="D84" s="33" t="s">
        <v>1495</v>
      </c>
      <c r="E84" s="33" t="s">
        <v>1496</v>
      </c>
      <c r="F84" s="33" t="s">
        <v>1497</v>
      </c>
      <c r="G84" s="33" t="s">
        <v>1579</v>
      </c>
      <c r="H84" s="33" t="s">
        <v>1580</v>
      </c>
      <c r="I84" s="33" t="s">
        <v>1581</v>
      </c>
      <c r="J84" s="33">
        <v>202349</v>
      </c>
      <c r="K84" s="33" t="s">
        <v>1642</v>
      </c>
      <c r="L84" s="33" t="s">
        <v>1643</v>
      </c>
      <c r="M84" s="33" t="s">
        <v>1644</v>
      </c>
      <c r="N84" s="44">
        <v>42131715</v>
      </c>
      <c r="O84" s="33" t="s">
        <v>1668</v>
      </c>
      <c r="P84" s="33" t="s">
        <v>1669</v>
      </c>
      <c r="Q84" s="34" t="s">
        <v>1494</v>
      </c>
      <c r="R84" s="34" t="s">
        <v>1494</v>
      </c>
    </row>
    <row r="85" spans="1:18" ht="15" customHeight="1" x14ac:dyDescent="0.25">
      <c r="A85" t="str">
        <f>IFERROR(RANK(B85,$B:$B,1)+COUNTIF($B$1:B84,B85),"")</f>
        <v/>
      </c>
      <c r="B85" t="str">
        <f>IFERROR(SEARCH(#REF!,Table4[[#This Row],[Commodity Title]],1),"")</f>
        <v/>
      </c>
      <c r="C85" s="35">
        <v>42131716</v>
      </c>
      <c r="D85" s="33" t="s">
        <v>1495</v>
      </c>
      <c r="E85" s="33" t="s">
        <v>1496</v>
      </c>
      <c r="F85" s="33" t="s">
        <v>1497</v>
      </c>
      <c r="G85" s="33" t="s">
        <v>1579</v>
      </c>
      <c r="H85" s="33" t="s">
        <v>1580</v>
      </c>
      <c r="I85" s="33" t="s">
        <v>1581</v>
      </c>
      <c r="J85" s="33">
        <v>202350</v>
      </c>
      <c r="K85" s="33" t="s">
        <v>1642</v>
      </c>
      <c r="L85" s="33" t="s">
        <v>1643</v>
      </c>
      <c r="M85" s="33" t="s">
        <v>1644</v>
      </c>
      <c r="N85" s="44">
        <v>42131716</v>
      </c>
      <c r="O85" s="33" t="s">
        <v>1670</v>
      </c>
      <c r="P85" s="33" t="s">
        <v>1671</v>
      </c>
      <c r="Q85" s="34" t="s">
        <v>1494</v>
      </c>
      <c r="R85" s="34" t="s">
        <v>1494</v>
      </c>
    </row>
    <row r="86" spans="1:18" ht="15" customHeight="1" x14ac:dyDescent="0.25">
      <c r="A86" t="str">
        <f>IFERROR(RANK(B86,$B:$B,1)+COUNTIF($B$1:B85,B86),"")</f>
        <v/>
      </c>
      <c r="B86" t="str">
        <f>IFERROR(SEARCH(#REF!,Table4[[#This Row],[Commodity Title]],1),"")</f>
        <v/>
      </c>
      <c r="C86" s="35">
        <v>42131717</v>
      </c>
      <c r="D86" s="33" t="s">
        <v>1495</v>
      </c>
      <c r="E86" s="33" t="s">
        <v>1496</v>
      </c>
      <c r="F86" s="33" t="s">
        <v>1497</v>
      </c>
      <c r="G86" s="33" t="s">
        <v>1579</v>
      </c>
      <c r="H86" s="33" t="s">
        <v>1580</v>
      </c>
      <c r="I86" s="33" t="s">
        <v>1581</v>
      </c>
      <c r="J86" s="33">
        <v>202351</v>
      </c>
      <c r="K86" s="33" t="s">
        <v>1642</v>
      </c>
      <c r="L86" s="33" t="s">
        <v>1643</v>
      </c>
      <c r="M86" s="33" t="s">
        <v>1644</v>
      </c>
      <c r="N86" s="44">
        <v>42131717</v>
      </c>
      <c r="O86" s="33" t="s">
        <v>1672</v>
      </c>
      <c r="P86" s="33" t="s">
        <v>1673</v>
      </c>
      <c r="Q86" s="34" t="s">
        <v>1494</v>
      </c>
      <c r="R86" s="34" t="s">
        <v>1494</v>
      </c>
    </row>
    <row r="87" spans="1:18" ht="15" customHeight="1" x14ac:dyDescent="0.25">
      <c r="A87" t="str">
        <f>IFERROR(RANK(B87,$B:$B,1)+COUNTIF($B$1:B86,B87),"")</f>
        <v/>
      </c>
      <c r="B87" t="str">
        <f>IFERROR(SEARCH(#REF!,Table4[[#This Row],[Commodity Title]],1),"")</f>
        <v/>
      </c>
      <c r="C87" s="35">
        <v>42131718</v>
      </c>
      <c r="D87" s="33" t="s">
        <v>1495</v>
      </c>
      <c r="E87" s="33" t="s">
        <v>1496</v>
      </c>
      <c r="F87" s="33" t="s">
        <v>1497</v>
      </c>
      <c r="G87" s="33" t="s">
        <v>1579</v>
      </c>
      <c r="H87" s="33" t="s">
        <v>1580</v>
      </c>
      <c r="I87" s="33" t="s">
        <v>1581</v>
      </c>
      <c r="J87" s="33">
        <v>202352</v>
      </c>
      <c r="K87" s="33" t="s">
        <v>1642</v>
      </c>
      <c r="L87" s="33" t="s">
        <v>1643</v>
      </c>
      <c r="M87" s="33" t="s">
        <v>1644</v>
      </c>
      <c r="N87" s="44">
        <v>42131718</v>
      </c>
      <c r="O87" s="33" t="s">
        <v>1674</v>
      </c>
      <c r="P87" s="33" t="s">
        <v>1675</v>
      </c>
      <c r="Q87" s="34" t="s">
        <v>1494</v>
      </c>
      <c r="R87" s="34" t="s">
        <v>1494</v>
      </c>
    </row>
    <row r="88" spans="1:18" ht="15" customHeight="1" x14ac:dyDescent="0.25">
      <c r="A88" t="str">
        <f>IFERROR(RANK(B88,$B:$B,1)+COUNTIF($B$1:B87,B88),"")</f>
        <v/>
      </c>
      <c r="B88" t="str">
        <f>IFERROR(SEARCH(#REF!,Table4[[#This Row],[Commodity Title]],1),"")</f>
        <v/>
      </c>
      <c r="C88" s="35">
        <v>42131719</v>
      </c>
      <c r="D88" s="33" t="s">
        <v>1495</v>
      </c>
      <c r="E88" s="33" t="s">
        <v>1496</v>
      </c>
      <c r="F88" s="33" t="s">
        <v>1497</v>
      </c>
      <c r="G88" s="33" t="s">
        <v>1579</v>
      </c>
      <c r="H88" s="33" t="s">
        <v>1580</v>
      </c>
      <c r="I88" s="33" t="s">
        <v>1581</v>
      </c>
      <c r="J88" s="33">
        <v>202353</v>
      </c>
      <c r="K88" s="33" t="s">
        <v>1642</v>
      </c>
      <c r="L88" s="33" t="s">
        <v>1643</v>
      </c>
      <c r="M88" s="33" t="s">
        <v>1644</v>
      </c>
      <c r="N88" s="44">
        <v>42131719</v>
      </c>
      <c r="O88" s="33" t="s">
        <v>1676</v>
      </c>
      <c r="P88" s="33" t="s">
        <v>1677</v>
      </c>
      <c r="Q88" s="34" t="s">
        <v>1494</v>
      </c>
      <c r="R88" s="34" t="s">
        <v>1494</v>
      </c>
    </row>
    <row r="89" spans="1:18" ht="15" customHeight="1" x14ac:dyDescent="0.25">
      <c r="A89" t="str">
        <f>IFERROR(RANK(B89,$B:$B,1)+COUNTIF($B$1:B88,B89),"")</f>
        <v/>
      </c>
      <c r="B89" t="str">
        <f>IFERROR(SEARCH(#REF!,Table4[[#This Row],[Commodity Title]],1),"")</f>
        <v/>
      </c>
      <c r="C89" s="35">
        <v>42131720</v>
      </c>
      <c r="D89" s="33" t="s">
        <v>1495</v>
      </c>
      <c r="E89" s="33" t="s">
        <v>1496</v>
      </c>
      <c r="F89" s="33" t="s">
        <v>1497</v>
      </c>
      <c r="G89" s="33" t="s">
        <v>1579</v>
      </c>
      <c r="H89" s="33" t="s">
        <v>1580</v>
      </c>
      <c r="I89" s="33" t="s">
        <v>1581</v>
      </c>
      <c r="J89" s="33">
        <v>202354</v>
      </c>
      <c r="K89" s="33" t="s">
        <v>1642</v>
      </c>
      <c r="L89" s="33" t="s">
        <v>1643</v>
      </c>
      <c r="M89" s="33" t="s">
        <v>1644</v>
      </c>
      <c r="N89" s="44">
        <v>42131720</v>
      </c>
      <c r="O89" s="33" t="s">
        <v>1678</v>
      </c>
      <c r="P89" s="33" t="s">
        <v>1679</v>
      </c>
      <c r="Q89" s="34" t="s">
        <v>1494</v>
      </c>
      <c r="R89" s="34" t="s">
        <v>1494</v>
      </c>
    </row>
    <row r="90" spans="1:18" ht="15" customHeight="1" x14ac:dyDescent="0.25">
      <c r="A90" t="str">
        <f>IFERROR(RANK(B90,$B:$B,1)+COUNTIF($B$1:B89,B90),"")</f>
        <v/>
      </c>
      <c r="B90" t="str">
        <f>IFERROR(SEARCH(#REF!,Table4[[#This Row],[Commodity Title]],1),"")</f>
        <v/>
      </c>
      <c r="C90" s="35">
        <v>42131721</v>
      </c>
      <c r="D90" s="33" t="s">
        <v>1495</v>
      </c>
      <c r="E90" s="33" t="s">
        <v>1496</v>
      </c>
      <c r="F90" s="33" t="s">
        <v>1497</v>
      </c>
      <c r="G90" s="33" t="s">
        <v>1579</v>
      </c>
      <c r="H90" s="33" t="s">
        <v>1580</v>
      </c>
      <c r="I90" s="33" t="s">
        <v>1581</v>
      </c>
      <c r="J90" s="33">
        <v>116455</v>
      </c>
      <c r="K90" s="33" t="s">
        <v>1642</v>
      </c>
      <c r="L90" s="33" t="s">
        <v>1643</v>
      </c>
      <c r="M90" s="33" t="s">
        <v>1644</v>
      </c>
      <c r="N90" s="44">
        <v>42131721</v>
      </c>
      <c r="O90" s="33" t="s">
        <v>1680</v>
      </c>
      <c r="P90" s="33" t="s">
        <v>1681</v>
      </c>
      <c r="Q90" s="34" t="s">
        <v>1494</v>
      </c>
      <c r="R90" s="34" t="s">
        <v>1494</v>
      </c>
    </row>
    <row r="91" spans="1:18" ht="15" customHeight="1" x14ac:dyDescent="0.25">
      <c r="A91" t="str">
        <f>IFERROR(RANK(B91,$B:$B,1)+COUNTIF($B$1:B90,B91),"")</f>
        <v/>
      </c>
      <c r="B91" t="str">
        <f>IFERROR(SEARCH(#REF!,Table4[[#This Row],[Commodity Title]],1),"")</f>
        <v/>
      </c>
      <c r="C91" s="35">
        <v>42131722</v>
      </c>
      <c r="D91" s="33" t="s">
        <v>1495</v>
      </c>
      <c r="E91" s="33" t="s">
        <v>1496</v>
      </c>
      <c r="F91" s="33" t="s">
        <v>1497</v>
      </c>
      <c r="G91" s="33" t="s">
        <v>1579</v>
      </c>
      <c r="H91" s="33" t="s">
        <v>1580</v>
      </c>
      <c r="I91" s="33" t="s">
        <v>1581</v>
      </c>
      <c r="J91" s="33">
        <v>208409</v>
      </c>
      <c r="K91" s="33" t="s">
        <v>1642</v>
      </c>
      <c r="L91" s="33" t="s">
        <v>1643</v>
      </c>
      <c r="M91" s="33" t="s">
        <v>1644</v>
      </c>
      <c r="N91" s="44">
        <v>42131722</v>
      </c>
      <c r="O91" s="33" t="s">
        <v>1682</v>
      </c>
      <c r="P91" s="33" t="s">
        <v>1683</v>
      </c>
      <c r="Q91" s="34" t="s">
        <v>1494</v>
      </c>
      <c r="R91" s="34" t="s">
        <v>1494</v>
      </c>
    </row>
    <row r="92" spans="1:18" ht="15" customHeight="1" x14ac:dyDescent="0.25">
      <c r="A92" t="str">
        <f>IFERROR(RANK(B92,$B:$B,1)+COUNTIF($B$1:B91,B92),"")</f>
        <v/>
      </c>
      <c r="B92" t="str">
        <f>IFERROR(SEARCH(#REF!,Table4[[#This Row],[Commodity Title]],1),"")</f>
        <v/>
      </c>
      <c r="C92" s="33" t="s">
        <v>1494</v>
      </c>
      <c r="D92" s="33" t="s">
        <v>1495</v>
      </c>
      <c r="E92" s="33" t="s">
        <v>1496</v>
      </c>
      <c r="F92" s="33" t="s">
        <v>1497</v>
      </c>
      <c r="G92" s="33" t="s">
        <v>1579</v>
      </c>
      <c r="H92" s="33" t="s">
        <v>1580</v>
      </c>
      <c r="I92" s="33" t="s">
        <v>1581</v>
      </c>
      <c r="J92" s="33">
        <v>114840</v>
      </c>
      <c r="K92" s="33" t="s">
        <v>1684</v>
      </c>
      <c r="L92" s="33" t="s">
        <v>1685</v>
      </c>
      <c r="M92" s="33" t="s">
        <v>1686</v>
      </c>
      <c r="N92" s="44" t="s">
        <v>1494</v>
      </c>
      <c r="O92" s="33" t="s">
        <v>1494</v>
      </c>
      <c r="P92" s="33" t="s">
        <v>1494</v>
      </c>
      <c r="Q92" s="34" t="s">
        <v>1494</v>
      </c>
      <c r="R92" s="34" t="s">
        <v>1494</v>
      </c>
    </row>
    <row r="93" spans="1:18" ht="15" customHeight="1" x14ac:dyDescent="0.25">
      <c r="A93" t="str">
        <f>IFERROR(RANK(B93,$B:$B,1)+COUNTIF($B$1:B92,B93),"")</f>
        <v/>
      </c>
      <c r="B93" t="str">
        <f>IFERROR(SEARCH(#REF!,Table4[[#This Row],[Commodity Title]],1),"")</f>
        <v/>
      </c>
      <c r="C93" s="35">
        <v>42132101</v>
      </c>
      <c r="D93" s="33" t="s">
        <v>1495</v>
      </c>
      <c r="E93" s="33" t="s">
        <v>1496</v>
      </c>
      <c r="F93" s="33" t="s">
        <v>1497</v>
      </c>
      <c r="G93" s="33" t="s">
        <v>1579</v>
      </c>
      <c r="H93" s="33" t="s">
        <v>1580</v>
      </c>
      <c r="I93" s="33" t="s">
        <v>1581</v>
      </c>
      <c r="J93" s="33">
        <v>114841</v>
      </c>
      <c r="K93" s="33" t="s">
        <v>1684</v>
      </c>
      <c r="L93" s="33" t="s">
        <v>1685</v>
      </c>
      <c r="M93" s="33" t="s">
        <v>1686</v>
      </c>
      <c r="N93" s="44">
        <v>42132101</v>
      </c>
      <c r="O93" s="33" t="s">
        <v>1687</v>
      </c>
      <c r="P93" s="33" t="s">
        <v>1688</v>
      </c>
      <c r="Q93" s="34" t="s">
        <v>1494</v>
      </c>
      <c r="R93" s="34" t="s">
        <v>1494</v>
      </c>
    </row>
    <row r="94" spans="1:18" ht="15" customHeight="1" x14ac:dyDescent="0.25">
      <c r="A94" t="str">
        <f>IFERROR(RANK(B94,$B:$B,1)+COUNTIF($B$1:B93,B94),"")</f>
        <v/>
      </c>
      <c r="B94" t="str">
        <f>IFERROR(SEARCH(#REF!,Table4[[#This Row],[Commodity Title]],1),"")</f>
        <v/>
      </c>
      <c r="C94" s="35">
        <v>42132102</v>
      </c>
      <c r="D94" s="33" t="s">
        <v>1495</v>
      </c>
      <c r="E94" s="33" t="s">
        <v>1496</v>
      </c>
      <c r="F94" s="33" t="s">
        <v>1497</v>
      </c>
      <c r="G94" s="33" t="s">
        <v>1579</v>
      </c>
      <c r="H94" s="33" t="s">
        <v>1580</v>
      </c>
      <c r="I94" s="33" t="s">
        <v>1581</v>
      </c>
      <c r="J94" s="33">
        <v>114842</v>
      </c>
      <c r="K94" s="33" t="s">
        <v>1684</v>
      </c>
      <c r="L94" s="33" t="s">
        <v>1685</v>
      </c>
      <c r="M94" s="33" t="s">
        <v>1686</v>
      </c>
      <c r="N94" s="44">
        <v>42132102</v>
      </c>
      <c r="O94" s="33" t="s">
        <v>1689</v>
      </c>
      <c r="P94" s="33" t="s">
        <v>1690</v>
      </c>
      <c r="Q94" s="34" t="s">
        <v>1494</v>
      </c>
      <c r="R94" s="34" t="s">
        <v>1494</v>
      </c>
    </row>
    <row r="95" spans="1:18" ht="15" customHeight="1" x14ac:dyDescent="0.25">
      <c r="A95" t="str">
        <f>IFERROR(RANK(B95,$B:$B,1)+COUNTIF($B$1:B94,B95),"")</f>
        <v/>
      </c>
      <c r="B95" t="str">
        <f>IFERROR(SEARCH(#REF!,Table4[[#This Row],[Commodity Title]],1),"")</f>
        <v/>
      </c>
      <c r="C95" s="35">
        <v>42132103</v>
      </c>
      <c r="D95" s="33" t="s">
        <v>1495</v>
      </c>
      <c r="E95" s="33" t="s">
        <v>1496</v>
      </c>
      <c r="F95" s="33" t="s">
        <v>1497</v>
      </c>
      <c r="G95" s="33" t="s">
        <v>1579</v>
      </c>
      <c r="H95" s="33" t="s">
        <v>1580</v>
      </c>
      <c r="I95" s="33" t="s">
        <v>1581</v>
      </c>
      <c r="J95" s="33">
        <v>114843</v>
      </c>
      <c r="K95" s="33" t="s">
        <v>1684</v>
      </c>
      <c r="L95" s="33" t="s">
        <v>1685</v>
      </c>
      <c r="M95" s="33" t="s">
        <v>1686</v>
      </c>
      <c r="N95" s="44">
        <v>42132103</v>
      </c>
      <c r="O95" s="33" t="s">
        <v>1691</v>
      </c>
      <c r="P95" s="33" t="s">
        <v>1692</v>
      </c>
      <c r="Q95" s="34" t="s">
        <v>1494</v>
      </c>
      <c r="R95" s="34" t="s">
        <v>1494</v>
      </c>
    </row>
    <row r="96" spans="1:18" ht="15" customHeight="1" x14ac:dyDescent="0.25">
      <c r="A96" t="str">
        <f>IFERROR(RANK(B96,$B:$B,1)+COUNTIF($B$1:B95,B96),"")</f>
        <v/>
      </c>
      <c r="B96" t="str">
        <f>IFERROR(SEARCH(#REF!,Table4[[#This Row],[Commodity Title]],1),"")</f>
        <v/>
      </c>
      <c r="C96" s="35">
        <v>42132104</v>
      </c>
      <c r="D96" s="33" t="s">
        <v>1495</v>
      </c>
      <c r="E96" s="33" t="s">
        <v>1496</v>
      </c>
      <c r="F96" s="33" t="s">
        <v>1497</v>
      </c>
      <c r="G96" s="33" t="s">
        <v>1579</v>
      </c>
      <c r="H96" s="33" t="s">
        <v>1580</v>
      </c>
      <c r="I96" s="33" t="s">
        <v>1581</v>
      </c>
      <c r="J96" s="33">
        <v>114844</v>
      </c>
      <c r="K96" s="33" t="s">
        <v>1684</v>
      </c>
      <c r="L96" s="33" t="s">
        <v>1685</v>
      </c>
      <c r="M96" s="33" t="s">
        <v>1686</v>
      </c>
      <c r="N96" s="44">
        <v>42132104</v>
      </c>
      <c r="O96" s="33" t="s">
        <v>1693</v>
      </c>
      <c r="P96" s="33" t="s">
        <v>1694</v>
      </c>
      <c r="Q96" s="34" t="s">
        <v>1494</v>
      </c>
      <c r="R96" s="34" t="s">
        <v>1494</v>
      </c>
    </row>
    <row r="97" spans="1:18" ht="15" customHeight="1" x14ac:dyDescent="0.25">
      <c r="A97" t="str">
        <f>IFERROR(RANK(B97,$B:$B,1)+COUNTIF($B$1:B96,B97),"")</f>
        <v/>
      </c>
      <c r="B97" t="str">
        <f>IFERROR(SEARCH(#REF!,Table4[[#This Row],[Commodity Title]],1),"")</f>
        <v/>
      </c>
      <c r="C97" s="35">
        <v>42132105</v>
      </c>
      <c r="D97" s="33" t="s">
        <v>1495</v>
      </c>
      <c r="E97" s="33" t="s">
        <v>1496</v>
      </c>
      <c r="F97" s="33" t="s">
        <v>1497</v>
      </c>
      <c r="G97" s="33" t="s">
        <v>1579</v>
      </c>
      <c r="H97" s="33" t="s">
        <v>1580</v>
      </c>
      <c r="I97" s="33" t="s">
        <v>1581</v>
      </c>
      <c r="J97" s="33">
        <v>114845</v>
      </c>
      <c r="K97" s="33" t="s">
        <v>1684</v>
      </c>
      <c r="L97" s="33" t="s">
        <v>1685</v>
      </c>
      <c r="M97" s="33" t="s">
        <v>1686</v>
      </c>
      <c r="N97" s="44">
        <v>42132105</v>
      </c>
      <c r="O97" s="33" t="s">
        <v>1695</v>
      </c>
      <c r="P97" s="33" t="s">
        <v>1696</v>
      </c>
      <c r="Q97" s="34" t="s">
        <v>1494</v>
      </c>
      <c r="R97" s="34" t="s">
        <v>1494</v>
      </c>
    </row>
    <row r="98" spans="1:18" ht="15" customHeight="1" x14ac:dyDescent="0.25">
      <c r="A98" t="str">
        <f>IFERROR(RANK(B98,$B:$B,1)+COUNTIF($B$1:B97,B98),"")</f>
        <v/>
      </c>
      <c r="B98" t="str">
        <f>IFERROR(SEARCH(#REF!,Table4[[#This Row],[Commodity Title]],1),"")</f>
        <v/>
      </c>
      <c r="C98" s="35">
        <v>42132106</v>
      </c>
      <c r="D98" s="33" t="s">
        <v>1495</v>
      </c>
      <c r="E98" s="33" t="s">
        <v>1496</v>
      </c>
      <c r="F98" s="33" t="s">
        <v>1497</v>
      </c>
      <c r="G98" s="33" t="s">
        <v>1579</v>
      </c>
      <c r="H98" s="33" t="s">
        <v>1580</v>
      </c>
      <c r="I98" s="33" t="s">
        <v>1581</v>
      </c>
      <c r="J98" s="33">
        <v>114846</v>
      </c>
      <c r="K98" s="33" t="s">
        <v>1684</v>
      </c>
      <c r="L98" s="33" t="s">
        <v>1685</v>
      </c>
      <c r="M98" s="33" t="s">
        <v>1686</v>
      </c>
      <c r="N98" s="44">
        <v>42132106</v>
      </c>
      <c r="O98" s="33" t="s">
        <v>1697</v>
      </c>
      <c r="P98" s="33" t="s">
        <v>1698</v>
      </c>
      <c r="Q98" s="34" t="s">
        <v>1494</v>
      </c>
      <c r="R98" s="34" t="s">
        <v>1494</v>
      </c>
    </row>
    <row r="99" spans="1:18" ht="15" customHeight="1" x14ac:dyDescent="0.25">
      <c r="A99" t="str">
        <f>IFERROR(RANK(B99,$B:$B,1)+COUNTIF($B$1:B98,B99),"")</f>
        <v/>
      </c>
      <c r="B99" t="str">
        <f>IFERROR(SEARCH(#REF!,Table4[[#This Row],[Commodity Title]],1),"")</f>
        <v/>
      </c>
      <c r="C99" s="35">
        <v>42132107</v>
      </c>
      <c r="D99" s="33" t="s">
        <v>1495</v>
      </c>
      <c r="E99" s="33" t="s">
        <v>1496</v>
      </c>
      <c r="F99" s="33" t="s">
        <v>1497</v>
      </c>
      <c r="G99" s="33" t="s">
        <v>1579</v>
      </c>
      <c r="H99" s="33" t="s">
        <v>1580</v>
      </c>
      <c r="I99" s="33" t="s">
        <v>1581</v>
      </c>
      <c r="J99" s="33">
        <v>114847</v>
      </c>
      <c r="K99" s="33" t="s">
        <v>1684</v>
      </c>
      <c r="L99" s="33" t="s">
        <v>1685</v>
      </c>
      <c r="M99" s="33" t="s">
        <v>1686</v>
      </c>
      <c r="N99" s="44">
        <v>42132107</v>
      </c>
      <c r="O99" s="33" t="s">
        <v>1699</v>
      </c>
      <c r="P99" s="33" t="s">
        <v>1700</v>
      </c>
      <c r="Q99" s="34" t="s">
        <v>1494</v>
      </c>
      <c r="R99" s="34" t="s">
        <v>1494</v>
      </c>
    </row>
    <row r="100" spans="1:18" ht="15" customHeight="1" x14ac:dyDescent="0.25">
      <c r="A100" t="str">
        <f>IFERROR(RANK(B100,$B:$B,1)+COUNTIF($B$1:B99,B100),"")</f>
        <v/>
      </c>
      <c r="B100" t="str">
        <f>IFERROR(SEARCH(#REF!,Table4[[#This Row],[Commodity Title]],1),"")</f>
        <v/>
      </c>
      <c r="C100" s="35">
        <v>42132108</v>
      </c>
      <c r="D100" s="33" t="s">
        <v>1495</v>
      </c>
      <c r="E100" s="33" t="s">
        <v>1496</v>
      </c>
      <c r="F100" s="33" t="s">
        <v>1497</v>
      </c>
      <c r="G100" s="33" t="s">
        <v>1579</v>
      </c>
      <c r="H100" s="33" t="s">
        <v>1580</v>
      </c>
      <c r="I100" s="33" t="s">
        <v>1581</v>
      </c>
      <c r="J100" s="33">
        <v>114848</v>
      </c>
      <c r="K100" s="33" t="s">
        <v>1684</v>
      </c>
      <c r="L100" s="33" t="s">
        <v>1685</v>
      </c>
      <c r="M100" s="33" t="s">
        <v>1686</v>
      </c>
      <c r="N100" s="44">
        <v>42132108</v>
      </c>
      <c r="O100" s="33" t="s">
        <v>1701</v>
      </c>
      <c r="P100" s="33" t="s">
        <v>1702</v>
      </c>
      <c r="Q100" s="34" t="s">
        <v>1494</v>
      </c>
      <c r="R100" s="34" t="s">
        <v>1494</v>
      </c>
    </row>
    <row r="101" spans="1:18" ht="15" customHeight="1" x14ac:dyDescent="0.25">
      <c r="A101" t="str">
        <f>IFERROR(RANK(B101,$B:$B,1)+COUNTIF($B$1:B100,B101),"")</f>
        <v/>
      </c>
      <c r="B101" t="str">
        <f>IFERROR(SEARCH(#REF!,Table4[[#This Row],[Commodity Title]],1),"")</f>
        <v/>
      </c>
      <c r="C101" s="35">
        <v>42132109</v>
      </c>
      <c r="D101" s="33" t="s">
        <v>1495</v>
      </c>
      <c r="E101" s="33" t="s">
        <v>1496</v>
      </c>
      <c r="F101" s="33" t="s">
        <v>1497</v>
      </c>
      <c r="G101" s="33" t="s">
        <v>1579</v>
      </c>
      <c r="H101" s="33" t="s">
        <v>1580</v>
      </c>
      <c r="I101" s="33" t="s">
        <v>1581</v>
      </c>
      <c r="J101" s="33">
        <v>202355</v>
      </c>
      <c r="K101" s="33" t="s">
        <v>1684</v>
      </c>
      <c r="L101" s="33" t="s">
        <v>1685</v>
      </c>
      <c r="M101" s="33" t="s">
        <v>1686</v>
      </c>
      <c r="N101" s="44">
        <v>42132109</v>
      </c>
      <c r="O101" s="33" t="s">
        <v>1703</v>
      </c>
      <c r="P101" s="33" t="s">
        <v>1704</v>
      </c>
      <c r="Q101" s="34" t="s">
        <v>1494</v>
      </c>
      <c r="R101" s="34" t="s">
        <v>1494</v>
      </c>
    </row>
    <row r="102" spans="1:18" ht="15" customHeight="1" x14ac:dyDescent="0.25">
      <c r="A102" t="str">
        <f>IFERROR(RANK(B102,$B:$B,1)+COUNTIF($B$1:B101,B102),"")</f>
        <v/>
      </c>
      <c r="B102" t="str">
        <f>IFERROR(SEARCH(#REF!,Table4[[#This Row],[Commodity Title]],1),"")</f>
        <v/>
      </c>
      <c r="C102" s="35">
        <v>42132110</v>
      </c>
      <c r="D102" s="33" t="s">
        <v>1495</v>
      </c>
      <c r="E102" s="33" t="s">
        <v>1496</v>
      </c>
      <c r="F102" s="33" t="s">
        <v>1497</v>
      </c>
      <c r="G102" s="33" t="s">
        <v>1579</v>
      </c>
      <c r="H102" s="33" t="s">
        <v>1580</v>
      </c>
      <c r="I102" s="33" t="s">
        <v>1581</v>
      </c>
      <c r="J102" s="33">
        <v>202356</v>
      </c>
      <c r="K102" s="33" t="s">
        <v>1684</v>
      </c>
      <c r="L102" s="33" t="s">
        <v>1685</v>
      </c>
      <c r="M102" s="33" t="s">
        <v>1686</v>
      </c>
      <c r="N102" s="44">
        <v>42132110</v>
      </c>
      <c r="O102" s="33" t="s">
        <v>1705</v>
      </c>
      <c r="P102" s="33" t="s">
        <v>1706</v>
      </c>
      <c r="Q102" s="34" t="s">
        <v>1494</v>
      </c>
      <c r="R102" s="34" t="s">
        <v>1494</v>
      </c>
    </row>
    <row r="103" spans="1:18" ht="15" customHeight="1" x14ac:dyDescent="0.25">
      <c r="A103" t="str">
        <f>IFERROR(RANK(B103,$B:$B,1)+COUNTIF($B$1:B102,B103),"")</f>
        <v/>
      </c>
      <c r="B103" t="str">
        <f>IFERROR(SEARCH(#REF!,Table4[[#This Row],[Commodity Title]],1),"")</f>
        <v/>
      </c>
      <c r="C103" s="35">
        <v>42132111</v>
      </c>
      <c r="D103" s="33" t="s">
        <v>1495</v>
      </c>
      <c r="E103" s="33" t="s">
        <v>1496</v>
      </c>
      <c r="F103" s="33" t="s">
        <v>1497</v>
      </c>
      <c r="G103" s="33" t="s">
        <v>1579</v>
      </c>
      <c r="H103" s="33" t="s">
        <v>1580</v>
      </c>
      <c r="I103" s="33" t="s">
        <v>1581</v>
      </c>
      <c r="J103" s="33">
        <v>202357</v>
      </c>
      <c r="K103" s="33" t="s">
        <v>1684</v>
      </c>
      <c r="L103" s="33" t="s">
        <v>1685</v>
      </c>
      <c r="M103" s="33" t="s">
        <v>1686</v>
      </c>
      <c r="N103" s="44">
        <v>42132111</v>
      </c>
      <c r="O103" s="33" t="s">
        <v>1707</v>
      </c>
      <c r="P103" s="33" t="s">
        <v>1708</v>
      </c>
      <c r="Q103" s="34" t="s">
        <v>1494</v>
      </c>
      <c r="R103" s="34" t="s">
        <v>1494</v>
      </c>
    </row>
    <row r="104" spans="1:18" ht="15" customHeight="1" x14ac:dyDescent="0.25">
      <c r="A104" t="str">
        <f>IFERROR(RANK(B104,$B:$B,1)+COUNTIF($B$1:B103,B104),"")</f>
        <v/>
      </c>
      <c r="B104" t="str">
        <f>IFERROR(SEARCH(#REF!,Table4[[#This Row],[Commodity Title]],1),"")</f>
        <v/>
      </c>
      <c r="C104" s="35">
        <v>42132112</v>
      </c>
      <c r="D104" s="33" t="s">
        <v>1495</v>
      </c>
      <c r="E104" s="33" t="s">
        <v>1496</v>
      </c>
      <c r="F104" s="33" t="s">
        <v>1497</v>
      </c>
      <c r="G104" s="33" t="s">
        <v>1579</v>
      </c>
      <c r="H104" s="33" t="s">
        <v>1580</v>
      </c>
      <c r="I104" s="33" t="s">
        <v>1581</v>
      </c>
      <c r="J104" s="33">
        <v>202358</v>
      </c>
      <c r="K104" s="33" t="s">
        <v>1684</v>
      </c>
      <c r="L104" s="33" t="s">
        <v>1685</v>
      </c>
      <c r="M104" s="33" t="s">
        <v>1686</v>
      </c>
      <c r="N104" s="44">
        <v>42132112</v>
      </c>
      <c r="O104" s="33" t="s">
        <v>1709</v>
      </c>
      <c r="P104" s="33" t="s">
        <v>1710</v>
      </c>
      <c r="Q104" s="34" t="s">
        <v>1494</v>
      </c>
      <c r="R104" s="34" t="s">
        <v>1494</v>
      </c>
    </row>
    <row r="105" spans="1:18" ht="15" customHeight="1" x14ac:dyDescent="0.25">
      <c r="A105" t="str">
        <f>IFERROR(RANK(B105,$B:$B,1)+COUNTIF($B$1:B104,B105),"")</f>
        <v/>
      </c>
      <c r="B105" t="str">
        <f>IFERROR(SEARCH(#REF!,Table4[[#This Row],[Commodity Title]],1),"")</f>
        <v/>
      </c>
      <c r="C105" s="35">
        <v>42132113</v>
      </c>
      <c r="D105" s="33" t="s">
        <v>1495</v>
      </c>
      <c r="E105" s="33" t="s">
        <v>1496</v>
      </c>
      <c r="F105" s="33" t="s">
        <v>1497</v>
      </c>
      <c r="G105" s="33" t="s">
        <v>1579</v>
      </c>
      <c r="H105" s="33" t="s">
        <v>1580</v>
      </c>
      <c r="I105" s="33" t="s">
        <v>1581</v>
      </c>
      <c r="J105" s="33">
        <v>202359</v>
      </c>
      <c r="K105" s="33" t="s">
        <v>1684</v>
      </c>
      <c r="L105" s="33" t="s">
        <v>1685</v>
      </c>
      <c r="M105" s="33" t="s">
        <v>1686</v>
      </c>
      <c r="N105" s="44">
        <v>42132113</v>
      </c>
      <c r="O105" s="33" t="s">
        <v>1711</v>
      </c>
      <c r="P105" s="33" t="s">
        <v>1712</v>
      </c>
      <c r="Q105" s="34" t="s">
        <v>1494</v>
      </c>
      <c r="R105" s="34" t="s">
        <v>1494</v>
      </c>
    </row>
    <row r="106" spans="1:18" ht="15" customHeight="1" x14ac:dyDescent="0.25">
      <c r="A106" t="str">
        <f>IFERROR(RANK(B106,$B:$B,1)+COUNTIF($B$1:B105,B106),"")</f>
        <v/>
      </c>
      <c r="B106" t="str">
        <f>IFERROR(SEARCH(#REF!,Table4[[#This Row],[Commodity Title]],1),"")</f>
        <v/>
      </c>
      <c r="C106" s="35">
        <v>42132114</v>
      </c>
      <c r="D106" s="33" t="s">
        <v>1495</v>
      </c>
      <c r="E106" s="33" t="s">
        <v>1496</v>
      </c>
      <c r="F106" s="33" t="s">
        <v>1497</v>
      </c>
      <c r="G106" s="33" t="s">
        <v>1579</v>
      </c>
      <c r="H106" s="33" t="s">
        <v>1580</v>
      </c>
      <c r="I106" s="33" t="s">
        <v>1581</v>
      </c>
      <c r="J106" s="33">
        <v>202360</v>
      </c>
      <c r="K106" s="33" t="s">
        <v>1684</v>
      </c>
      <c r="L106" s="33" t="s">
        <v>1685</v>
      </c>
      <c r="M106" s="33" t="s">
        <v>1686</v>
      </c>
      <c r="N106" s="44">
        <v>42132114</v>
      </c>
      <c r="O106" s="33" t="s">
        <v>1713</v>
      </c>
      <c r="P106" s="33" t="s">
        <v>1714</v>
      </c>
      <c r="Q106" s="34" t="s">
        <v>1494</v>
      </c>
      <c r="R106" s="34" t="s">
        <v>1494</v>
      </c>
    </row>
    <row r="107" spans="1:18" ht="15" customHeight="1" x14ac:dyDescent="0.25">
      <c r="A107" t="str">
        <f>IFERROR(RANK(B107,$B:$B,1)+COUNTIF($B$1:B106,B107),"")</f>
        <v/>
      </c>
      <c r="B107" t="str">
        <f>IFERROR(SEARCH(#REF!,Table4[[#This Row],[Commodity Title]],1),"")</f>
        <v/>
      </c>
      <c r="C107" s="35">
        <v>42132115</v>
      </c>
      <c r="D107" s="33" t="s">
        <v>1495</v>
      </c>
      <c r="E107" s="33" t="s">
        <v>1496</v>
      </c>
      <c r="F107" s="33" t="s">
        <v>1497</v>
      </c>
      <c r="G107" s="33" t="s">
        <v>1579</v>
      </c>
      <c r="H107" s="33" t="s">
        <v>1580</v>
      </c>
      <c r="I107" s="33" t="s">
        <v>1581</v>
      </c>
      <c r="J107" s="33">
        <v>202361</v>
      </c>
      <c r="K107" s="33" t="s">
        <v>1684</v>
      </c>
      <c r="L107" s="33" t="s">
        <v>1685</v>
      </c>
      <c r="M107" s="33" t="s">
        <v>1686</v>
      </c>
      <c r="N107" s="44">
        <v>42132115</v>
      </c>
      <c r="O107" s="33" t="s">
        <v>1715</v>
      </c>
      <c r="P107" s="33" t="s">
        <v>1716</v>
      </c>
      <c r="Q107" s="34" t="s">
        <v>1494</v>
      </c>
      <c r="R107" s="34" t="s">
        <v>1494</v>
      </c>
    </row>
    <row r="108" spans="1:18" ht="15" customHeight="1" x14ac:dyDescent="0.25">
      <c r="A108" t="str">
        <f>IFERROR(RANK(B108,$B:$B,1)+COUNTIF($B$1:B107,B108),"")</f>
        <v/>
      </c>
      <c r="B108" t="str">
        <f>IFERROR(SEARCH(#REF!,Table4[[#This Row],[Commodity Title]],1),"")</f>
        <v/>
      </c>
      <c r="C108" s="35">
        <v>42132116</v>
      </c>
      <c r="D108" s="33" t="s">
        <v>1495</v>
      </c>
      <c r="E108" s="33" t="s">
        <v>1496</v>
      </c>
      <c r="F108" s="33" t="s">
        <v>1497</v>
      </c>
      <c r="G108" s="33" t="s">
        <v>1579</v>
      </c>
      <c r="H108" s="33" t="s">
        <v>1580</v>
      </c>
      <c r="I108" s="33" t="s">
        <v>1581</v>
      </c>
      <c r="J108" s="33">
        <v>202362</v>
      </c>
      <c r="K108" s="33" t="s">
        <v>1684</v>
      </c>
      <c r="L108" s="33" t="s">
        <v>1685</v>
      </c>
      <c r="M108" s="33" t="s">
        <v>1686</v>
      </c>
      <c r="N108" s="44">
        <v>42132116</v>
      </c>
      <c r="O108" s="33" t="s">
        <v>1717</v>
      </c>
      <c r="P108" s="33" t="s">
        <v>1718</v>
      </c>
      <c r="Q108" s="34" t="s">
        <v>1494</v>
      </c>
      <c r="R108" s="34" t="s">
        <v>1494</v>
      </c>
    </row>
    <row r="109" spans="1:18" ht="15" customHeight="1" x14ac:dyDescent="0.25">
      <c r="A109" t="str">
        <f>IFERROR(RANK(B109,$B:$B,1)+COUNTIF($B$1:B108,B109),"")</f>
        <v/>
      </c>
      <c r="B109" t="str">
        <f>IFERROR(SEARCH(#REF!,Table4[[#This Row],[Commodity Title]],1),"")</f>
        <v/>
      </c>
      <c r="C109" s="35">
        <v>42132117</v>
      </c>
      <c r="D109" s="33" t="s">
        <v>1495</v>
      </c>
      <c r="E109" s="33" t="s">
        <v>1496</v>
      </c>
      <c r="F109" s="33" t="s">
        <v>1497</v>
      </c>
      <c r="G109" s="33" t="s">
        <v>1579</v>
      </c>
      <c r="H109" s="33" t="s">
        <v>1580</v>
      </c>
      <c r="I109" s="33" t="s">
        <v>1581</v>
      </c>
      <c r="J109" s="33">
        <v>202363</v>
      </c>
      <c r="K109" s="33" t="s">
        <v>1684</v>
      </c>
      <c r="L109" s="33" t="s">
        <v>1685</v>
      </c>
      <c r="M109" s="33" t="s">
        <v>1686</v>
      </c>
      <c r="N109" s="44">
        <v>42132117</v>
      </c>
      <c r="O109" s="33" t="s">
        <v>1719</v>
      </c>
      <c r="P109" s="33" t="s">
        <v>1720</v>
      </c>
      <c r="Q109" s="34" t="s">
        <v>1494</v>
      </c>
      <c r="R109" s="34" t="s">
        <v>1494</v>
      </c>
    </row>
    <row r="110" spans="1:18" ht="15" customHeight="1" x14ac:dyDescent="0.25">
      <c r="A110" t="str">
        <f>IFERROR(RANK(B110,$B:$B,1)+COUNTIF($B$1:B109,B110),"")</f>
        <v/>
      </c>
      <c r="B110" t="str">
        <f>IFERROR(SEARCH(#REF!,Table4[[#This Row],[Commodity Title]],1),"")</f>
        <v/>
      </c>
      <c r="C110" s="33" t="s">
        <v>1494</v>
      </c>
      <c r="D110" s="33" t="s">
        <v>1495</v>
      </c>
      <c r="E110" s="33" t="s">
        <v>1496</v>
      </c>
      <c r="F110" s="33" t="s">
        <v>1497</v>
      </c>
      <c r="G110" s="33" t="s">
        <v>1579</v>
      </c>
      <c r="H110" s="33" t="s">
        <v>1580</v>
      </c>
      <c r="I110" s="33" t="s">
        <v>1581</v>
      </c>
      <c r="J110" s="33">
        <v>117210</v>
      </c>
      <c r="K110" s="33" t="s">
        <v>1721</v>
      </c>
      <c r="L110" s="33" t="s">
        <v>1722</v>
      </c>
      <c r="M110" s="33" t="s">
        <v>1723</v>
      </c>
      <c r="N110" s="44" t="s">
        <v>1494</v>
      </c>
      <c r="O110" s="33" t="s">
        <v>1494</v>
      </c>
      <c r="P110" s="33" t="s">
        <v>1494</v>
      </c>
      <c r="Q110" s="34" t="s">
        <v>1494</v>
      </c>
      <c r="R110" s="34" t="s">
        <v>1494</v>
      </c>
    </row>
    <row r="111" spans="1:18" ht="15" customHeight="1" x14ac:dyDescent="0.25">
      <c r="A111" t="str">
        <f>IFERROR(RANK(B111,$B:$B,1)+COUNTIF($B$1:B110,B111),"")</f>
        <v/>
      </c>
      <c r="B111" t="str">
        <f>IFERROR(SEARCH(#REF!,Table4[[#This Row],[Commodity Title]],1),"")</f>
        <v/>
      </c>
      <c r="C111" s="35">
        <v>42132201</v>
      </c>
      <c r="D111" s="33" t="s">
        <v>1495</v>
      </c>
      <c r="E111" s="33" t="s">
        <v>1496</v>
      </c>
      <c r="F111" s="33" t="s">
        <v>1497</v>
      </c>
      <c r="G111" s="33" t="s">
        <v>1579</v>
      </c>
      <c r="H111" s="33" t="s">
        <v>1580</v>
      </c>
      <c r="I111" s="33" t="s">
        <v>1581</v>
      </c>
      <c r="J111" s="33">
        <v>117211</v>
      </c>
      <c r="K111" s="33" t="s">
        <v>1721</v>
      </c>
      <c r="L111" s="33" t="s">
        <v>1722</v>
      </c>
      <c r="M111" s="33" t="s">
        <v>1723</v>
      </c>
      <c r="N111" s="44">
        <v>42132201</v>
      </c>
      <c r="O111" s="33" t="s">
        <v>1724</v>
      </c>
      <c r="P111" s="33" t="s">
        <v>1725</v>
      </c>
      <c r="Q111" s="34" t="s">
        <v>1494</v>
      </c>
      <c r="R111" s="34" t="s">
        <v>1494</v>
      </c>
    </row>
    <row r="112" spans="1:18" ht="15" customHeight="1" x14ac:dyDescent="0.25">
      <c r="A112" t="str">
        <f>IFERROR(RANK(B112,$B:$B,1)+COUNTIF($B$1:B111,B112),"")</f>
        <v/>
      </c>
      <c r="B112" t="str">
        <f>IFERROR(SEARCH(#REF!,Table4[[#This Row],[Commodity Title]],1),"")</f>
        <v/>
      </c>
      <c r="C112" s="35">
        <v>42132202</v>
      </c>
      <c r="D112" s="33" t="s">
        <v>1495</v>
      </c>
      <c r="E112" s="33" t="s">
        <v>1496</v>
      </c>
      <c r="F112" s="33" t="s">
        <v>1497</v>
      </c>
      <c r="G112" s="33" t="s">
        <v>1579</v>
      </c>
      <c r="H112" s="33" t="s">
        <v>1580</v>
      </c>
      <c r="I112" s="33" t="s">
        <v>1581</v>
      </c>
      <c r="J112" s="33">
        <v>117212</v>
      </c>
      <c r="K112" s="33" t="s">
        <v>1721</v>
      </c>
      <c r="L112" s="33" t="s">
        <v>1722</v>
      </c>
      <c r="M112" s="33" t="s">
        <v>1723</v>
      </c>
      <c r="N112" s="44">
        <v>42132202</v>
      </c>
      <c r="O112" s="33" t="s">
        <v>1726</v>
      </c>
      <c r="P112" s="33" t="s">
        <v>1727</v>
      </c>
      <c r="Q112" s="34" t="s">
        <v>1494</v>
      </c>
      <c r="R112" s="34" t="s">
        <v>1494</v>
      </c>
    </row>
    <row r="113" spans="1:18" ht="15" customHeight="1" x14ac:dyDescent="0.25">
      <c r="A113" t="str">
        <f>IFERROR(RANK(B113,$B:$B,1)+COUNTIF($B$1:B112,B113),"")</f>
        <v/>
      </c>
      <c r="B113" t="str">
        <f>IFERROR(SEARCH(#REF!,Table4[[#This Row],[Commodity Title]],1),"")</f>
        <v/>
      </c>
      <c r="C113" s="35">
        <v>42132203</v>
      </c>
      <c r="D113" s="33" t="s">
        <v>1495</v>
      </c>
      <c r="E113" s="33" t="s">
        <v>1496</v>
      </c>
      <c r="F113" s="33" t="s">
        <v>1497</v>
      </c>
      <c r="G113" s="33" t="s">
        <v>1579</v>
      </c>
      <c r="H113" s="33" t="s">
        <v>1580</v>
      </c>
      <c r="I113" s="33" t="s">
        <v>1581</v>
      </c>
      <c r="J113" s="33">
        <v>117213</v>
      </c>
      <c r="K113" s="33" t="s">
        <v>1721</v>
      </c>
      <c r="L113" s="33" t="s">
        <v>1722</v>
      </c>
      <c r="M113" s="33" t="s">
        <v>1723</v>
      </c>
      <c r="N113" s="44">
        <v>42132203</v>
      </c>
      <c r="O113" s="33" t="s">
        <v>1728</v>
      </c>
      <c r="P113" s="33" t="s">
        <v>1729</v>
      </c>
      <c r="Q113" s="34" t="s">
        <v>1494</v>
      </c>
      <c r="R113" s="34" t="s">
        <v>1494</v>
      </c>
    </row>
    <row r="114" spans="1:18" ht="15" customHeight="1" x14ac:dyDescent="0.25">
      <c r="A114" t="str">
        <f>IFERROR(RANK(B114,$B:$B,1)+COUNTIF($B$1:B113,B114),"")</f>
        <v/>
      </c>
      <c r="B114" t="str">
        <f>IFERROR(SEARCH(#REF!,Table4[[#This Row],[Commodity Title]],1),"")</f>
        <v/>
      </c>
      <c r="C114" s="35">
        <v>42132204</v>
      </c>
      <c r="D114" s="33" t="s">
        <v>1495</v>
      </c>
      <c r="E114" s="33" t="s">
        <v>1496</v>
      </c>
      <c r="F114" s="33" t="s">
        <v>1497</v>
      </c>
      <c r="G114" s="33" t="s">
        <v>1579</v>
      </c>
      <c r="H114" s="33" t="s">
        <v>1580</v>
      </c>
      <c r="I114" s="33" t="s">
        <v>1581</v>
      </c>
      <c r="J114" s="33">
        <v>117214</v>
      </c>
      <c r="K114" s="33" t="s">
        <v>1721</v>
      </c>
      <c r="L114" s="33" t="s">
        <v>1722</v>
      </c>
      <c r="M114" s="33" t="s">
        <v>1723</v>
      </c>
      <c r="N114" s="44">
        <v>42132204</v>
      </c>
      <c r="O114" s="33" t="s">
        <v>1730</v>
      </c>
      <c r="P114" s="33" t="s">
        <v>1731</v>
      </c>
      <c r="Q114" s="34" t="s">
        <v>1494</v>
      </c>
      <c r="R114" s="34" t="s">
        <v>1494</v>
      </c>
    </row>
    <row r="115" spans="1:18" ht="15" customHeight="1" x14ac:dyDescent="0.25">
      <c r="A115" t="str">
        <f>IFERROR(RANK(B115,$B:$B,1)+COUNTIF($B$1:B114,B115),"")</f>
        <v/>
      </c>
      <c r="B115" t="str">
        <f>IFERROR(SEARCH(#REF!,Table4[[#This Row],[Commodity Title]],1),"")</f>
        <v/>
      </c>
      <c r="C115" s="35">
        <v>42132205</v>
      </c>
      <c r="D115" s="33" t="s">
        <v>1495</v>
      </c>
      <c r="E115" s="33" t="s">
        <v>1496</v>
      </c>
      <c r="F115" s="33" t="s">
        <v>1497</v>
      </c>
      <c r="G115" s="33" t="s">
        <v>1579</v>
      </c>
      <c r="H115" s="33" t="s">
        <v>1580</v>
      </c>
      <c r="I115" s="33" t="s">
        <v>1581</v>
      </c>
      <c r="J115" s="33">
        <v>117215</v>
      </c>
      <c r="K115" s="33" t="s">
        <v>1721</v>
      </c>
      <c r="L115" s="33" t="s">
        <v>1722</v>
      </c>
      <c r="M115" s="33" t="s">
        <v>1723</v>
      </c>
      <c r="N115" s="44">
        <v>42132205</v>
      </c>
      <c r="O115" s="33" t="s">
        <v>1732</v>
      </c>
      <c r="P115" s="33" t="s">
        <v>1733</v>
      </c>
      <c r="Q115" s="34" t="s">
        <v>1494</v>
      </c>
      <c r="R115" s="34" t="s">
        <v>1494</v>
      </c>
    </row>
    <row r="116" spans="1:18" ht="15" customHeight="1" x14ac:dyDescent="0.25">
      <c r="A116" t="str">
        <f>IFERROR(RANK(B116,$B:$B,1)+COUNTIF($B$1:B115,B116),"")</f>
        <v/>
      </c>
      <c r="B116" t="str">
        <f>IFERROR(SEARCH(#REF!,Table4[[#This Row],[Commodity Title]],1),"")</f>
        <v/>
      </c>
      <c r="C116" s="35">
        <v>42132206</v>
      </c>
      <c r="D116" s="33" t="s">
        <v>1495</v>
      </c>
      <c r="E116" s="33" t="s">
        <v>1496</v>
      </c>
      <c r="F116" s="33" t="s">
        <v>1497</v>
      </c>
      <c r="G116" s="33" t="s">
        <v>1579</v>
      </c>
      <c r="H116" s="33" t="s">
        <v>1580</v>
      </c>
      <c r="I116" s="33" t="s">
        <v>1581</v>
      </c>
      <c r="J116" s="33">
        <v>202364</v>
      </c>
      <c r="K116" s="33" t="s">
        <v>1721</v>
      </c>
      <c r="L116" s="33" t="s">
        <v>1722</v>
      </c>
      <c r="M116" s="33" t="s">
        <v>1723</v>
      </c>
      <c r="N116" s="44">
        <v>42132206</v>
      </c>
      <c r="O116" s="33" t="s">
        <v>1734</v>
      </c>
      <c r="P116" s="33" t="s">
        <v>1735</v>
      </c>
      <c r="Q116" s="34" t="s">
        <v>1494</v>
      </c>
      <c r="R116" s="34" t="s">
        <v>1494</v>
      </c>
    </row>
    <row r="117" spans="1:18" ht="15" customHeight="1" x14ac:dyDescent="0.25">
      <c r="A117" t="str">
        <f>IFERROR(RANK(B117,$B:$B,1)+COUNTIF($B$1:B116,B117),"")</f>
        <v/>
      </c>
      <c r="B117" t="str">
        <f>IFERROR(SEARCH(#REF!,Table4[[#This Row],[Commodity Title]],1),"")</f>
        <v/>
      </c>
      <c r="C117" s="33" t="s">
        <v>1494</v>
      </c>
      <c r="D117" s="33" t="s">
        <v>1495</v>
      </c>
      <c r="E117" s="33" t="s">
        <v>1496</v>
      </c>
      <c r="F117" s="33" t="s">
        <v>1497</v>
      </c>
      <c r="G117" s="33" t="s">
        <v>1736</v>
      </c>
      <c r="H117" s="33" t="s">
        <v>1737</v>
      </c>
      <c r="I117" s="33" t="s">
        <v>1738</v>
      </c>
      <c r="J117" s="33">
        <v>114852</v>
      </c>
      <c r="K117" s="33" t="s">
        <v>1494</v>
      </c>
      <c r="L117" s="33" t="s">
        <v>1494</v>
      </c>
      <c r="M117" s="33" t="s">
        <v>1494</v>
      </c>
      <c r="N117" s="44" t="s">
        <v>1494</v>
      </c>
      <c r="O117" s="33" t="s">
        <v>1494</v>
      </c>
      <c r="P117" s="33" t="s">
        <v>1494</v>
      </c>
      <c r="Q117" s="34" t="s">
        <v>1494</v>
      </c>
      <c r="R117" s="34" t="s">
        <v>1494</v>
      </c>
    </row>
    <row r="118" spans="1:18" ht="15" customHeight="1" x14ac:dyDescent="0.25">
      <c r="A118" t="str">
        <f>IFERROR(RANK(B118,$B:$B,1)+COUNTIF($B$1:B117,B118),"")</f>
        <v/>
      </c>
      <c r="B118" t="str">
        <f>IFERROR(SEARCH(#REF!,Table4[[#This Row],[Commodity Title]],1),"")</f>
        <v/>
      </c>
      <c r="C118" s="33" t="s">
        <v>1494</v>
      </c>
      <c r="D118" s="33" t="s">
        <v>1495</v>
      </c>
      <c r="E118" s="33" t="s">
        <v>1496</v>
      </c>
      <c r="F118" s="33" t="s">
        <v>1497</v>
      </c>
      <c r="G118" s="33" t="s">
        <v>1736</v>
      </c>
      <c r="H118" s="33" t="s">
        <v>1737</v>
      </c>
      <c r="I118" s="33" t="s">
        <v>1738</v>
      </c>
      <c r="J118" s="33">
        <v>114853</v>
      </c>
      <c r="K118" s="33" t="s">
        <v>1739</v>
      </c>
      <c r="L118" s="33" t="s">
        <v>1740</v>
      </c>
      <c r="M118" s="33" t="s">
        <v>1741</v>
      </c>
      <c r="N118" s="44" t="s">
        <v>1494</v>
      </c>
      <c r="O118" s="33" t="s">
        <v>1494</v>
      </c>
      <c r="P118" s="33" t="s">
        <v>1494</v>
      </c>
      <c r="Q118" s="34" t="s">
        <v>1494</v>
      </c>
      <c r="R118" s="34" t="s">
        <v>1494</v>
      </c>
    </row>
    <row r="119" spans="1:18" ht="15" customHeight="1" x14ac:dyDescent="0.25">
      <c r="A119" t="str">
        <f>IFERROR(RANK(B119,$B:$B,1)+COUNTIF($B$1:B118,B119),"")</f>
        <v/>
      </c>
      <c r="B119" t="str">
        <f>IFERROR(SEARCH(#REF!,Table4[[#This Row],[Commodity Title]],1),"")</f>
        <v/>
      </c>
      <c r="C119" s="35">
        <v>42141501</v>
      </c>
      <c r="D119" s="33" t="s">
        <v>1495</v>
      </c>
      <c r="E119" s="33" t="s">
        <v>1496</v>
      </c>
      <c r="F119" s="33" t="s">
        <v>1497</v>
      </c>
      <c r="G119" s="33" t="s">
        <v>1736</v>
      </c>
      <c r="H119" s="33" t="s">
        <v>1737</v>
      </c>
      <c r="I119" s="33" t="s">
        <v>1738</v>
      </c>
      <c r="J119" s="33">
        <v>114854</v>
      </c>
      <c r="K119" s="33" t="s">
        <v>1739</v>
      </c>
      <c r="L119" s="33" t="s">
        <v>1740</v>
      </c>
      <c r="M119" s="33" t="s">
        <v>1741</v>
      </c>
      <c r="N119" s="44">
        <v>42141501</v>
      </c>
      <c r="O119" s="33" t="s">
        <v>1742</v>
      </c>
      <c r="P119" s="33" t="s">
        <v>1743</v>
      </c>
      <c r="Q119" s="34" t="s">
        <v>1494</v>
      </c>
      <c r="R119" s="34" t="s">
        <v>1494</v>
      </c>
    </row>
    <row r="120" spans="1:18" ht="15" customHeight="1" x14ac:dyDescent="0.25">
      <c r="A120" t="str">
        <f>IFERROR(RANK(B120,$B:$B,1)+COUNTIF($B$1:B119,B120),"")</f>
        <v/>
      </c>
      <c r="B120" t="str">
        <f>IFERROR(SEARCH(#REF!,Table4[[#This Row],[Commodity Title]],1),"")</f>
        <v/>
      </c>
      <c r="C120" s="35">
        <v>42141502</v>
      </c>
      <c r="D120" s="33" t="s">
        <v>1495</v>
      </c>
      <c r="E120" s="33" t="s">
        <v>1496</v>
      </c>
      <c r="F120" s="33" t="s">
        <v>1497</v>
      </c>
      <c r="G120" s="33" t="s">
        <v>1736</v>
      </c>
      <c r="H120" s="33" t="s">
        <v>1737</v>
      </c>
      <c r="I120" s="33" t="s">
        <v>1738</v>
      </c>
      <c r="J120" s="33">
        <v>114855</v>
      </c>
      <c r="K120" s="33" t="s">
        <v>1739</v>
      </c>
      <c r="L120" s="33" t="s">
        <v>1740</v>
      </c>
      <c r="M120" s="33" t="s">
        <v>1741</v>
      </c>
      <c r="N120" s="44">
        <v>42141502</v>
      </c>
      <c r="O120" s="33" t="s">
        <v>1744</v>
      </c>
      <c r="P120" s="33" t="s">
        <v>1745</v>
      </c>
      <c r="Q120" s="34" t="s">
        <v>1494</v>
      </c>
      <c r="R120" s="34" t="s">
        <v>1494</v>
      </c>
    </row>
    <row r="121" spans="1:18" ht="15" customHeight="1" x14ac:dyDescent="0.25">
      <c r="A121" t="str">
        <f>IFERROR(RANK(B121,$B:$B,1)+COUNTIF($B$1:B120,B121),"")</f>
        <v/>
      </c>
      <c r="B121" t="str">
        <f>IFERROR(SEARCH(#REF!,Table4[[#This Row],[Commodity Title]],1),"")</f>
        <v/>
      </c>
      <c r="C121" s="35">
        <v>42141503</v>
      </c>
      <c r="D121" s="33" t="s">
        <v>1495</v>
      </c>
      <c r="E121" s="33" t="s">
        <v>1496</v>
      </c>
      <c r="F121" s="33" t="s">
        <v>1497</v>
      </c>
      <c r="G121" s="33" t="s">
        <v>1736</v>
      </c>
      <c r="H121" s="33" t="s">
        <v>1737</v>
      </c>
      <c r="I121" s="33" t="s">
        <v>1738</v>
      </c>
      <c r="J121" s="33">
        <v>117120</v>
      </c>
      <c r="K121" s="33" t="s">
        <v>1739</v>
      </c>
      <c r="L121" s="33" t="s">
        <v>1740</v>
      </c>
      <c r="M121" s="33" t="s">
        <v>1741</v>
      </c>
      <c r="N121" s="44">
        <v>42141503</v>
      </c>
      <c r="O121" s="33" t="s">
        <v>1746</v>
      </c>
      <c r="P121" s="33" t="s">
        <v>1747</v>
      </c>
      <c r="Q121" s="34" t="s">
        <v>1494</v>
      </c>
      <c r="R121" s="34" t="s">
        <v>1494</v>
      </c>
    </row>
    <row r="122" spans="1:18" ht="15" customHeight="1" x14ac:dyDescent="0.25">
      <c r="A122" t="str">
        <f>IFERROR(RANK(B122,$B:$B,1)+COUNTIF($B$1:B121,B122),"")</f>
        <v/>
      </c>
      <c r="B122" t="str">
        <f>IFERROR(SEARCH(#REF!,Table4[[#This Row],[Commodity Title]],1),"")</f>
        <v/>
      </c>
      <c r="C122" s="35">
        <v>42141504</v>
      </c>
      <c r="D122" s="33" t="s">
        <v>1495</v>
      </c>
      <c r="E122" s="33" t="s">
        <v>1496</v>
      </c>
      <c r="F122" s="33" t="s">
        <v>1497</v>
      </c>
      <c r="G122" s="33" t="s">
        <v>1736</v>
      </c>
      <c r="H122" s="33" t="s">
        <v>1737</v>
      </c>
      <c r="I122" s="33" t="s">
        <v>1738</v>
      </c>
      <c r="J122" s="33">
        <v>141985</v>
      </c>
      <c r="K122" s="33" t="s">
        <v>1739</v>
      </c>
      <c r="L122" s="33" t="s">
        <v>1740</v>
      </c>
      <c r="M122" s="33" t="s">
        <v>1741</v>
      </c>
      <c r="N122" s="44">
        <v>42141504</v>
      </c>
      <c r="O122" s="33" t="s">
        <v>1748</v>
      </c>
      <c r="P122" s="33" t="s">
        <v>1749</v>
      </c>
      <c r="Q122" s="34" t="s">
        <v>1494</v>
      </c>
      <c r="R122" s="34" t="s">
        <v>1494</v>
      </c>
    </row>
    <row r="123" spans="1:18" ht="15" customHeight="1" x14ac:dyDescent="0.25">
      <c r="A123" t="str">
        <f>IFERROR(RANK(B123,$B:$B,1)+COUNTIF($B$1:B122,B123),"")</f>
        <v/>
      </c>
      <c r="B123" t="str">
        <f>IFERROR(SEARCH(#REF!,Table4[[#This Row],[Commodity Title]],1),"")</f>
        <v/>
      </c>
      <c r="C123" s="35">
        <v>42141505</v>
      </c>
      <c r="D123" s="33" t="s">
        <v>1495</v>
      </c>
      <c r="E123" s="33" t="s">
        <v>1496</v>
      </c>
      <c r="F123" s="33" t="s">
        <v>1497</v>
      </c>
      <c r="G123" s="33" t="s">
        <v>1736</v>
      </c>
      <c r="H123" s="33" t="s">
        <v>1737</v>
      </c>
      <c r="I123" s="33" t="s">
        <v>1738</v>
      </c>
      <c r="J123" s="33">
        <v>202365</v>
      </c>
      <c r="K123" s="33" t="s">
        <v>1739</v>
      </c>
      <c r="L123" s="33" t="s">
        <v>1740</v>
      </c>
      <c r="M123" s="33" t="s">
        <v>1741</v>
      </c>
      <c r="N123" s="44">
        <v>42141505</v>
      </c>
      <c r="O123" s="33" t="s">
        <v>1750</v>
      </c>
      <c r="P123" s="33" t="s">
        <v>1751</v>
      </c>
      <c r="Q123" s="34" t="s">
        <v>1494</v>
      </c>
      <c r="R123" s="34" t="s">
        <v>1494</v>
      </c>
    </row>
    <row r="124" spans="1:18" ht="15" customHeight="1" x14ac:dyDescent="0.25">
      <c r="A124" t="str">
        <f>IFERROR(RANK(B124,$B:$B,1)+COUNTIF($B$1:B123,B124),"")</f>
        <v/>
      </c>
      <c r="B124" t="str">
        <f>IFERROR(SEARCH(#REF!,Table4[[#This Row],[Commodity Title]],1),"")</f>
        <v/>
      </c>
      <c r="C124" s="35">
        <v>42141506</v>
      </c>
      <c r="D124" s="33" t="s">
        <v>1495</v>
      </c>
      <c r="E124" s="33" t="s">
        <v>1496</v>
      </c>
      <c r="F124" s="33" t="s">
        <v>1497</v>
      </c>
      <c r="G124" s="33" t="s">
        <v>1736</v>
      </c>
      <c r="H124" s="33" t="s">
        <v>1737</v>
      </c>
      <c r="I124" s="33" t="s">
        <v>1738</v>
      </c>
      <c r="J124" s="33">
        <v>202366</v>
      </c>
      <c r="K124" s="33" t="s">
        <v>1739</v>
      </c>
      <c r="L124" s="33" t="s">
        <v>1740</v>
      </c>
      <c r="M124" s="33" t="s">
        <v>1741</v>
      </c>
      <c r="N124" s="44">
        <v>42141506</v>
      </c>
      <c r="O124" s="33" t="s">
        <v>1752</v>
      </c>
      <c r="P124" s="33" t="s">
        <v>1753</v>
      </c>
      <c r="Q124" s="34" t="s">
        <v>1494</v>
      </c>
      <c r="R124" s="34" t="s">
        <v>1494</v>
      </c>
    </row>
    <row r="125" spans="1:18" ht="15" customHeight="1" x14ac:dyDescent="0.25">
      <c r="A125" t="str">
        <f>IFERROR(RANK(B125,$B:$B,1)+COUNTIF($B$1:B124,B125),"")</f>
        <v/>
      </c>
      <c r="B125" t="str">
        <f>IFERROR(SEARCH(#REF!,Table4[[#This Row],[Commodity Title]],1),"")</f>
        <v/>
      </c>
      <c r="C125" s="33" t="s">
        <v>1494</v>
      </c>
      <c r="D125" s="33" t="s">
        <v>1495</v>
      </c>
      <c r="E125" s="33" t="s">
        <v>1496</v>
      </c>
      <c r="F125" s="33" t="s">
        <v>1497</v>
      </c>
      <c r="G125" s="33" t="s">
        <v>1736</v>
      </c>
      <c r="H125" s="33" t="s">
        <v>1737</v>
      </c>
      <c r="I125" s="33" t="s">
        <v>1738</v>
      </c>
      <c r="J125" s="33">
        <v>114856</v>
      </c>
      <c r="K125" s="33" t="s">
        <v>1754</v>
      </c>
      <c r="L125" s="33" t="s">
        <v>1755</v>
      </c>
      <c r="M125" s="33" t="s">
        <v>1756</v>
      </c>
      <c r="N125" s="44" t="s">
        <v>1494</v>
      </c>
      <c r="O125" s="33" t="s">
        <v>1494</v>
      </c>
      <c r="P125" s="33" t="s">
        <v>1494</v>
      </c>
      <c r="Q125" s="34" t="s">
        <v>1494</v>
      </c>
      <c r="R125" s="34" t="s">
        <v>1494</v>
      </c>
    </row>
    <row r="126" spans="1:18" ht="15" customHeight="1" x14ac:dyDescent="0.25">
      <c r="A126" t="str">
        <f>IFERROR(RANK(B126,$B:$B,1)+COUNTIF($B$1:B125,B126),"")</f>
        <v/>
      </c>
      <c r="B126" t="str">
        <f>IFERROR(SEARCH(#REF!,Table4[[#This Row],[Commodity Title]],1),"")</f>
        <v/>
      </c>
      <c r="C126" s="35">
        <v>42141601</v>
      </c>
      <c r="D126" s="33" t="s">
        <v>1495</v>
      </c>
      <c r="E126" s="33" t="s">
        <v>1496</v>
      </c>
      <c r="F126" s="33" t="s">
        <v>1497</v>
      </c>
      <c r="G126" s="33" t="s">
        <v>1736</v>
      </c>
      <c r="H126" s="33" t="s">
        <v>1737</v>
      </c>
      <c r="I126" s="33" t="s">
        <v>1738</v>
      </c>
      <c r="J126" s="33">
        <v>114857</v>
      </c>
      <c r="K126" s="33" t="s">
        <v>1754</v>
      </c>
      <c r="L126" s="33" t="s">
        <v>1755</v>
      </c>
      <c r="M126" s="33" t="s">
        <v>1756</v>
      </c>
      <c r="N126" s="44">
        <v>42141601</v>
      </c>
      <c r="O126" s="33" t="s">
        <v>1757</v>
      </c>
      <c r="P126" s="33" t="s">
        <v>1758</v>
      </c>
      <c r="Q126" s="34" t="s">
        <v>1494</v>
      </c>
      <c r="R126" s="34" t="s">
        <v>1494</v>
      </c>
    </row>
    <row r="127" spans="1:18" ht="15" customHeight="1" x14ac:dyDescent="0.25">
      <c r="A127" t="str">
        <f>IFERROR(RANK(B127,$B:$B,1)+COUNTIF($B$1:B126,B127),"")</f>
        <v/>
      </c>
      <c r="B127" t="str">
        <f>IFERROR(SEARCH(#REF!,Table4[[#This Row],[Commodity Title]],1),"")</f>
        <v/>
      </c>
      <c r="C127" s="35">
        <v>42141602</v>
      </c>
      <c r="D127" s="33" t="s">
        <v>1495</v>
      </c>
      <c r="E127" s="33" t="s">
        <v>1496</v>
      </c>
      <c r="F127" s="33" t="s">
        <v>1497</v>
      </c>
      <c r="G127" s="33" t="s">
        <v>1736</v>
      </c>
      <c r="H127" s="33" t="s">
        <v>1737</v>
      </c>
      <c r="I127" s="33" t="s">
        <v>1738</v>
      </c>
      <c r="J127" s="33">
        <v>114858</v>
      </c>
      <c r="K127" s="33" t="s">
        <v>1754</v>
      </c>
      <c r="L127" s="33" t="s">
        <v>1755</v>
      </c>
      <c r="M127" s="33" t="s">
        <v>1756</v>
      </c>
      <c r="N127" s="44">
        <v>42141602</v>
      </c>
      <c r="O127" s="33" t="s">
        <v>1759</v>
      </c>
      <c r="P127" s="33" t="s">
        <v>1760</v>
      </c>
      <c r="Q127" s="34" t="s">
        <v>1494</v>
      </c>
      <c r="R127" s="34" t="s">
        <v>1494</v>
      </c>
    </row>
    <row r="128" spans="1:18" ht="15" customHeight="1" x14ac:dyDescent="0.25">
      <c r="A128" t="str">
        <f>IFERROR(RANK(B128,$B:$B,1)+COUNTIF($B$1:B127,B128),"")</f>
        <v/>
      </c>
      <c r="B128" t="str">
        <f>IFERROR(SEARCH(#REF!,Table4[[#This Row],[Commodity Title]],1),"")</f>
        <v/>
      </c>
      <c r="C128" s="35">
        <v>42141603</v>
      </c>
      <c r="D128" s="33" t="s">
        <v>1495</v>
      </c>
      <c r="E128" s="33" t="s">
        <v>1496</v>
      </c>
      <c r="F128" s="33" t="s">
        <v>1497</v>
      </c>
      <c r="G128" s="33" t="s">
        <v>1736</v>
      </c>
      <c r="H128" s="33" t="s">
        <v>1737</v>
      </c>
      <c r="I128" s="33" t="s">
        <v>1738</v>
      </c>
      <c r="J128" s="33">
        <v>114859</v>
      </c>
      <c r="K128" s="33" t="s">
        <v>1754</v>
      </c>
      <c r="L128" s="33" t="s">
        <v>1755</v>
      </c>
      <c r="M128" s="33" t="s">
        <v>1756</v>
      </c>
      <c r="N128" s="44">
        <v>42141603</v>
      </c>
      <c r="O128" s="33" t="s">
        <v>1761</v>
      </c>
      <c r="P128" s="33" t="s">
        <v>1762</v>
      </c>
      <c r="Q128" s="34" t="s">
        <v>1494</v>
      </c>
      <c r="R128" s="34" t="s">
        <v>1494</v>
      </c>
    </row>
    <row r="129" spans="1:18" ht="15" customHeight="1" x14ac:dyDescent="0.25">
      <c r="A129" t="str">
        <f>IFERROR(RANK(B129,$B:$B,1)+COUNTIF($B$1:B128,B129),"")</f>
        <v/>
      </c>
      <c r="B129" t="str">
        <f>IFERROR(SEARCH(#REF!,Table4[[#This Row],[Commodity Title]],1),"")</f>
        <v/>
      </c>
      <c r="C129" s="35">
        <v>42141605</v>
      </c>
      <c r="D129" s="33" t="s">
        <v>1495</v>
      </c>
      <c r="E129" s="33" t="s">
        <v>1496</v>
      </c>
      <c r="F129" s="33" t="s">
        <v>1497</v>
      </c>
      <c r="G129" s="33" t="s">
        <v>1736</v>
      </c>
      <c r="H129" s="33" t="s">
        <v>1737</v>
      </c>
      <c r="I129" s="33" t="s">
        <v>1738</v>
      </c>
      <c r="J129" s="33">
        <v>114861</v>
      </c>
      <c r="K129" s="33" t="s">
        <v>1754</v>
      </c>
      <c r="L129" s="33" t="s">
        <v>1755</v>
      </c>
      <c r="M129" s="33" t="s">
        <v>1756</v>
      </c>
      <c r="N129" s="44">
        <v>42141605</v>
      </c>
      <c r="O129" s="33" t="s">
        <v>1763</v>
      </c>
      <c r="P129" s="33" t="s">
        <v>1764</v>
      </c>
      <c r="Q129" s="34" t="s">
        <v>1494</v>
      </c>
      <c r="R129" s="34" t="s">
        <v>1494</v>
      </c>
    </row>
    <row r="130" spans="1:18" ht="15" customHeight="1" x14ac:dyDescent="0.25">
      <c r="A130" t="str">
        <f>IFERROR(RANK(B130,$B:$B,1)+COUNTIF($B$1:B129,B130),"")</f>
        <v/>
      </c>
      <c r="B130" t="str">
        <f>IFERROR(SEARCH(#REF!,Table4[[#This Row],[Commodity Title]],1),"")</f>
        <v/>
      </c>
      <c r="C130" s="35">
        <v>42141606</v>
      </c>
      <c r="D130" s="33" t="s">
        <v>1495</v>
      </c>
      <c r="E130" s="33" t="s">
        <v>1496</v>
      </c>
      <c r="F130" s="33" t="s">
        <v>1497</v>
      </c>
      <c r="G130" s="33" t="s">
        <v>1736</v>
      </c>
      <c r="H130" s="33" t="s">
        <v>1737</v>
      </c>
      <c r="I130" s="33" t="s">
        <v>1738</v>
      </c>
      <c r="J130" s="33">
        <v>114862</v>
      </c>
      <c r="K130" s="33" t="s">
        <v>1754</v>
      </c>
      <c r="L130" s="33" t="s">
        <v>1755</v>
      </c>
      <c r="M130" s="33" t="s">
        <v>1756</v>
      </c>
      <c r="N130" s="44">
        <v>42141606</v>
      </c>
      <c r="O130" s="33" t="s">
        <v>1765</v>
      </c>
      <c r="P130" s="33" t="s">
        <v>1766</v>
      </c>
      <c r="Q130" s="34" t="s">
        <v>1494</v>
      </c>
      <c r="R130" s="34" t="s">
        <v>1494</v>
      </c>
    </row>
    <row r="131" spans="1:18" ht="15" customHeight="1" x14ac:dyDescent="0.25">
      <c r="A131" t="str">
        <f>IFERROR(RANK(B131,$B:$B,1)+COUNTIF($B$1:B130,B131),"")</f>
        <v/>
      </c>
      <c r="B131" t="str">
        <f>IFERROR(SEARCH(#REF!,Table4[[#This Row],[Commodity Title]],1),"")</f>
        <v/>
      </c>
      <c r="C131" s="35">
        <v>42141607</v>
      </c>
      <c r="D131" s="33" t="s">
        <v>1495</v>
      </c>
      <c r="E131" s="33" t="s">
        <v>1496</v>
      </c>
      <c r="F131" s="33" t="s">
        <v>1497</v>
      </c>
      <c r="G131" s="33" t="s">
        <v>1736</v>
      </c>
      <c r="H131" s="33" t="s">
        <v>1737</v>
      </c>
      <c r="I131" s="33" t="s">
        <v>1738</v>
      </c>
      <c r="J131" s="33">
        <v>114863</v>
      </c>
      <c r="K131" s="33" t="s">
        <v>1754</v>
      </c>
      <c r="L131" s="33" t="s">
        <v>1755</v>
      </c>
      <c r="M131" s="33" t="s">
        <v>1756</v>
      </c>
      <c r="N131" s="44">
        <v>42141607</v>
      </c>
      <c r="O131" s="33" t="s">
        <v>1767</v>
      </c>
      <c r="P131" s="33" t="s">
        <v>1768</v>
      </c>
      <c r="Q131" s="34" t="s">
        <v>1494</v>
      </c>
      <c r="R131" s="34" t="s">
        <v>1494</v>
      </c>
    </row>
    <row r="132" spans="1:18" ht="15" customHeight="1" x14ac:dyDescent="0.25">
      <c r="A132" t="str">
        <f>IFERROR(RANK(B132,$B:$B,1)+COUNTIF($B$1:B131,B132),"")</f>
        <v/>
      </c>
      <c r="B132" t="str">
        <f>IFERROR(SEARCH(#REF!,Table4[[#This Row],[Commodity Title]],1),"")</f>
        <v/>
      </c>
      <c r="C132" s="35">
        <v>42141608</v>
      </c>
      <c r="D132" s="33" t="s">
        <v>1495</v>
      </c>
      <c r="E132" s="33" t="s">
        <v>1496</v>
      </c>
      <c r="F132" s="33" t="s">
        <v>1497</v>
      </c>
      <c r="G132" s="33" t="s">
        <v>1736</v>
      </c>
      <c r="H132" s="33" t="s">
        <v>1737</v>
      </c>
      <c r="I132" s="33" t="s">
        <v>1738</v>
      </c>
      <c r="J132" s="33">
        <v>164851</v>
      </c>
      <c r="K132" s="33" t="s">
        <v>1754</v>
      </c>
      <c r="L132" s="33" t="s">
        <v>1755</v>
      </c>
      <c r="M132" s="33" t="s">
        <v>1756</v>
      </c>
      <c r="N132" s="44">
        <v>42141608</v>
      </c>
      <c r="O132" s="33" t="s">
        <v>1769</v>
      </c>
      <c r="P132" s="33" t="s">
        <v>1770</v>
      </c>
      <c r="Q132" s="34" t="s">
        <v>1494</v>
      </c>
      <c r="R132" s="34" t="s">
        <v>1494</v>
      </c>
    </row>
    <row r="133" spans="1:18" ht="15" customHeight="1" x14ac:dyDescent="0.25">
      <c r="A133" t="str">
        <f>IFERROR(RANK(B133,$B:$B,1)+COUNTIF($B$1:B132,B133),"")</f>
        <v/>
      </c>
      <c r="B133" t="str">
        <f>IFERROR(SEARCH(#REF!,Table4[[#This Row],[Commodity Title]],1),"")</f>
        <v/>
      </c>
      <c r="C133" s="35">
        <v>42141609</v>
      </c>
      <c r="D133" s="33" t="s">
        <v>1495</v>
      </c>
      <c r="E133" s="33" t="s">
        <v>1496</v>
      </c>
      <c r="F133" s="33" t="s">
        <v>1497</v>
      </c>
      <c r="G133" s="33" t="s">
        <v>1736</v>
      </c>
      <c r="H133" s="33" t="s">
        <v>1737</v>
      </c>
      <c r="I133" s="33" t="s">
        <v>1738</v>
      </c>
      <c r="J133" s="33">
        <v>202367</v>
      </c>
      <c r="K133" s="33" t="s">
        <v>1754</v>
      </c>
      <c r="L133" s="33" t="s">
        <v>1755</v>
      </c>
      <c r="M133" s="33" t="s">
        <v>1756</v>
      </c>
      <c r="N133" s="44">
        <v>42141609</v>
      </c>
      <c r="O133" s="33" t="s">
        <v>1771</v>
      </c>
      <c r="P133" s="33" t="s">
        <v>1772</v>
      </c>
      <c r="Q133" s="34" t="s">
        <v>1494</v>
      </c>
      <c r="R133" s="34" t="s">
        <v>1494</v>
      </c>
    </row>
    <row r="134" spans="1:18" ht="15" customHeight="1" x14ac:dyDescent="0.25">
      <c r="A134" t="str">
        <f>IFERROR(RANK(B134,$B:$B,1)+COUNTIF($B$1:B133,B134),"")</f>
        <v/>
      </c>
      <c r="B134" t="str">
        <f>IFERROR(SEARCH(#REF!,Table4[[#This Row],[Commodity Title]],1),"")</f>
        <v/>
      </c>
      <c r="C134" s="35">
        <v>42141610</v>
      </c>
      <c r="D134" s="33" t="s">
        <v>1495</v>
      </c>
      <c r="E134" s="33" t="s">
        <v>1496</v>
      </c>
      <c r="F134" s="33" t="s">
        <v>1497</v>
      </c>
      <c r="G134" s="33" t="s">
        <v>1736</v>
      </c>
      <c r="H134" s="33" t="s">
        <v>1737</v>
      </c>
      <c r="I134" s="33" t="s">
        <v>1738</v>
      </c>
      <c r="J134" s="33">
        <v>202368</v>
      </c>
      <c r="K134" s="33" t="s">
        <v>1754</v>
      </c>
      <c r="L134" s="33" t="s">
        <v>1755</v>
      </c>
      <c r="M134" s="33" t="s">
        <v>1756</v>
      </c>
      <c r="N134" s="44">
        <v>42141610</v>
      </c>
      <c r="O134" s="33" t="s">
        <v>1773</v>
      </c>
      <c r="P134" s="33" t="s">
        <v>1774</v>
      </c>
      <c r="Q134" s="34" t="s">
        <v>1494</v>
      </c>
      <c r="R134" s="34" t="s">
        <v>1494</v>
      </c>
    </row>
    <row r="135" spans="1:18" ht="15" customHeight="1" x14ac:dyDescent="0.25">
      <c r="A135" t="str">
        <f>IFERROR(RANK(B135,$B:$B,1)+COUNTIF($B$1:B134,B135),"")</f>
        <v/>
      </c>
      <c r="B135" t="str">
        <f>IFERROR(SEARCH(#REF!,Table4[[#This Row],[Commodity Title]],1),"")</f>
        <v/>
      </c>
      <c r="C135" s="35">
        <v>42141611</v>
      </c>
      <c r="D135" s="33" t="s">
        <v>1495</v>
      </c>
      <c r="E135" s="33" t="s">
        <v>1496</v>
      </c>
      <c r="F135" s="33" t="s">
        <v>1497</v>
      </c>
      <c r="G135" s="33" t="s">
        <v>1736</v>
      </c>
      <c r="H135" s="33" t="s">
        <v>1737</v>
      </c>
      <c r="I135" s="33" t="s">
        <v>1738</v>
      </c>
      <c r="J135" s="33">
        <v>202369</v>
      </c>
      <c r="K135" s="33" t="s">
        <v>1754</v>
      </c>
      <c r="L135" s="33" t="s">
        <v>1755</v>
      </c>
      <c r="M135" s="33" t="s">
        <v>1756</v>
      </c>
      <c r="N135" s="44">
        <v>42141611</v>
      </c>
      <c r="O135" s="33" t="s">
        <v>1775</v>
      </c>
      <c r="P135" s="33" t="s">
        <v>1776</v>
      </c>
      <c r="Q135" s="34" t="s">
        <v>1494</v>
      </c>
      <c r="R135" s="34" t="s">
        <v>1494</v>
      </c>
    </row>
    <row r="136" spans="1:18" ht="15" customHeight="1" x14ac:dyDescent="0.25">
      <c r="A136" t="str">
        <f>IFERROR(RANK(B136,$B:$B,1)+COUNTIF($B$1:B135,B136),"")</f>
        <v/>
      </c>
      <c r="B136" t="str">
        <f>IFERROR(SEARCH(#REF!,Table4[[#This Row],[Commodity Title]],1),"")</f>
        <v/>
      </c>
      <c r="C136" s="35">
        <v>42141612</v>
      </c>
      <c r="D136" s="33" t="s">
        <v>1495</v>
      </c>
      <c r="E136" s="33" t="s">
        <v>1496</v>
      </c>
      <c r="F136" s="33" t="s">
        <v>1497</v>
      </c>
      <c r="G136" s="33" t="s">
        <v>1736</v>
      </c>
      <c r="H136" s="33" t="s">
        <v>1737</v>
      </c>
      <c r="I136" s="33" t="s">
        <v>1738</v>
      </c>
      <c r="J136" s="33">
        <v>202370</v>
      </c>
      <c r="K136" s="33" t="s">
        <v>1754</v>
      </c>
      <c r="L136" s="33" t="s">
        <v>1755</v>
      </c>
      <c r="M136" s="33" t="s">
        <v>1756</v>
      </c>
      <c r="N136" s="44">
        <v>42141612</v>
      </c>
      <c r="O136" s="33" t="s">
        <v>1777</v>
      </c>
      <c r="P136" s="33" t="s">
        <v>1778</v>
      </c>
      <c r="Q136" s="34" t="s">
        <v>1494</v>
      </c>
      <c r="R136" s="34" t="s">
        <v>1494</v>
      </c>
    </row>
    <row r="137" spans="1:18" ht="15" customHeight="1" x14ac:dyDescent="0.25">
      <c r="A137" t="str">
        <f>IFERROR(RANK(B137,$B:$B,1)+COUNTIF($B$1:B136,B137),"")</f>
        <v/>
      </c>
      <c r="B137" t="str">
        <f>IFERROR(SEARCH(#REF!,Table4[[#This Row],[Commodity Title]],1),"")</f>
        <v/>
      </c>
      <c r="C137" s="33" t="s">
        <v>1494</v>
      </c>
      <c r="D137" s="33" t="s">
        <v>1495</v>
      </c>
      <c r="E137" s="33" t="s">
        <v>1496</v>
      </c>
      <c r="F137" s="33" t="s">
        <v>1497</v>
      </c>
      <c r="G137" s="33" t="s">
        <v>1736</v>
      </c>
      <c r="H137" s="33" t="s">
        <v>1737</v>
      </c>
      <c r="I137" s="33" t="s">
        <v>1738</v>
      </c>
      <c r="J137" s="33">
        <v>114864</v>
      </c>
      <c r="K137" s="33" t="s">
        <v>1779</v>
      </c>
      <c r="L137" s="33" t="s">
        <v>1780</v>
      </c>
      <c r="M137" s="33" t="s">
        <v>1781</v>
      </c>
      <c r="N137" s="44" t="s">
        <v>1494</v>
      </c>
      <c r="O137" s="33" t="s">
        <v>1494</v>
      </c>
      <c r="P137" s="33" t="s">
        <v>1494</v>
      </c>
      <c r="Q137" s="34" t="s">
        <v>1494</v>
      </c>
      <c r="R137" s="34" t="s">
        <v>1494</v>
      </c>
    </row>
    <row r="138" spans="1:18" ht="15" customHeight="1" x14ac:dyDescent="0.25">
      <c r="A138" t="str">
        <f>IFERROR(RANK(B138,$B:$B,1)+COUNTIF($B$1:B137,B138),"")</f>
        <v/>
      </c>
      <c r="B138" t="str">
        <f>IFERROR(SEARCH(#REF!,Table4[[#This Row],[Commodity Title]],1),"")</f>
        <v/>
      </c>
      <c r="C138" s="35">
        <v>42141701</v>
      </c>
      <c r="D138" s="33" t="s">
        <v>1495</v>
      </c>
      <c r="E138" s="33" t="s">
        <v>1496</v>
      </c>
      <c r="F138" s="33" t="s">
        <v>1497</v>
      </c>
      <c r="G138" s="33" t="s">
        <v>1736</v>
      </c>
      <c r="H138" s="33" t="s">
        <v>1737</v>
      </c>
      <c r="I138" s="33" t="s">
        <v>1738</v>
      </c>
      <c r="J138" s="33">
        <v>114865</v>
      </c>
      <c r="K138" s="33" t="s">
        <v>1779</v>
      </c>
      <c r="L138" s="33" t="s">
        <v>1780</v>
      </c>
      <c r="M138" s="33" t="s">
        <v>1781</v>
      </c>
      <c r="N138" s="44">
        <v>42141701</v>
      </c>
      <c r="O138" s="33" t="s">
        <v>1782</v>
      </c>
      <c r="P138" s="33" t="s">
        <v>1783</v>
      </c>
      <c r="Q138" s="34" t="s">
        <v>1494</v>
      </c>
      <c r="R138" s="34" t="s">
        <v>1494</v>
      </c>
    </row>
    <row r="139" spans="1:18" ht="15" customHeight="1" x14ac:dyDescent="0.25">
      <c r="A139" t="str">
        <f>IFERROR(RANK(B139,$B:$B,1)+COUNTIF($B$1:B138,B139),"")</f>
        <v/>
      </c>
      <c r="B139" t="str">
        <f>IFERROR(SEARCH(#REF!,Table4[[#This Row],[Commodity Title]],1),"")</f>
        <v/>
      </c>
      <c r="C139" s="35">
        <v>42141702</v>
      </c>
      <c r="D139" s="33" t="s">
        <v>1495</v>
      </c>
      <c r="E139" s="33" t="s">
        <v>1496</v>
      </c>
      <c r="F139" s="33" t="s">
        <v>1497</v>
      </c>
      <c r="G139" s="33" t="s">
        <v>1736</v>
      </c>
      <c r="H139" s="33" t="s">
        <v>1737</v>
      </c>
      <c r="I139" s="33" t="s">
        <v>1738</v>
      </c>
      <c r="J139" s="33">
        <v>114866</v>
      </c>
      <c r="K139" s="33" t="s">
        <v>1779</v>
      </c>
      <c r="L139" s="33" t="s">
        <v>1780</v>
      </c>
      <c r="M139" s="33" t="s">
        <v>1781</v>
      </c>
      <c r="N139" s="44">
        <v>42141702</v>
      </c>
      <c r="O139" s="33" t="s">
        <v>1784</v>
      </c>
      <c r="P139" s="33" t="s">
        <v>1785</v>
      </c>
      <c r="Q139" s="34" t="s">
        <v>1494</v>
      </c>
      <c r="R139" s="34" t="s">
        <v>1494</v>
      </c>
    </row>
    <row r="140" spans="1:18" ht="15" customHeight="1" x14ac:dyDescent="0.25">
      <c r="A140" t="str">
        <f>IFERROR(RANK(B140,$B:$B,1)+COUNTIF($B$1:B139,B140),"")</f>
        <v/>
      </c>
      <c r="B140" t="str">
        <f>IFERROR(SEARCH(#REF!,Table4[[#This Row],[Commodity Title]],1),"")</f>
        <v/>
      </c>
      <c r="C140" s="35">
        <v>42141703</v>
      </c>
      <c r="D140" s="33" t="s">
        <v>1495</v>
      </c>
      <c r="E140" s="33" t="s">
        <v>1496</v>
      </c>
      <c r="F140" s="33" t="s">
        <v>1497</v>
      </c>
      <c r="G140" s="33" t="s">
        <v>1736</v>
      </c>
      <c r="H140" s="33" t="s">
        <v>1737</v>
      </c>
      <c r="I140" s="33" t="s">
        <v>1738</v>
      </c>
      <c r="J140" s="33">
        <v>114867</v>
      </c>
      <c r="K140" s="33" t="s">
        <v>1779</v>
      </c>
      <c r="L140" s="33" t="s">
        <v>1780</v>
      </c>
      <c r="M140" s="33" t="s">
        <v>1781</v>
      </c>
      <c r="N140" s="44">
        <v>42141703</v>
      </c>
      <c r="O140" s="33" t="s">
        <v>1786</v>
      </c>
      <c r="P140" s="33" t="s">
        <v>1787</v>
      </c>
      <c r="Q140" s="34" t="s">
        <v>1494</v>
      </c>
      <c r="R140" s="34" t="s">
        <v>1494</v>
      </c>
    </row>
    <row r="141" spans="1:18" ht="15" customHeight="1" x14ac:dyDescent="0.25">
      <c r="A141" t="str">
        <f>IFERROR(RANK(B141,$B:$B,1)+COUNTIF($B$1:B140,B141),"")</f>
        <v/>
      </c>
      <c r="B141" t="str">
        <f>IFERROR(SEARCH(#REF!,Table4[[#This Row],[Commodity Title]],1),"")</f>
        <v/>
      </c>
      <c r="C141" s="35">
        <v>42141704</v>
      </c>
      <c r="D141" s="33" t="s">
        <v>1495</v>
      </c>
      <c r="E141" s="33" t="s">
        <v>1496</v>
      </c>
      <c r="F141" s="33" t="s">
        <v>1497</v>
      </c>
      <c r="G141" s="33" t="s">
        <v>1736</v>
      </c>
      <c r="H141" s="33" t="s">
        <v>1737</v>
      </c>
      <c r="I141" s="33" t="s">
        <v>1738</v>
      </c>
      <c r="J141" s="33">
        <v>114868</v>
      </c>
      <c r="K141" s="33" t="s">
        <v>1779</v>
      </c>
      <c r="L141" s="33" t="s">
        <v>1780</v>
      </c>
      <c r="M141" s="33" t="s">
        <v>1781</v>
      </c>
      <c r="N141" s="44">
        <v>42141704</v>
      </c>
      <c r="O141" s="33" t="s">
        <v>1788</v>
      </c>
      <c r="P141" s="33" t="s">
        <v>1789</v>
      </c>
      <c r="Q141" s="34" t="s">
        <v>1494</v>
      </c>
      <c r="R141" s="34" t="s">
        <v>1494</v>
      </c>
    </row>
    <row r="142" spans="1:18" ht="15" customHeight="1" x14ac:dyDescent="0.25">
      <c r="A142" t="str">
        <f>IFERROR(RANK(B142,$B:$B,1)+COUNTIF($B$1:B141,B142),"")</f>
        <v/>
      </c>
      <c r="B142" t="str">
        <f>IFERROR(SEARCH(#REF!,Table4[[#This Row],[Commodity Title]],1),"")</f>
        <v/>
      </c>
      <c r="C142" s="35">
        <v>42141705</v>
      </c>
      <c r="D142" s="33" t="s">
        <v>1495</v>
      </c>
      <c r="E142" s="33" t="s">
        <v>1496</v>
      </c>
      <c r="F142" s="33" t="s">
        <v>1497</v>
      </c>
      <c r="G142" s="33" t="s">
        <v>1736</v>
      </c>
      <c r="H142" s="33" t="s">
        <v>1737</v>
      </c>
      <c r="I142" s="33" t="s">
        <v>1738</v>
      </c>
      <c r="J142" s="33">
        <v>114869</v>
      </c>
      <c r="K142" s="33" t="s">
        <v>1779</v>
      </c>
      <c r="L142" s="33" t="s">
        <v>1780</v>
      </c>
      <c r="M142" s="33" t="s">
        <v>1781</v>
      </c>
      <c r="N142" s="44">
        <v>42141705</v>
      </c>
      <c r="O142" s="33" t="s">
        <v>1790</v>
      </c>
      <c r="P142" s="33" t="s">
        <v>1791</v>
      </c>
      <c r="Q142" s="34" t="s">
        <v>1494</v>
      </c>
      <c r="R142" s="34" t="s">
        <v>1494</v>
      </c>
    </row>
    <row r="143" spans="1:18" ht="15" customHeight="1" x14ac:dyDescent="0.25">
      <c r="A143" t="str">
        <f>IFERROR(RANK(B143,$B:$B,1)+COUNTIF($B$1:B142,B143),"")</f>
        <v/>
      </c>
      <c r="B143" t="str">
        <f>IFERROR(SEARCH(#REF!,Table4[[#This Row],[Commodity Title]],1),"")</f>
        <v/>
      </c>
      <c r="C143" s="35">
        <v>42141706</v>
      </c>
      <c r="D143" s="33" t="s">
        <v>1495</v>
      </c>
      <c r="E143" s="33" t="s">
        <v>1496</v>
      </c>
      <c r="F143" s="33" t="s">
        <v>1497</v>
      </c>
      <c r="G143" s="33" t="s">
        <v>1736</v>
      </c>
      <c r="H143" s="33" t="s">
        <v>1737</v>
      </c>
      <c r="I143" s="33" t="s">
        <v>1738</v>
      </c>
      <c r="J143" s="33">
        <v>202371</v>
      </c>
      <c r="K143" s="33" t="s">
        <v>1779</v>
      </c>
      <c r="L143" s="33" t="s">
        <v>1780</v>
      </c>
      <c r="M143" s="33" t="s">
        <v>1781</v>
      </c>
      <c r="N143" s="44">
        <v>42141706</v>
      </c>
      <c r="O143" s="33" t="s">
        <v>1792</v>
      </c>
      <c r="P143" s="33" t="s">
        <v>1793</v>
      </c>
      <c r="Q143" s="34" t="s">
        <v>1494</v>
      </c>
      <c r="R143" s="34" t="s">
        <v>1494</v>
      </c>
    </row>
    <row r="144" spans="1:18" ht="15" customHeight="1" x14ac:dyDescent="0.25">
      <c r="A144" t="str">
        <f>IFERROR(RANK(B144,$B:$B,1)+COUNTIF($B$1:B143,B144),"")</f>
        <v/>
      </c>
      <c r="B144" t="str">
        <f>IFERROR(SEARCH(#REF!,Table4[[#This Row],[Commodity Title]],1),"")</f>
        <v/>
      </c>
      <c r="C144" s="33" t="s">
        <v>1494</v>
      </c>
      <c r="D144" s="33" t="s">
        <v>1495</v>
      </c>
      <c r="E144" s="33" t="s">
        <v>1496</v>
      </c>
      <c r="F144" s="33" t="s">
        <v>1497</v>
      </c>
      <c r="G144" s="33" t="s">
        <v>1736</v>
      </c>
      <c r="H144" s="33" t="s">
        <v>1737</v>
      </c>
      <c r="I144" s="33" t="s">
        <v>1738</v>
      </c>
      <c r="J144" s="33">
        <v>104282</v>
      </c>
      <c r="K144" s="33" t="s">
        <v>1794</v>
      </c>
      <c r="L144" s="33" t="s">
        <v>1795</v>
      </c>
      <c r="M144" s="33" t="s">
        <v>1796</v>
      </c>
      <c r="N144" s="44" t="s">
        <v>1494</v>
      </c>
      <c r="O144" s="33" t="s">
        <v>1494</v>
      </c>
      <c r="P144" s="33" t="s">
        <v>1494</v>
      </c>
      <c r="Q144" s="34" t="s">
        <v>1494</v>
      </c>
      <c r="R144" s="34" t="s">
        <v>1494</v>
      </c>
    </row>
    <row r="145" spans="1:18" ht="15" customHeight="1" x14ac:dyDescent="0.25">
      <c r="A145" t="str">
        <f>IFERROR(RANK(B145,$B:$B,1)+COUNTIF($B$1:B144,B145),"")</f>
        <v/>
      </c>
      <c r="B145" t="str">
        <f>IFERROR(SEARCH(#REF!,Table4[[#This Row],[Commodity Title]],1),"")</f>
        <v/>
      </c>
      <c r="C145" s="35">
        <v>42141801</v>
      </c>
      <c r="D145" s="33" t="s">
        <v>1495</v>
      </c>
      <c r="E145" s="33" t="s">
        <v>1496</v>
      </c>
      <c r="F145" s="33" t="s">
        <v>1497</v>
      </c>
      <c r="G145" s="33" t="s">
        <v>1736</v>
      </c>
      <c r="H145" s="33" t="s">
        <v>1737</v>
      </c>
      <c r="I145" s="33" t="s">
        <v>1738</v>
      </c>
      <c r="J145" s="33">
        <v>114871</v>
      </c>
      <c r="K145" s="33" t="s">
        <v>1794</v>
      </c>
      <c r="L145" s="33" t="s">
        <v>1795</v>
      </c>
      <c r="M145" s="33" t="s">
        <v>1796</v>
      </c>
      <c r="N145" s="44">
        <v>42141801</v>
      </c>
      <c r="O145" s="33" t="s">
        <v>1797</v>
      </c>
      <c r="P145" s="33" t="s">
        <v>1798</v>
      </c>
      <c r="Q145" s="34" t="s">
        <v>1494</v>
      </c>
      <c r="R145" s="34" t="s">
        <v>1494</v>
      </c>
    </row>
    <row r="146" spans="1:18" ht="15" customHeight="1" x14ac:dyDescent="0.25">
      <c r="A146" t="str">
        <f>IFERROR(RANK(B146,$B:$B,1)+COUNTIF($B$1:B145,B146),"")</f>
        <v/>
      </c>
      <c r="B146" t="str">
        <f>IFERROR(SEARCH(#REF!,Table4[[#This Row],[Commodity Title]],1),"")</f>
        <v/>
      </c>
      <c r="C146" s="35">
        <v>42141802</v>
      </c>
      <c r="D146" s="33" t="s">
        <v>1495</v>
      </c>
      <c r="E146" s="33" t="s">
        <v>1496</v>
      </c>
      <c r="F146" s="33" t="s">
        <v>1497</v>
      </c>
      <c r="G146" s="33" t="s">
        <v>1736</v>
      </c>
      <c r="H146" s="33" t="s">
        <v>1737</v>
      </c>
      <c r="I146" s="33" t="s">
        <v>1738</v>
      </c>
      <c r="J146" s="33">
        <v>114872</v>
      </c>
      <c r="K146" s="33" t="s">
        <v>1794</v>
      </c>
      <c r="L146" s="33" t="s">
        <v>1795</v>
      </c>
      <c r="M146" s="33" t="s">
        <v>1796</v>
      </c>
      <c r="N146" s="44">
        <v>42141802</v>
      </c>
      <c r="O146" s="33" t="s">
        <v>1799</v>
      </c>
      <c r="P146" s="33" t="s">
        <v>1800</v>
      </c>
      <c r="Q146" s="34" t="s">
        <v>1494</v>
      </c>
      <c r="R146" s="34" t="s">
        <v>1494</v>
      </c>
    </row>
    <row r="147" spans="1:18" ht="15" customHeight="1" x14ac:dyDescent="0.25">
      <c r="A147" t="str">
        <f>IFERROR(RANK(B147,$B:$B,1)+COUNTIF($B$1:B146,B147),"")</f>
        <v/>
      </c>
      <c r="B147" t="str">
        <f>IFERROR(SEARCH(#REF!,Table4[[#This Row],[Commodity Title]],1),"")</f>
        <v/>
      </c>
      <c r="C147" s="35">
        <v>42141803</v>
      </c>
      <c r="D147" s="33" t="s">
        <v>1495</v>
      </c>
      <c r="E147" s="33" t="s">
        <v>1496</v>
      </c>
      <c r="F147" s="33" t="s">
        <v>1497</v>
      </c>
      <c r="G147" s="33" t="s">
        <v>1736</v>
      </c>
      <c r="H147" s="33" t="s">
        <v>1737</v>
      </c>
      <c r="I147" s="33" t="s">
        <v>1738</v>
      </c>
      <c r="J147" s="33">
        <v>114873</v>
      </c>
      <c r="K147" s="33" t="s">
        <v>1794</v>
      </c>
      <c r="L147" s="33" t="s">
        <v>1795</v>
      </c>
      <c r="M147" s="33" t="s">
        <v>1796</v>
      </c>
      <c r="N147" s="44">
        <v>42141803</v>
      </c>
      <c r="O147" s="33" t="s">
        <v>1801</v>
      </c>
      <c r="P147" s="33" t="s">
        <v>1802</v>
      </c>
      <c r="Q147" s="34" t="s">
        <v>1494</v>
      </c>
      <c r="R147" s="34" t="s">
        <v>1494</v>
      </c>
    </row>
    <row r="148" spans="1:18" ht="15" customHeight="1" x14ac:dyDescent="0.25">
      <c r="A148" t="str">
        <f>IFERROR(RANK(B148,$B:$B,1)+COUNTIF($B$1:B147,B148),"")</f>
        <v/>
      </c>
      <c r="B148" t="str">
        <f>IFERROR(SEARCH(#REF!,Table4[[#This Row],[Commodity Title]],1),"")</f>
        <v/>
      </c>
      <c r="C148" s="35">
        <v>42141804</v>
      </c>
      <c r="D148" s="33" t="s">
        <v>1495</v>
      </c>
      <c r="E148" s="33" t="s">
        <v>1496</v>
      </c>
      <c r="F148" s="33" t="s">
        <v>1497</v>
      </c>
      <c r="G148" s="33" t="s">
        <v>1736</v>
      </c>
      <c r="H148" s="33" t="s">
        <v>1737</v>
      </c>
      <c r="I148" s="33" t="s">
        <v>1738</v>
      </c>
      <c r="J148" s="33">
        <v>114874</v>
      </c>
      <c r="K148" s="33" t="s">
        <v>1794</v>
      </c>
      <c r="L148" s="33" t="s">
        <v>1795</v>
      </c>
      <c r="M148" s="33" t="s">
        <v>1796</v>
      </c>
      <c r="N148" s="44">
        <v>42141804</v>
      </c>
      <c r="O148" s="33" t="s">
        <v>1803</v>
      </c>
      <c r="P148" s="33" t="s">
        <v>1804</v>
      </c>
      <c r="Q148" s="34" t="s">
        <v>1494</v>
      </c>
      <c r="R148" s="34" t="s">
        <v>1494</v>
      </c>
    </row>
    <row r="149" spans="1:18" ht="15" customHeight="1" x14ac:dyDescent="0.25">
      <c r="A149" t="str">
        <f>IFERROR(RANK(B149,$B:$B,1)+COUNTIF($B$1:B148,B149),"")</f>
        <v/>
      </c>
      <c r="B149" t="str">
        <f>IFERROR(SEARCH(#REF!,Table4[[#This Row],[Commodity Title]],1),"")</f>
        <v/>
      </c>
      <c r="C149" s="35">
        <v>42141805</v>
      </c>
      <c r="D149" s="33" t="s">
        <v>1495</v>
      </c>
      <c r="E149" s="33" t="s">
        <v>1496</v>
      </c>
      <c r="F149" s="33" t="s">
        <v>1497</v>
      </c>
      <c r="G149" s="33" t="s">
        <v>1736</v>
      </c>
      <c r="H149" s="33" t="s">
        <v>1737</v>
      </c>
      <c r="I149" s="33" t="s">
        <v>1738</v>
      </c>
      <c r="J149" s="33">
        <v>114875</v>
      </c>
      <c r="K149" s="33" t="s">
        <v>1794</v>
      </c>
      <c r="L149" s="33" t="s">
        <v>1795</v>
      </c>
      <c r="M149" s="33" t="s">
        <v>1796</v>
      </c>
      <c r="N149" s="44">
        <v>42141805</v>
      </c>
      <c r="O149" s="33" t="s">
        <v>1805</v>
      </c>
      <c r="P149" s="33" t="s">
        <v>1806</v>
      </c>
      <c r="Q149" s="34" t="s">
        <v>1494</v>
      </c>
      <c r="R149" s="34" t="s">
        <v>1494</v>
      </c>
    </row>
    <row r="150" spans="1:18" ht="15" customHeight="1" x14ac:dyDescent="0.25">
      <c r="A150" t="str">
        <f>IFERROR(RANK(B150,$B:$B,1)+COUNTIF($B$1:B149,B150),"")</f>
        <v/>
      </c>
      <c r="B150" t="str">
        <f>IFERROR(SEARCH(#REF!,Table4[[#This Row],[Commodity Title]],1),"")</f>
        <v/>
      </c>
      <c r="C150" s="35">
        <v>42141806</v>
      </c>
      <c r="D150" s="33" t="s">
        <v>1495</v>
      </c>
      <c r="E150" s="33" t="s">
        <v>1496</v>
      </c>
      <c r="F150" s="33" t="s">
        <v>1497</v>
      </c>
      <c r="G150" s="33" t="s">
        <v>1736</v>
      </c>
      <c r="H150" s="33" t="s">
        <v>1737</v>
      </c>
      <c r="I150" s="33" t="s">
        <v>1738</v>
      </c>
      <c r="J150" s="33">
        <v>104413</v>
      </c>
      <c r="K150" s="33" t="s">
        <v>1794</v>
      </c>
      <c r="L150" s="33" t="s">
        <v>1795</v>
      </c>
      <c r="M150" s="33" t="s">
        <v>1796</v>
      </c>
      <c r="N150" s="44">
        <v>42141806</v>
      </c>
      <c r="O150" s="33" t="s">
        <v>1807</v>
      </c>
      <c r="P150" s="33" t="s">
        <v>1808</v>
      </c>
      <c r="Q150" s="34" t="s">
        <v>1494</v>
      </c>
      <c r="R150" s="34" t="s">
        <v>1494</v>
      </c>
    </row>
    <row r="151" spans="1:18" ht="15" customHeight="1" x14ac:dyDescent="0.25">
      <c r="A151" t="str">
        <f>IFERROR(RANK(B151,$B:$B,1)+COUNTIF($B$1:B150,B151),"")</f>
        <v/>
      </c>
      <c r="B151" t="str">
        <f>IFERROR(SEARCH(#REF!,Table4[[#This Row],[Commodity Title]],1),"")</f>
        <v/>
      </c>
      <c r="C151" s="35">
        <v>42141807</v>
      </c>
      <c r="D151" s="33" t="s">
        <v>1495</v>
      </c>
      <c r="E151" s="33" t="s">
        <v>1496</v>
      </c>
      <c r="F151" s="33" t="s">
        <v>1497</v>
      </c>
      <c r="G151" s="33" t="s">
        <v>1736</v>
      </c>
      <c r="H151" s="33" t="s">
        <v>1737</v>
      </c>
      <c r="I151" s="33" t="s">
        <v>1738</v>
      </c>
      <c r="J151" s="33">
        <v>114877</v>
      </c>
      <c r="K151" s="33" t="s">
        <v>1794</v>
      </c>
      <c r="L151" s="33" t="s">
        <v>1795</v>
      </c>
      <c r="M151" s="33" t="s">
        <v>1796</v>
      </c>
      <c r="N151" s="44">
        <v>42141807</v>
      </c>
      <c r="O151" s="33" t="s">
        <v>1809</v>
      </c>
      <c r="P151" s="33" t="s">
        <v>1810</v>
      </c>
      <c r="Q151" s="34" t="s">
        <v>1494</v>
      </c>
      <c r="R151" s="34" t="s">
        <v>1494</v>
      </c>
    </row>
    <row r="152" spans="1:18" ht="15" customHeight="1" x14ac:dyDescent="0.25">
      <c r="A152" t="str">
        <f>IFERROR(RANK(B152,$B:$B,1)+COUNTIF($B$1:B151,B152),"")</f>
        <v/>
      </c>
      <c r="B152" t="str">
        <f>IFERROR(SEARCH(#REF!,Table4[[#This Row],[Commodity Title]],1),"")</f>
        <v/>
      </c>
      <c r="C152" s="35">
        <v>42141808</v>
      </c>
      <c r="D152" s="33" t="s">
        <v>1495</v>
      </c>
      <c r="E152" s="33" t="s">
        <v>1496</v>
      </c>
      <c r="F152" s="33" t="s">
        <v>1497</v>
      </c>
      <c r="G152" s="33" t="s">
        <v>1736</v>
      </c>
      <c r="H152" s="33" t="s">
        <v>1737</v>
      </c>
      <c r="I152" s="33" t="s">
        <v>1738</v>
      </c>
      <c r="J152" s="33">
        <v>142298</v>
      </c>
      <c r="K152" s="33" t="s">
        <v>1794</v>
      </c>
      <c r="L152" s="33" t="s">
        <v>1795</v>
      </c>
      <c r="M152" s="33" t="s">
        <v>1796</v>
      </c>
      <c r="N152" s="44">
        <v>42141808</v>
      </c>
      <c r="O152" s="33" t="s">
        <v>1811</v>
      </c>
      <c r="P152" s="33" t="s">
        <v>1812</v>
      </c>
      <c r="Q152" s="34" t="s">
        <v>1494</v>
      </c>
      <c r="R152" s="34" t="s">
        <v>1494</v>
      </c>
    </row>
    <row r="153" spans="1:18" ht="15" customHeight="1" x14ac:dyDescent="0.25">
      <c r="A153" t="str">
        <f>IFERROR(RANK(B153,$B:$B,1)+COUNTIF($B$1:B152,B153),"")</f>
        <v/>
      </c>
      <c r="B153" t="str">
        <f>IFERROR(SEARCH(#REF!,Table4[[#This Row],[Commodity Title]],1),"")</f>
        <v/>
      </c>
      <c r="C153" s="35">
        <v>42141809</v>
      </c>
      <c r="D153" s="33" t="s">
        <v>1495</v>
      </c>
      <c r="E153" s="33" t="s">
        <v>1496</v>
      </c>
      <c r="F153" s="33" t="s">
        <v>1497</v>
      </c>
      <c r="G153" s="33" t="s">
        <v>1736</v>
      </c>
      <c r="H153" s="33" t="s">
        <v>1737</v>
      </c>
      <c r="I153" s="33" t="s">
        <v>1738</v>
      </c>
      <c r="J153" s="33">
        <v>142299</v>
      </c>
      <c r="K153" s="33" t="s">
        <v>1794</v>
      </c>
      <c r="L153" s="33" t="s">
        <v>1795</v>
      </c>
      <c r="M153" s="33" t="s">
        <v>1796</v>
      </c>
      <c r="N153" s="44">
        <v>42141809</v>
      </c>
      <c r="O153" s="33" t="s">
        <v>1813</v>
      </c>
      <c r="P153" s="33" t="s">
        <v>1814</v>
      </c>
      <c r="Q153" s="34" t="s">
        <v>1494</v>
      </c>
      <c r="R153" s="34" t="s">
        <v>1494</v>
      </c>
    </row>
    <row r="154" spans="1:18" ht="15" customHeight="1" x14ac:dyDescent="0.25">
      <c r="A154" t="str">
        <f>IFERROR(RANK(B154,$B:$B,1)+COUNTIF($B$1:B153,B154),"")</f>
        <v/>
      </c>
      <c r="B154" t="str">
        <f>IFERROR(SEARCH(#REF!,Table4[[#This Row],[Commodity Title]],1),"")</f>
        <v/>
      </c>
      <c r="C154" s="35">
        <v>42141810</v>
      </c>
      <c r="D154" s="33" t="s">
        <v>1495</v>
      </c>
      <c r="E154" s="33" t="s">
        <v>1496</v>
      </c>
      <c r="F154" s="33" t="s">
        <v>1497</v>
      </c>
      <c r="G154" s="33" t="s">
        <v>1736</v>
      </c>
      <c r="H154" s="33" t="s">
        <v>1737</v>
      </c>
      <c r="I154" s="33" t="s">
        <v>1738</v>
      </c>
      <c r="J154" s="33">
        <v>164852</v>
      </c>
      <c r="K154" s="33" t="s">
        <v>1794</v>
      </c>
      <c r="L154" s="33" t="s">
        <v>1795</v>
      </c>
      <c r="M154" s="33" t="s">
        <v>1796</v>
      </c>
      <c r="N154" s="44">
        <v>42141810</v>
      </c>
      <c r="O154" s="33" t="s">
        <v>1815</v>
      </c>
      <c r="P154" s="33" t="s">
        <v>1816</v>
      </c>
      <c r="Q154" s="34" t="s">
        <v>1494</v>
      </c>
      <c r="R154" s="34" t="s">
        <v>1494</v>
      </c>
    </row>
    <row r="155" spans="1:18" ht="15" customHeight="1" x14ac:dyDescent="0.25">
      <c r="A155" t="str">
        <f>IFERROR(RANK(B155,$B:$B,1)+COUNTIF($B$1:B154,B155),"")</f>
        <v/>
      </c>
      <c r="B155" t="str">
        <f>IFERROR(SEARCH(#REF!,Table4[[#This Row],[Commodity Title]],1),"")</f>
        <v/>
      </c>
      <c r="C155" s="35">
        <v>42141811</v>
      </c>
      <c r="D155" s="33" t="s">
        <v>1495</v>
      </c>
      <c r="E155" s="33" t="s">
        <v>1496</v>
      </c>
      <c r="F155" s="33" t="s">
        <v>1497</v>
      </c>
      <c r="G155" s="33" t="s">
        <v>1736</v>
      </c>
      <c r="H155" s="33" t="s">
        <v>1737</v>
      </c>
      <c r="I155" s="33" t="s">
        <v>1738</v>
      </c>
      <c r="J155" s="33">
        <v>164853</v>
      </c>
      <c r="K155" s="33" t="s">
        <v>1794</v>
      </c>
      <c r="L155" s="33" t="s">
        <v>1795</v>
      </c>
      <c r="M155" s="33" t="s">
        <v>1796</v>
      </c>
      <c r="N155" s="44">
        <v>42141811</v>
      </c>
      <c r="O155" s="33" t="s">
        <v>1817</v>
      </c>
      <c r="P155" s="33" t="s">
        <v>1818</v>
      </c>
      <c r="Q155" s="34" t="s">
        <v>1494</v>
      </c>
      <c r="R155" s="34" t="s">
        <v>1494</v>
      </c>
    </row>
    <row r="156" spans="1:18" ht="15" customHeight="1" x14ac:dyDescent="0.25">
      <c r="A156" t="str">
        <f>IFERROR(RANK(B156,$B:$B,1)+COUNTIF($B$1:B155,B156),"")</f>
        <v/>
      </c>
      <c r="B156" t="str">
        <f>IFERROR(SEARCH(#REF!,Table4[[#This Row],[Commodity Title]],1),"")</f>
        <v/>
      </c>
      <c r="C156" s="35">
        <v>42141812</v>
      </c>
      <c r="D156" s="33" t="s">
        <v>1495</v>
      </c>
      <c r="E156" s="33" t="s">
        <v>1496</v>
      </c>
      <c r="F156" s="33" t="s">
        <v>1497</v>
      </c>
      <c r="G156" s="33" t="s">
        <v>1736</v>
      </c>
      <c r="H156" s="33" t="s">
        <v>1737</v>
      </c>
      <c r="I156" s="33" t="s">
        <v>1738</v>
      </c>
      <c r="J156" s="33">
        <v>174306</v>
      </c>
      <c r="K156" s="33" t="s">
        <v>1794</v>
      </c>
      <c r="L156" s="33" t="s">
        <v>1795</v>
      </c>
      <c r="M156" s="33" t="s">
        <v>1796</v>
      </c>
      <c r="N156" s="44">
        <v>42141812</v>
      </c>
      <c r="O156" s="33" t="s">
        <v>1819</v>
      </c>
      <c r="P156" s="33" t="s">
        <v>1820</v>
      </c>
      <c r="Q156" s="34" t="s">
        <v>1494</v>
      </c>
      <c r="R156" s="34" t="s">
        <v>1494</v>
      </c>
    </row>
    <row r="157" spans="1:18" ht="15" customHeight="1" x14ac:dyDescent="0.25">
      <c r="A157" t="str">
        <f>IFERROR(RANK(B157,$B:$B,1)+COUNTIF($B$1:B156,B157),"")</f>
        <v/>
      </c>
      <c r="B157" t="str">
        <f>IFERROR(SEARCH(#REF!,Table4[[#This Row],[Commodity Title]],1),"")</f>
        <v/>
      </c>
      <c r="C157" s="35">
        <v>42141813</v>
      </c>
      <c r="D157" s="33" t="s">
        <v>1495</v>
      </c>
      <c r="E157" s="33" t="s">
        <v>1496</v>
      </c>
      <c r="F157" s="33" t="s">
        <v>1497</v>
      </c>
      <c r="G157" s="33" t="s">
        <v>1736</v>
      </c>
      <c r="H157" s="33" t="s">
        <v>1737</v>
      </c>
      <c r="I157" s="33" t="s">
        <v>1738</v>
      </c>
      <c r="J157" s="33">
        <v>174307</v>
      </c>
      <c r="K157" s="33" t="s">
        <v>1794</v>
      </c>
      <c r="L157" s="33" t="s">
        <v>1795</v>
      </c>
      <c r="M157" s="33" t="s">
        <v>1796</v>
      </c>
      <c r="N157" s="44">
        <v>42141813</v>
      </c>
      <c r="O157" s="33" t="s">
        <v>1821</v>
      </c>
      <c r="P157" s="33" t="s">
        <v>1822</v>
      </c>
      <c r="Q157" s="34" t="s">
        <v>1494</v>
      </c>
      <c r="R157" s="34" t="s">
        <v>1494</v>
      </c>
    </row>
    <row r="158" spans="1:18" ht="15" customHeight="1" x14ac:dyDescent="0.25">
      <c r="A158" t="str">
        <f>IFERROR(RANK(B158,$B:$B,1)+COUNTIF($B$1:B157,B158),"")</f>
        <v/>
      </c>
      <c r="B158" t="str">
        <f>IFERROR(SEARCH(#REF!,Table4[[#This Row],[Commodity Title]],1),"")</f>
        <v/>
      </c>
      <c r="C158" s="35">
        <v>42141814</v>
      </c>
      <c r="D158" s="33" t="s">
        <v>1495</v>
      </c>
      <c r="E158" s="33" t="s">
        <v>1496</v>
      </c>
      <c r="F158" s="33" t="s">
        <v>1497</v>
      </c>
      <c r="G158" s="33" t="s">
        <v>1736</v>
      </c>
      <c r="H158" s="33" t="s">
        <v>1737</v>
      </c>
      <c r="I158" s="33" t="s">
        <v>1738</v>
      </c>
      <c r="J158" s="33">
        <v>174308</v>
      </c>
      <c r="K158" s="33" t="s">
        <v>1794</v>
      </c>
      <c r="L158" s="33" t="s">
        <v>1795</v>
      </c>
      <c r="M158" s="33" t="s">
        <v>1796</v>
      </c>
      <c r="N158" s="44">
        <v>42141814</v>
      </c>
      <c r="O158" s="33" t="s">
        <v>1823</v>
      </c>
      <c r="P158" s="33" t="s">
        <v>1824</v>
      </c>
      <c r="Q158" s="34" t="s">
        <v>1494</v>
      </c>
      <c r="R158" s="34" t="s">
        <v>1494</v>
      </c>
    </row>
    <row r="159" spans="1:18" ht="15" customHeight="1" x14ac:dyDescent="0.25">
      <c r="A159" t="str">
        <f>IFERROR(RANK(B159,$B:$B,1)+COUNTIF($B$1:B158,B159),"")</f>
        <v/>
      </c>
      <c r="B159" t="str">
        <f>IFERROR(SEARCH(#REF!,Table4[[#This Row],[Commodity Title]],1),"")</f>
        <v/>
      </c>
      <c r="C159" s="35">
        <v>42141815</v>
      </c>
      <c r="D159" s="33" t="s">
        <v>1495</v>
      </c>
      <c r="E159" s="33" t="s">
        <v>1496</v>
      </c>
      <c r="F159" s="33" t="s">
        <v>1497</v>
      </c>
      <c r="G159" s="33" t="s">
        <v>1736</v>
      </c>
      <c r="H159" s="33" t="s">
        <v>1737</v>
      </c>
      <c r="I159" s="33" t="s">
        <v>1738</v>
      </c>
      <c r="J159" s="33">
        <v>174309</v>
      </c>
      <c r="K159" s="33" t="s">
        <v>1794</v>
      </c>
      <c r="L159" s="33" t="s">
        <v>1795</v>
      </c>
      <c r="M159" s="33" t="s">
        <v>1796</v>
      </c>
      <c r="N159" s="44">
        <v>42141815</v>
      </c>
      <c r="O159" s="33" t="s">
        <v>1825</v>
      </c>
      <c r="P159" s="33" t="s">
        <v>1826</v>
      </c>
      <c r="Q159" s="34" t="s">
        <v>1494</v>
      </c>
      <c r="R159" s="34" t="s">
        <v>1494</v>
      </c>
    </row>
    <row r="160" spans="1:18" ht="15" customHeight="1" x14ac:dyDescent="0.25">
      <c r="A160" t="str">
        <f>IFERROR(RANK(B160,$B:$B,1)+COUNTIF($B$1:B159,B160),"")</f>
        <v/>
      </c>
      <c r="B160" t="str">
        <f>IFERROR(SEARCH(#REF!,Table4[[#This Row],[Commodity Title]],1),"")</f>
        <v/>
      </c>
      <c r="C160" s="35">
        <v>42141816</v>
      </c>
      <c r="D160" s="33" t="s">
        <v>1495</v>
      </c>
      <c r="E160" s="33" t="s">
        <v>1496</v>
      </c>
      <c r="F160" s="33" t="s">
        <v>1497</v>
      </c>
      <c r="G160" s="33" t="s">
        <v>1736</v>
      </c>
      <c r="H160" s="33" t="s">
        <v>1737</v>
      </c>
      <c r="I160" s="33" t="s">
        <v>1738</v>
      </c>
      <c r="J160" s="33">
        <v>174310</v>
      </c>
      <c r="K160" s="33" t="s">
        <v>1794</v>
      </c>
      <c r="L160" s="33" t="s">
        <v>1795</v>
      </c>
      <c r="M160" s="33" t="s">
        <v>1796</v>
      </c>
      <c r="N160" s="44">
        <v>42141816</v>
      </c>
      <c r="O160" s="33" t="s">
        <v>1827</v>
      </c>
      <c r="P160" s="33" t="s">
        <v>1828</v>
      </c>
      <c r="Q160" s="34" t="s">
        <v>1494</v>
      </c>
      <c r="R160" s="34" t="s">
        <v>1494</v>
      </c>
    </row>
    <row r="161" spans="1:18" ht="15" customHeight="1" x14ac:dyDescent="0.25">
      <c r="A161" t="str">
        <f>IFERROR(RANK(B161,$B:$B,1)+COUNTIF($B$1:B160,B161),"")</f>
        <v/>
      </c>
      <c r="B161" t="str">
        <f>IFERROR(SEARCH(#REF!,Table4[[#This Row],[Commodity Title]],1),"")</f>
        <v/>
      </c>
      <c r="C161" s="35">
        <v>42141817</v>
      </c>
      <c r="D161" s="33" t="s">
        <v>1495</v>
      </c>
      <c r="E161" s="33" t="s">
        <v>1496</v>
      </c>
      <c r="F161" s="33" t="s">
        <v>1497</v>
      </c>
      <c r="G161" s="33" t="s">
        <v>1736</v>
      </c>
      <c r="H161" s="33" t="s">
        <v>1737</v>
      </c>
      <c r="I161" s="33" t="s">
        <v>1738</v>
      </c>
      <c r="J161" s="33">
        <v>174311</v>
      </c>
      <c r="K161" s="33" t="s">
        <v>1794</v>
      </c>
      <c r="L161" s="33" t="s">
        <v>1795</v>
      </c>
      <c r="M161" s="33" t="s">
        <v>1796</v>
      </c>
      <c r="N161" s="44">
        <v>42141817</v>
      </c>
      <c r="O161" s="33" t="s">
        <v>1829</v>
      </c>
      <c r="P161" s="33" t="s">
        <v>1830</v>
      </c>
      <c r="Q161" s="34" t="s">
        <v>1494</v>
      </c>
      <c r="R161" s="34" t="s">
        <v>1494</v>
      </c>
    </row>
    <row r="162" spans="1:18" ht="15" customHeight="1" x14ac:dyDescent="0.25">
      <c r="A162" t="str">
        <f>IFERROR(RANK(B162,$B:$B,1)+COUNTIF($B$1:B161,B162),"")</f>
        <v/>
      </c>
      <c r="B162" t="str">
        <f>IFERROR(SEARCH(#REF!,Table4[[#This Row],[Commodity Title]],1),"")</f>
        <v/>
      </c>
      <c r="C162" s="35">
        <v>42141818</v>
      </c>
      <c r="D162" s="33" t="s">
        <v>1495</v>
      </c>
      <c r="E162" s="33" t="s">
        <v>1496</v>
      </c>
      <c r="F162" s="33" t="s">
        <v>1497</v>
      </c>
      <c r="G162" s="33" t="s">
        <v>1736</v>
      </c>
      <c r="H162" s="33" t="s">
        <v>1737</v>
      </c>
      <c r="I162" s="33" t="s">
        <v>1738</v>
      </c>
      <c r="J162" s="33">
        <v>202372</v>
      </c>
      <c r="K162" s="33" t="s">
        <v>1794</v>
      </c>
      <c r="L162" s="33" t="s">
        <v>1795</v>
      </c>
      <c r="M162" s="33" t="s">
        <v>1796</v>
      </c>
      <c r="N162" s="44">
        <v>42141818</v>
      </c>
      <c r="O162" s="33" t="s">
        <v>1831</v>
      </c>
      <c r="P162" s="33" t="s">
        <v>1832</v>
      </c>
      <c r="Q162" s="34" t="s">
        <v>1494</v>
      </c>
      <c r="R162" s="34" t="s">
        <v>1494</v>
      </c>
    </row>
    <row r="163" spans="1:18" ht="15" customHeight="1" x14ac:dyDescent="0.25">
      <c r="A163" t="str">
        <f>IFERROR(RANK(B163,$B:$B,1)+COUNTIF($B$1:B162,B163),"")</f>
        <v/>
      </c>
      <c r="B163" t="str">
        <f>IFERROR(SEARCH(#REF!,Table4[[#This Row],[Commodity Title]],1),"")</f>
        <v/>
      </c>
      <c r="C163" s="35">
        <v>42141819</v>
      </c>
      <c r="D163" s="33" t="s">
        <v>1495</v>
      </c>
      <c r="E163" s="33" t="s">
        <v>1496</v>
      </c>
      <c r="F163" s="33" t="s">
        <v>1497</v>
      </c>
      <c r="G163" s="33" t="s">
        <v>1736</v>
      </c>
      <c r="H163" s="33" t="s">
        <v>1737</v>
      </c>
      <c r="I163" s="33" t="s">
        <v>1738</v>
      </c>
      <c r="J163" s="33">
        <v>202373</v>
      </c>
      <c r="K163" s="33" t="s">
        <v>1794</v>
      </c>
      <c r="L163" s="33" t="s">
        <v>1795</v>
      </c>
      <c r="M163" s="33" t="s">
        <v>1796</v>
      </c>
      <c r="N163" s="44">
        <v>42141819</v>
      </c>
      <c r="O163" s="33" t="s">
        <v>1833</v>
      </c>
      <c r="P163" s="33" t="s">
        <v>1834</v>
      </c>
      <c r="Q163" s="34" t="s">
        <v>1494</v>
      </c>
      <c r="R163" s="34" t="s">
        <v>1494</v>
      </c>
    </row>
    <row r="164" spans="1:18" ht="15" customHeight="1" x14ac:dyDescent="0.25">
      <c r="A164" t="str">
        <f>IFERROR(RANK(B164,$B:$B,1)+COUNTIF($B$1:B163,B164),"")</f>
        <v/>
      </c>
      <c r="B164" t="str">
        <f>IFERROR(SEARCH(#REF!,Table4[[#This Row],[Commodity Title]],1),"")</f>
        <v/>
      </c>
      <c r="C164" s="35">
        <v>42141820</v>
      </c>
      <c r="D164" s="33" t="s">
        <v>1495</v>
      </c>
      <c r="E164" s="33" t="s">
        <v>1496</v>
      </c>
      <c r="F164" s="33" t="s">
        <v>1497</v>
      </c>
      <c r="G164" s="33" t="s">
        <v>1736</v>
      </c>
      <c r="H164" s="33" t="s">
        <v>1737</v>
      </c>
      <c r="I164" s="33" t="s">
        <v>1738</v>
      </c>
      <c r="J164" s="33">
        <v>202374</v>
      </c>
      <c r="K164" s="33" t="s">
        <v>1794</v>
      </c>
      <c r="L164" s="33" t="s">
        <v>1795</v>
      </c>
      <c r="M164" s="33" t="s">
        <v>1796</v>
      </c>
      <c r="N164" s="44">
        <v>42141820</v>
      </c>
      <c r="O164" s="33" t="s">
        <v>1835</v>
      </c>
      <c r="P164" s="33" t="s">
        <v>1836</v>
      </c>
      <c r="Q164" s="34" t="s">
        <v>1494</v>
      </c>
      <c r="R164" s="34" t="s">
        <v>1494</v>
      </c>
    </row>
    <row r="165" spans="1:18" ht="15" customHeight="1" x14ac:dyDescent="0.25">
      <c r="A165" t="str">
        <f>IFERROR(RANK(B165,$B:$B,1)+COUNTIF($B$1:B164,B165),"")</f>
        <v/>
      </c>
      <c r="B165" t="str">
        <f>IFERROR(SEARCH(#REF!,Table4[[#This Row],[Commodity Title]],1),"")</f>
        <v/>
      </c>
      <c r="C165" s="35">
        <v>42141821</v>
      </c>
      <c r="D165" s="33" t="s">
        <v>1495</v>
      </c>
      <c r="E165" s="33" t="s">
        <v>1496</v>
      </c>
      <c r="F165" s="33" t="s">
        <v>1497</v>
      </c>
      <c r="G165" s="33" t="s">
        <v>1736</v>
      </c>
      <c r="H165" s="33" t="s">
        <v>1737</v>
      </c>
      <c r="I165" s="33" t="s">
        <v>1738</v>
      </c>
      <c r="J165" s="33">
        <v>202375</v>
      </c>
      <c r="K165" s="33" t="s">
        <v>1794</v>
      </c>
      <c r="L165" s="33" t="s">
        <v>1795</v>
      </c>
      <c r="M165" s="33" t="s">
        <v>1796</v>
      </c>
      <c r="N165" s="44">
        <v>42141821</v>
      </c>
      <c r="O165" s="33" t="s">
        <v>1837</v>
      </c>
      <c r="P165" s="33" t="s">
        <v>1838</v>
      </c>
      <c r="Q165" s="34" t="s">
        <v>1494</v>
      </c>
      <c r="R165" s="34" t="s">
        <v>1494</v>
      </c>
    </row>
    <row r="166" spans="1:18" ht="15" customHeight="1" x14ac:dyDescent="0.25">
      <c r="A166" t="str">
        <f>IFERROR(RANK(B166,$B:$B,1)+COUNTIF($B$1:B165,B166),"")</f>
        <v/>
      </c>
      <c r="B166" t="str">
        <f>IFERROR(SEARCH(#REF!,Table4[[#This Row],[Commodity Title]],1),"")</f>
        <v/>
      </c>
      <c r="C166" s="35">
        <v>42141822</v>
      </c>
      <c r="D166" s="33" t="s">
        <v>1495</v>
      </c>
      <c r="E166" s="33" t="s">
        <v>1496</v>
      </c>
      <c r="F166" s="33" t="s">
        <v>1497</v>
      </c>
      <c r="G166" s="33" t="s">
        <v>1736</v>
      </c>
      <c r="H166" s="33" t="s">
        <v>1737</v>
      </c>
      <c r="I166" s="33" t="s">
        <v>1738</v>
      </c>
      <c r="J166" s="33">
        <v>202376</v>
      </c>
      <c r="K166" s="33" t="s">
        <v>1794</v>
      </c>
      <c r="L166" s="33" t="s">
        <v>1795</v>
      </c>
      <c r="M166" s="33" t="s">
        <v>1796</v>
      </c>
      <c r="N166" s="44">
        <v>42141822</v>
      </c>
      <c r="O166" s="33" t="s">
        <v>1839</v>
      </c>
      <c r="P166" s="33" t="s">
        <v>1840</v>
      </c>
      <c r="Q166" s="34" t="s">
        <v>1494</v>
      </c>
      <c r="R166" s="34" t="s">
        <v>1494</v>
      </c>
    </row>
    <row r="167" spans="1:18" ht="15" customHeight="1" x14ac:dyDescent="0.25">
      <c r="A167" t="str">
        <f>IFERROR(RANK(B167,$B:$B,1)+COUNTIF($B$1:B166,B167),"")</f>
        <v/>
      </c>
      <c r="B167" t="str">
        <f>IFERROR(SEARCH(#REF!,Table4[[#This Row],[Commodity Title]],1),"")</f>
        <v/>
      </c>
      <c r="C167" s="35">
        <v>42141823</v>
      </c>
      <c r="D167" s="33" t="s">
        <v>1495</v>
      </c>
      <c r="E167" s="33" t="s">
        <v>1496</v>
      </c>
      <c r="F167" s="33" t="s">
        <v>1497</v>
      </c>
      <c r="G167" s="33" t="s">
        <v>1736</v>
      </c>
      <c r="H167" s="33" t="s">
        <v>1737</v>
      </c>
      <c r="I167" s="33" t="s">
        <v>1738</v>
      </c>
      <c r="J167" s="33">
        <v>202377</v>
      </c>
      <c r="K167" s="33" t="s">
        <v>1794</v>
      </c>
      <c r="L167" s="33" t="s">
        <v>1795</v>
      </c>
      <c r="M167" s="33" t="s">
        <v>1796</v>
      </c>
      <c r="N167" s="44">
        <v>42141823</v>
      </c>
      <c r="O167" s="33" t="s">
        <v>1841</v>
      </c>
      <c r="P167" s="33" t="s">
        <v>1842</v>
      </c>
      <c r="Q167" s="34" t="s">
        <v>1494</v>
      </c>
      <c r="R167" s="34" t="s">
        <v>1494</v>
      </c>
    </row>
    <row r="168" spans="1:18" ht="15" customHeight="1" x14ac:dyDescent="0.25">
      <c r="A168" t="str">
        <f>IFERROR(RANK(B168,$B:$B,1)+COUNTIF($B$1:B167,B168),"")</f>
        <v/>
      </c>
      <c r="B168" t="str">
        <f>IFERROR(SEARCH(#REF!,Table4[[#This Row],[Commodity Title]],1),"")</f>
        <v/>
      </c>
      <c r="C168" s="35">
        <v>42141824</v>
      </c>
      <c r="D168" s="33" t="s">
        <v>1495</v>
      </c>
      <c r="E168" s="33" t="s">
        <v>1496</v>
      </c>
      <c r="F168" s="33" t="s">
        <v>1497</v>
      </c>
      <c r="G168" s="33" t="s">
        <v>1736</v>
      </c>
      <c r="H168" s="33" t="s">
        <v>1737</v>
      </c>
      <c r="I168" s="33" t="s">
        <v>1738</v>
      </c>
      <c r="J168" s="33">
        <v>202378</v>
      </c>
      <c r="K168" s="33" t="s">
        <v>1794</v>
      </c>
      <c r="L168" s="33" t="s">
        <v>1795</v>
      </c>
      <c r="M168" s="33" t="s">
        <v>1796</v>
      </c>
      <c r="N168" s="44">
        <v>42141824</v>
      </c>
      <c r="O168" s="33" t="s">
        <v>1843</v>
      </c>
      <c r="P168" s="33" t="s">
        <v>1844</v>
      </c>
      <c r="Q168" s="34" t="s">
        <v>1494</v>
      </c>
      <c r="R168" s="34" t="s">
        <v>1494</v>
      </c>
    </row>
    <row r="169" spans="1:18" ht="15" customHeight="1" x14ac:dyDescent="0.25">
      <c r="A169" t="str">
        <f>IFERROR(RANK(B169,$B:$B,1)+COUNTIF($B$1:B168,B169),"")</f>
        <v/>
      </c>
      <c r="B169" t="str">
        <f>IFERROR(SEARCH(#REF!,Table4[[#This Row],[Commodity Title]],1),"")</f>
        <v/>
      </c>
      <c r="C169" s="35">
        <v>42141825</v>
      </c>
      <c r="D169" s="33" t="s">
        <v>1495</v>
      </c>
      <c r="E169" s="33" t="s">
        <v>1496</v>
      </c>
      <c r="F169" s="33" t="s">
        <v>1497</v>
      </c>
      <c r="G169" s="33" t="s">
        <v>1736</v>
      </c>
      <c r="H169" s="33" t="s">
        <v>1737</v>
      </c>
      <c r="I169" s="33" t="s">
        <v>1738</v>
      </c>
      <c r="J169" s="33">
        <v>208410</v>
      </c>
      <c r="K169" s="33" t="s">
        <v>1794</v>
      </c>
      <c r="L169" s="33" t="s">
        <v>1795</v>
      </c>
      <c r="M169" s="33" t="s">
        <v>1796</v>
      </c>
      <c r="N169" s="44">
        <v>42141825</v>
      </c>
      <c r="O169" s="33" t="s">
        <v>1845</v>
      </c>
      <c r="P169" s="33" t="s">
        <v>1846</v>
      </c>
      <c r="Q169" s="34" t="s">
        <v>1494</v>
      </c>
      <c r="R169" s="34" t="s">
        <v>1494</v>
      </c>
    </row>
    <row r="170" spans="1:18" ht="15" customHeight="1" x14ac:dyDescent="0.25">
      <c r="A170" t="str">
        <f>IFERROR(RANK(B170,$B:$B,1)+COUNTIF($B$1:B169,B170),"")</f>
        <v/>
      </c>
      <c r="B170" t="str">
        <f>IFERROR(SEARCH(#REF!,Table4[[#This Row],[Commodity Title]],1),"")</f>
        <v/>
      </c>
      <c r="C170" s="33" t="s">
        <v>1494</v>
      </c>
      <c r="D170" s="33" t="s">
        <v>1495</v>
      </c>
      <c r="E170" s="33" t="s">
        <v>1496</v>
      </c>
      <c r="F170" s="33" t="s">
        <v>1497</v>
      </c>
      <c r="G170" s="33" t="s">
        <v>1736</v>
      </c>
      <c r="H170" s="33" t="s">
        <v>1737</v>
      </c>
      <c r="I170" s="33" t="s">
        <v>1738</v>
      </c>
      <c r="J170" s="33">
        <v>114878</v>
      </c>
      <c r="K170" s="33" t="s">
        <v>1847</v>
      </c>
      <c r="L170" s="33" t="s">
        <v>1848</v>
      </c>
      <c r="M170" s="33" t="s">
        <v>1849</v>
      </c>
      <c r="N170" s="44" t="s">
        <v>1494</v>
      </c>
      <c r="O170" s="33" t="s">
        <v>1494</v>
      </c>
      <c r="P170" s="33" t="s">
        <v>1494</v>
      </c>
      <c r="Q170" s="34" t="s">
        <v>1494</v>
      </c>
      <c r="R170" s="34" t="s">
        <v>1494</v>
      </c>
    </row>
    <row r="171" spans="1:18" ht="15" customHeight="1" x14ac:dyDescent="0.25">
      <c r="A171" t="str">
        <f>IFERROR(RANK(B171,$B:$B,1)+COUNTIF($B$1:B170,B171),"")</f>
        <v/>
      </c>
      <c r="B171" t="str">
        <f>IFERROR(SEARCH(#REF!,Table4[[#This Row],[Commodity Title]],1),"")</f>
        <v/>
      </c>
      <c r="C171" s="35">
        <v>42141903</v>
      </c>
      <c r="D171" s="33" t="s">
        <v>1495</v>
      </c>
      <c r="E171" s="33" t="s">
        <v>1496</v>
      </c>
      <c r="F171" s="33" t="s">
        <v>1497</v>
      </c>
      <c r="G171" s="33" t="s">
        <v>1736</v>
      </c>
      <c r="H171" s="33" t="s">
        <v>1737</v>
      </c>
      <c r="I171" s="33" t="s">
        <v>1738</v>
      </c>
      <c r="J171" s="33">
        <v>114881</v>
      </c>
      <c r="K171" s="33" t="s">
        <v>1847</v>
      </c>
      <c r="L171" s="33" t="s">
        <v>1848</v>
      </c>
      <c r="M171" s="33" t="s">
        <v>1849</v>
      </c>
      <c r="N171" s="44">
        <v>42141903</v>
      </c>
      <c r="O171" s="33" t="s">
        <v>1850</v>
      </c>
      <c r="P171" s="33" t="s">
        <v>1851</v>
      </c>
      <c r="Q171" s="34" t="s">
        <v>1494</v>
      </c>
      <c r="R171" s="34" t="s">
        <v>1494</v>
      </c>
    </row>
    <row r="172" spans="1:18" ht="15" customHeight="1" x14ac:dyDescent="0.25">
      <c r="A172" t="str">
        <f>IFERROR(RANK(B172,$B:$B,1)+COUNTIF($B$1:B171,B172),"")</f>
        <v/>
      </c>
      <c r="B172" t="str">
        <f>IFERROR(SEARCH(#REF!,Table4[[#This Row],[Commodity Title]],1),"")</f>
        <v/>
      </c>
      <c r="C172" s="35">
        <v>42141904</v>
      </c>
      <c r="D172" s="33" t="s">
        <v>1495</v>
      </c>
      <c r="E172" s="33" t="s">
        <v>1496</v>
      </c>
      <c r="F172" s="33" t="s">
        <v>1497</v>
      </c>
      <c r="G172" s="33" t="s">
        <v>1736</v>
      </c>
      <c r="H172" s="33" t="s">
        <v>1737</v>
      </c>
      <c r="I172" s="33" t="s">
        <v>1738</v>
      </c>
      <c r="J172" s="33">
        <v>114882</v>
      </c>
      <c r="K172" s="33" t="s">
        <v>1847</v>
      </c>
      <c r="L172" s="33" t="s">
        <v>1848</v>
      </c>
      <c r="M172" s="33" t="s">
        <v>1849</v>
      </c>
      <c r="N172" s="44">
        <v>42141904</v>
      </c>
      <c r="O172" s="33" t="s">
        <v>1852</v>
      </c>
      <c r="P172" s="33" t="s">
        <v>1853</v>
      </c>
      <c r="Q172" s="34" t="s">
        <v>1494</v>
      </c>
      <c r="R172" s="34" t="s">
        <v>1494</v>
      </c>
    </row>
    <row r="173" spans="1:18" ht="15" customHeight="1" x14ac:dyDescent="0.25">
      <c r="A173" t="str">
        <f>IFERROR(RANK(B173,$B:$B,1)+COUNTIF($B$1:B172,B173),"")</f>
        <v/>
      </c>
      <c r="B173" t="str">
        <f>IFERROR(SEARCH(#REF!,Table4[[#This Row],[Commodity Title]],1),"")</f>
        <v/>
      </c>
      <c r="C173" s="35">
        <v>42141905</v>
      </c>
      <c r="D173" s="33" t="s">
        <v>1495</v>
      </c>
      <c r="E173" s="33" t="s">
        <v>1496</v>
      </c>
      <c r="F173" s="33" t="s">
        <v>1497</v>
      </c>
      <c r="G173" s="33" t="s">
        <v>1736</v>
      </c>
      <c r="H173" s="33" t="s">
        <v>1737</v>
      </c>
      <c r="I173" s="33" t="s">
        <v>1738</v>
      </c>
      <c r="J173" s="33">
        <v>142300</v>
      </c>
      <c r="K173" s="33" t="s">
        <v>1847</v>
      </c>
      <c r="L173" s="33" t="s">
        <v>1848</v>
      </c>
      <c r="M173" s="33" t="s">
        <v>1849</v>
      </c>
      <c r="N173" s="44">
        <v>42141905</v>
      </c>
      <c r="O173" s="33" t="s">
        <v>1854</v>
      </c>
      <c r="P173" s="33" t="s">
        <v>1855</v>
      </c>
      <c r="Q173" s="34" t="s">
        <v>1494</v>
      </c>
      <c r="R173" s="34" t="s">
        <v>1494</v>
      </c>
    </row>
    <row r="174" spans="1:18" ht="15" customHeight="1" x14ac:dyDescent="0.25">
      <c r="A174" t="str">
        <f>IFERROR(RANK(B174,$B:$B,1)+COUNTIF($B$1:B173,B174),"")</f>
        <v/>
      </c>
      <c r="B174" t="str">
        <f>IFERROR(SEARCH(#REF!,Table4[[#This Row],[Commodity Title]],1),"")</f>
        <v/>
      </c>
      <c r="C174" s="35">
        <v>42141906</v>
      </c>
      <c r="D174" s="33" t="s">
        <v>1495</v>
      </c>
      <c r="E174" s="33" t="s">
        <v>1496</v>
      </c>
      <c r="F174" s="33" t="s">
        <v>1497</v>
      </c>
      <c r="G174" s="33" t="s">
        <v>1736</v>
      </c>
      <c r="H174" s="33" t="s">
        <v>1737</v>
      </c>
      <c r="I174" s="33" t="s">
        <v>1738</v>
      </c>
      <c r="J174" s="33">
        <v>202379</v>
      </c>
      <c r="K174" s="33" t="s">
        <v>1847</v>
      </c>
      <c r="L174" s="33" t="s">
        <v>1848</v>
      </c>
      <c r="M174" s="33" t="s">
        <v>1849</v>
      </c>
      <c r="N174" s="44">
        <v>42141906</v>
      </c>
      <c r="O174" s="33" t="s">
        <v>1856</v>
      </c>
      <c r="P174" s="33" t="s">
        <v>1857</v>
      </c>
      <c r="Q174" s="34" t="s">
        <v>1494</v>
      </c>
      <c r="R174" s="34" t="s">
        <v>1494</v>
      </c>
    </row>
    <row r="175" spans="1:18" ht="15" customHeight="1" x14ac:dyDescent="0.25">
      <c r="A175" t="str">
        <f>IFERROR(RANK(B175,$B:$B,1)+COUNTIF($B$1:B174,B175),"")</f>
        <v/>
      </c>
      <c r="B175" t="str">
        <f>IFERROR(SEARCH(#REF!,Table4[[#This Row],[Commodity Title]],1),"")</f>
        <v/>
      </c>
      <c r="C175" s="35">
        <v>42141907</v>
      </c>
      <c r="D175" s="33" t="s">
        <v>1495</v>
      </c>
      <c r="E175" s="33" t="s">
        <v>1496</v>
      </c>
      <c r="F175" s="33" t="s">
        <v>1497</v>
      </c>
      <c r="G175" s="33" t="s">
        <v>1736</v>
      </c>
      <c r="H175" s="33" t="s">
        <v>1737</v>
      </c>
      <c r="I175" s="33" t="s">
        <v>1738</v>
      </c>
      <c r="J175" s="33">
        <v>202380</v>
      </c>
      <c r="K175" s="33" t="s">
        <v>1847</v>
      </c>
      <c r="L175" s="33" t="s">
        <v>1848</v>
      </c>
      <c r="M175" s="33" t="s">
        <v>1849</v>
      </c>
      <c r="N175" s="44">
        <v>42141907</v>
      </c>
      <c r="O175" s="33" t="s">
        <v>1858</v>
      </c>
      <c r="P175" s="33" t="s">
        <v>1859</v>
      </c>
      <c r="Q175" s="34" t="s">
        <v>1494</v>
      </c>
      <c r="R175" s="34" t="s">
        <v>1494</v>
      </c>
    </row>
    <row r="176" spans="1:18" ht="15" customHeight="1" x14ac:dyDescent="0.25">
      <c r="A176" t="str">
        <f>IFERROR(RANK(B176,$B:$B,1)+COUNTIF($B$1:B175,B176),"")</f>
        <v/>
      </c>
      <c r="B176" t="str">
        <f>IFERROR(SEARCH(#REF!,Table4[[#This Row],[Commodity Title]],1),"")</f>
        <v/>
      </c>
      <c r="C176" s="33" t="s">
        <v>1494</v>
      </c>
      <c r="D176" s="33" t="s">
        <v>1495</v>
      </c>
      <c r="E176" s="33" t="s">
        <v>1496</v>
      </c>
      <c r="F176" s="33" t="s">
        <v>1497</v>
      </c>
      <c r="G176" s="33" t="s">
        <v>1736</v>
      </c>
      <c r="H176" s="33" t="s">
        <v>1737</v>
      </c>
      <c r="I176" s="33" t="s">
        <v>1738</v>
      </c>
      <c r="J176" s="33">
        <v>114891</v>
      </c>
      <c r="K176" s="33" t="s">
        <v>1860</v>
      </c>
      <c r="L176" s="33" t="s">
        <v>1861</v>
      </c>
      <c r="M176" s="33" t="s">
        <v>1862</v>
      </c>
      <c r="N176" s="44" t="s">
        <v>1494</v>
      </c>
      <c r="O176" s="33" t="s">
        <v>1494</v>
      </c>
      <c r="P176" s="33" t="s">
        <v>1494</v>
      </c>
      <c r="Q176" s="34" t="s">
        <v>1494</v>
      </c>
      <c r="R176" s="34" t="s">
        <v>1494</v>
      </c>
    </row>
    <row r="177" spans="1:18" ht="15" customHeight="1" x14ac:dyDescent="0.25">
      <c r="A177" t="str">
        <f>IFERROR(RANK(B177,$B:$B,1)+COUNTIF($B$1:B176,B177),"")</f>
        <v/>
      </c>
      <c r="B177" t="str">
        <f>IFERROR(SEARCH(#REF!,Table4[[#This Row],[Commodity Title]],1),"")</f>
        <v/>
      </c>
      <c r="C177" s="35">
        <v>42142101</v>
      </c>
      <c r="D177" s="33" t="s">
        <v>1495</v>
      </c>
      <c r="E177" s="33" t="s">
        <v>1496</v>
      </c>
      <c r="F177" s="33" t="s">
        <v>1497</v>
      </c>
      <c r="G177" s="33" t="s">
        <v>1736</v>
      </c>
      <c r="H177" s="33" t="s">
        <v>1737</v>
      </c>
      <c r="I177" s="33" t="s">
        <v>1738</v>
      </c>
      <c r="J177" s="33">
        <v>114892</v>
      </c>
      <c r="K177" s="33" t="s">
        <v>1860</v>
      </c>
      <c r="L177" s="33" t="s">
        <v>1861</v>
      </c>
      <c r="M177" s="33" t="s">
        <v>1862</v>
      </c>
      <c r="N177" s="44">
        <v>42142101</v>
      </c>
      <c r="O177" s="33" t="s">
        <v>1863</v>
      </c>
      <c r="P177" s="33" t="s">
        <v>1864</v>
      </c>
      <c r="Q177" s="34" t="s">
        <v>1494</v>
      </c>
      <c r="R177" s="34" t="s">
        <v>1494</v>
      </c>
    </row>
    <row r="178" spans="1:18" ht="15" customHeight="1" x14ac:dyDescent="0.25">
      <c r="A178" t="str">
        <f>IFERROR(RANK(B178,$B:$B,1)+COUNTIF($B$1:B177,B178),"")</f>
        <v/>
      </c>
      <c r="B178" t="str">
        <f>IFERROR(SEARCH(#REF!,Table4[[#This Row],[Commodity Title]],1),"")</f>
        <v/>
      </c>
      <c r="C178" s="35">
        <v>42142102</v>
      </c>
      <c r="D178" s="33" t="s">
        <v>1495</v>
      </c>
      <c r="E178" s="33" t="s">
        <v>1496</v>
      </c>
      <c r="F178" s="33" t="s">
        <v>1497</v>
      </c>
      <c r="G178" s="33" t="s">
        <v>1736</v>
      </c>
      <c r="H178" s="33" t="s">
        <v>1737</v>
      </c>
      <c r="I178" s="33" t="s">
        <v>1738</v>
      </c>
      <c r="J178" s="33">
        <v>114893</v>
      </c>
      <c r="K178" s="33" t="s">
        <v>1860</v>
      </c>
      <c r="L178" s="33" t="s">
        <v>1861</v>
      </c>
      <c r="M178" s="33" t="s">
        <v>1862</v>
      </c>
      <c r="N178" s="44">
        <v>42142102</v>
      </c>
      <c r="O178" s="33" t="s">
        <v>1865</v>
      </c>
      <c r="P178" s="33" t="s">
        <v>1866</v>
      </c>
      <c r="Q178" s="34" t="s">
        <v>1494</v>
      </c>
      <c r="R178" s="34" t="s">
        <v>1494</v>
      </c>
    </row>
    <row r="179" spans="1:18" ht="15" customHeight="1" x14ac:dyDescent="0.25">
      <c r="A179" t="str">
        <f>IFERROR(RANK(B179,$B:$B,1)+COUNTIF($B$1:B178,B179),"")</f>
        <v/>
      </c>
      <c r="B179" t="str">
        <f>IFERROR(SEARCH(#REF!,Table4[[#This Row],[Commodity Title]],1),"")</f>
        <v/>
      </c>
      <c r="C179" s="35">
        <v>42142103</v>
      </c>
      <c r="D179" s="33" t="s">
        <v>1495</v>
      </c>
      <c r="E179" s="33" t="s">
        <v>1496</v>
      </c>
      <c r="F179" s="33" t="s">
        <v>1497</v>
      </c>
      <c r="G179" s="33" t="s">
        <v>1736</v>
      </c>
      <c r="H179" s="33" t="s">
        <v>1737</v>
      </c>
      <c r="I179" s="33" t="s">
        <v>1738</v>
      </c>
      <c r="J179" s="33">
        <v>114894</v>
      </c>
      <c r="K179" s="33" t="s">
        <v>1860</v>
      </c>
      <c r="L179" s="33" t="s">
        <v>1861</v>
      </c>
      <c r="M179" s="33" t="s">
        <v>1862</v>
      </c>
      <c r="N179" s="44">
        <v>42142103</v>
      </c>
      <c r="O179" s="33" t="s">
        <v>1867</v>
      </c>
      <c r="P179" s="33" t="s">
        <v>1868</v>
      </c>
      <c r="Q179" s="34" t="s">
        <v>1494</v>
      </c>
      <c r="R179" s="34" t="s">
        <v>1494</v>
      </c>
    </row>
    <row r="180" spans="1:18" ht="15" customHeight="1" x14ac:dyDescent="0.25">
      <c r="A180" t="str">
        <f>IFERROR(RANK(B180,$B:$B,1)+COUNTIF($B$1:B179,B180),"")</f>
        <v/>
      </c>
      <c r="B180" t="str">
        <f>IFERROR(SEARCH(#REF!,Table4[[#This Row],[Commodity Title]],1),"")</f>
        <v/>
      </c>
      <c r="C180" s="35">
        <v>42142104</v>
      </c>
      <c r="D180" s="33" t="s">
        <v>1495</v>
      </c>
      <c r="E180" s="33" t="s">
        <v>1496</v>
      </c>
      <c r="F180" s="33" t="s">
        <v>1497</v>
      </c>
      <c r="G180" s="33" t="s">
        <v>1736</v>
      </c>
      <c r="H180" s="33" t="s">
        <v>1737</v>
      </c>
      <c r="I180" s="33" t="s">
        <v>1738</v>
      </c>
      <c r="J180" s="33">
        <v>114895</v>
      </c>
      <c r="K180" s="33" t="s">
        <v>1860</v>
      </c>
      <c r="L180" s="33" t="s">
        <v>1861</v>
      </c>
      <c r="M180" s="33" t="s">
        <v>1862</v>
      </c>
      <c r="N180" s="44">
        <v>42142104</v>
      </c>
      <c r="O180" s="33" t="s">
        <v>1869</v>
      </c>
      <c r="P180" s="33" t="s">
        <v>1870</v>
      </c>
      <c r="Q180" s="34" t="s">
        <v>1494</v>
      </c>
      <c r="R180" s="34" t="s">
        <v>1494</v>
      </c>
    </row>
    <row r="181" spans="1:18" ht="15" customHeight="1" x14ac:dyDescent="0.25">
      <c r="A181" t="str">
        <f>IFERROR(RANK(B181,$B:$B,1)+COUNTIF($B$1:B180,B181),"")</f>
        <v/>
      </c>
      <c r="B181" t="str">
        <f>IFERROR(SEARCH(#REF!,Table4[[#This Row],[Commodity Title]],1),"")</f>
        <v/>
      </c>
      <c r="C181" s="35">
        <v>42142105</v>
      </c>
      <c r="D181" s="33" t="s">
        <v>1495</v>
      </c>
      <c r="E181" s="33" t="s">
        <v>1496</v>
      </c>
      <c r="F181" s="33" t="s">
        <v>1497</v>
      </c>
      <c r="G181" s="33" t="s">
        <v>1736</v>
      </c>
      <c r="H181" s="33" t="s">
        <v>1737</v>
      </c>
      <c r="I181" s="33" t="s">
        <v>1738</v>
      </c>
      <c r="J181" s="33">
        <v>114896</v>
      </c>
      <c r="K181" s="33" t="s">
        <v>1860</v>
      </c>
      <c r="L181" s="33" t="s">
        <v>1861</v>
      </c>
      <c r="M181" s="33" t="s">
        <v>1862</v>
      </c>
      <c r="N181" s="44">
        <v>42142105</v>
      </c>
      <c r="O181" s="33" t="s">
        <v>1871</v>
      </c>
      <c r="P181" s="33" t="s">
        <v>1872</v>
      </c>
      <c r="Q181" s="34" t="s">
        <v>1494</v>
      </c>
      <c r="R181" s="34" t="s">
        <v>1494</v>
      </c>
    </row>
    <row r="182" spans="1:18" ht="15" customHeight="1" x14ac:dyDescent="0.25">
      <c r="A182" t="str">
        <f>IFERROR(RANK(B182,$B:$B,1)+COUNTIF($B$1:B181,B182),"")</f>
        <v/>
      </c>
      <c r="B182" t="str">
        <f>IFERROR(SEARCH(#REF!,Table4[[#This Row],[Commodity Title]],1),"")</f>
        <v/>
      </c>
      <c r="C182" s="35">
        <v>42142106</v>
      </c>
      <c r="D182" s="33" t="s">
        <v>1495</v>
      </c>
      <c r="E182" s="33" t="s">
        <v>1496</v>
      </c>
      <c r="F182" s="33" t="s">
        <v>1497</v>
      </c>
      <c r="G182" s="33" t="s">
        <v>1736</v>
      </c>
      <c r="H182" s="33" t="s">
        <v>1737</v>
      </c>
      <c r="I182" s="33" t="s">
        <v>1738</v>
      </c>
      <c r="J182" s="33">
        <v>114897</v>
      </c>
      <c r="K182" s="33" t="s">
        <v>1860</v>
      </c>
      <c r="L182" s="33" t="s">
        <v>1861</v>
      </c>
      <c r="M182" s="33" t="s">
        <v>1862</v>
      </c>
      <c r="N182" s="44">
        <v>42142106</v>
      </c>
      <c r="O182" s="33" t="s">
        <v>1873</v>
      </c>
      <c r="P182" s="33" t="s">
        <v>1874</v>
      </c>
      <c r="Q182" s="34" t="s">
        <v>1494</v>
      </c>
      <c r="R182" s="34" t="s">
        <v>1494</v>
      </c>
    </row>
    <row r="183" spans="1:18" ht="15" customHeight="1" x14ac:dyDescent="0.25">
      <c r="A183" t="str">
        <f>IFERROR(RANK(B183,$B:$B,1)+COUNTIF($B$1:B182,B183),"")</f>
        <v/>
      </c>
      <c r="B183" t="str">
        <f>IFERROR(SEARCH(#REF!,Table4[[#This Row],[Commodity Title]],1),"")</f>
        <v/>
      </c>
      <c r="C183" s="35">
        <v>42142107</v>
      </c>
      <c r="D183" s="33" t="s">
        <v>1495</v>
      </c>
      <c r="E183" s="33" t="s">
        <v>1496</v>
      </c>
      <c r="F183" s="33" t="s">
        <v>1497</v>
      </c>
      <c r="G183" s="33" t="s">
        <v>1736</v>
      </c>
      <c r="H183" s="33" t="s">
        <v>1737</v>
      </c>
      <c r="I183" s="33" t="s">
        <v>1738</v>
      </c>
      <c r="J183" s="33">
        <v>114898</v>
      </c>
      <c r="K183" s="33" t="s">
        <v>1860</v>
      </c>
      <c r="L183" s="33" t="s">
        <v>1861</v>
      </c>
      <c r="M183" s="33" t="s">
        <v>1862</v>
      </c>
      <c r="N183" s="44">
        <v>42142107</v>
      </c>
      <c r="O183" s="33" t="s">
        <v>1875</v>
      </c>
      <c r="P183" s="33" t="s">
        <v>1876</v>
      </c>
      <c r="Q183" s="34" t="s">
        <v>1494</v>
      </c>
      <c r="R183" s="34" t="s">
        <v>1494</v>
      </c>
    </row>
    <row r="184" spans="1:18" ht="15" customHeight="1" x14ac:dyDescent="0.25">
      <c r="A184" t="str">
        <f>IFERROR(RANK(B184,$B:$B,1)+COUNTIF($B$1:B183,B184),"")</f>
        <v/>
      </c>
      <c r="B184" t="str">
        <f>IFERROR(SEARCH(#REF!,Table4[[#This Row],[Commodity Title]],1),"")</f>
        <v/>
      </c>
      <c r="C184" s="35">
        <v>42142108</v>
      </c>
      <c r="D184" s="33" t="s">
        <v>1495</v>
      </c>
      <c r="E184" s="33" t="s">
        <v>1496</v>
      </c>
      <c r="F184" s="33" t="s">
        <v>1497</v>
      </c>
      <c r="G184" s="33" t="s">
        <v>1736</v>
      </c>
      <c r="H184" s="33" t="s">
        <v>1737</v>
      </c>
      <c r="I184" s="33" t="s">
        <v>1738</v>
      </c>
      <c r="J184" s="33">
        <v>104415</v>
      </c>
      <c r="K184" s="33" t="s">
        <v>1860</v>
      </c>
      <c r="L184" s="33" t="s">
        <v>1861</v>
      </c>
      <c r="M184" s="33" t="s">
        <v>1862</v>
      </c>
      <c r="N184" s="44">
        <v>42142108</v>
      </c>
      <c r="O184" s="33" t="s">
        <v>1877</v>
      </c>
      <c r="P184" s="33" t="s">
        <v>1878</v>
      </c>
      <c r="Q184" s="34" t="s">
        <v>1494</v>
      </c>
      <c r="R184" s="34" t="s">
        <v>1494</v>
      </c>
    </row>
    <row r="185" spans="1:18" ht="15" customHeight="1" x14ac:dyDescent="0.25">
      <c r="A185" t="str">
        <f>IFERROR(RANK(B185,$B:$B,1)+COUNTIF($B$1:B184,B185),"")</f>
        <v/>
      </c>
      <c r="B185" t="str">
        <f>IFERROR(SEARCH(#REF!,Table4[[#This Row],[Commodity Title]],1),"")</f>
        <v/>
      </c>
      <c r="C185" s="35">
        <v>42142109</v>
      </c>
      <c r="D185" s="33" t="s">
        <v>1495</v>
      </c>
      <c r="E185" s="33" t="s">
        <v>1496</v>
      </c>
      <c r="F185" s="33" t="s">
        <v>1497</v>
      </c>
      <c r="G185" s="33" t="s">
        <v>1736</v>
      </c>
      <c r="H185" s="33" t="s">
        <v>1737</v>
      </c>
      <c r="I185" s="33" t="s">
        <v>1738</v>
      </c>
      <c r="J185" s="33">
        <v>114900</v>
      </c>
      <c r="K185" s="33" t="s">
        <v>1860</v>
      </c>
      <c r="L185" s="33" t="s">
        <v>1861</v>
      </c>
      <c r="M185" s="33" t="s">
        <v>1862</v>
      </c>
      <c r="N185" s="44">
        <v>42142109</v>
      </c>
      <c r="O185" s="33" t="s">
        <v>1879</v>
      </c>
      <c r="P185" s="33" t="s">
        <v>1880</v>
      </c>
      <c r="Q185" s="34" t="s">
        <v>1494</v>
      </c>
      <c r="R185" s="34" t="s">
        <v>1494</v>
      </c>
    </row>
    <row r="186" spans="1:18" ht="15" customHeight="1" x14ac:dyDescent="0.25">
      <c r="A186" t="str">
        <f>IFERROR(RANK(B186,$B:$B,1)+COUNTIF($B$1:B185,B186),"")</f>
        <v/>
      </c>
      <c r="B186" t="str">
        <f>IFERROR(SEARCH(#REF!,Table4[[#This Row],[Commodity Title]],1),"")</f>
        <v/>
      </c>
      <c r="C186" s="35">
        <v>42142110</v>
      </c>
      <c r="D186" s="33" t="s">
        <v>1495</v>
      </c>
      <c r="E186" s="33" t="s">
        <v>1496</v>
      </c>
      <c r="F186" s="33" t="s">
        <v>1497</v>
      </c>
      <c r="G186" s="33" t="s">
        <v>1736</v>
      </c>
      <c r="H186" s="33" t="s">
        <v>1737</v>
      </c>
      <c r="I186" s="33" t="s">
        <v>1738</v>
      </c>
      <c r="J186" s="33">
        <v>114901</v>
      </c>
      <c r="K186" s="33" t="s">
        <v>1860</v>
      </c>
      <c r="L186" s="33" t="s">
        <v>1861</v>
      </c>
      <c r="M186" s="33" t="s">
        <v>1862</v>
      </c>
      <c r="N186" s="44">
        <v>42142110</v>
      </c>
      <c r="O186" s="33" t="s">
        <v>1881</v>
      </c>
      <c r="P186" s="33" t="s">
        <v>1882</v>
      </c>
      <c r="Q186" s="34" t="s">
        <v>1494</v>
      </c>
      <c r="R186" s="34" t="s">
        <v>1494</v>
      </c>
    </row>
    <row r="187" spans="1:18" ht="15" customHeight="1" x14ac:dyDescent="0.25">
      <c r="A187" t="str">
        <f>IFERROR(RANK(B187,$B:$B,1)+COUNTIF($B$1:B186,B187),"")</f>
        <v/>
      </c>
      <c r="B187" t="str">
        <f>IFERROR(SEARCH(#REF!,Table4[[#This Row],[Commodity Title]],1),"")</f>
        <v/>
      </c>
      <c r="C187" s="35">
        <v>42142111</v>
      </c>
      <c r="D187" s="33" t="s">
        <v>1495</v>
      </c>
      <c r="E187" s="33" t="s">
        <v>1496</v>
      </c>
      <c r="F187" s="33" t="s">
        <v>1497</v>
      </c>
      <c r="G187" s="33" t="s">
        <v>1736</v>
      </c>
      <c r="H187" s="33" t="s">
        <v>1737</v>
      </c>
      <c r="I187" s="33" t="s">
        <v>1738</v>
      </c>
      <c r="J187" s="33">
        <v>114902</v>
      </c>
      <c r="K187" s="33" t="s">
        <v>1860</v>
      </c>
      <c r="L187" s="33" t="s">
        <v>1861</v>
      </c>
      <c r="M187" s="33" t="s">
        <v>1862</v>
      </c>
      <c r="N187" s="44">
        <v>42142111</v>
      </c>
      <c r="O187" s="33" t="s">
        <v>1883</v>
      </c>
      <c r="P187" s="33" t="s">
        <v>1884</v>
      </c>
      <c r="Q187" s="34" t="s">
        <v>1494</v>
      </c>
      <c r="R187" s="34" t="s">
        <v>1494</v>
      </c>
    </row>
    <row r="188" spans="1:18" ht="15" customHeight="1" x14ac:dyDescent="0.25">
      <c r="A188" t="str">
        <f>IFERROR(RANK(B188,$B:$B,1)+COUNTIF($B$1:B187,B188),"")</f>
        <v/>
      </c>
      <c r="B188" t="str">
        <f>IFERROR(SEARCH(#REF!,Table4[[#This Row],[Commodity Title]],1),"")</f>
        <v/>
      </c>
      <c r="C188" s="35">
        <v>42142112</v>
      </c>
      <c r="D188" s="33" t="s">
        <v>1495</v>
      </c>
      <c r="E188" s="33" t="s">
        <v>1496</v>
      </c>
      <c r="F188" s="33" t="s">
        <v>1497</v>
      </c>
      <c r="G188" s="33" t="s">
        <v>1736</v>
      </c>
      <c r="H188" s="33" t="s">
        <v>1737</v>
      </c>
      <c r="I188" s="33" t="s">
        <v>1738</v>
      </c>
      <c r="J188" s="33">
        <v>114903</v>
      </c>
      <c r="K188" s="33" t="s">
        <v>1860</v>
      </c>
      <c r="L188" s="33" t="s">
        <v>1861</v>
      </c>
      <c r="M188" s="33" t="s">
        <v>1862</v>
      </c>
      <c r="N188" s="44">
        <v>42142112</v>
      </c>
      <c r="O188" s="33" t="s">
        <v>1885</v>
      </c>
      <c r="P188" s="33" t="s">
        <v>1886</v>
      </c>
      <c r="Q188" s="34" t="s">
        <v>1494</v>
      </c>
      <c r="R188" s="34" t="s">
        <v>1494</v>
      </c>
    </row>
    <row r="189" spans="1:18" ht="15" customHeight="1" x14ac:dyDescent="0.25">
      <c r="A189" t="str">
        <f>IFERROR(RANK(B189,$B:$B,1)+COUNTIF($B$1:B188,B189),"")</f>
        <v/>
      </c>
      <c r="B189" t="str">
        <f>IFERROR(SEARCH(#REF!,Table4[[#This Row],[Commodity Title]],1),"")</f>
        <v/>
      </c>
      <c r="C189" s="35">
        <v>42142113</v>
      </c>
      <c r="D189" s="33" t="s">
        <v>1495</v>
      </c>
      <c r="E189" s="33" t="s">
        <v>1496</v>
      </c>
      <c r="F189" s="33" t="s">
        <v>1497</v>
      </c>
      <c r="G189" s="33" t="s">
        <v>1736</v>
      </c>
      <c r="H189" s="33" t="s">
        <v>1737</v>
      </c>
      <c r="I189" s="33" t="s">
        <v>1738</v>
      </c>
      <c r="J189" s="33">
        <v>114904</v>
      </c>
      <c r="K189" s="33" t="s">
        <v>1860</v>
      </c>
      <c r="L189" s="33" t="s">
        <v>1861</v>
      </c>
      <c r="M189" s="33" t="s">
        <v>1862</v>
      </c>
      <c r="N189" s="44">
        <v>42142113</v>
      </c>
      <c r="O189" s="33" t="s">
        <v>1887</v>
      </c>
      <c r="P189" s="33" t="s">
        <v>1888</v>
      </c>
      <c r="Q189" s="34" t="s">
        <v>1494</v>
      </c>
      <c r="R189" s="34" t="s">
        <v>1494</v>
      </c>
    </row>
    <row r="190" spans="1:18" ht="15" customHeight="1" x14ac:dyDescent="0.25">
      <c r="A190" t="str">
        <f>IFERROR(RANK(B190,$B:$B,1)+COUNTIF($B$1:B189,B190),"")</f>
        <v/>
      </c>
      <c r="B190" t="str">
        <f>IFERROR(SEARCH(#REF!,Table4[[#This Row],[Commodity Title]],1),"")</f>
        <v/>
      </c>
      <c r="C190" s="35">
        <v>42142114</v>
      </c>
      <c r="D190" s="33" t="s">
        <v>1495</v>
      </c>
      <c r="E190" s="33" t="s">
        <v>1496</v>
      </c>
      <c r="F190" s="33" t="s">
        <v>1497</v>
      </c>
      <c r="G190" s="33" t="s">
        <v>1736</v>
      </c>
      <c r="H190" s="33" t="s">
        <v>1737</v>
      </c>
      <c r="I190" s="33" t="s">
        <v>1738</v>
      </c>
      <c r="J190" s="33">
        <v>142301</v>
      </c>
      <c r="K190" s="33" t="s">
        <v>1860</v>
      </c>
      <c r="L190" s="33" t="s">
        <v>1861</v>
      </c>
      <c r="M190" s="33" t="s">
        <v>1862</v>
      </c>
      <c r="N190" s="44">
        <v>42142114</v>
      </c>
      <c r="O190" s="33" t="s">
        <v>1889</v>
      </c>
      <c r="P190" s="33" t="s">
        <v>1890</v>
      </c>
      <c r="Q190" s="34" t="s">
        <v>1494</v>
      </c>
      <c r="R190" s="34" t="s">
        <v>1494</v>
      </c>
    </row>
    <row r="191" spans="1:18" ht="15" customHeight="1" x14ac:dyDescent="0.25">
      <c r="A191" t="str">
        <f>IFERROR(RANK(B191,$B:$B,1)+COUNTIF($B$1:B190,B191),"")</f>
        <v/>
      </c>
      <c r="B191" t="str">
        <f>IFERROR(SEARCH(#REF!,Table4[[#This Row],[Commodity Title]],1),"")</f>
        <v/>
      </c>
      <c r="C191" s="35">
        <v>42142119</v>
      </c>
      <c r="D191" s="33" t="s">
        <v>1495</v>
      </c>
      <c r="E191" s="33" t="s">
        <v>1496</v>
      </c>
      <c r="F191" s="33" t="s">
        <v>1497</v>
      </c>
      <c r="G191" s="33" t="s">
        <v>1736</v>
      </c>
      <c r="H191" s="33" t="s">
        <v>1737</v>
      </c>
      <c r="I191" s="33" t="s">
        <v>1738</v>
      </c>
      <c r="J191" s="33">
        <v>142639</v>
      </c>
      <c r="K191" s="33" t="s">
        <v>1860</v>
      </c>
      <c r="L191" s="33" t="s">
        <v>1861</v>
      </c>
      <c r="M191" s="33" t="s">
        <v>1862</v>
      </c>
      <c r="N191" s="44">
        <v>42142119</v>
      </c>
      <c r="O191" s="33" t="s">
        <v>1891</v>
      </c>
      <c r="P191" s="33" t="s">
        <v>1892</v>
      </c>
      <c r="Q191" s="34" t="s">
        <v>1494</v>
      </c>
      <c r="R191" s="34" t="s">
        <v>1494</v>
      </c>
    </row>
    <row r="192" spans="1:18" ht="15" customHeight="1" x14ac:dyDescent="0.25">
      <c r="A192" t="str">
        <f>IFERROR(RANK(B192,$B:$B,1)+COUNTIF($B$1:B191,B192),"")</f>
        <v/>
      </c>
      <c r="B192" t="str">
        <f>IFERROR(SEARCH(#REF!,Table4[[#This Row],[Commodity Title]],1),"")</f>
        <v/>
      </c>
      <c r="C192" s="35">
        <v>42142120</v>
      </c>
      <c r="D192" s="33" t="s">
        <v>1495</v>
      </c>
      <c r="E192" s="33" t="s">
        <v>1496</v>
      </c>
      <c r="F192" s="33" t="s">
        <v>1497</v>
      </c>
      <c r="G192" s="33" t="s">
        <v>1736</v>
      </c>
      <c r="H192" s="33" t="s">
        <v>1737</v>
      </c>
      <c r="I192" s="33" t="s">
        <v>1738</v>
      </c>
      <c r="J192" s="33">
        <v>166781</v>
      </c>
      <c r="K192" s="33" t="s">
        <v>1860</v>
      </c>
      <c r="L192" s="33" t="s">
        <v>1861</v>
      </c>
      <c r="M192" s="33" t="s">
        <v>1862</v>
      </c>
      <c r="N192" s="44">
        <v>42142120</v>
      </c>
      <c r="O192" s="33" t="s">
        <v>1893</v>
      </c>
      <c r="P192" s="33" t="s">
        <v>1894</v>
      </c>
      <c r="Q192" s="34" t="s">
        <v>1494</v>
      </c>
      <c r="R192" s="34" t="s">
        <v>1494</v>
      </c>
    </row>
    <row r="193" spans="1:18" ht="15" customHeight="1" x14ac:dyDescent="0.25">
      <c r="A193" t="str">
        <f>IFERROR(RANK(B193,$B:$B,1)+COUNTIF($B$1:B192,B193),"")</f>
        <v/>
      </c>
      <c r="B193" t="str">
        <f>IFERROR(SEARCH(#REF!,Table4[[#This Row],[Commodity Title]],1),"")</f>
        <v/>
      </c>
      <c r="C193" s="35">
        <v>42142121</v>
      </c>
      <c r="D193" s="33" t="s">
        <v>1495</v>
      </c>
      <c r="E193" s="33" t="s">
        <v>1496</v>
      </c>
      <c r="F193" s="33" t="s">
        <v>1497</v>
      </c>
      <c r="G193" s="33" t="s">
        <v>1736</v>
      </c>
      <c r="H193" s="33" t="s">
        <v>1737</v>
      </c>
      <c r="I193" s="33" t="s">
        <v>1738</v>
      </c>
      <c r="J193" s="33">
        <v>174312</v>
      </c>
      <c r="K193" s="33" t="s">
        <v>1860</v>
      </c>
      <c r="L193" s="33" t="s">
        <v>1861</v>
      </c>
      <c r="M193" s="33" t="s">
        <v>1862</v>
      </c>
      <c r="N193" s="44">
        <v>42142121</v>
      </c>
      <c r="O193" s="33" t="s">
        <v>1895</v>
      </c>
      <c r="P193" s="33" t="s">
        <v>1896</v>
      </c>
      <c r="Q193" s="34" t="s">
        <v>1494</v>
      </c>
      <c r="R193" s="34" t="s">
        <v>1494</v>
      </c>
    </row>
    <row r="194" spans="1:18" ht="15" customHeight="1" x14ac:dyDescent="0.25">
      <c r="A194" t="str">
        <f>IFERROR(RANK(B194,$B:$B,1)+COUNTIF($B$1:B193,B194),"")</f>
        <v/>
      </c>
      <c r="B194" t="str">
        <f>IFERROR(SEARCH(#REF!,Table4[[#This Row],[Commodity Title]],1),"")</f>
        <v/>
      </c>
      <c r="C194" s="35">
        <v>42142122</v>
      </c>
      <c r="D194" s="33" t="s">
        <v>1495</v>
      </c>
      <c r="E194" s="33" t="s">
        <v>1496</v>
      </c>
      <c r="F194" s="33" t="s">
        <v>1497</v>
      </c>
      <c r="G194" s="33" t="s">
        <v>1736</v>
      </c>
      <c r="H194" s="33" t="s">
        <v>1737</v>
      </c>
      <c r="I194" s="33" t="s">
        <v>1738</v>
      </c>
      <c r="J194" s="33">
        <v>202381</v>
      </c>
      <c r="K194" s="33" t="s">
        <v>1860</v>
      </c>
      <c r="L194" s="33" t="s">
        <v>1861</v>
      </c>
      <c r="M194" s="33" t="s">
        <v>1862</v>
      </c>
      <c r="N194" s="44">
        <v>42142122</v>
      </c>
      <c r="O194" s="33" t="s">
        <v>1897</v>
      </c>
      <c r="P194" s="33" t="s">
        <v>1898</v>
      </c>
      <c r="Q194" s="34" t="s">
        <v>1494</v>
      </c>
      <c r="R194" s="34" t="s">
        <v>1494</v>
      </c>
    </row>
    <row r="195" spans="1:18" ht="15" customHeight="1" x14ac:dyDescent="0.25">
      <c r="A195" t="str">
        <f>IFERROR(RANK(B195,$B:$B,1)+COUNTIF($B$1:B194,B195),"")</f>
        <v/>
      </c>
      <c r="B195" t="str">
        <f>IFERROR(SEARCH(#REF!,Table4[[#This Row],[Commodity Title]],1),"")</f>
        <v/>
      </c>
      <c r="C195" s="35">
        <v>42142123</v>
      </c>
      <c r="D195" s="33" t="s">
        <v>1495</v>
      </c>
      <c r="E195" s="33" t="s">
        <v>1496</v>
      </c>
      <c r="F195" s="33" t="s">
        <v>1497</v>
      </c>
      <c r="G195" s="33" t="s">
        <v>1736</v>
      </c>
      <c r="H195" s="33" t="s">
        <v>1737</v>
      </c>
      <c r="I195" s="33" t="s">
        <v>1738</v>
      </c>
      <c r="J195" s="33">
        <v>202382</v>
      </c>
      <c r="K195" s="33" t="s">
        <v>1860</v>
      </c>
      <c r="L195" s="33" t="s">
        <v>1861</v>
      </c>
      <c r="M195" s="33" t="s">
        <v>1862</v>
      </c>
      <c r="N195" s="44">
        <v>42142123</v>
      </c>
      <c r="O195" s="33" t="s">
        <v>1899</v>
      </c>
      <c r="P195" s="33" t="s">
        <v>1900</v>
      </c>
      <c r="Q195" s="34" t="s">
        <v>1494</v>
      </c>
      <c r="R195" s="34" t="s">
        <v>1494</v>
      </c>
    </row>
    <row r="196" spans="1:18" ht="15" customHeight="1" x14ac:dyDescent="0.25">
      <c r="A196" t="str">
        <f>IFERROR(RANK(B196,$B:$B,1)+COUNTIF($B$1:B195,B196),"")</f>
        <v/>
      </c>
      <c r="B196" t="str">
        <f>IFERROR(SEARCH(#REF!,Table4[[#This Row],[Commodity Title]],1),"")</f>
        <v/>
      </c>
      <c r="C196" s="35">
        <v>42142124</v>
      </c>
      <c r="D196" s="33" t="s">
        <v>1495</v>
      </c>
      <c r="E196" s="33" t="s">
        <v>1496</v>
      </c>
      <c r="F196" s="33" t="s">
        <v>1497</v>
      </c>
      <c r="G196" s="33" t="s">
        <v>1736</v>
      </c>
      <c r="H196" s="33" t="s">
        <v>1737</v>
      </c>
      <c r="I196" s="33" t="s">
        <v>1738</v>
      </c>
      <c r="J196" s="33">
        <v>202383</v>
      </c>
      <c r="K196" s="33" t="s">
        <v>1860</v>
      </c>
      <c r="L196" s="33" t="s">
        <v>1861</v>
      </c>
      <c r="M196" s="33" t="s">
        <v>1862</v>
      </c>
      <c r="N196" s="44">
        <v>42142124</v>
      </c>
      <c r="O196" s="33" t="s">
        <v>1901</v>
      </c>
      <c r="P196" s="33" t="s">
        <v>1902</v>
      </c>
      <c r="Q196" s="34" t="s">
        <v>1494</v>
      </c>
      <c r="R196" s="34" t="s">
        <v>1494</v>
      </c>
    </row>
    <row r="197" spans="1:18" ht="15" customHeight="1" x14ac:dyDescent="0.25">
      <c r="A197" t="str">
        <f>IFERROR(RANK(B197,$B:$B,1)+COUNTIF($B$1:B196,B197),"")</f>
        <v/>
      </c>
      <c r="B197" t="str">
        <f>IFERROR(SEARCH(#REF!,Table4[[#This Row],[Commodity Title]],1),"")</f>
        <v/>
      </c>
      <c r="C197" s="35">
        <v>42142125</v>
      </c>
      <c r="D197" s="33" t="s">
        <v>1495</v>
      </c>
      <c r="E197" s="33" t="s">
        <v>1496</v>
      </c>
      <c r="F197" s="33" t="s">
        <v>1497</v>
      </c>
      <c r="G197" s="33" t="s">
        <v>1736</v>
      </c>
      <c r="H197" s="33" t="s">
        <v>1737</v>
      </c>
      <c r="I197" s="33" t="s">
        <v>1738</v>
      </c>
      <c r="J197" s="33">
        <v>202384</v>
      </c>
      <c r="K197" s="33" t="s">
        <v>1860</v>
      </c>
      <c r="L197" s="33" t="s">
        <v>1861</v>
      </c>
      <c r="M197" s="33" t="s">
        <v>1862</v>
      </c>
      <c r="N197" s="44">
        <v>42142125</v>
      </c>
      <c r="O197" s="33" t="s">
        <v>1903</v>
      </c>
      <c r="P197" s="33" t="s">
        <v>1904</v>
      </c>
      <c r="Q197" s="34" t="s">
        <v>1494</v>
      </c>
      <c r="R197" s="34" t="s">
        <v>1494</v>
      </c>
    </row>
    <row r="198" spans="1:18" ht="15" customHeight="1" x14ac:dyDescent="0.25">
      <c r="A198" t="str">
        <f>IFERROR(RANK(B198,$B:$B,1)+COUNTIF($B$1:B197,B198),"")</f>
        <v/>
      </c>
      <c r="B198" t="str">
        <f>IFERROR(SEARCH(#REF!,Table4[[#This Row],[Commodity Title]],1),"")</f>
        <v/>
      </c>
      <c r="C198" s="35">
        <v>42142126</v>
      </c>
      <c r="D198" s="33" t="s">
        <v>1495</v>
      </c>
      <c r="E198" s="33" t="s">
        <v>1496</v>
      </c>
      <c r="F198" s="33" t="s">
        <v>1497</v>
      </c>
      <c r="G198" s="33" t="s">
        <v>1736</v>
      </c>
      <c r="H198" s="33" t="s">
        <v>1737</v>
      </c>
      <c r="I198" s="33" t="s">
        <v>1738</v>
      </c>
      <c r="J198" s="33">
        <v>202385</v>
      </c>
      <c r="K198" s="33" t="s">
        <v>1860</v>
      </c>
      <c r="L198" s="33" t="s">
        <v>1861</v>
      </c>
      <c r="M198" s="33" t="s">
        <v>1862</v>
      </c>
      <c r="N198" s="44">
        <v>42142126</v>
      </c>
      <c r="O198" s="33" t="s">
        <v>1905</v>
      </c>
      <c r="P198" s="33" t="s">
        <v>1906</v>
      </c>
      <c r="Q198" s="34" t="s">
        <v>1494</v>
      </c>
      <c r="R198" s="34" t="s">
        <v>1494</v>
      </c>
    </row>
    <row r="199" spans="1:18" ht="15" customHeight="1" x14ac:dyDescent="0.25">
      <c r="A199" t="str">
        <f>IFERROR(RANK(B199,$B:$B,1)+COUNTIF($B$1:B198,B199),"")</f>
        <v/>
      </c>
      <c r="B199" t="str">
        <f>IFERROR(SEARCH(#REF!,Table4[[#This Row],[Commodity Title]],1),"")</f>
        <v/>
      </c>
      <c r="C199" s="35">
        <v>42142127</v>
      </c>
      <c r="D199" s="33" t="s">
        <v>1495</v>
      </c>
      <c r="E199" s="33" t="s">
        <v>1496</v>
      </c>
      <c r="F199" s="33" t="s">
        <v>1497</v>
      </c>
      <c r="G199" s="33" t="s">
        <v>1736</v>
      </c>
      <c r="H199" s="33" t="s">
        <v>1737</v>
      </c>
      <c r="I199" s="33" t="s">
        <v>1738</v>
      </c>
      <c r="J199" s="33">
        <v>202386</v>
      </c>
      <c r="K199" s="33" t="s">
        <v>1860</v>
      </c>
      <c r="L199" s="33" t="s">
        <v>1861</v>
      </c>
      <c r="M199" s="33" t="s">
        <v>1862</v>
      </c>
      <c r="N199" s="44">
        <v>42142127</v>
      </c>
      <c r="O199" s="33" t="s">
        <v>1907</v>
      </c>
      <c r="P199" s="33" t="s">
        <v>1906</v>
      </c>
      <c r="Q199" s="34" t="s">
        <v>1494</v>
      </c>
      <c r="R199" s="34" t="s">
        <v>1494</v>
      </c>
    </row>
    <row r="200" spans="1:18" ht="15" customHeight="1" x14ac:dyDescent="0.25">
      <c r="A200" t="str">
        <f>IFERROR(RANK(B200,$B:$B,1)+COUNTIF($B$1:B199,B200),"")</f>
        <v/>
      </c>
      <c r="B200" t="str">
        <f>IFERROR(SEARCH(#REF!,Table4[[#This Row],[Commodity Title]],1),"")</f>
        <v/>
      </c>
      <c r="C200" s="35">
        <v>42142128</v>
      </c>
      <c r="D200" s="33" t="s">
        <v>1495</v>
      </c>
      <c r="E200" s="33" t="s">
        <v>1496</v>
      </c>
      <c r="F200" s="33" t="s">
        <v>1497</v>
      </c>
      <c r="G200" s="33" t="s">
        <v>1736</v>
      </c>
      <c r="H200" s="33" t="s">
        <v>1737</v>
      </c>
      <c r="I200" s="33" t="s">
        <v>1738</v>
      </c>
      <c r="J200" s="33">
        <v>202387</v>
      </c>
      <c r="K200" s="33" t="s">
        <v>1860</v>
      </c>
      <c r="L200" s="33" t="s">
        <v>1861</v>
      </c>
      <c r="M200" s="33" t="s">
        <v>1862</v>
      </c>
      <c r="N200" s="44">
        <v>42142128</v>
      </c>
      <c r="O200" s="33" t="s">
        <v>1908</v>
      </c>
      <c r="P200" s="33" t="s">
        <v>1909</v>
      </c>
      <c r="Q200" s="34" t="s">
        <v>1494</v>
      </c>
      <c r="R200" s="34" t="s">
        <v>1494</v>
      </c>
    </row>
    <row r="201" spans="1:18" ht="15" customHeight="1" x14ac:dyDescent="0.25">
      <c r="A201" t="str">
        <f>IFERROR(RANK(B201,$B:$B,1)+COUNTIF($B$1:B200,B201),"")</f>
        <v/>
      </c>
      <c r="B201" t="str">
        <f>IFERROR(SEARCH(#REF!,Table4[[#This Row],[Commodity Title]],1),"")</f>
        <v/>
      </c>
      <c r="C201" s="35">
        <v>42142129</v>
      </c>
      <c r="D201" s="33" t="s">
        <v>1495</v>
      </c>
      <c r="E201" s="33" t="s">
        <v>1496</v>
      </c>
      <c r="F201" s="33" t="s">
        <v>1497</v>
      </c>
      <c r="G201" s="33" t="s">
        <v>1736</v>
      </c>
      <c r="H201" s="33" t="s">
        <v>1737</v>
      </c>
      <c r="I201" s="33" t="s">
        <v>1738</v>
      </c>
      <c r="J201" s="33">
        <v>202388</v>
      </c>
      <c r="K201" s="33" t="s">
        <v>1860</v>
      </c>
      <c r="L201" s="33" t="s">
        <v>1861</v>
      </c>
      <c r="M201" s="33" t="s">
        <v>1862</v>
      </c>
      <c r="N201" s="44">
        <v>42142129</v>
      </c>
      <c r="O201" s="33" t="s">
        <v>1910</v>
      </c>
      <c r="P201" s="33" t="s">
        <v>1911</v>
      </c>
      <c r="Q201" s="34" t="s">
        <v>1494</v>
      </c>
      <c r="R201" s="34" t="s">
        <v>1494</v>
      </c>
    </row>
    <row r="202" spans="1:18" ht="15" customHeight="1" x14ac:dyDescent="0.25">
      <c r="A202" t="str">
        <f>IFERROR(RANK(B202,$B:$B,1)+COUNTIF($B$1:B201,B202),"")</f>
        <v/>
      </c>
      <c r="B202" t="str">
        <f>IFERROR(SEARCH(#REF!,Table4[[#This Row],[Commodity Title]],1),"")</f>
        <v/>
      </c>
      <c r="C202" s="35">
        <v>42142130</v>
      </c>
      <c r="D202" s="33" t="s">
        <v>1495</v>
      </c>
      <c r="E202" s="33" t="s">
        <v>1496</v>
      </c>
      <c r="F202" s="33" t="s">
        <v>1497</v>
      </c>
      <c r="G202" s="33" t="s">
        <v>1736</v>
      </c>
      <c r="H202" s="33" t="s">
        <v>1737</v>
      </c>
      <c r="I202" s="33" t="s">
        <v>1738</v>
      </c>
      <c r="J202" s="33">
        <v>202389</v>
      </c>
      <c r="K202" s="33" t="s">
        <v>1860</v>
      </c>
      <c r="L202" s="33" t="s">
        <v>1861</v>
      </c>
      <c r="M202" s="33" t="s">
        <v>1862</v>
      </c>
      <c r="N202" s="44">
        <v>42142130</v>
      </c>
      <c r="O202" s="33" t="s">
        <v>1912</v>
      </c>
      <c r="P202" s="33" t="s">
        <v>1913</v>
      </c>
      <c r="Q202" s="34" t="s">
        <v>1494</v>
      </c>
      <c r="R202" s="34" t="s">
        <v>1494</v>
      </c>
    </row>
    <row r="203" spans="1:18" ht="15" customHeight="1" x14ac:dyDescent="0.25">
      <c r="A203" t="str">
        <f>IFERROR(RANK(B203,$B:$B,1)+COUNTIF($B$1:B202,B203),"")</f>
        <v/>
      </c>
      <c r="B203" t="str">
        <f>IFERROR(SEARCH(#REF!,Table4[[#This Row],[Commodity Title]],1),"")</f>
        <v/>
      </c>
      <c r="C203" s="35">
        <v>42142131</v>
      </c>
      <c r="D203" s="33" t="s">
        <v>1495</v>
      </c>
      <c r="E203" s="33" t="s">
        <v>1496</v>
      </c>
      <c r="F203" s="33" t="s">
        <v>1497</v>
      </c>
      <c r="G203" s="33" t="s">
        <v>1736</v>
      </c>
      <c r="H203" s="33" t="s">
        <v>1737</v>
      </c>
      <c r="I203" s="33" t="s">
        <v>1738</v>
      </c>
      <c r="J203" s="33">
        <v>202390</v>
      </c>
      <c r="K203" s="33" t="s">
        <v>1860</v>
      </c>
      <c r="L203" s="33" t="s">
        <v>1861</v>
      </c>
      <c r="M203" s="33" t="s">
        <v>1862</v>
      </c>
      <c r="N203" s="44">
        <v>42142131</v>
      </c>
      <c r="O203" s="33" t="s">
        <v>1914</v>
      </c>
      <c r="P203" s="33" t="s">
        <v>1915</v>
      </c>
      <c r="Q203" s="34" t="s">
        <v>1494</v>
      </c>
      <c r="R203" s="34" t="s">
        <v>1494</v>
      </c>
    </row>
    <row r="204" spans="1:18" ht="15" customHeight="1" x14ac:dyDescent="0.25">
      <c r="A204" t="str">
        <f>IFERROR(RANK(B204,$B:$B,1)+COUNTIF($B$1:B203,B204),"")</f>
        <v/>
      </c>
      <c r="B204" t="str">
        <f>IFERROR(SEARCH(#REF!,Table4[[#This Row],[Commodity Title]],1),"")</f>
        <v/>
      </c>
      <c r="C204" s="33" t="s">
        <v>1494</v>
      </c>
      <c r="D204" s="33" t="s">
        <v>1495</v>
      </c>
      <c r="E204" s="33" t="s">
        <v>1496</v>
      </c>
      <c r="F204" s="33" t="s">
        <v>1497</v>
      </c>
      <c r="G204" s="33" t="s">
        <v>1736</v>
      </c>
      <c r="H204" s="33" t="s">
        <v>1737</v>
      </c>
      <c r="I204" s="33" t="s">
        <v>1738</v>
      </c>
      <c r="J204" s="33">
        <v>114905</v>
      </c>
      <c r="K204" s="33" t="s">
        <v>1916</v>
      </c>
      <c r="L204" s="33" t="s">
        <v>1917</v>
      </c>
      <c r="M204" s="33" t="s">
        <v>1918</v>
      </c>
      <c r="N204" s="44" t="s">
        <v>1494</v>
      </c>
      <c r="O204" s="33" t="s">
        <v>1494</v>
      </c>
      <c r="P204" s="33" t="s">
        <v>1494</v>
      </c>
      <c r="Q204" s="34" t="s">
        <v>1494</v>
      </c>
      <c r="R204" s="34" t="s">
        <v>1494</v>
      </c>
    </row>
    <row r="205" spans="1:18" ht="15" customHeight="1" x14ac:dyDescent="0.25">
      <c r="A205" t="str">
        <f>IFERROR(RANK(B205,$B:$B,1)+COUNTIF($B$1:B204,B205),"")</f>
        <v/>
      </c>
      <c r="B205" t="str">
        <f>IFERROR(SEARCH(#REF!,Table4[[#This Row],[Commodity Title]],1),"")</f>
        <v/>
      </c>
      <c r="C205" s="35">
        <v>42142201</v>
      </c>
      <c r="D205" s="33" t="s">
        <v>1495</v>
      </c>
      <c r="E205" s="33" t="s">
        <v>1496</v>
      </c>
      <c r="F205" s="33" t="s">
        <v>1497</v>
      </c>
      <c r="G205" s="33" t="s">
        <v>1736</v>
      </c>
      <c r="H205" s="33" t="s">
        <v>1737</v>
      </c>
      <c r="I205" s="33" t="s">
        <v>1738</v>
      </c>
      <c r="J205" s="33">
        <v>114906</v>
      </c>
      <c r="K205" s="33" t="s">
        <v>1916</v>
      </c>
      <c r="L205" s="33" t="s">
        <v>1917</v>
      </c>
      <c r="M205" s="33" t="s">
        <v>1918</v>
      </c>
      <c r="N205" s="44">
        <v>42142201</v>
      </c>
      <c r="O205" s="33" t="s">
        <v>1919</v>
      </c>
      <c r="P205" s="33" t="s">
        <v>1920</v>
      </c>
      <c r="Q205" s="34" t="s">
        <v>1494</v>
      </c>
      <c r="R205" s="34" t="s">
        <v>1494</v>
      </c>
    </row>
    <row r="206" spans="1:18" ht="15" customHeight="1" x14ac:dyDescent="0.25">
      <c r="A206" t="str">
        <f>IFERROR(RANK(B206,$B:$B,1)+COUNTIF($B$1:B205,B206),"")</f>
        <v/>
      </c>
      <c r="B206" t="str">
        <f>IFERROR(SEARCH(#REF!,Table4[[#This Row],[Commodity Title]],1),"")</f>
        <v/>
      </c>
      <c r="C206" s="35">
        <v>42142202</v>
      </c>
      <c r="D206" s="33" t="s">
        <v>1495</v>
      </c>
      <c r="E206" s="33" t="s">
        <v>1496</v>
      </c>
      <c r="F206" s="33" t="s">
        <v>1497</v>
      </c>
      <c r="G206" s="33" t="s">
        <v>1736</v>
      </c>
      <c r="H206" s="33" t="s">
        <v>1737</v>
      </c>
      <c r="I206" s="33" t="s">
        <v>1738</v>
      </c>
      <c r="J206" s="33">
        <v>114907</v>
      </c>
      <c r="K206" s="33" t="s">
        <v>1916</v>
      </c>
      <c r="L206" s="33" t="s">
        <v>1917</v>
      </c>
      <c r="M206" s="33" t="s">
        <v>1918</v>
      </c>
      <c r="N206" s="44">
        <v>42142202</v>
      </c>
      <c r="O206" s="33" t="s">
        <v>1921</v>
      </c>
      <c r="P206" s="33" t="s">
        <v>1922</v>
      </c>
      <c r="Q206" s="34" t="s">
        <v>1494</v>
      </c>
      <c r="R206" s="34" t="s">
        <v>1494</v>
      </c>
    </row>
    <row r="207" spans="1:18" ht="15" customHeight="1" x14ac:dyDescent="0.25">
      <c r="A207" t="str">
        <f>IFERROR(RANK(B207,$B:$B,1)+COUNTIF($B$1:B206,B207),"")</f>
        <v/>
      </c>
      <c r="B207" t="str">
        <f>IFERROR(SEARCH(#REF!,Table4[[#This Row],[Commodity Title]],1),"")</f>
        <v/>
      </c>
      <c r="C207" s="35">
        <v>42142203</v>
      </c>
      <c r="D207" s="33" t="s">
        <v>1495</v>
      </c>
      <c r="E207" s="33" t="s">
        <v>1496</v>
      </c>
      <c r="F207" s="33" t="s">
        <v>1497</v>
      </c>
      <c r="G207" s="33" t="s">
        <v>1736</v>
      </c>
      <c r="H207" s="33" t="s">
        <v>1737</v>
      </c>
      <c r="I207" s="33" t="s">
        <v>1738</v>
      </c>
      <c r="J207" s="33">
        <v>114908</v>
      </c>
      <c r="K207" s="33" t="s">
        <v>1916</v>
      </c>
      <c r="L207" s="33" t="s">
        <v>1917</v>
      </c>
      <c r="M207" s="33" t="s">
        <v>1918</v>
      </c>
      <c r="N207" s="44">
        <v>42142203</v>
      </c>
      <c r="O207" s="33" t="s">
        <v>1923</v>
      </c>
      <c r="P207" s="33" t="s">
        <v>1924</v>
      </c>
      <c r="Q207" s="34" t="s">
        <v>1494</v>
      </c>
      <c r="R207" s="34" t="s">
        <v>1494</v>
      </c>
    </row>
    <row r="208" spans="1:18" ht="15" customHeight="1" x14ac:dyDescent="0.25">
      <c r="A208" t="str">
        <f>IFERROR(RANK(B208,$B:$B,1)+COUNTIF($B$1:B207,B208),"")</f>
        <v/>
      </c>
      <c r="B208" t="str">
        <f>IFERROR(SEARCH(#REF!,Table4[[#This Row],[Commodity Title]],1),"")</f>
        <v/>
      </c>
      <c r="C208" s="35">
        <v>42142204</v>
      </c>
      <c r="D208" s="33" t="s">
        <v>1495</v>
      </c>
      <c r="E208" s="33" t="s">
        <v>1496</v>
      </c>
      <c r="F208" s="33" t="s">
        <v>1497</v>
      </c>
      <c r="G208" s="33" t="s">
        <v>1736</v>
      </c>
      <c r="H208" s="33" t="s">
        <v>1737</v>
      </c>
      <c r="I208" s="33" t="s">
        <v>1738</v>
      </c>
      <c r="J208" s="33">
        <v>142302</v>
      </c>
      <c r="K208" s="33" t="s">
        <v>1916</v>
      </c>
      <c r="L208" s="33" t="s">
        <v>1917</v>
      </c>
      <c r="M208" s="33" t="s">
        <v>1918</v>
      </c>
      <c r="N208" s="44">
        <v>42142204</v>
      </c>
      <c r="O208" s="33" t="s">
        <v>1925</v>
      </c>
      <c r="P208" s="33" t="s">
        <v>1926</v>
      </c>
      <c r="Q208" s="34" t="s">
        <v>1494</v>
      </c>
      <c r="R208" s="34" t="s">
        <v>1494</v>
      </c>
    </row>
    <row r="209" spans="1:18" ht="15" customHeight="1" x14ac:dyDescent="0.25">
      <c r="A209" t="str">
        <f>IFERROR(RANK(B209,$B:$B,1)+COUNTIF($B$1:B208,B209),"")</f>
        <v/>
      </c>
      <c r="B209" t="str">
        <f>IFERROR(SEARCH(#REF!,Table4[[#This Row],[Commodity Title]],1),"")</f>
        <v/>
      </c>
      <c r="C209" s="35">
        <v>42142205</v>
      </c>
      <c r="D209" s="33" t="s">
        <v>1495</v>
      </c>
      <c r="E209" s="33" t="s">
        <v>1496</v>
      </c>
      <c r="F209" s="33" t="s">
        <v>1497</v>
      </c>
      <c r="G209" s="33" t="s">
        <v>1736</v>
      </c>
      <c r="H209" s="33" t="s">
        <v>1737</v>
      </c>
      <c r="I209" s="33" t="s">
        <v>1738</v>
      </c>
      <c r="J209" s="33">
        <v>202391</v>
      </c>
      <c r="K209" s="33" t="s">
        <v>1916</v>
      </c>
      <c r="L209" s="33" t="s">
        <v>1917</v>
      </c>
      <c r="M209" s="33" t="s">
        <v>1918</v>
      </c>
      <c r="N209" s="44">
        <v>42142205</v>
      </c>
      <c r="O209" s="33" t="s">
        <v>1927</v>
      </c>
      <c r="P209" s="33" t="s">
        <v>1928</v>
      </c>
      <c r="Q209" s="34" t="s">
        <v>1494</v>
      </c>
      <c r="R209" s="34" t="s">
        <v>1494</v>
      </c>
    </row>
    <row r="210" spans="1:18" ht="15" customHeight="1" x14ac:dyDescent="0.25">
      <c r="A210" t="str">
        <f>IFERROR(RANK(B210,$B:$B,1)+COUNTIF($B$1:B209,B210),"")</f>
        <v/>
      </c>
      <c r="B210" t="str">
        <f>IFERROR(SEARCH(#REF!,Table4[[#This Row],[Commodity Title]],1),"")</f>
        <v/>
      </c>
      <c r="C210" s="35">
        <v>42142206</v>
      </c>
      <c r="D210" s="33" t="s">
        <v>1495</v>
      </c>
      <c r="E210" s="33" t="s">
        <v>1496</v>
      </c>
      <c r="F210" s="33" t="s">
        <v>1497</v>
      </c>
      <c r="G210" s="33" t="s">
        <v>1736</v>
      </c>
      <c r="H210" s="33" t="s">
        <v>1737</v>
      </c>
      <c r="I210" s="33" t="s">
        <v>1738</v>
      </c>
      <c r="J210" s="33">
        <v>202392</v>
      </c>
      <c r="K210" s="33" t="s">
        <v>1916</v>
      </c>
      <c r="L210" s="33" t="s">
        <v>1917</v>
      </c>
      <c r="M210" s="33" t="s">
        <v>1918</v>
      </c>
      <c r="N210" s="44">
        <v>42142206</v>
      </c>
      <c r="O210" s="33" t="s">
        <v>1929</v>
      </c>
      <c r="P210" s="33" t="s">
        <v>1930</v>
      </c>
      <c r="Q210" s="34" t="s">
        <v>1494</v>
      </c>
      <c r="R210" s="34" t="s">
        <v>1494</v>
      </c>
    </row>
    <row r="211" spans="1:18" ht="15" customHeight="1" x14ac:dyDescent="0.25">
      <c r="A211" t="str">
        <f>IFERROR(RANK(B211,$B:$B,1)+COUNTIF($B$1:B210,B211),"")</f>
        <v/>
      </c>
      <c r="B211" t="str">
        <f>IFERROR(SEARCH(#REF!,Table4[[#This Row],[Commodity Title]],1),"")</f>
        <v/>
      </c>
      <c r="C211" s="33" t="s">
        <v>1494</v>
      </c>
      <c r="D211" s="33" t="s">
        <v>1495</v>
      </c>
      <c r="E211" s="33" t="s">
        <v>1496</v>
      </c>
      <c r="F211" s="33" t="s">
        <v>1497</v>
      </c>
      <c r="G211" s="33" t="s">
        <v>1736</v>
      </c>
      <c r="H211" s="33" t="s">
        <v>1737</v>
      </c>
      <c r="I211" s="33" t="s">
        <v>1738</v>
      </c>
      <c r="J211" s="33">
        <v>114909</v>
      </c>
      <c r="K211" s="33" t="s">
        <v>1931</v>
      </c>
      <c r="L211" s="33" t="s">
        <v>1932</v>
      </c>
      <c r="M211" s="33" t="s">
        <v>1933</v>
      </c>
      <c r="N211" s="44" t="s">
        <v>1494</v>
      </c>
      <c r="O211" s="33" t="s">
        <v>1494</v>
      </c>
      <c r="P211" s="33" t="s">
        <v>1494</v>
      </c>
      <c r="Q211" s="34" t="s">
        <v>1494</v>
      </c>
      <c r="R211" s="34" t="s">
        <v>1494</v>
      </c>
    </row>
    <row r="212" spans="1:18" ht="15" customHeight="1" x14ac:dyDescent="0.25">
      <c r="A212" t="str">
        <f>IFERROR(RANK(B212,$B:$B,1)+COUNTIF($B$1:B211,B212),"")</f>
        <v/>
      </c>
      <c r="B212" t="str">
        <f>IFERROR(SEARCH(#REF!,Table4[[#This Row],[Commodity Title]],1),"")</f>
        <v/>
      </c>
      <c r="C212" s="35">
        <v>42142301</v>
      </c>
      <c r="D212" s="33" t="s">
        <v>1495</v>
      </c>
      <c r="E212" s="33" t="s">
        <v>1496</v>
      </c>
      <c r="F212" s="33" t="s">
        <v>1497</v>
      </c>
      <c r="G212" s="33" t="s">
        <v>1736</v>
      </c>
      <c r="H212" s="33" t="s">
        <v>1737</v>
      </c>
      <c r="I212" s="33" t="s">
        <v>1738</v>
      </c>
      <c r="J212" s="33">
        <v>114910</v>
      </c>
      <c r="K212" s="33" t="s">
        <v>1931</v>
      </c>
      <c r="L212" s="33" t="s">
        <v>1932</v>
      </c>
      <c r="M212" s="33" t="s">
        <v>1933</v>
      </c>
      <c r="N212" s="44">
        <v>42142301</v>
      </c>
      <c r="O212" s="33" t="s">
        <v>1934</v>
      </c>
      <c r="P212" s="33" t="s">
        <v>1935</v>
      </c>
      <c r="Q212" s="34" t="s">
        <v>1494</v>
      </c>
      <c r="R212" s="34" t="s">
        <v>1494</v>
      </c>
    </row>
    <row r="213" spans="1:18" ht="15" customHeight="1" x14ac:dyDescent="0.25">
      <c r="A213" t="str">
        <f>IFERROR(RANK(B213,$B:$B,1)+COUNTIF($B$1:B212,B213),"")</f>
        <v/>
      </c>
      <c r="B213" t="str">
        <f>IFERROR(SEARCH(#REF!,Table4[[#This Row],[Commodity Title]],1),"")</f>
        <v/>
      </c>
      <c r="C213" s="35">
        <v>42142302</v>
      </c>
      <c r="D213" s="33" t="s">
        <v>1495</v>
      </c>
      <c r="E213" s="33" t="s">
        <v>1496</v>
      </c>
      <c r="F213" s="33" t="s">
        <v>1497</v>
      </c>
      <c r="G213" s="33" t="s">
        <v>1736</v>
      </c>
      <c r="H213" s="33" t="s">
        <v>1737</v>
      </c>
      <c r="I213" s="33" t="s">
        <v>1738</v>
      </c>
      <c r="J213" s="33">
        <v>114911</v>
      </c>
      <c r="K213" s="33" t="s">
        <v>1931</v>
      </c>
      <c r="L213" s="33" t="s">
        <v>1932</v>
      </c>
      <c r="M213" s="33" t="s">
        <v>1933</v>
      </c>
      <c r="N213" s="44">
        <v>42142302</v>
      </c>
      <c r="O213" s="33" t="s">
        <v>1936</v>
      </c>
      <c r="P213" s="33" t="s">
        <v>1937</v>
      </c>
      <c r="Q213" s="34" t="s">
        <v>1494</v>
      </c>
      <c r="R213" s="34" t="s">
        <v>1494</v>
      </c>
    </row>
    <row r="214" spans="1:18" ht="15" customHeight="1" x14ac:dyDescent="0.25">
      <c r="A214" t="str">
        <f>IFERROR(RANK(B214,$B:$B,1)+COUNTIF($B$1:B213,B214),"")</f>
        <v/>
      </c>
      <c r="B214" t="str">
        <f>IFERROR(SEARCH(#REF!,Table4[[#This Row],[Commodity Title]],1),"")</f>
        <v/>
      </c>
      <c r="C214" s="35">
        <v>42142303</v>
      </c>
      <c r="D214" s="33" t="s">
        <v>1495</v>
      </c>
      <c r="E214" s="33" t="s">
        <v>1496</v>
      </c>
      <c r="F214" s="33" t="s">
        <v>1497</v>
      </c>
      <c r="G214" s="33" t="s">
        <v>1736</v>
      </c>
      <c r="H214" s="33" t="s">
        <v>1737</v>
      </c>
      <c r="I214" s="33" t="s">
        <v>1738</v>
      </c>
      <c r="J214" s="33">
        <v>114912</v>
      </c>
      <c r="K214" s="33" t="s">
        <v>1931</v>
      </c>
      <c r="L214" s="33" t="s">
        <v>1932</v>
      </c>
      <c r="M214" s="33" t="s">
        <v>1933</v>
      </c>
      <c r="N214" s="44">
        <v>42142303</v>
      </c>
      <c r="O214" s="33" t="s">
        <v>1938</v>
      </c>
      <c r="P214" s="33" t="s">
        <v>1939</v>
      </c>
      <c r="Q214" s="34" t="s">
        <v>1494</v>
      </c>
      <c r="R214" s="34" t="s">
        <v>1494</v>
      </c>
    </row>
    <row r="215" spans="1:18" ht="15" customHeight="1" x14ac:dyDescent="0.25">
      <c r="A215" t="str">
        <f>IFERROR(RANK(B215,$B:$B,1)+COUNTIF($B$1:B214,B215),"")</f>
        <v/>
      </c>
      <c r="B215" t="str">
        <f>IFERROR(SEARCH(#REF!,Table4[[#This Row],[Commodity Title]],1),"")</f>
        <v/>
      </c>
      <c r="C215" s="35">
        <v>42142304</v>
      </c>
      <c r="D215" s="33" t="s">
        <v>1495</v>
      </c>
      <c r="E215" s="33" t="s">
        <v>1496</v>
      </c>
      <c r="F215" s="33" t="s">
        <v>1497</v>
      </c>
      <c r="G215" s="33" t="s">
        <v>1736</v>
      </c>
      <c r="H215" s="33" t="s">
        <v>1737</v>
      </c>
      <c r="I215" s="33" t="s">
        <v>1738</v>
      </c>
      <c r="J215" s="33">
        <v>202393</v>
      </c>
      <c r="K215" s="33" t="s">
        <v>1931</v>
      </c>
      <c r="L215" s="33" t="s">
        <v>1932</v>
      </c>
      <c r="M215" s="33" t="s">
        <v>1933</v>
      </c>
      <c r="N215" s="44">
        <v>42142304</v>
      </c>
      <c r="O215" s="33" t="s">
        <v>1940</v>
      </c>
      <c r="P215" s="33" t="s">
        <v>1941</v>
      </c>
      <c r="Q215" s="34" t="s">
        <v>1494</v>
      </c>
      <c r="R215" s="34" t="s">
        <v>1494</v>
      </c>
    </row>
    <row r="216" spans="1:18" ht="15" customHeight="1" x14ac:dyDescent="0.25">
      <c r="A216" t="str">
        <f>IFERROR(RANK(B216,$B:$B,1)+COUNTIF($B$1:B215,B216),"")</f>
        <v/>
      </c>
      <c r="B216" t="str">
        <f>IFERROR(SEARCH(#REF!,Table4[[#This Row],[Commodity Title]],1),"")</f>
        <v/>
      </c>
      <c r="C216" s="35">
        <v>42142305</v>
      </c>
      <c r="D216" s="33" t="s">
        <v>1495</v>
      </c>
      <c r="E216" s="33" t="s">
        <v>1496</v>
      </c>
      <c r="F216" s="33" t="s">
        <v>1497</v>
      </c>
      <c r="G216" s="33" t="s">
        <v>1736</v>
      </c>
      <c r="H216" s="33" t="s">
        <v>1737</v>
      </c>
      <c r="I216" s="33" t="s">
        <v>1738</v>
      </c>
      <c r="J216" s="33">
        <v>202394</v>
      </c>
      <c r="K216" s="33" t="s">
        <v>1931</v>
      </c>
      <c r="L216" s="33" t="s">
        <v>1932</v>
      </c>
      <c r="M216" s="33" t="s">
        <v>1933</v>
      </c>
      <c r="N216" s="44">
        <v>42142305</v>
      </c>
      <c r="O216" s="33" t="s">
        <v>1942</v>
      </c>
      <c r="P216" s="33" t="s">
        <v>1943</v>
      </c>
      <c r="Q216" s="34" t="s">
        <v>1494</v>
      </c>
      <c r="R216" s="34" t="s">
        <v>1494</v>
      </c>
    </row>
    <row r="217" spans="1:18" ht="15" customHeight="1" x14ac:dyDescent="0.25">
      <c r="A217" t="str">
        <f>IFERROR(RANK(B217,$B:$B,1)+COUNTIF($B$1:B216,B217),"")</f>
        <v/>
      </c>
      <c r="B217" t="str">
        <f>IFERROR(SEARCH(#REF!,Table4[[#This Row],[Commodity Title]],1),"")</f>
        <v/>
      </c>
      <c r="C217" s="35">
        <v>42142306</v>
      </c>
      <c r="D217" s="33" t="s">
        <v>1495</v>
      </c>
      <c r="E217" s="33" t="s">
        <v>1496</v>
      </c>
      <c r="F217" s="33" t="s">
        <v>1497</v>
      </c>
      <c r="G217" s="33" t="s">
        <v>1736</v>
      </c>
      <c r="H217" s="33" t="s">
        <v>1737</v>
      </c>
      <c r="I217" s="33" t="s">
        <v>1738</v>
      </c>
      <c r="J217" s="33">
        <v>202395</v>
      </c>
      <c r="K217" s="33" t="s">
        <v>1931</v>
      </c>
      <c r="L217" s="33" t="s">
        <v>1932</v>
      </c>
      <c r="M217" s="33" t="s">
        <v>1933</v>
      </c>
      <c r="N217" s="44">
        <v>42142306</v>
      </c>
      <c r="O217" s="33" t="s">
        <v>1944</v>
      </c>
      <c r="P217" s="33" t="s">
        <v>1945</v>
      </c>
      <c r="Q217" s="34" t="s">
        <v>1494</v>
      </c>
      <c r="R217" s="34" t="s">
        <v>1494</v>
      </c>
    </row>
    <row r="218" spans="1:18" ht="15" customHeight="1" x14ac:dyDescent="0.25">
      <c r="A218" t="str">
        <f>IFERROR(RANK(B218,$B:$B,1)+COUNTIF($B$1:B217,B218),"")</f>
        <v/>
      </c>
      <c r="B218" t="str">
        <f>IFERROR(SEARCH(#REF!,Table4[[#This Row],[Commodity Title]],1),"")</f>
        <v/>
      </c>
      <c r="C218" s="35">
        <v>42142307</v>
      </c>
      <c r="D218" s="33" t="s">
        <v>1495</v>
      </c>
      <c r="E218" s="33" t="s">
        <v>1496</v>
      </c>
      <c r="F218" s="33" t="s">
        <v>1497</v>
      </c>
      <c r="G218" s="33" t="s">
        <v>1736</v>
      </c>
      <c r="H218" s="33" t="s">
        <v>1737</v>
      </c>
      <c r="I218" s="33" t="s">
        <v>1738</v>
      </c>
      <c r="J218" s="33">
        <v>202396</v>
      </c>
      <c r="K218" s="33" t="s">
        <v>1931</v>
      </c>
      <c r="L218" s="33" t="s">
        <v>1932</v>
      </c>
      <c r="M218" s="33" t="s">
        <v>1933</v>
      </c>
      <c r="N218" s="44">
        <v>42142307</v>
      </c>
      <c r="O218" s="33" t="s">
        <v>1946</v>
      </c>
      <c r="P218" s="33" t="s">
        <v>1947</v>
      </c>
      <c r="Q218" s="34" t="s">
        <v>1494</v>
      </c>
      <c r="R218" s="34" t="s">
        <v>1494</v>
      </c>
    </row>
    <row r="219" spans="1:18" ht="15" customHeight="1" x14ac:dyDescent="0.25">
      <c r="A219" t="str">
        <f>IFERROR(RANK(B219,$B:$B,1)+COUNTIF($B$1:B218,B219),"")</f>
        <v/>
      </c>
      <c r="B219" t="str">
        <f>IFERROR(SEARCH(#REF!,Table4[[#This Row],[Commodity Title]],1),"")</f>
        <v/>
      </c>
      <c r="C219" s="33" t="s">
        <v>1494</v>
      </c>
      <c r="D219" s="33" t="s">
        <v>1495</v>
      </c>
      <c r="E219" s="33" t="s">
        <v>1496</v>
      </c>
      <c r="F219" s="33" t="s">
        <v>1497</v>
      </c>
      <c r="G219" s="33" t="s">
        <v>1736</v>
      </c>
      <c r="H219" s="33" t="s">
        <v>1737</v>
      </c>
      <c r="I219" s="33" t="s">
        <v>1738</v>
      </c>
      <c r="J219" s="33">
        <v>114918</v>
      </c>
      <c r="K219" s="33" t="s">
        <v>1948</v>
      </c>
      <c r="L219" s="33" t="s">
        <v>1949</v>
      </c>
      <c r="M219" s="33" t="s">
        <v>1950</v>
      </c>
      <c r="N219" s="44" t="s">
        <v>1494</v>
      </c>
      <c r="O219" s="33" t="s">
        <v>1494</v>
      </c>
      <c r="P219" s="33" t="s">
        <v>1494</v>
      </c>
      <c r="Q219" s="34" t="s">
        <v>1494</v>
      </c>
      <c r="R219" s="34" t="s">
        <v>1494</v>
      </c>
    </row>
    <row r="220" spans="1:18" ht="15" customHeight="1" x14ac:dyDescent="0.25">
      <c r="A220" t="str">
        <f>IFERROR(RANK(B220,$B:$B,1)+COUNTIF($B$1:B219,B220),"")</f>
        <v/>
      </c>
      <c r="B220" t="str">
        <f>IFERROR(SEARCH(#REF!,Table4[[#This Row],[Commodity Title]],1),"")</f>
        <v/>
      </c>
      <c r="C220" s="35">
        <v>42142501</v>
      </c>
      <c r="D220" s="33" t="s">
        <v>1495</v>
      </c>
      <c r="E220" s="33" t="s">
        <v>1496</v>
      </c>
      <c r="F220" s="33" t="s">
        <v>1497</v>
      </c>
      <c r="G220" s="33" t="s">
        <v>1736</v>
      </c>
      <c r="H220" s="33" t="s">
        <v>1737</v>
      </c>
      <c r="I220" s="33" t="s">
        <v>1738</v>
      </c>
      <c r="J220" s="33">
        <v>114919</v>
      </c>
      <c r="K220" s="33" t="s">
        <v>1948</v>
      </c>
      <c r="L220" s="33" t="s">
        <v>1949</v>
      </c>
      <c r="M220" s="33" t="s">
        <v>1950</v>
      </c>
      <c r="N220" s="44">
        <v>42142501</v>
      </c>
      <c r="O220" s="33" t="s">
        <v>1951</v>
      </c>
      <c r="P220" s="33" t="s">
        <v>1952</v>
      </c>
      <c r="Q220" s="34" t="s">
        <v>1494</v>
      </c>
      <c r="R220" s="34" t="s">
        <v>1494</v>
      </c>
    </row>
    <row r="221" spans="1:18" ht="15" customHeight="1" x14ac:dyDescent="0.25">
      <c r="A221" t="str">
        <f>IFERROR(RANK(B221,$B:$B,1)+COUNTIF($B$1:B220,B221),"")</f>
        <v/>
      </c>
      <c r="B221" t="str">
        <f>IFERROR(SEARCH(#REF!,Table4[[#This Row],[Commodity Title]],1),"")</f>
        <v/>
      </c>
      <c r="C221" s="35">
        <v>42142502</v>
      </c>
      <c r="D221" s="33" t="s">
        <v>1495</v>
      </c>
      <c r="E221" s="33" t="s">
        <v>1496</v>
      </c>
      <c r="F221" s="33" t="s">
        <v>1497</v>
      </c>
      <c r="G221" s="33" t="s">
        <v>1736</v>
      </c>
      <c r="H221" s="33" t="s">
        <v>1737</v>
      </c>
      <c r="I221" s="33" t="s">
        <v>1738</v>
      </c>
      <c r="J221" s="33">
        <v>114920</v>
      </c>
      <c r="K221" s="33" t="s">
        <v>1948</v>
      </c>
      <c r="L221" s="33" t="s">
        <v>1949</v>
      </c>
      <c r="M221" s="33" t="s">
        <v>1950</v>
      </c>
      <c r="N221" s="44">
        <v>42142502</v>
      </c>
      <c r="O221" s="33" t="s">
        <v>1953</v>
      </c>
      <c r="P221" s="33" t="s">
        <v>1954</v>
      </c>
      <c r="Q221" s="34" t="s">
        <v>1494</v>
      </c>
      <c r="R221" s="34" t="s">
        <v>1494</v>
      </c>
    </row>
    <row r="222" spans="1:18" ht="15" customHeight="1" x14ac:dyDescent="0.25">
      <c r="A222" t="str">
        <f>IFERROR(RANK(B222,$B:$B,1)+COUNTIF($B$1:B221,B222),"")</f>
        <v/>
      </c>
      <c r="B222" t="str">
        <f>IFERROR(SEARCH(#REF!,Table4[[#This Row],[Commodity Title]],1),"")</f>
        <v/>
      </c>
      <c r="C222" s="35">
        <v>42142503</v>
      </c>
      <c r="D222" s="33" t="s">
        <v>1495</v>
      </c>
      <c r="E222" s="33" t="s">
        <v>1496</v>
      </c>
      <c r="F222" s="33" t="s">
        <v>1497</v>
      </c>
      <c r="G222" s="33" t="s">
        <v>1736</v>
      </c>
      <c r="H222" s="33" t="s">
        <v>1737</v>
      </c>
      <c r="I222" s="33" t="s">
        <v>1738</v>
      </c>
      <c r="J222" s="33">
        <v>114921</v>
      </c>
      <c r="K222" s="33" t="s">
        <v>1948</v>
      </c>
      <c r="L222" s="33" t="s">
        <v>1949</v>
      </c>
      <c r="M222" s="33" t="s">
        <v>1950</v>
      </c>
      <c r="N222" s="44">
        <v>42142503</v>
      </c>
      <c r="O222" s="33" t="s">
        <v>1955</v>
      </c>
      <c r="P222" s="33" t="s">
        <v>1956</v>
      </c>
      <c r="Q222" s="34" t="s">
        <v>1494</v>
      </c>
      <c r="R222" s="34" t="s">
        <v>1494</v>
      </c>
    </row>
    <row r="223" spans="1:18" ht="15" customHeight="1" x14ac:dyDescent="0.25">
      <c r="A223" t="str">
        <f>IFERROR(RANK(B223,$B:$B,1)+COUNTIF($B$1:B222,B223),"")</f>
        <v/>
      </c>
      <c r="B223" t="str">
        <f>IFERROR(SEARCH(#REF!,Table4[[#This Row],[Commodity Title]],1),"")</f>
        <v/>
      </c>
      <c r="C223" s="35">
        <v>42142504</v>
      </c>
      <c r="D223" s="33" t="s">
        <v>1495</v>
      </c>
      <c r="E223" s="33" t="s">
        <v>1496</v>
      </c>
      <c r="F223" s="33" t="s">
        <v>1497</v>
      </c>
      <c r="G223" s="33" t="s">
        <v>1736</v>
      </c>
      <c r="H223" s="33" t="s">
        <v>1737</v>
      </c>
      <c r="I223" s="33" t="s">
        <v>1738</v>
      </c>
      <c r="J223" s="33">
        <v>104560</v>
      </c>
      <c r="K223" s="33" t="s">
        <v>1948</v>
      </c>
      <c r="L223" s="33" t="s">
        <v>1949</v>
      </c>
      <c r="M223" s="33" t="s">
        <v>1950</v>
      </c>
      <c r="N223" s="44">
        <v>42142504</v>
      </c>
      <c r="O223" s="33" t="s">
        <v>1957</v>
      </c>
      <c r="P223" s="33" t="s">
        <v>1958</v>
      </c>
      <c r="Q223" s="34" t="s">
        <v>1494</v>
      </c>
      <c r="R223" s="34" t="s">
        <v>1494</v>
      </c>
    </row>
    <row r="224" spans="1:18" ht="15" customHeight="1" x14ac:dyDescent="0.25">
      <c r="A224" t="str">
        <f>IFERROR(RANK(B224,$B:$B,1)+COUNTIF($B$1:B223,B224),"")</f>
        <v/>
      </c>
      <c r="B224" t="str">
        <f>IFERROR(SEARCH(#REF!,Table4[[#This Row],[Commodity Title]],1),"")</f>
        <v/>
      </c>
      <c r="C224" s="35">
        <v>42142506</v>
      </c>
      <c r="D224" s="33" t="s">
        <v>1495</v>
      </c>
      <c r="E224" s="33" t="s">
        <v>1496</v>
      </c>
      <c r="F224" s="33" t="s">
        <v>1497</v>
      </c>
      <c r="G224" s="33" t="s">
        <v>1736</v>
      </c>
      <c r="H224" s="33" t="s">
        <v>1737</v>
      </c>
      <c r="I224" s="33" t="s">
        <v>1738</v>
      </c>
      <c r="J224" s="33">
        <v>114924</v>
      </c>
      <c r="K224" s="33" t="s">
        <v>1948</v>
      </c>
      <c r="L224" s="33" t="s">
        <v>1949</v>
      </c>
      <c r="M224" s="33" t="s">
        <v>1950</v>
      </c>
      <c r="N224" s="44">
        <v>42142506</v>
      </c>
      <c r="O224" s="33" t="s">
        <v>1959</v>
      </c>
      <c r="P224" s="33" t="s">
        <v>1960</v>
      </c>
      <c r="Q224" s="34" t="s">
        <v>1494</v>
      </c>
      <c r="R224" s="34" t="s">
        <v>1494</v>
      </c>
    </row>
    <row r="225" spans="1:18" ht="15" customHeight="1" x14ac:dyDescent="0.25">
      <c r="A225" t="str">
        <f>IFERROR(RANK(B225,$B:$B,1)+COUNTIF($B$1:B224,B225),"")</f>
        <v/>
      </c>
      <c r="B225" t="str">
        <f>IFERROR(SEARCH(#REF!,Table4[[#This Row],[Commodity Title]],1),"")</f>
        <v/>
      </c>
      <c r="C225" s="35">
        <v>42142509</v>
      </c>
      <c r="D225" s="33" t="s">
        <v>1495</v>
      </c>
      <c r="E225" s="33" t="s">
        <v>1496</v>
      </c>
      <c r="F225" s="33" t="s">
        <v>1497</v>
      </c>
      <c r="G225" s="33" t="s">
        <v>1736</v>
      </c>
      <c r="H225" s="33" t="s">
        <v>1737</v>
      </c>
      <c r="I225" s="33" t="s">
        <v>1738</v>
      </c>
      <c r="J225" s="33">
        <v>114927</v>
      </c>
      <c r="K225" s="33" t="s">
        <v>1948</v>
      </c>
      <c r="L225" s="33" t="s">
        <v>1949</v>
      </c>
      <c r="M225" s="33" t="s">
        <v>1950</v>
      </c>
      <c r="N225" s="44">
        <v>42142509</v>
      </c>
      <c r="O225" s="33" t="s">
        <v>1961</v>
      </c>
      <c r="P225" s="33" t="s">
        <v>1962</v>
      </c>
      <c r="Q225" s="34" t="s">
        <v>1494</v>
      </c>
      <c r="R225" s="34" t="s">
        <v>1494</v>
      </c>
    </row>
    <row r="226" spans="1:18" ht="15" customHeight="1" x14ac:dyDescent="0.25">
      <c r="A226" t="str">
        <f>IFERROR(RANK(B226,$B:$B,1)+COUNTIF($B$1:B225,B226),"")</f>
        <v/>
      </c>
      <c r="B226" t="str">
        <f>IFERROR(SEARCH(#REF!,Table4[[#This Row],[Commodity Title]],1),"")</f>
        <v/>
      </c>
      <c r="C226" s="35">
        <v>42142510</v>
      </c>
      <c r="D226" s="33" t="s">
        <v>1495</v>
      </c>
      <c r="E226" s="33" t="s">
        <v>1496</v>
      </c>
      <c r="F226" s="33" t="s">
        <v>1497</v>
      </c>
      <c r="G226" s="33" t="s">
        <v>1736</v>
      </c>
      <c r="H226" s="33" t="s">
        <v>1737</v>
      </c>
      <c r="I226" s="33" t="s">
        <v>1738</v>
      </c>
      <c r="J226" s="33">
        <v>114928</v>
      </c>
      <c r="K226" s="33" t="s">
        <v>1948</v>
      </c>
      <c r="L226" s="33" t="s">
        <v>1949</v>
      </c>
      <c r="M226" s="33" t="s">
        <v>1950</v>
      </c>
      <c r="N226" s="44">
        <v>42142510</v>
      </c>
      <c r="O226" s="33" t="s">
        <v>1963</v>
      </c>
      <c r="P226" s="33" t="s">
        <v>1964</v>
      </c>
      <c r="Q226" s="34" t="s">
        <v>1494</v>
      </c>
      <c r="R226" s="34" t="s">
        <v>1494</v>
      </c>
    </row>
    <row r="227" spans="1:18" ht="15" customHeight="1" x14ac:dyDescent="0.25">
      <c r="A227" t="str">
        <f>IFERROR(RANK(B227,$B:$B,1)+COUNTIF($B$1:B226,B227),"")</f>
        <v/>
      </c>
      <c r="B227" t="str">
        <f>IFERROR(SEARCH(#REF!,Table4[[#This Row],[Commodity Title]],1),"")</f>
        <v/>
      </c>
      <c r="C227" s="35">
        <v>42142511</v>
      </c>
      <c r="D227" s="33" t="s">
        <v>1495</v>
      </c>
      <c r="E227" s="33" t="s">
        <v>1496</v>
      </c>
      <c r="F227" s="33" t="s">
        <v>1497</v>
      </c>
      <c r="G227" s="33" t="s">
        <v>1736</v>
      </c>
      <c r="H227" s="33" t="s">
        <v>1737</v>
      </c>
      <c r="I227" s="33" t="s">
        <v>1738</v>
      </c>
      <c r="J227" s="33">
        <v>114929</v>
      </c>
      <c r="K227" s="33" t="s">
        <v>1948</v>
      </c>
      <c r="L227" s="33" t="s">
        <v>1949</v>
      </c>
      <c r="M227" s="33" t="s">
        <v>1950</v>
      </c>
      <c r="N227" s="44">
        <v>42142511</v>
      </c>
      <c r="O227" s="33" t="s">
        <v>1965</v>
      </c>
      <c r="P227" s="33" t="s">
        <v>1966</v>
      </c>
      <c r="Q227" s="34" t="s">
        <v>1494</v>
      </c>
      <c r="R227" s="34" t="s">
        <v>1494</v>
      </c>
    </row>
    <row r="228" spans="1:18" ht="15" customHeight="1" x14ac:dyDescent="0.25">
      <c r="A228" t="str">
        <f>IFERROR(RANK(B228,$B:$B,1)+COUNTIF($B$1:B227,B228),"")</f>
        <v/>
      </c>
      <c r="B228" t="str">
        <f>IFERROR(SEARCH(#REF!,Table4[[#This Row],[Commodity Title]],1),"")</f>
        <v/>
      </c>
      <c r="C228" s="35">
        <v>42142512</v>
      </c>
      <c r="D228" s="33" t="s">
        <v>1495</v>
      </c>
      <c r="E228" s="33" t="s">
        <v>1496</v>
      </c>
      <c r="F228" s="33" t="s">
        <v>1497</v>
      </c>
      <c r="G228" s="33" t="s">
        <v>1736</v>
      </c>
      <c r="H228" s="33" t="s">
        <v>1737</v>
      </c>
      <c r="I228" s="33" t="s">
        <v>1738</v>
      </c>
      <c r="J228" s="33">
        <v>114930</v>
      </c>
      <c r="K228" s="33" t="s">
        <v>1948</v>
      </c>
      <c r="L228" s="33" t="s">
        <v>1949</v>
      </c>
      <c r="M228" s="33" t="s">
        <v>1950</v>
      </c>
      <c r="N228" s="44">
        <v>42142512</v>
      </c>
      <c r="O228" s="33" t="s">
        <v>1967</v>
      </c>
      <c r="P228" s="33" t="s">
        <v>1968</v>
      </c>
      <c r="Q228" s="34" t="s">
        <v>1494</v>
      </c>
      <c r="R228" s="34" t="s">
        <v>1494</v>
      </c>
    </row>
    <row r="229" spans="1:18" ht="15" customHeight="1" x14ac:dyDescent="0.25">
      <c r="A229" t="str">
        <f>IFERROR(RANK(B229,$B:$B,1)+COUNTIF($B$1:B228,B229),"")</f>
        <v/>
      </c>
      <c r="B229" t="str">
        <f>IFERROR(SEARCH(#REF!,Table4[[#This Row],[Commodity Title]],1),"")</f>
        <v/>
      </c>
      <c r="C229" s="35">
        <v>42142513</v>
      </c>
      <c r="D229" s="33" t="s">
        <v>1495</v>
      </c>
      <c r="E229" s="33" t="s">
        <v>1496</v>
      </c>
      <c r="F229" s="33" t="s">
        <v>1497</v>
      </c>
      <c r="G229" s="33" t="s">
        <v>1736</v>
      </c>
      <c r="H229" s="33" t="s">
        <v>1737</v>
      </c>
      <c r="I229" s="33" t="s">
        <v>1738</v>
      </c>
      <c r="J229" s="33">
        <v>114931</v>
      </c>
      <c r="K229" s="33" t="s">
        <v>1948</v>
      </c>
      <c r="L229" s="33" t="s">
        <v>1949</v>
      </c>
      <c r="M229" s="33" t="s">
        <v>1950</v>
      </c>
      <c r="N229" s="44">
        <v>42142513</v>
      </c>
      <c r="O229" s="33" t="s">
        <v>1969</v>
      </c>
      <c r="P229" s="33" t="s">
        <v>1970</v>
      </c>
      <c r="Q229" s="34" t="s">
        <v>1494</v>
      </c>
      <c r="R229" s="34" t="s">
        <v>1494</v>
      </c>
    </row>
    <row r="230" spans="1:18" ht="15" customHeight="1" x14ac:dyDescent="0.25">
      <c r="A230" t="str">
        <f>IFERROR(RANK(B230,$B:$B,1)+COUNTIF($B$1:B229,B230),"")</f>
        <v/>
      </c>
      <c r="B230" t="str">
        <f>IFERROR(SEARCH(#REF!,Table4[[#This Row],[Commodity Title]],1),"")</f>
        <v/>
      </c>
      <c r="C230" s="35">
        <v>42142514</v>
      </c>
      <c r="D230" s="33" t="s">
        <v>1495</v>
      </c>
      <c r="E230" s="33" t="s">
        <v>1496</v>
      </c>
      <c r="F230" s="33" t="s">
        <v>1497</v>
      </c>
      <c r="G230" s="33" t="s">
        <v>1736</v>
      </c>
      <c r="H230" s="33" t="s">
        <v>1737</v>
      </c>
      <c r="I230" s="33" t="s">
        <v>1738</v>
      </c>
      <c r="J230" s="33">
        <v>114932</v>
      </c>
      <c r="K230" s="33" t="s">
        <v>1948</v>
      </c>
      <c r="L230" s="33" t="s">
        <v>1949</v>
      </c>
      <c r="M230" s="33" t="s">
        <v>1950</v>
      </c>
      <c r="N230" s="44">
        <v>42142514</v>
      </c>
      <c r="O230" s="33" t="s">
        <v>1971</v>
      </c>
      <c r="P230" s="33" t="s">
        <v>1972</v>
      </c>
      <c r="Q230" s="34" t="s">
        <v>1494</v>
      </c>
      <c r="R230" s="34" t="s">
        <v>1494</v>
      </c>
    </row>
    <row r="231" spans="1:18" ht="15" customHeight="1" x14ac:dyDescent="0.25">
      <c r="A231" t="str">
        <f>IFERROR(RANK(B231,$B:$B,1)+COUNTIF($B$1:B230,B231),"")</f>
        <v/>
      </c>
      <c r="B231" t="str">
        <f>IFERROR(SEARCH(#REF!,Table4[[#This Row],[Commodity Title]],1),"")</f>
        <v/>
      </c>
      <c r="C231" s="35">
        <v>42142516</v>
      </c>
      <c r="D231" s="33" t="s">
        <v>1495</v>
      </c>
      <c r="E231" s="33" t="s">
        <v>1496</v>
      </c>
      <c r="F231" s="33" t="s">
        <v>1497</v>
      </c>
      <c r="G231" s="33" t="s">
        <v>1736</v>
      </c>
      <c r="H231" s="33" t="s">
        <v>1737</v>
      </c>
      <c r="I231" s="33" t="s">
        <v>1738</v>
      </c>
      <c r="J231" s="33">
        <v>114934</v>
      </c>
      <c r="K231" s="33" t="s">
        <v>1948</v>
      </c>
      <c r="L231" s="33" t="s">
        <v>1949</v>
      </c>
      <c r="M231" s="33" t="s">
        <v>1950</v>
      </c>
      <c r="N231" s="44">
        <v>42142516</v>
      </c>
      <c r="O231" s="33" t="s">
        <v>1973</v>
      </c>
      <c r="P231" s="33" t="s">
        <v>1974</v>
      </c>
      <c r="Q231" s="34" t="s">
        <v>1494</v>
      </c>
      <c r="R231" s="34" t="s">
        <v>1494</v>
      </c>
    </row>
    <row r="232" spans="1:18" ht="15" customHeight="1" x14ac:dyDescent="0.25">
      <c r="A232" t="str">
        <f>IFERROR(RANK(B232,$B:$B,1)+COUNTIF($B$1:B231,B232),"")</f>
        <v/>
      </c>
      <c r="B232" t="str">
        <f>IFERROR(SEARCH(#REF!,Table4[[#This Row],[Commodity Title]],1),"")</f>
        <v/>
      </c>
      <c r="C232" s="35">
        <v>42142518</v>
      </c>
      <c r="D232" s="33" t="s">
        <v>1495</v>
      </c>
      <c r="E232" s="33" t="s">
        <v>1496</v>
      </c>
      <c r="F232" s="33" t="s">
        <v>1497</v>
      </c>
      <c r="G232" s="33" t="s">
        <v>1736</v>
      </c>
      <c r="H232" s="33" t="s">
        <v>1737</v>
      </c>
      <c r="I232" s="33" t="s">
        <v>1738</v>
      </c>
      <c r="J232" s="33">
        <v>142307</v>
      </c>
      <c r="K232" s="33" t="s">
        <v>1948</v>
      </c>
      <c r="L232" s="33" t="s">
        <v>1949</v>
      </c>
      <c r="M232" s="33" t="s">
        <v>1950</v>
      </c>
      <c r="N232" s="44">
        <v>42142518</v>
      </c>
      <c r="O232" s="33" t="s">
        <v>1975</v>
      </c>
      <c r="P232" s="33" t="s">
        <v>1976</v>
      </c>
      <c r="Q232" s="34" t="s">
        <v>1494</v>
      </c>
      <c r="R232" s="34" t="s">
        <v>1494</v>
      </c>
    </row>
    <row r="233" spans="1:18" ht="15" customHeight="1" x14ac:dyDescent="0.25">
      <c r="A233" t="str">
        <f>IFERROR(RANK(B233,$B:$B,1)+COUNTIF($B$1:B232,B233),"")</f>
        <v/>
      </c>
      <c r="B233" t="str">
        <f>IFERROR(SEARCH(#REF!,Table4[[#This Row],[Commodity Title]],1),"")</f>
        <v/>
      </c>
      <c r="C233" s="35">
        <v>42142519</v>
      </c>
      <c r="D233" s="33" t="s">
        <v>1495</v>
      </c>
      <c r="E233" s="33" t="s">
        <v>1496</v>
      </c>
      <c r="F233" s="33" t="s">
        <v>1497</v>
      </c>
      <c r="G233" s="33" t="s">
        <v>1736</v>
      </c>
      <c r="H233" s="33" t="s">
        <v>1737</v>
      </c>
      <c r="I233" s="33" t="s">
        <v>1738</v>
      </c>
      <c r="J233" s="33">
        <v>142308</v>
      </c>
      <c r="K233" s="33" t="s">
        <v>1948</v>
      </c>
      <c r="L233" s="33" t="s">
        <v>1949</v>
      </c>
      <c r="M233" s="33" t="s">
        <v>1950</v>
      </c>
      <c r="N233" s="44">
        <v>42142519</v>
      </c>
      <c r="O233" s="33" t="s">
        <v>1977</v>
      </c>
      <c r="P233" s="33" t="s">
        <v>1978</v>
      </c>
      <c r="Q233" s="34" t="s">
        <v>1494</v>
      </c>
      <c r="R233" s="34" t="s">
        <v>1494</v>
      </c>
    </row>
    <row r="234" spans="1:18" ht="15" customHeight="1" x14ac:dyDescent="0.25">
      <c r="A234" t="str">
        <f>IFERROR(RANK(B234,$B:$B,1)+COUNTIF($B$1:B233,B234),"")</f>
        <v/>
      </c>
      <c r="B234" t="str">
        <f>IFERROR(SEARCH(#REF!,Table4[[#This Row],[Commodity Title]],1),"")</f>
        <v/>
      </c>
      <c r="C234" s="35">
        <v>42142520</v>
      </c>
      <c r="D234" s="33" t="s">
        <v>1495</v>
      </c>
      <c r="E234" s="33" t="s">
        <v>1496</v>
      </c>
      <c r="F234" s="33" t="s">
        <v>1497</v>
      </c>
      <c r="G234" s="33" t="s">
        <v>1736</v>
      </c>
      <c r="H234" s="33" t="s">
        <v>1737</v>
      </c>
      <c r="I234" s="33" t="s">
        <v>1738</v>
      </c>
      <c r="J234" s="33">
        <v>142309</v>
      </c>
      <c r="K234" s="33" t="s">
        <v>1948</v>
      </c>
      <c r="L234" s="33" t="s">
        <v>1949</v>
      </c>
      <c r="M234" s="33" t="s">
        <v>1950</v>
      </c>
      <c r="N234" s="44">
        <v>42142520</v>
      </c>
      <c r="O234" s="33" t="s">
        <v>1979</v>
      </c>
      <c r="P234" s="33" t="s">
        <v>1980</v>
      </c>
      <c r="Q234" s="34" t="s">
        <v>1494</v>
      </c>
      <c r="R234" s="34" t="s">
        <v>1494</v>
      </c>
    </row>
    <row r="235" spans="1:18" ht="15" customHeight="1" x14ac:dyDescent="0.25">
      <c r="A235" t="str">
        <f>IFERROR(RANK(B235,$B:$B,1)+COUNTIF($B$1:B234,B235),"")</f>
        <v/>
      </c>
      <c r="B235" t="str">
        <f>IFERROR(SEARCH(#REF!,Table4[[#This Row],[Commodity Title]],1),"")</f>
        <v/>
      </c>
      <c r="C235" s="35">
        <v>42142521</v>
      </c>
      <c r="D235" s="33" t="s">
        <v>1495</v>
      </c>
      <c r="E235" s="33" t="s">
        <v>1496</v>
      </c>
      <c r="F235" s="33" t="s">
        <v>1497</v>
      </c>
      <c r="G235" s="33" t="s">
        <v>1736</v>
      </c>
      <c r="H235" s="33" t="s">
        <v>1737</v>
      </c>
      <c r="I235" s="33" t="s">
        <v>1738</v>
      </c>
      <c r="J235" s="33">
        <v>142310</v>
      </c>
      <c r="K235" s="33" t="s">
        <v>1948</v>
      </c>
      <c r="L235" s="33" t="s">
        <v>1949</v>
      </c>
      <c r="M235" s="33" t="s">
        <v>1950</v>
      </c>
      <c r="N235" s="44">
        <v>42142521</v>
      </c>
      <c r="O235" s="33" t="s">
        <v>1981</v>
      </c>
      <c r="P235" s="33" t="s">
        <v>1982</v>
      </c>
      <c r="Q235" s="34" t="s">
        <v>1494</v>
      </c>
      <c r="R235" s="34" t="s">
        <v>1494</v>
      </c>
    </row>
    <row r="236" spans="1:18" ht="15" customHeight="1" x14ac:dyDescent="0.25">
      <c r="A236" t="str">
        <f>IFERROR(RANK(B236,$B:$B,1)+COUNTIF($B$1:B235,B236),"")</f>
        <v/>
      </c>
      <c r="B236" t="str">
        <f>IFERROR(SEARCH(#REF!,Table4[[#This Row],[Commodity Title]],1),"")</f>
        <v/>
      </c>
      <c r="C236" s="35">
        <v>42142523</v>
      </c>
      <c r="D236" s="33" t="s">
        <v>1495</v>
      </c>
      <c r="E236" s="33" t="s">
        <v>1496</v>
      </c>
      <c r="F236" s="33" t="s">
        <v>1497</v>
      </c>
      <c r="G236" s="33" t="s">
        <v>1736</v>
      </c>
      <c r="H236" s="33" t="s">
        <v>1737</v>
      </c>
      <c r="I236" s="33" t="s">
        <v>1738</v>
      </c>
      <c r="J236" s="33">
        <v>121992</v>
      </c>
      <c r="K236" s="33" t="s">
        <v>1948</v>
      </c>
      <c r="L236" s="33" t="s">
        <v>1949</v>
      </c>
      <c r="M236" s="33" t="s">
        <v>1950</v>
      </c>
      <c r="N236" s="44">
        <v>42142523</v>
      </c>
      <c r="O236" s="33" t="s">
        <v>1983</v>
      </c>
      <c r="P236" s="33" t="s">
        <v>1984</v>
      </c>
      <c r="Q236" s="34" t="s">
        <v>1494</v>
      </c>
      <c r="R236" s="34" t="s">
        <v>1494</v>
      </c>
    </row>
    <row r="237" spans="1:18" ht="15" customHeight="1" x14ac:dyDescent="0.25">
      <c r="A237" t="str">
        <f>IFERROR(RANK(B237,$B:$B,1)+COUNTIF($B$1:B236,B237),"")</f>
        <v/>
      </c>
      <c r="B237" t="str">
        <f>IFERROR(SEARCH(#REF!,Table4[[#This Row],[Commodity Title]],1),"")</f>
        <v/>
      </c>
      <c r="C237" s="35">
        <v>42142525</v>
      </c>
      <c r="D237" s="33" t="s">
        <v>1495</v>
      </c>
      <c r="E237" s="33" t="s">
        <v>1496</v>
      </c>
      <c r="F237" s="33" t="s">
        <v>1497</v>
      </c>
      <c r="G237" s="33" t="s">
        <v>1736</v>
      </c>
      <c r="H237" s="33" t="s">
        <v>1737</v>
      </c>
      <c r="I237" s="33" t="s">
        <v>1738</v>
      </c>
      <c r="J237" s="33">
        <v>142313</v>
      </c>
      <c r="K237" s="33" t="s">
        <v>1948</v>
      </c>
      <c r="L237" s="33" t="s">
        <v>1949</v>
      </c>
      <c r="M237" s="33" t="s">
        <v>1950</v>
      </c>
      <c r="N237" s="44">
        <v>42142525</v>
      </c>
      <c r="O237" s="33" t="s">
        <v>1985</v>
      </c>
      <c r="P237" s="33" t="s">
        <v>1986</v>
      </c>
      <c r="Q237" s="34" t="s">
        <v>1494</v>
      </c>
      <c r="R237" s="34" t="s">
        <v>1494</v>
      </c>
    </row>
    <row r="238" spans="1:18" ht="15" customHeight="1" x14ac:dyDescent="0.25">
      <c r="A238" t="str">
        <f>IFERROR(RANK(B238,$B:$B,1)+COUNTIF($B$1:B237,B238),"")</f>
        <v/>
      </c>
      <c r="B238" t="str">
        <f>IFERROR(SEARCH(#REF!,Table4[[#This Row],[Commodity Title]],1),"")</f>
        <v/>
      </c>
      <c r="C238" s="35">
        <v>42142527</v>
      </c>
      <c r="D238" s="33" t="s">
        <v>1495</v>
      </c>
      <c r="E238" s="33" t="s">
        <v>1496</v>
      </c>
      <c r="F238" s="33" t="s">
        <v>1497</v>
      </c>
      <c r="G238" s="33" t="s">
        <v>1736</v>
      </c>
      <c r="H238" s="33" t="s">
        <v>1737</v>
      </c>
      <c r="I238" s="33" t="s">
        <v>1738</v>
      </c>
      <c r="J238" s="33">
        <v>142315</v>
      </c>
      <c r="K238" s="33" t="s">
        <v>1948</v>
      </c>
      <c r="L238" s="33" t="s">
        <v>1949</v>
      </c>
      <c r="M238" s="33" t="s">
        <v>1950</v>
      </c>
      <c r="N238" s="44">
        <v>42142527</v>
      </c>
      <c r="O238" s="33" t="s">
        <v>1987</v>
      </c>
      <c r="P238" s="33" t="s">
        <v>1988</v>
      </c>
      <c r="Q238" s="34" t="s">
        <v>1494</v>
      </c>
      <c r="R238" s="34" t="s">
        <v>1494</v>
      </c>
    </row>
    <row r="239" spans="1:18" ht="15" customHeight="1" x14ac:dyDescent="0.25">
      <c r="A239" t="str">
        <f>IFERROR(RANK(B239,$B:$B,1)+COUNTIF($B$1:B238,B239),"")</f>
        <v/>
      </c>
      <c r="B239" t="str">
        <f>IFERROR(SEARCH(#REF!,Table4[[#This Row],[Commodity Title]],1),"")</f>
        <v/>
      </c>
      <c r="C239" s="35">
        <v>42142528</v>
      </c>
      <c r="D239" s="33" t="s">
        <v>1495</v>
      </c>
      <c r="E239" s="33" t="s">
        <v>1496</v>
      </c>
      <c r="F239" s="33" t="s">
        <v>1497</v>
      </c>
      <c r="G239" s="33" t="s">
        <v>1736</v>
      </c>
      <c r="H239" s="33" t="s">
        <v>1737</v>
      </c>
      <c r="I239" s="33" t="s">
        <v>1738</v>
      </c>
      <c r="J239" s="33">
        <v>142316</v>
      </c>
      <c r="K239" s="33" t="s">
        <v>1948</v>
      </c>
      <c r="L239" s="33" t="s">
        <v>1949</v>
      </c>
      <c r="M239" s="33" t="s">
        <v>1950</v>
      </c>
      <c r="N239" s="44">
        <v>42142528</v>
      </c>
      <c r="O239" s="33" t="s">
        <v>1989</v>
      </c>
      <c r="P239" s="33" t="s">
        <v>1990</v>
      </c>
      <c r="Q239" s="34" t="s">
        <v>1494</v>
      </c>
      <c r="R239" s="34" t="s">
        <v>1494</v>
      </c>
    </row>
    <row r="240" spans="1:18" ht="15" customHeight="1" x14ac:dyDescent="0.25">
      <c r="A240" t="str">
        <f>IFERROR(RANK(B240,$B:$B,1)+COUNTIF($B$1:B239,B240),"")</f>
        <v/>
      </c>
      <c r="B240" t="str">
        <f>IFERROR(SEARCH(#REF!,Table4[[#This Row],[Commodity Title]],1),"")</f>
        <v/>
      </c>
      <c r="C240" s="35">
        <v>42142529</v>
      </c>
      <c r="D240" s="33" t="s">
        <v>1495</v>
      </c>
      <c r="E240" s="33" t="s">
        <v>1496</v>
      </c>
      <c r="F240" s="33" t="s">
        <v>1497</v>
      </c>
      <c r="G240" s="33" t="s">
        <v>1736</v>
      </c>
      <c r="H240" s="33" t="s">
        <v>1737</v>
      </c>
      <c r="I240" s="33" t="s">
        <v>1738</v>
      </c>
      <c r="J240" s="33">
        <v>142317</v>
      </c>
      <c r="K240" s="33" t="s">
        <v>1948</v>
      </c>
      <c r="L240" s="33" t="s">
        <v>1949</v>
      </c>
      <c r="M240" s="33" t="s">
        <v>1950</v>
      </c>
      <c r="N240" s="44">
        <v>42142529</v>
      </c>
      <c r="O240" s="33" t="s">
        <v>1991</v>
      </c>
      <c r="P240" s="33" t="s">
        <v>1992</v>
      </c>
      <c r="Q240" s="34" t="s">
        <v>1494</v>
      </c>
      <c r="R240" s="34" t="s">
        <v>1494</v>
      </c>
    </row>
    <row r="241" spans="1:18" ht="15" customHeight="1" x14ac:dyDescent="0.25">
      <c r="A241" t="str">
        <f>IFERROR(RANK(B241,$B:$B,1)+COUNTIF($B$1:B240,B241),"")</f>
        <v/>
      </c>
      <c r="B241" t="str">
        <f>IFERROR(SEARCH(#REF!,Table4[[#This Row],[Commodity Title]],1),"")</f>
        <v/>
      </c>
      <c r="C241" s="35">
        <v>42142530</v>
      </c>
      <c r="D241" s="33" t="s">
        <v>1495</v>
      </c>
      <c r="E241" s="33" t="s">
        <v>1496</v>
      </c>
      <c r="F241" s="33" t="s">
        <v>1497</v>
      </c>
      <c r="G241" s="33" t="s">
        <v>1736</v>
      </c>
      <c r="H241" s="33" t="s">
        <v>1737</v>
      </c>
      <c r="I241" s="33" t="s">
        <v>1738</v>
      </c>
      <c r="J241" s="33">
        <v>142318</v>
      </c>
      <c r="K241" s="33" t="s">
        <v>1948</v>
      </c>
      <c r="L241" s="33" t="s">
        <v>1949</v>
      </c>
      <c r="M241" s="33" t="s">
        <v>1950</v>
      </c>
      <c r="N241" s="44">
        <v>42142530</v>
      </c>
      <c r="O241" s="33" t="s">
        <v>1993</v>
      </c>
      <c r="P241" s="33" t="s">
        <v>1994</v>
      </c>
      <c r="Q241" s="34" t="s">
        <v>1494</v>
      </c>
      <c r="R241" s="34" t="s">
        <v>1494</v>
      </c>
    </row>
    <row r="242" spans="1:18" ht="15" customHeight="1" x14ac:dyDescent="0.25">
      <c r="A242" t="str">
        <f>IFERROR(RANK(B242,$B:$B,1)+COUNTIF($B$1:B241,B242),"")</f>
        <v/>
      </c>
      <c r="B242" t="str">
        <f>IFERROR(SEARCH(#REF!,Table4[[#This Row],[Commodity Title]],1),"")</f>
        <v/>
      </c>
      <c r="C242" s="35">
        <v>42142531</v>
      </c>
      <c r="D242" s="33" t="s">
        <v>1495</v>
      </c>
      <c r="E242" s="33" t="s">
        <v>1496</v>
      </c>
      <c r="F242" s="33" t="s">
        <v>1497</v>
      </c>
      <c r="G242" s="33" t="s">
        <v>1736</v>
      </c>
      <c r="H242" s="33" t="s">
        <v>1737</v>
      </c>
      <c r="I242" s="33" t="s">
        <v>1738</v>
      </c>
      <c r="J242" s="33">
        <v>143835</v>
      </c>
      <c r="K242" s="33" t="s">
        <v>1948</v>
      </c>
      <c r="L242" s="33" t="s">
        <v>1949</v>
      </c>
      <c r="M242" s="33" t="s">
        <v>1950</v>
      </c>
      <c r="N242" s="44">
        <v>42142531</v>
      </c>
      <c r="O242" s="33" t="s">
        <v>1995</v>
      </c>
      <c r="P242" s="33" t="s">
        <v>1996</v>
      </c>
      <c r="Q242" s="34" t="s">
        <v>1494</v>
      </c>
      <c r="R242" s="34" t="s">
        <v>1494</v>
      </c>
    </row>
    <row r="243" spans="1:18" ht="15" customHeight="1" x14ac:dyDescent="0.25">
      <c r="A243" t="str">
        <f>IFERROR(RANK(B243,$B:$B,1)+COUNTIF($B$1:B242,B243),"")</f>
        <v/>
      </c>
      <c r="B243" t="str">
        <f>IFERROR(SEARCH(#REF!,Table4[[#This Row],[Commodity Title]],1),"")</f>
        <v/>
      </c>
      <c r="C243" s="35">
        <v>42142532</v>
      </c>
      <c r="D243" s="33" t="s">
        <v>1495</v>
      </c>
      <c r="E243" s="33" t="s">
        <v>1496</v>
      </c>
      <c r="F243" s="33" t="s">
        <v>1497</v>
      </c>
      <c r="G243" s="33" t="s">
        <v>1736</v>
      </c>
      <c r="H243" s="33" t="s">
        <v>1737</v>
      </c>
      <c r="I243" s="33" t="s">
        <v>1738</v>
      </c>
      <c r="J243" s="33">
        <v>143836</v>
      </c>
      <c r="K243" s="33" t="s">
        <v>1948</v>
      </c>
      <c r="L243" s="33" t="s">
        <v>1949</v>
      </c>
      <c r="M243" s="33" t="s">
        <v>1950</v>
      </c>
      <c r="N243" s="44">
        <v>42142532</v>
      </c>
      <c r="O243" s="33" t="s">
        <v>1997</v>
      </c>
      <c r="P243" s="33" t="s">
        <v>1998</v>
      </c>
      <c r="Q243" s="34" t="s">
        <v>1494</v>
      </c>
      <c r="R243" s="34" t="s">
        <v>1494</v>
      </c>
    </row>
    <row r="244" spans="1:18" ht="15" customHeight="1" x14ac:dyDescent="0.25">
      <c r="A244" t="str">
        <f>IFERROR(RANK(B244,$B:$B,1)+COUNTIF($B$1:B243,B244),"")</f>
        <v/>
      </c>
      <c r="B244" t="str">
        <f>IFERROR(SEARCH(#REF!,Table4[[#This Row],[Commodity Title]],1),"")</f>
        <v/>
      </c>
      <c r="C244" s="35">
        <v>42142533</v>
      </c>
      <c r="D244" s="33" t="s">
        <v>1495</v>
      </c>
      <c r="E244" s="33" t="s">
        <v>1496</v>
      </c>
      <c r="F244" s="33" t="s">
        <v>1497</v>
      </c>
      <c r="G244" s="33" t="s">
        <v>1736</v>
      </c>
      <c r="H244" s="33" t="s">
        <v>1737</v>
      </c>
      <c r="I244" s="33" t="s">
        <v>1738</v>
      </c>
      <c r="J244" s="33">
        <v>144214</v>
      </c>
      <c r="K244" s="33" t="s">
        <v>1948</v>
      </c>
      <c r="L244" s="33" t="s">
        <v>1949</v>
      </c>
      <c r="M244" s="33" t="s">
        <v>1950</v>
      </c>
      <c r="N244" s="44">
        <v>42142533</v>
      </c>
      <c r="O244" s="33" t="s">
        <v>1999</v>
      </c>
      <c r="P244" s="33" t="s">
        <v>2000</v>
      </c>
      <c r="Q244" s="34" t="s">
        <v>1494</v>
      </c>
      <c r="R244" s="34" t="s">
        <v>1494</v>
      </c>
    </row>
    <row r="245" spans="1:18" ht="15" customHeight="1" x14ac:dyDescent="0.25">
      <c r="A245" t="str">
        <f>IFERROR(RANK(B245,$B:$B,1)+COUNTIF($B$1:B244,B245),"")</f>
        <v/>
      </c>
      <c r="B245" t="str">
        <f>IFERROR(SEARCH(#REF!,Table4[[#This Row],[Commodity Title]],1),"")</f>
        <v/>
      </c>
      <c r="C245" s="35">
        <v>42142534</v>
      </c>
      <c r="D245" s="33" t="s">
        <v>1495</v>
      </c>
      <c r="E245" s="33" t="s">
        <v>1496</v>
      </c>
      <c r="F245" s="33" t="s">
        <v>1497</v>
      </c>
      <c r="G245" s="33" t="s">
        <v>1736</v>
      </c>
      <c r="H245" s="33" t="s">
        <v>1737</v>
      </c>
      <c r="I245" s="33" t="s">
        <v>1738</v>
      </c>
      <c r="J245" s="33">
        <v>145300</v>
      </c>
      <c r="K245" s="33" t="s">
        <v>1948</v>
      </c>
      <c r="L245" s="33" t="s">
        <v>1949</v>
      </c>
      <c r="M245" s="33" t="s">
        <v>1950</v>
      </c>
      <c r="N245" s="44">
        <v>42142534</v>
      </c>
      <c r="O245" s="33" t="s">
        <v>2001</v>
      </c>
      <c r="P245" s="33" t="s">
        <v>2002</v>
      </c>
      <c r="Q245" s="34" t="s">
        <v>1494</v>
      </c>
      <c r="R245" s="34" t="s">
        <v>1494</v>
      </c>
    </row>
    <row r="246" spans="1:18" ht="15" customHeight="1" x14ac:dyDescent="0.25">
      <c r="A246" t="str">
        <f>IFERROR(RANK(B246,$B:$B,1)+COUNTIF($B$1:B245,B246),"")</f>
        <v/>
      </c>
      <c r="B246" t="str">
        <f>IFERROR(SEARCH(#REF!,Table4[[#This Row],[Commodity Title]],1),"")</f>
        <v/>
      </c>
      <c r="C246" s="35">
        <v>42142535</v>
      </c>
      <c r="D246" s="33" t="s">
        <v>1495</v>
      </c>
      <c r="E246" s="33" t="s">
        <v>1496</v>
      </c>
      <c r="F246" s="33" t="s">
        <v>1497</v>
      </c>
      <c r="G246" s="33" t="s">
        <v>1736</v>
      </c>
      <c r="H246" s="33" t="s">
        <v>1737</v>
      </c>
      <c r="I246" s="33" t="s">
        <v>1738</v>
      </c>
      <c r="J246" s="33">
        <v>164899</v>
      </c>
      <c r="K246" s="33" t="s">
        <v>1948</v>
      </c>
      <c r="L246" s="33" t="s">
        <v>1949</v>
      </c>
      <c r="M246" s="33" t="s">
        <v>1950</v>
      </c>
      <c r="N246" s="44">
        <v>42142535</v>
      </c>
      <c r="O246" s="33" t="s">
        <v>2003</v>
      </c>
      <c r="P246" s="33" t="s">
        <v>2004</v>
      </c>
      <c r="Q246" s="34" t="s">
        <v>1494</v>
      </c>
      <c r="R246" s="34" t="s">
        <v>1494</v>
      </c>
    </row>
    <row r="247" spans="1:18" ht="15" customHeight="1" x14ac:dyDescent="0.25">
      <c r="A247" t="str">
        <f>IFERROR(RANK(B247,$B:$B,1)+COUNTIF($B$1:B246,B247),"")</f>
        <v/>
      </c>
      <c r="B247" t="str">
        <f>IFERROR(SEARCH(#REF!,Table4[[#This Row],[Commodity Title]],1),"")</f>
        <v/>
      </c>
      <c r="C247" s="35">
        <v>42142536</v>
      </c>
      <c r="D247" s="33" t="s">
        <v>1495</v>
      </c>
      <c r="E247" s="33" t="s">
        <v>1496</v>
      </c>
      <c r="F247" s="33" t="s">
        <v>1497</v>
      </c>
      <c r="G247" s="33" t="s">
        <v>1736</v>
      </c>
      <c r="H247" s="33" t="s">
        <v>1737</v>
      </c>
      <c r="I247" s="33" t="s">
        <v>1738</v>
      </c>
      <c r="J247" s="33">
        <v>166782</v>
      </c>
      <c r="K247" s="33" t="s">
        <v>1948</v>
      </c>
      <c r="L247" s="33" t="s">
        <v>1949</v>
      </c>
      <c r="M247" s="33" t="s">
        <v>1950</v>
      </c>
      <c r="N247" s="44">
        <v>42142536</v>
      </c>
      <c r="O247" s="33" t="s">
        <v>2005</v>
      </c>
      <c r="P247" s="33" t="s">
        <v>2006</v>
      </c>
      <c r="Q247" s="34" t="s">
        <v>1494</v>
      </c>
      <c r="R247" s="34" t="s">
        <v>1494</v>
      </c>
    </row>
    <row r="248" spans="1:18" ht="15" customHeight="1" x14ac:dyDescent="0.25">
      <c r="A248" t="str">
        <f>IFERROR(RANK(B248,$B:$B,1)+COUNTIF($B$1:B247,B248),"")</f>
        <v/>
      </c>
      <c r="B248" t="str">
        <f>IFERROR(SEARCH(#REF!,Table4[[#This Row],[Commodity Title]],1),"")</f>
        <v/>
      </c>
      <c r="C248" s="35">
        <v>42142537</v>
      </c>
      <c r="D248" s="33" t="s">
        <v>1495</v>
      </c>
      <c r="E248" s="33" t="s">
        <v>1496</v>
      </c>
      <c r="F248" s="33" t="s">
        <v>1497</v>
      </c>
      <c r="G248" s="33" t="s">
        <v>1736</v>
      </c>
      <c r="H248" s="33" t="s">
        <v>1737</v>
      </c>
      <c r="I248" s="33" t="s">
        <v>1738</v>
      </c>
      <c r="J248" s="33">
        <v>116078</v>
      </c>
      <c r="K248" s="33" t="s">
        <v>1948</v>
      </c>
      <c r="L248" s="33" t="s">
        <v>1949</v>
      </c>
      <c r="M248" s="33" t="s">
        <v>1950</v>
      </c>
      <c r="N248" s="44">
        <v>42142537</v>
      </c>
      <c r="O248" s="33" t="s">
        <v>2007</v>
      </c>
      <c r="P248" s="33" t="s">
        <v>2008</v>
      </c>
      <c r="Q248" s="34" t="s">
        <v>1494</v>
      </c>
      <c r="R248" s="34" t="s">
        <v>1494</v>
      </c>
    </row>
    <row r="249" spans="1:18" ht="15" customHeight="1" x14ac:dyDescent="0.25">
      <c r="A249" t="str">
        <f>IFERROR(RANK(B249,$B:$B,1)+COUNTIF($B$1:B248,B249),"")</f>
        <v/>
      </c>
      <c r="B249" t="str">
        <f>IFERROR(SEARCH(#REF!,Table4[[#This Row],[Commodity Title]],1),"")</f>
        <v/>
      </c>
      <c r="C249" s="35">
        <v>42142538</v>
      </c>
      <c r="D249" s="33" t="s">
        <v>1495</v>
      </c>
      <c r="E249" s="33" t="s">
        <v>1496</v>
      </c>
      <c r="F249" s="33" t="s">
        <v>1497</v>
      </c>
      <c r="G249" s="33" t="s">
        <v>1736</v>
      </c>
      <c r="H249" s="33" t="s">
        <v>1737</v>
      </c>
      <c r="I249" s="33" t="s">
        <v>1738</v>
      </c>
      <c r="J249" s="33">
        <v>166783</v>
      </c>
      <c r="K249" s="33" t="s">
        <v>1948</v>
      </c>
      <c r="L249" s="33" t="s">
        <v>1949</v>
      </c>
      <c r="M249" s="33" t="s">
        <v>1950</v>
      </c>
      <c r="N249" s="44">
        <v>42142538</v>
      </c>
      <c r="O249" s="33" t="s">
        <v>2009</v>
      </c>
      <c r="P249" s="33" t="s">
        <v>2010</v>
      </c>
      <c r="Q249" s="34" t="s">
        <v>1494</v>
      </c>
      <c r="R249" s="34" t="s">
        <v>1494</v>
      </c>
    </row>
    <row r="250" spans="1:18" ht="15" customHeight="1" x14ac:dyDescent="0.25">
      <c r="A250" t="str">
        <f>IFERROR(RANK(B250,$B:$B,1)+COUNTIF($B$1:B249,B250),"")</f>
        <v/>
      </c>
      <c r="B250" t="str">
        <f>IFERROR(SEARCH(#REF!,Table4[[#This Row],[Commodity Title]],1),"")</f>
        <v/>
      </c>
      <c r="C250" s="35">
        <v>42142539</v>
      </c>
      <c r="D250" s="33" t="s">
        <v>1495</v>
      </c>
      <c r="E250" s="33" t="s">
        <v>1496</v>
      </c>
      <c r="F250" s="33" t="s">
        <v>1497</v>
      </c>
      <c r="G250" s="33" t="s">
        <v>1736</v>
      </c>
      <c r="H250" s="33" t="s">
        <v>1737</v>
      </c>
      <c r="I250" s="33" t="s">
        <v>1738</v>
      </c>
      <c r="J250" s="33">
        <v>202397</v>
      </c>
      <c r="K250" s="33" t="s">
        <v>1948</v>
      </c>
      <c r="L250" s="33" t="s">
        <v>1949</v>
      </c>
      <c r="M250" s="33" t="s">
        <v>1950</v>
      </c>
      <c r="N250" s="44">
        <v>42142539</v>
      </c>
      <c r="O250" s="33" t="s">
        <v>2011</v>
      </c>
      <c r="P250" s="33" t="s">
        <v>2012</v>
      </c>
      <c r="Q250" s="34" t="s">
        <v>1494</v>
      </c>
      <c r="R250" s="34" t="s">
        <v>1494</v>
      </c>
    </row>
    <row r="251" spans="1:18" ht="15" customHeight="1" x14ac:dyDescent="0.25">
      <c r="A251" t="str">
        <f>IFERROR(RANK(B251,$B:$B,1)+COUNTIF($B$1:B250,B251),"")</f>
        <v/>
      </c>
      <c r="B251" t="str">
        <f>IFERROR(SEARCH(#REF!,Table4[[#This Row],[Commodity Title]],1),"")</f>
        <v/>
      </c>
      <c r="C251" s="35">
        <v>42142540</v>
      </c>
      <c r="D251" s="33" t="s">
        <v>1495</v>
      </c>
      <c r="E251" s="33" t="s">
        <v>1496</v>
      </c>
      <c r="F251" s="33" t="s">
        <v>1497</v>
      </c>
      <c r="G251" s="33" t="s">
        <v>1736</v>
      </c>
      <c r="H251" s="33" t="s">
        <v>1737</v>
      </c>
      <c r="I251" s="33" t="s">
        <v>1738</v>
      </c>
      <c r="J251" s="33">
        <v>202398</v>
      </c>
      <c r="K251" s="33" t="s">
        <v>1948</v>
      </c>
      <c r="L251" s="33" t="s">
        <v>1949</v>
      </c>
      <c r="M251" s="33" t="s">
        <v>1950</v>
      </c>
      <c r="N251" s="44">
        <v>42142540</v>
      </c>
      <c r="O251" s="33" t="s">
        <v>2013</v>
      </c>
      <c r="P251" s="33" t="s">
        <v>2014</v>
      </c>
      <c r="Q251" s="34" t="s">
        <v>1494</v>
      </c>
      <c r="R251" s="34" t="s">
        <v>1494</v>
      </c>
    </row>
    <row r="252" spans="1:18" ht="15" customHeight="1" x14ac:dyDescent="0.25">
      <c r="A252" t="str">
        <f>IFERROR(RANK(B252,$B:$B,1)+COUNTIF($B$1:B251,B252),"")</f>
        <v/>
      </c>
      <c r="B252" t="str">
        <f>IFERROR(SEARCH(#REF!,Table4[[#This Row],[Commodity Title]],1),"")</f>
        <v/>
      </c>
      <c r="C252" s="35">
        <v>42142541</v>
      </c>
      <c r="D252" s="33" t="s">
        <v>1495</v>
      </c>
      <c r="E252" s="33" t="s">
        <v>1496</v>
      </c>
      <c r="F252" s="33" t="s">
        <v>1497</v>
      </c>
      <c r="G252" s="33" t="s">
        <v>1736</v>
      </c>
      <c r="H252" s="33" t="s">
        <v>1737</v>
      </c>
      <c r="I252" s="33" t="s">
        <v>1738</v>
      </c>
      <c r="J252" s="33">
        <v>202399</v>
      </c>
      <c r="K252" s="33" t="s">
        <v>1948</v>
      </c>
      <c r="L252" s="33" t="s">
        <v>1949</v>
      </c>
      <c r="M252" s="33" t="s">
        <v>1950</v>
      </c>
      <c r="N252" s="44">
        <v>42142541</v>
      </c>
      <c r="O252" s="33" t="s">
        <v>2015</v>
      </c>
      <c r="P252" s="33" t="s">
        <v>2016</v>
      </c>
      <c r="Q252" s="34" t="s">
        <v>1494</v>
      </c>
      <c r="R252" s="34" t="s">
        <v>1494</v>
      </c>
    </row>
    <row r="253" spans="1:18" ht="15" customHeight="1" x14ac:dyDescent="0.25">
      <c r="A253" t="str">
        <f>IFERROR(RANK(B253,$B:$B,1)+COUNTIF($B$1:B252,B253),"")</f>
        <v/>
      </c>
      <c r="B253" t="str">
        <f>IFERROR(SEARCH(#REF!,Table4[[#This Row],[Commodity Title]],1),"")</f>
        <v/>
      </c>
      <c r="C253" s="35">
        <v>42142542</v>
      </c>
      <c r="D253" s="33" t="s">
        <v>1495</v>
      </c>
      <c r="E253" s="33" t="s">
        <v>1496</v>
      </c>
      <c r="F253" s="33" t="s">
        <v>1497</v>
      </c>
      <c r="G253" s="33" t="s">
        <v>1736</v>
      </c>
      <c r="H253" s="33" t="s">
        <v>1737</v>
      </c>
      <c r="I253" s="33" t="s">
        <v>1738</v>
      </c>
      <c r="J253" s="33">
        <v>202400</v>
      </c>
      <c r="K253" s="33" t="s">
        <v>1948</v>
      </c>
      <c r="L253" s="33" t="s">
        <v>1949</v>
      </c>
      <c r="M253" s="33" t="s">
        <v>1950</v>
      </c>
      <c r="N253" s="44">
        <v>42142542</v>
      </c>
      <c r="O253" s="33" t="s">
        <v>2017</v>
      </c>
      <c r="P253" s="33" t="s">
        <v>2018</v>
      </c>
      <c r="Q253" s="34" t="s">
        <v>1494</v>
      </c>
      <c r="R253" s="34" t="s">
        <v>1494</v>
      </c>
    </row>
    <row r="254" spans="1:18" ht="15" customHeight="1" x14ac:dyDescent="0.25">
      <c r="A254" t="str">
        <f>IFERROR(RANK(B254,$B:$B,1)+COUNTIF($B$1:B253,B254),"")</f>
        <v/>
      </c>
      <c r="B254" t="str">
        <f>IFERROR(SEARCH(#REF!,Table4[[#This Row],[Commodity Title]],1),"")</f>
        <v/>
      </c>
      <c r="C254" s="35">
        <v>42142543</v>
      </c>
      <c r="D254" s="33" t="s">
        <v>1495</v>
      </c>
      <c r="E254" s="33" t="s">
        <v>1496</v>
      </c>
      <c r="F254" s="33" t="s">
        <v>1497</v>
      </c>
      <c r="G254" s="33" t="s">
        <v>1736</v>
      </c>
      <c r="H254" s="33" t="s">
        <v>1737</v>
      </c>
      <c r="I254" s="33" t="s">
        <v>1738</v>
      </c>
      <c r="J254" s="33">
        <v>202401</v>
      </c>
      <c r="K254" s="33" t="s">
        <v>1948</v>
      </c>
      <c r="L254" s="33" t="s">
        <v>1949</v>
      </c>
      <c r="M254" s="33" t="s">
        <v>1950</v>
      </c>
      <c r="N254" s="44">
        <v>42142543</v>
      </c>
      <c r="O254" s="33" t="s">
        <v>2019</v>
      </c>
      <c r="P254" s="33" t="s">
        <v>2020</v>
      </c>
      <c r="Q254" s="34" t="s">
        <v>1494</v>
      </c>
      <c r="R254" s="34" t="s">
        <v>1494</v>
      </c>
    </row>
    <row r="255" spans="1:18" ht="15" customHeight="1" x14ac:dyDescent="0.25">
      <c r="A255" t="str">
        <f>IFERROR(RANK(B255,$B:$B,1)+COUNTIF($B$1:B254,B255),"")</f>
        <v/>
      </c>
      <c r="B255" t="str">
        <f>IFERROR(SEARCH(#REF!,Table4[[#This Row],[Commodity Title]],1),"")</f>
        <v/>
      </c>
      <c r="C255" s="35">
        <v>42142544</v>
      </c>
      <c r="D255" s="33" t="s">
        <v>1495</v>
      </c>
      <c r="E255" s="33" t="s">
        <v>1496</v>
      </c>
      <c r="F255" s="33" t="s">
        <v>1497</v>
      </c>
      <c r="G255" s="33" t="s">
        <v>1736</v>
      </c>
      <c r="H255" s="33" t="s">
        <v>1737</v>
      </c>
      <c r="I255" s="33" t="s">
        <v>1738</v>
      </c>
      <c r="J255" s="33">
        <v>202402</v>
      </c>
      <c r="K255" s="33" t="s">
        <v>1948</v>
      </c>
      <c r="L255" s="33" t="s">
        <v>1949</v>
      </c>
      <c r="M255" s="33" t="s">
        <v>1950</v>
      </c>
      <c r="N255" s="44">
        <v>42142544</v>
      </c>
      <c r="O255" s="33" t="s">
        <v>2021</v>
      </c>
      <c r="P255" s="33" t="s">
        <v>2022</v>
      </c>
      <c r="Q255" s="34" t="s">
        <v>1494</v>
      </c>
      <c r="R255" s="34" t="s">
        <v>1494</v>
      </c>
    </row>
    <row r="256" spans="1:18" ht="15" customHeight="1" x14ac:dyDescent="0.25">
      <c r="A256" t="str">
        <f>IFERROR(RANK(B256,$B:$B,1)+COUNTIF($B$1:B255,B256),"")</f>
        <v/>
      </c>
      <c r="B256" t="str">
        <f>IFERROR(SEARCH(#REF!,Table4[[#This Row],[Commodity Title]],1),"")</f>
        <v/>
      </c>
      <c r="C256" s="35">
        <v>42142545</v>
      </c>
      <c r="D256" s="33" t="s">
        <v>1495</v>
      </c>
      <c r="E256" s="33" t="s">
        <v>1496</v>
      </c>
      <c r="F256" s="33" t="s">
        <v>1497</v>
      </c>
      <c r="G256" s="33" t="s">
        <v>1736</v>
      </c>
      <c r="H256" s="33" t="s">
        <v>1737</v>
      </c>
      <c r="I256" s="33" t="s">
        <v>1738</v>
      </c>
      <c r="J256" s="33">
        <v>208411</v>
      </c>
      <c r="K256" s="33" t="s">
        <v>1948</v>
      </c>
      <c r="L256" s="33" t="s">
        <v>1949</v>
      </c>
      <c r="M256" s="33" t="s">
        <v>1950</v>
      </c>
      <c r="N256" s="44">
        <v>42142545</v>
      </c>
      <c r="O256" s="33" t="s">
        <v>2023</v>
      </c>
      <c r="P256" s="33" t="s">
        <v>2024</v>
      </c>
      <c r="Q256" s="34" t="s">
        <v>1494</v>
      </c>
      <c r="R256" s="34" t="s">
        <v>1494</v>
      </c>
    </row>
    <row r="257" spans="1:18" ht="15" customHeight="1" x14ac:dyDescent="0.25">
      <c r="A257" t="str">
        <f>IFERROR(RANK(B257,$B:$B,1)+COUNTIF($B$1:B256,B257),"")</f>
        <v/>
      </c>
      <c r="B257" t="str">
        <f>IFERROR(SEARCH(#REF!,Table4[[#This Row],[Commodity Title]],1),"")</f>
        <v/>
      </c>
      <c r="C257" s="33" t="s">
        <v>1494</v>
      </c>
      <c r="D257" s="33" t="s">
        <v>1495</v>
      </c>
      <c r="E257" s="33" t="s">
        <v>1496</v>
      </c>
      <c r="F257" s="33" t="s">
        <v>1497</v>
      </c>
      <c r="G257" s="33" t="s">
        <v>1736</v>
      </c>
      <c r="H257" s="33" t="s">
        <v>1737</v>
      </c>
      <c r="I257" s="33" t="s">
        <v>1738</v>
      </c>
      <c r="J257" s="33">
        <v>114935</v>
      </c>
      <c r="K257" s="33" t="s">
        <v>2025</v>
      </c>
      <c r="L257" s="33" t="s">
        <v>2026</v>
      </c>
      <c r="M257" s="33" t="s">
        <v>2027</v>
      </c>
      <c r="N257" s="44" t="s">
        <v>1494</v>
      </c>
      <c r="O257" s="33" t="s">
        <v>1494</v>
      </c>
      <c r="P257" s="33" t="s">
        <v>1494</v>
      </c>
      <c r="Q257" s="34" t="s">
        <v>1494</v>
      </c>
      <c r="R257" s="34" t="s">
        <v>1494</v>
      </c>
    </row>
    <row r="258" spans="1:18" ht="15" customHeight="1" x14ac:dyDescent="0.25">
      <c r="A258" t="str">
        <f>IFERROR(RANK(B258,$B:$B,1)+COUNTIF($B$1:B257,B258),"")</f>
        <v/>
      </c>
      <c r="B258" t="str">
        <f>IFERROR(SEARCH(#REF!,Table4[[#This Row],[Commodity Title]],1),"")</f>
        <v/>
      </c>
      <c r="C258" s="35">
        <v>42142601</v>
      </c>
      <c r="D258" s="33" t="s">
        <v>1495</v>
      </c>
      <c r="E258" s="33" t="s">
        <v>1496</v>
      </c>
      <c r="F258" s="33" t="s">
        <v>1497</v>
      </c>
      <c r="G258" s="33" t="s">
        <v>1736</v>
      </c>
      <c r="H258" s="33" t="s">
        <v>1737</v>
      </c>
      <c r="I258" s="33" t="s">
        <v>1738</v>
      </c>
      <c r="J258" s="33">
        <v>114936</v>
      </c>
      <c r="K258" s="33" t="s">
        <v>2025</v>
      </c>
      <c r="L258" s="33" t="s">
        <v>2026</v>
      </c>
      <c r="M258" s="33" t="s">
        <v>2027</v>
      </c>
      <c r="N258" s="44">
        <v>42142601</v>
      </c>
      <c r="O258" s="33" t="s">
        <v>2028</v>
      </c>
      <c r="P258" s="33" t="s">
        <v>2029</v>
      </c>
      <c r="Q258" s="34" t="s">
        <v>1494</v>
      </c>
      <c r="R258" s="34" t="s">
        <v>1494</v>
      </c>
    </row>
    <row r="259" spans="1:18" ht="15" customHeight="1" x14ac:dyDescent="0.25">
      <c r="A259" t="str">
        <f>IFERROR(RANK(B259,$B:$B,1)+COUNTIF($B$1:B258,B259),"")</f>
        <v/>
      </c>
      <c r="B259" t="str">
        <f>IFERROR(SEARCH(#REF!,Table4[[#This Row],[Commodity Title]],1),"")</f>
        <v/>
      </c>
      <c r="C259" s="35">
        <v>42142602</v>
      </c>
      <c r="D259" s="33" t="s">
        <v>1495</v>
      </c>
      <c r="E259" s="33" t="s">
        <v>1496</v>
      </c>
      <c r="F259" s="33" t="s">
        <v>1497</v>
      </c>
      <c r="G259" s="33" t="s">
        <v>1736</v>
      </c>
      <c r="H259" s="33" t="s">
        <v>1737</v>
      </c>
      <c r="I259" s="33" t="s">
        <v>1738</v>
      </c>
      <c r="J259" s="33">
        <v>114937</v>
      </c>
      <c r="K259" s="33" t="s">
        <v>2025</v>
      </c>
      <c r="L259" s="33" t="s">
        <v>2026</v>
      </c>
      <c r="M259" s="33" t="s">
        <v>2027</v>
      </c>
      <c r="N259" s="44">
        <v>42142602</v>
      </c>
      <c r="O259" s="33" t="s">
        <v>2030</v>
      </c>
      <c r="P259" s="33" t="s">
        <v>2031</v>
      </c>
      <c r="Q259" s="34" t="s">
        <v>1494</v>
      </c>
      <c r="R259" s="34" t="s">
        <v>1494</v>
      </c>
    </row>
    <row r="260" spans="1:18" ht="15" customHeight="1" x14ac:dyDescent="0.25">
      <c r="A260" t="str">
        <f>IFERROR(RANK(B260,$B:$B,1)+COUNTIF($B$1:B259,B260),"")</f>
        <v/>
      </c>
      <c r="B260" t="str">
        <f>IFERROR(SEARCH(#REF!,Table4[[#This Row],[Commodity Title]],1),"")</f>
        <v/>
      </c>
      <c r="C260" s="35">
        <v>42142603</v>
      </c>
      <c r="D260" s="33" t="s">
        <v>1495</v>
      </c>
      <c r="E260" s="33" t="s">
        <v>1496</v>
      </c>
      <c r="F260" s="33" t="s">
        <v>1497</v>
      </c>
      <c r="G260" s="33" t="s">
        <v>1736</v>
      </c>
      <c r="H260" s="33" t="s">
        <v>1737</v>
      </c>
      <c r="I260" s="33" t="s">
        <v>1738</v>
      </c>
      <c r="J260" s="33">
        <v>114938</v>
      </c>
      <c r="K260" s="33" t="s">
        <v>2025</v>
      </c>
      <c r="L260" s="33" t="s">
        <v>2026</v>
      </c>
      <c r="M260" s="33" t="s">
        <v>2027</v>
      </c>
      <c r="N260" s="44">
        <v>42142603</v>
      </c>
      <c r="O260" s="33" t="s">
        <v>2032</v>
      </c>
      <c r="P260" s="33" t="s">
        <v>2033</v>
      </c>
      <c r="Q260" s="34" t="s">
        <v>1494</v>
      </c>
      <c r="R260" s="34" t="s">
        <v>1494</v>
      </c>
    </row>
    <row r="261" spans="1:18" ht="15" customHeight="1" x14ac:dyDescent="0.25">
      <c r="A261" t="str">
        <f>IFERROR(RANK(B261,$B:$B,1)+COUNTIF($B$1:B260,B261),"")</f>
        <v/>
      </c>
      <c r="B261" t="str">
        <f>IFERROR(SEARCH(#REF!,Table4[[#This Row],[Commodity Title]],1),"")</f>
        <v/>
      </c>
      <c r="C261" s="35">
        <v>42142604</v>
      </c>
      <c r="D261" s="33" t="s">
        <v>1495</v>
      </c>
      <c r="E261" s="33" t="s">
        <v>1496</v>
      </c>
      <c r="F261" s="33" t="s">
        <v>1497</v>
      </c>
      <c r="G261" s="33" t="s">
        <v>1736</v>
      </c>
      <c r="H261" s="33" t="s">
        <v>1737</v>
      </c>
      <c r="I261" s="33" t="s">
        <v>1738</v>
      </c>
      <c r="J261" s="33">
        <v>114939</v>
      </c>
      <c r="K261" s="33" t="s">
        <v>2025</v>
      </c>
      <c r="L261" s="33" t="s">
        <v>2026</v>
      </c>
      <c r="M261" s="33" t="s">
        <v>2027</v>
      </c>
      <c r="N261" s="44">
        <v>42142604</v>
      </c>
      <c r="O261" s="33" t="s">
        <v>2034</v>
      </c>
      <c r="P261" s="33" t="s">
        <v>2035</v>
      </c>
      <c r="Q261" s="34" t="s">
        <v>1494</v>
      </c>
      <c r="R261" s="34" t="s">
        <v>1494</v>
      </c>
    </row>
    <row r="262" spans="1:18" ht="15" customHeight="1" x14ac:dyDescent="0.25">
      <c r="A262" t="str">
        <f>IFERROR(RANK(B262,$B:$B,1)+COUNTIF($B$1:B261,B262),"")</f>
        <v/>
      </c>
      <c r="B262" t="str">
        <f>IFERROR(SEARCH(#REF!,Table4[[#This Row],[Commodity Title]],1),"")</f>
        <v/>
      </c>
      <c r="C262" s="35">
        <v>42142605</v>
      </c>
      <c r="D262" s="33" t="s">
        <v>1495</v>
      </c>
      <c r="E262" s="33" t="s">
        <v>1496</v>
      </c>
      <c r="F262" s="33" t="s">
        <v>1497</v>
      </c>
      <c r="G262" s="33" t="s">
        <v>1736</v>
      </c>
      <c r="H262" s="33" t="s">
        <v>1737</v>
      </c>
      <c r="I262" s="33" t="s">
        <v>1738</v>
      </c>
      <c r="J262" s="33">
        <v>114940</v>
      </c>
      <c r="K262" s="33" t="s">
        <v>2025</v>
      </c>
      <c r="L262" s="33" t="s">
        <v>2026</v>
      </c>
      <c r="M262" s="33" t="s">
        <v>2027</v>
      </c>
      <c r="N262" s="44">
        <v>42142605</v>
      </c>
      <c r="O262" s="33" t="s">
        <v>2036</v>
      </c>
      <c r="P262" s="33" t="s">
        <v>2037</v>
      </c>
      <c r="Q262" s="34" t="s">
        <v>1494</v>
      </c>
      <c r="R262" s="34" t="s">
        <v>1494</v>
      </c>
    </row>
    <row r="263" spans="1:18" ht="15" customHeight="1" x14ac:dyDescent="0.25">
      <c r="A263" t="str">
        <f>IFERROR(RANK(B263,$B:$B,1)+COUNTIF($B$1:B262,B263),"")</f>
        <v/>
      </c>
      <c r="B263" t="str">
        <f>IFERROR(SEARCH(#REF!,Table4[[#This Row],[Commodity Title]],1),"")</f>
        <v/>
      </c>
      <c r="C263" s="35">
        <v>42142606</v>
      </c>
      <c r="D263" s="33" t="s">
        <v>1495</v>
      </c>
      <c r="E263" s="33" t="s">
        <v>1496</v>
      </c>
      <c r="F263" s="33" t="s">
        <v>1497</v>
      </c>
      <c r="G263" s="33" t="s">
        <v>1736</v>
      </c>
      <c r="H263" s="33" t="s">
        <v>1737</v>
      </c>
      <c r="I263" s="33" t="s">
        <v>1738</v>
      </c>
      <c r="J263" s="33">
        <v>114941</v>
      </c>
      <c r="K263" s="33" t="s">
        <v>2025</v>
      </c>
      <c r="L263" s="33" t="s">
        <v>2026</v>
      </c>
      <c r="M263" s="33" t="s">
        <v>2027</v>
      </c>
      <c r="N263" s="44">
        <v>42142606</v>
      </c>
      <c r="O263" s="33" t="s">
        <v>2038</v>
      </c>
      <c r="P263" s="33" t="s">
        <v>2039</v>
      </c>
      <c r="Q263" s="34" t="s">
        <v>1494</v>
      </c>
      <c r="R263" s="34" t="s">
        <v>1494</v>
      </c>
    </row>
    <row r="264" spans="1:18" ht="15" customHeight="1" x14ac:dyDescent="0.25">
      <c r="A264" t="str">
        <f>IFERROR(RANK(B264,$B:$B,1)+COUNTIF($B$1:B263,B264),"")</f>
        <v/>
      </c>
      <c r="B264" t="str">
        <f>IFERROR(SEARCH(#REF!,Table4[[#This Row],[Commodity Title]],1),"")</f>
        <v/>
      </c>
      <c r="C264" s="35">
        <v>42142607</v>
      </c>
      <c r="D264" s="33" t="s">
        <v>1495</v>
      </c>
      <c r="E264" s="33" t="s">
        <v>1496</v>
      </c>
      <c r="F264" s="33" t="s">
        <v>1497</v>
      </c>
      <c r="G264" s="33" t="s">
        <v>1736</v>
      </c>
      <c r="H264" s="33" t="s">
        <v>1737</v>
      </c>
      <c r="I264" s="33" t="s">
        <v>1738</v>
      </c>
      <c r="J264" s="33">
        <v>114942</v>
      </c>
      <c r="K264" s="33" t="s">
        <v>2025</v>
      </c>
      <c r="L264" s="33" t="s">
        <v>2026</v>
      </c>
      <c r="M264" s="33" t="s">
        <v>2027</v>
      </c>
      <c r="N264" s="44">
        <v>42142607</v>
      </c>
      <c r="O264" s="33" t="s">
        <v>2040</v>
      </c>
      <c r="P264" s="33" t="s">
        <v>2041</v>
      </c>
      <c r="Q264" s="34" t="s">
        <v>1494</v>
      </c>
      <c r="R264" s="34" t="s">
        <v>1494</v>
      </c>
    </row>
    <row r="265" spans="1:18" ht="15" customHeight="1" x14ac:dyDescent="0.25">
      <c r="A265" t="str">
        <f>IFERROR(RANK(B265,$B:$B,1)+COUNTIF($B$1:B264,B265),"")</f>
        <v/>
      </c>
      <c r="B265" t="str">
        <f>IFERROR(SEARCH(#REF!,Table4[[#This Row],[Commodity Title]],1),"")</f>
        <v/>
      </c>
      <c r="C265" s="35">
        <v>42142608</v>
      </c>
      <c r="D265" s="33" t="s">
        <v>1495</v>
      </c>
      <c r="E265" s="33" t="s">
        <v>1496</v>
      </c>
      <c r="F265" s="33" t="s">
        <v>1497</v>
      </c>
      <c r="G265" s="33" t="s">
        <v>1736</v>
      </c>
      <c r="H265" s="33" t="s">
        <v>1737</v>
      </c>
      <c r="I265" s="33" t="s">
        <v>1738</v>
      </c>
      <c r="J265" s="33">
        <v>114943</v>
      </c>
      <c r="K265" s="33" t="s">
        <v>2025</v>
      </c>
      <c r="L265" s="33" t="s">
        <v>2026</v>
      </c>
      <c r="M265" s="33" t="s">
        <v>2027</v>
      </c>
      <c r="N265" s="44">
        <v>42142608</v>
      </c>
      <c r="O265" s="33" t="s">
        <v>2042</v>
      </c>
      <c r="P265" s="33" t="s">
        <v>2043</v>
      </c>
      <c r="Q265" s="34" t="s">
        <v>1494</v>
      </c>
      <c r="R265" s="34" t="s">
        <v>1494</v>
      </c>
    </row>
    <row r="266" spans="1:18" ht="15" customHeight="1" x14ac:dyDescent="0.25">
      <c r="A266" t="str">
        <f>IFERROR(RANK(B266,$B:$B,1)+COUNTIF($B$1:B265,B266),"")</f>
        <v/>
      </c>
      <c r="B266" t="str">
        <f>IFERROR(SEARCH(#REF!,Table4[[#This Row],[Commodity Title]],1),"")</f>
        <v/>
      </c>
      <c r="C266" s="35">
        <v>42142609</v>
      </c>
      <c r="D266" s="33" t="s">
        <v>1495</v>
      </c>
      <c r="E266" s="33" t="s">
        <v>1496</v>
      </c>
      <c r="F266" s="33" t="s">
        <v>1497</v>
      </c>
      <c r="G266" s="33" t="s">
        <v>1736</v>
      </c>
      <c r="H266" s="33" t="s">
        <v>1737</v>
      </c>
      <c r="I266" s="33" t="s">
        <v>1738</v>
      </c>
      <c r="J266" s="33">
        <v>114944</v>
      </c>
      <c r="K266" s="33" t="s">
        <v>2025</v>
      </c>
      <c r="L266" s="33" t="s">
        <v>2026</v>
      </c>
      <c r="M266" s="33" t="s">
        <v>2027</v>
      </c>
      <c r="N266" s="44">
        <v>42142609</v>
      </c>
      <c r="O266" s="33" t="s">
        <v>2044</v>
      </c>
      <c r="P266" s="33" t="s">
        <v>2045</v>
      </c>
      <c r="Q266" s="34" t="s">
        <v>1494</v>
      </c>
      <c r="R266" s="34" t="s">
        <v>1494</v>
      </c>
    </row>
    <row r="267" spans="1:18" ht="15" customHeight="1" x14ac:dyDescent="0.25">
      <c r="A267" t="str">
        <f>IFERROR(RANK(B267,$B:$B,1)+COUNTIF($B$1:B266,B267),"")</f>
        <v/>
      </c>
      <c r="B267" t="str">
        <f>IFERROR(SEARCH(#REF!,Table4[[#This Row],[Commodity Title]],1),"")</f>
        <v/>
      </c>
      <c r="C267" s="35">
        <v>42142610</v>
      </c>
      <c r="D267" s="33" t="s">
        <v>1495</v>
      </c>
      <c r="E267" s="33" t="s">
        <v>1496</v>
      </c>
      <c r="F267" s="33" t="s">
        <v>1497</v>
      </c>
      <c r="G267" s="33" t="s">
        <v>1736</v>
      </c>
      <c r="H267" s="33" t="s">
        <v>1737</v>
      </c>
      <c r="I267" s="33" t="s">
        <v>1738</v>
      </c>
      <c r="J267" s="33">
        <v>114945</v>
      </c>
      <c r="K267" s="33" t="s">
        <v>2025</v>
      </c>
      <c r="L267" s="33" t="s">
        <v>2026</v>
      </c>
      <c r="M267" s="33" t="s">
        <v>2027</v>
      </c>
      <c r="N267" s="44">
        <v>42142610</v>
      </c>
      <c r="O267" s="33" t="s">
        <v>2046</v>
      </c>
      <c r="P267" s="33" t="s">
        <v>2047</v>
      </c>
      <c r="Q267" s="34" t="s">
        <v>1494</v>
      </c>
      <c r="R267" s="34" t="s">
        <v>1494</v>
      </c>
    </row>
    <row r="268" spans="1:18" ht="15" customHeight="1" x14ac:dyDescent="0.25">
      <c r="A268" t="str">
        <f>IFERROR(RANK(B268,$B:$B,1)+COUNTIF($B$1:B267,B268),"")</f>
        <v/>
      </c>
      <c r="B268" t="str">
        <f>IFERROR(SEARCH(#REF!,Table4[[#This Row],[Commodity Title]],1),"")</f>
        <v/>
      </c>
      <c r="C268" s="35">
        <v>42142611</v>
      </c>
      <c r="D268" s="33" t="s">
        <v>1495</v>
      </c>
      <c r="E268" s="33" t="s">
        <v>1496</v>
      </c>
      <c r="F268" s="33" t="s">
        <v>1497</v>
      </c>
      <c r="G268" s="33" t="s">
        <v>1736</v>
      </c>
      <c r="H268" s="33" t="s">
        <v>1737</v>
      </c>
      <c r="I268" s="33" t="s">
        <v>1738</v>
      </c>
      <c r="J268" s="33">
        <v>114946</v>
      </c>
      <c r="K268" s="33" t="s">
        <v>2025</v>
      </c>
      <c r="L268" s="33" t="s">
        <v>2026</v>
      </c>
      <c r="M268" s="33" t="s">
        <v>2027</v>
      </c>
      <c r="N268" s="44">
        <v>42142611</v>
      </c>
      <c r="O268" s="33" t="s">
        <v>2048</v>
      </c>
      <c r="P268" s="33" t="s">
        <v>2049</v>
      </c>
      <c r="Q268" s="34" t="s">
        <v>1494</v>
      </c>
      <c r="R268" s="34" t="s">
        <v>1494</v>
      </c>
    </row>
    <row r="269" spans="1:18" ht="15" customHeight="1" x14ac:dyDescent="0.25">
      <c r="A269" t="str">
        <f>IFERROR(RANK(B269,$B:$B,1)+COUNTIF($B$1:B268,B269),"")</f>
        <v/>
      </c>
      <c r="B269" t="str">
        <f>IFERROR(SEARCH(#REF!,Table4[[#This Row],[Commodity Title]],1),"")</f>
        <v/>
      </c>
      <c r="C269" s="35">
        <v>42142612</v>
      </c>
      <c r="D269" s="33" t="s">
        <v>1495</v>
      </c>
      <c r="E269" s="33" t="s">
        <v>1496</v>
      </c>
      <c r="F269" s="33" t="s">
        <v>1497</v>
      </c>
      <c r="G269" s="33" t="s">
        <v>1736</v>
      </c>
      <c r="H269" s="33" t="s">
        <v>1737</v>
      </c>
      <c r="I269" s="33" t="s">
        <v>1738</v>
      </c>
      <c r="J269" s="33">
        <v>142319</v>
      </c>
      <c r="K269" s="33" t="s">
        <v>2025</v>
      </c>
      <c r="L269" s="33" t="s">
        <v>2026</v>
      </c>
      <c r="M269" s="33" t="s">
        <v>2027</v>
      </c>
      <c r="N269" s="44">
        <v>42142612</v>
      </c>
      <c r="O269" s="33" t="s">
        <v>2050</v>
      </c>
      <c r="P269" s="33" t="s">
        <v>2051</v>
      </c>
      <c r="Q269" s="34" t="s">
        <v>1494</v>
      </c>
      <c r="R269" s="34" t="s">
        <v>1494</v>
      </c>
    </row>
    <row r="270" spans="1:18" ht="15" customHeight="1" x14ac:dyDescent="0.25">
      <c r="A270" t="str">
        <f>IFERROR(RANK(B270,$B:$B,1)+COUNTIF($B$1:B269,B270),"")</f>
        <v/>
      </c>
      <c r="B270" t="str">
        <f>IFERROR(SEARCH(#REF!,Table4[[#This Row],[Commodity Title]],1),"")</f>
        <v/>
      </c>
      <c r="C270" s="35">
        <v>42142613</v>
      </c>
      <c r="D270" s="33" t="s">
        <v>1495</v>
      </c>
      <c r="E270" s="33" t="s">
        <v>1496</v>
      </c>
      <c r="F270" s="33" t="s">
        <v>1497</v>
      </c>
      <c r="G270" s="33" t="s">
        <v>1736</v>
      </c>
      <c r="H270" s="33" t="s">
        <v>1737</v>
      </c>
      <c r="I270" s="33" t="s">
        <v>1738</v>
      </c>
      <c r="J270" s="33">
        <v>142320</v>
      </c>
      <c r="K270" s="33" t="s">
        <v>2025</v>
      </c>
      <c r="L270" s="33" t="s">
        <v>2026</v>
      </c>
      <c r="M270" s="33" t="s">
        <v>2027</v>
      </c>
      <c r="N270" s="44">
        <v>42142613</v>
      </c>
      <c r="O270" s="33" t="s">
        <v>2052</v>
      </c>
      <c r="P270" s="33" t="s">
        <v>2053</v>
      </c>
      <c r="Q270" s="34" t="s">
        <v>1494</v>
      </c>
      <c r="R270" s="34" t="s">
        <v>1494</v>
      </c>
    </row>
    <row r="271" spans="1:18" ht="15" customHeight="1" x14ac:dyDescent="0.25">
      <c r="A271" t="str">
        <f>IFERROR(RANK(B271,$B:$B,1)+COUNTIF($B$1:B270,B271),"")</f>
        <v/>
      </c>
      <c r="B271" t="str">
        <f>IFERROR(SEARCH(#REF!,Table4[[#This Row],[Commodity Title]],1),"")</f>
        <v/>
      </c>
      <c r="C271" s="35">
        <v>42142614</v>
      </c>
      <c r="D271" s="33" t="s">
        <v>1495</v>
      </c>
      <c r="E271" s="33" t="s">
        <v>1496</v>
      </c>
      <c r="F271" s="33" t="s">
        <v>1497</v>
      </c>
      <c r="G271" s="33" t="s">
        <v>1736</v>
      </c>
      <c r="H271" s="33" t="s">
        <v>1737</v>
      </c>
      <c r="I271" s="33" t="s">
        <v>1738</v>
      </c>
      <c r="J271" s="33">
        <v>142321</v>
      </c>
      <c r="K271" s="33" t="s">
        <v>2025</v>
      </c>
      <c r="L271" s="33" t="s">
        <v>2026</v>
      </c>
      <c r="M271" s="33" t="s">
        <v>2027</v>
      </c>
      <c r="N271" s="44">
        <v>42142614</v>
      </c>
      <c r="O271" s="33" t="s">
        <v>2054</v>
      </c>
      <c r="P271" s="33" t="s">
        <v>2055</v>
      </c>
      <c r="Q271" s="34" t="s">
        <v>1494</v>
      </c>
      <c r="R271" s="34" t="s">
        <v>1494</v>
      </c>
    </row>
    <row r="272" spans="1:18" ht="15" customHeight="1" x14ac:dyDescent="0.25">
      <c r="A272" t="str">
        <f>IFERROR(RANK(B272,$B:$B,1)+COUNTIF($B$1:B271,B272),"")</f>
        <v/>
      </c>
      <c r="B272" t="str">
        <f>IFERROR(SEARCH(#REF!,Table4[[#This Row],[Commodity Title]],1),"")</f>
        <v/>
      </c>
      <c r="C272" s="35">
        <v>42142615</v>
      </c>
      <c r="D272" s="33" t="s">
        <v>1495</v>
      </c>
      <c r="E272" s="33" t="s">
        <v>1496</v>
      </c>
      <c r="F272" s="33" t="s">
        <v>1497</v>
      </c>
      <c r="G272" s="33" t="s">
        <v>1736</v>
      </c>
      <c r="H272" s="33" t="s">
        <v>1737</v>
      </c>
      <c r="I272" s="33" t="s">
        <v>1738</v>
      </c>
      <c r="J272" s="33">
        <v>142322</v>
      </c>
      <c r="K272" s="33" t="s">
        <v>2025</v>
      </c>
      <c r="L272" s="33" t="s">
        <v>2026</v>
      </c>
      <c r="M272" s="33" t="s">
        <v>2027</v>
      </c>
      <c r="N272" s="44">
        <v>42142615</v>
      </c>
      <c r="O272" s="33" t="s">
        <v>2056</v>
      </c>
      <c r="P272" s="33" t="s">
        <v>2057</v>
      </c>
      <c r="Q272" s="34" t="s">
        <v>1494</v>
      </c>
      <c r="R272" s="34" t="s">
        <v>1494</v>
      </c>
    </row>
    <row r="273" spans="1:18" ht="15" customHeight="1" x14ac:dyDescent="0.25">
      <c r="A273" t="str">
        <f>IFERROR(RANK(B273,$B:$B,1)+COUNTIF($B$1:B272,B273),"")</f>
        <v/>
      </c>
      <c r="B273" t="str">
        <f>IFERROR(SEARCH(#REF!,Table4[[#This Row],[Commodity Title]],1),"")</f>
        <v/>
      </c>
      <c r="C273" s="35">
        <v>42142616</v>
      </c>
      <c r="D273" s="33" t="s">
        <v>1495</v>
      </c>
      <c r="E273" s="33" t="s">
        <v>1496</v>
      </c>
      <c r="F273" s="33" t="s">
        <v>1497</v>
      </c>
      <c r="G273" s="33" t="s">
        <v>1736</v>
      </c>
      <c r="H273" s="33" t="s">
        <v>1737</v>
      </c>
      <c r="I273" s="33" t="s">
        <v>1738</v>
      </c>
      <c r="J273" s="33">
        <v>142323</v>
      </c>
      <c r="K273" s="33" t="s">
        <v>2025</v>
      </c>
      <c r="L273" s="33" t="s">
        <v>2026</v>
      </c>
      <c r="M273" s="33" t="s">
        <v>2027</v>
      </c>
      <c r="N273" s="44">
        <v>42142616</v>
      </c>
      <c r="O273" s="33" t="s">
        <v>2058</v>
      </c>
      <c r="P273" s="33" t="s">
        <v>2059</v>
      </c>
      <c r="Q273" s="34" t="s">
        <v>1494</v>
      </c>
      <c r="R273" s="34" t="s">
        <v>1494</v>
      </c>
    </row>
    <row r="274" spans="1:18" ht="15" customHeight="1" x14ac:dyDescent="0.25">
      <c r="A274" t="str">
        <f>IFERROR(RANK(B274,$B:$B,1)+COUNTIF($B$1:B273,B274),"")</f>
        <v/>
      </c>
      <c r="B274" t="str">
        <f>IFERROR(SEARCH(#REF!,Table4[[#This Row],[Commodity Title]],1),"")</f>
        <v/>
      </c>
      <c r="C274" s="35">
        <v>42142617</v>
      </c>
      <c r="D274" s="33" t="s">
        <v>1495</v>
      </c>
      <c r="E274" s="33" t="s">
        <v>1496</v>
      </c>
      <c r="F274" s="33" t="s">
        <v>1497</v>
      </c>
      <c r="G274" s="33" t="s">
        <v>1736</v>
      </c>
      <c r="H274" s="33" t="s">
        <v>1737</v>
      </c>
      <c r="I274" s="33" t="s">
        <v>1738</v>
      </c>
      <c r="J274" s="33">
        <v>142324</v>
      </c>
      <c r="K274" s="33" t="s">
        <v>2025</v>
      </c>
      <c r="L274" s="33" t="s">
        <v>2026</v>
      </c>
      <c r="M274" s="33" t="s">
        <v>2027</v>
      </c>
      <c r="N274" s="44">
        <v>42142617</v>
      </c>
      <c r="O274" s="33" t="s">
        <v>2060</v>
      </c>
      <c r="P274" s="33" t="s">
        <v>2061</v>
      </c>
      <c r="Q274" s="34" t="s">
        <v>1494</v>
      </c>
      <c r="R274" s="34" t="s">
        <v>1494</v>
      </c>
    </row>
    <row r="275" spans="1:18" ht="15" customHeight="1" x14ac:dyDescent="0.25">
      <c r="A275" t="str">
        <f>IFERROR(RANK(B275,$B:$B,1)+COUNTIF($B$1:B274,B275),"")</f>
        <v/>
      </c>
      <c r="B275" t="str">
        <f>IFERROR(SEARCH(#REF!,Table4[[#This Row],[Commodity Title]],1),"")</f>
        <v/>
      </c>
      <c r="C275" s="35">
        <v>42142618</v>
      </c>
      <c r="D275" s="33" t="s">
        <v>1495</v>
      </c>
      <c r="E275" s="33" t="s">
        <v>1496</v>
      </c>
      <c r="F275" s="33" t="s">
        <v>1497</v>
      </c>
      <c r="G275" s="33" t="s">
        <v>1736</v>
      </c>
      <c r="H275" s="33" t="s">
        <v>1737</v>
      </c>
      <c r="I275" s="33" t="s">
        <v>1738</v>
      </c>
      <c r="J275" s="33">
        <v>142325</v>
      </c>
      <c r="K275" s="33" t="s">
        <v>2025</v>
      </c>
      <c r="L275" s="33" t="s">
        <v>2026</v>
      </c>
      <c r="M275" s="33" t="s">
        <v>2027</v>
      </c>
      <c r="N275" s="44">
        <v>42142618</v>
      </c>
      <c r="O275" s="33" t="s">
        <v>2062</v>
      </c>
      <c r="P275" s="33" t="s">
        <v>2063</v>
      </c>
      <c r="Q275" s="34" t="s">
        <v>1494</v>
      </c>
      <c r="R275" s="34" t="s">
        <v>1494</v>
      </c>
    </row>
    <row r="276" spans="1:18" ht="15" customHeight="1" x14ac:dyDescent="0.25">
      <c r="A276" t="str">
        <f>IFERROR(RANK(B276,$B:$B,1)+COUNTIF($B$1:B275,B276),"")</f>
        <v/>
      </c>
      <c r="B276" t="str">
        <f>IFERROR(SEARCH(#REF!,Table4[[#This Row],[Commodity Title]],1),"")</f>
        <v/>
      </c>
      <c r="C276" s="35">
        <v>42142619</v>
      </c>
      <c r="D276" s="33" t="s">
        <v>1495</v>
      </c>
      <c r="E276" s="33" t="s">
        <v>1496</v>
      </c>
      <c r="F276" s="33" t="s">
        <v>1497</v>
      </c>
      <c r="G276" s="33" t="s">
        <v>1736</v>
      </c>
      <c r="H276" s="33" t="s">
        <v>1737</v>
      </c>
      <c r="I276" s="33" t="s">
        <v>1738</v>
      </c>
      <c r="J276" s="33">
        <v>174313</v>
      </c>
      <c r="K276" s="33" t="s">
        <v>2025</v>
      </c>
      <c r="L276" s="33" t="s">
        <v>2026</v>
      </c>
      <c r="M276" s="33" t="s">
        <v>2027</v>
      </c>
      <c r="N276" s="44">
        <v>42142619</v>
      </c>
      <c r="O276" s="33" t="s">
        <v>2064</v>
      </c>
      <c r="P276" s="33" t="s">
        <v>2065</v>
      </c>
      <c r="Q276" s="34" t="s">
        <v>1494</v>
      </c>
      <c r="R276" s="34" t="s">
        <v>1494</v>
      </c>
    </row>
    <row r="277" spans="1:18" ht="15" customHeight="1" x14ac:dyDescent="0.25">
      <c r="A277" t="str">
        <f>IFERROR(RANK(B277,$B:$B,1)+COUNTIF($B$1:B276,B277),"")</f>
        <v/>
      </c>
      <c r="B277" t="str">
        <f>IFERROR(SEARCH(#REF!,Table4[[#This Row],[Commodity Title]],1),"")</f>
        <v/>
      </c>
      <c r="C277" s="35">
        <v>42142620</v>
      </c>
      <c r="D277" s="33" t="s">
        <v>1495</v>
      </c>
      <c r="E277" s="33" t="s">
        <v>1496</v>
      </c>
      <c r="F277" s="33" t="s">
        <v>1497</v>
      </c>
      <c r="G277" s="33" t="s">
        <v>1736</v>
      </c>
      <c r="H277" s="33" t="s">
        <v>1737</v>
      </c>
      <c r="I277" s="33" t="s">
        <v>1738</v>
      </c>
      <c r="J277" s="33">
        <v>177411</v>
      </c>
      <c r="K277" s="33" t="s">
        <v>2025</v>
      </c>
      <c r="L277" s="33" t="s">
        <v>2026</v>
      </c>
      <c r="M277" s="33" t="s">
        <v>2027</v>
      </c>
      <c r="N277" s="44">
        <v>42142620</v>
      </c>
      <c r="O277" s="33" t="s">
        <v>2066</v>
      </c>
      <c r="P277" s="33" t="s">
        <v>2067</v>
      </c>
      <c r="Q277" s="34" t="s">
        <v>1494</v>
      </c>
      <c r="R277" s="34" t="s">
        <v>1494</v>
      </c>
    </row>
    <row r="278" spans="1:18" ht="15" customHeight="1" x14ac:dyDescent="0.25">
      <c r="A278" t="str">
        <f>IFERROR(RANK(B278,$B:$B,1)+COUNTIF($B$1:B277,B278),"")</f>
        <v/>
      </c>
      <c r="B278" t="str">
        <f>IFERROR(SEARCH(#REF!,Table4[[#This Row],[Commodity Title]],1),"")</f>
        <v/>
      </c>
      <c r="C278" s="35">
        <v>42142621</v>
      </c>
      <c r="D278" s="33" t="s">
        <v>1495</v>
      </c>
      <c r="E278" s="33" t="s">
        <v>1496</v>
      </c>
      <c r="F278" s="33" t="s">
        <v>1497</v>
      </c>
      <c r="G278" s="33" t="s">
        <v>1736</v>
      </c>
      <c r="H278" s="33" t="s">
        <v>1737</v>
      </c>
      <c r="I278" s="33" t="s">
        <v>1738</v>
      </c>
      <c r="J278" s="33">
        <v>202403</v>
      </c>
      <c r="K278" s="33" t="s">
        <v>2025</v>
      </c>
      <c r="L278" s="33" t="s">
        <v>2026</v>
      </c>
      <c r="M278" s="33" t="s">
        <v>2027</v>
      </c>
      <c r="N278" s="44">
        <v>42142621</v>
      </c>
      <c r="O278" s="33" t="s">
        <v>2068</v>
      </c>
      <c r="P278" s="33" t="s">
        <v>2069</v>
      </c>
      <c r="Q278" s="34" t="s">
        <v>1494</v>
      </c>
      <c r="R278" s="34" t="s">
        <v>1494</v>
      </c>
    </row>
    <row r="279" spans="1:18" ht="15" customHeight="1" x14ac:dyDescent="0.25">
      <c r="A279" t="str">
        <f>IFERROR(RANK(B279,$B:$B,1)+COUNTIF($B$1:B278,B279),"")</f>
        <v/>
      </c>
      <c r="B279" t="str">
        <f>IFERROR(SEARCH(#REF!,Table4[[#This Row],[Commodity Title]],1),"")</f>
        <v/>
      </c>
      <c r="C279" s="35">
        <v>42142622</v>
      </c>
      <c r="D279" s="33" t="s">
        <v>1495</v>
      </c>
      <c r="E279" s="33" t="s">
        <v>1496</v>
      </c>
      <c r="F279" s="33" t="s">
        <v>1497</v>
      </c>
      <c r="G279" s="33" t="s">
        <v>1736</v>
      </c>
      <c r="H279" s="33" t="s">
        <v>1737</v>
      </c>
      <c r="I279" s="33" t="s">
        <v>1738</v>
      </c>
      <c r="J279" s="33">
        <v>202404</v>
      </c>
      <c r="K279" s="33" t="s">
        <v>2025</v>
      </c>
      <c r="L279" s="33" t="s">
        <v>2026</v>
      </c>
      <c r="M279" s="33" t="s">
        <v>2027</v>
      </c>
      <c r="N279" s="44">
        <v>42142622</v>
      </c>
      <c r="O279" s="33" t="s">
        <v>2070</v>
      </c>
      <c r="P279" s="33" t="s">
        <v>2071</v>
      </c>
      <c r="Q279" s="34" t="s">
        <v>1494</v>
      </c>
      <c r="R279" s="34" t="s">
        <v>1494</v>
      </c>
    </row>
    <row r="280" spans="1:18" ht="15" customHeight="1" x14ac:dyDescent="0.25">
      <c r="A280" t="str">
        <f>IFERROR(RANK(B280,$B:$B,1)+COUNTIF($B$1:B279,B280),"")</f>
        <v/>
      </c>
      <c r="B280" t="str">
        <f>IFERROR(SEARCH(#REF!,Table4[[#This Row],[Commodity Title]],1),"")</f>
        <v/>
      </c>
      <c r="C280" s="35">
        <v>42142623</v>
      </c>
      <c r="D280" s="33" t="s">
        <v>1495</v>
      </c>
      <c r="E280" s="33" t="s">
        <v>1496</v>
      </c>
      <c r="F280" s="33" t="s">
        <v>1497</v>
      </c>
      <c r="G280" s="33" t="s">
        <v>1736</v>
      </c>
      <c r="H280" s="33" t="s">
        <v>1737</v>
      </c>
      <c r="I280" s="33" t="s">
        <v>1738</v>
      </c>
      <c r="J280" s="33">
        <v>202405</v>
      </c>
      <c r="K280" s="33" t="s">
        <v>2025</v>
      </c>
      <c r="L280" s="33" t="s">
        <v>2026</v>
      </c>
      <c r="M280" s="33" t="s">
        <v>2027</v>
      </c>
      <c r="N280" s="44">
        <v>42142623</v>
      </c>
      <c r="O280" s="33" t="s">
        <v>2072</v>
      </c>
      <c r="P280" s="33" t="s">
        <v>2073</v>
      </c>
      <c r="Q280" s="34" t="s">
        <v>1494</v>
      </c>
      <c r="R280" s="34" t="s">
        <v>1494</v>
      </c>
    </row>
    <row r="281" spans="1:18" ht="15" customHeight="1" x14ac:dyDescent="0.25">
      <c r="A281" t="str">
        <f>IFERROR(RANK(B281,$B:$B,1)+COUNTIF($B$1:B280,B281),"")</f>
        <v/>
      </c>
      <c r="B281" t="str">
        <f>IFERROR(SEARCH(#REF!,Table4[[#This Row],[Commodity Title]],1),"")</f>
        <v/>
      </c>
      <c r="C281" s="35">
        <v>42142624</v>
      </c>
      <c r="D281" s="33" t="s">
        <v>1495</v>
      </c>
      <c r="E281" s="33" t="s">
        <v>1496</v>
      </c>
      <c r="F281" s="33" t="s">
        <v>1497</v>
      </c>
      <c r="G281" s="33" t="s">
        <v>1736</v>
      </c>
      <c r="H281" s="33" t="s">
        <v>1737</v>
      </c>
      <c r="I281" s="33" t="s">
        <v>1738</v>
      </c>
      <c r="J281" s="33">
        <v>202406</v>
      </c>
      <c r="K281" s="33" t="s">
        <v>2025</v>
      </c>
      <c r="L281" s="33" t="s">
        <v>2026</v>
      </c>
      <c r="M281" s="33" t="s">
        <v>2027</v>
      </c>
      <c r="N281" s="44">
        <v>42142624</v>
      </c>
      <c r="O281" s="33" t="s">
        <v>2074</v>
      </c>
      <c r="P281" s="33" t="s">
        <v>2075</v>
      </c>
      <c r="Q281" s="34" t="s">
        <v>1494</v>
      </c>
      <c r="R281" s="34" t="s">
        <v>1494</v>
      </c>
    </row>
    <row r="282" spans="1:18" ht="15" customHeight="1" x14ac:dyDescent="0.25">
      <c r="A282" t="str">
        <f>IFERROR(RANK(B282,$B:$B,1)+COUNTIF($B$1:B281,B282),"")</f>
        <v/>
      </c>
      <c r="B282" t="str">
        <f>IFERROR(SEARCH(#REF!,Table4[[#This Row],[Commodity Title]],1),"")</f>
        <v/>
      </c>
      <c r="C282" s="35">
        <v>42142625</v>
      </c>
      <c r="D282" s="33" t="s">
        <v>1495</v>
      </c>
      <c r="E282" s="33" t="s">
        <v>1496</v>
      </c>
      <c r="F282" s="33" t="s">
        <v>1497</v>
      </c>
      <c r="G282" s="33" t="s">
        <v>1736</v>
      </c>
      <c r="H282" s="33" t="s">
        <v>1737</v>
      </c>
      <c r="I282" s="33" t="s">
        <v>1738</v>
      </c>
      <c r="J282" s="33">
        <v>202407</v>
      </c>
      <c r="K282" s="33" t="s">
        <v>2025</v>
      </c>
      <c r="L282" s="33" t="s">
        <v>2026</v>
      </c>
      <c r="M282" s="33" t="s">
        <v>2027</v>
      </c>
      <c r="N282" s="44">
        <v>42142625</v>
      </c>
      <c r="O282" s="33" t="s">
        <v>2076</v>
      </c>
      <c r="P282" s="33" t="s">
        <v>2077</v>
      </c>
      <c r="Q282" s="34" t="s">
        <v>1494</v>
      </c>
      <c r="R282" s="34" t="s">
        <v>1494</v>
      </c>
    </row>
    <row r="283" spans="1:18" ht="15" customHeight="1" x14ac:dyDescent="0.25">
      <c r="A283" t="str">
        <f>IFERROR(RANK(B283,$B:$B,1)+COUNTIF($B$1:B282,B283),"")</f>
        <v/>
      </c>
      <c r="B283" t="str">
        <f>IFERROR(SEARCH(#REF!,Table4[[#This Row],[Commodity Title]],1),"")</f>
        <v/>
      </c>
      <c r="C283" s="35">
        <v>42142626</v>
      </c>
      <c r="D283" s="33" t="s">
        <v>1495</v>
      </c>
      <c r="E283" s="33" t="s">
        <v>1496</v>
      </c>
      <c r="F283" s="33" t="s">
        <v>1497</v>
      </c>
      <c r="G283" s="33" t="s">
        <v>1736</v>
      </c>
      <c r="H283" s="33" t="s">
        <v>1737</v>
      </c>
      <c r="I283" s="33" t="s">
        <v>1738</v>
      </c>
      <c r="J283" s="33">
        <v>202408</v>
      </c>
      <c r="K283" s="33" t="s">
        <v>2025</v>
      </c>
      <c r="L283" s="33" t="s">
        <v>2026</v>
      </c>
      <c r="M283" s="33" t="s">
        <v>2027</v>
      </c>
      <c r="N283" s="44">
        <v>42142626</v>
      </c>
      <c r="O283" s="33" t="s">
        <v>2078</v>
      </c>
      <c r="P283" s="33" t="s">
        <v>2079</v>
      </c>
      <c r="Q283" s="34" t="s">
        <v>1494</v>
      </c>
      <c r="R283" s="34" t="s">
        <v>1494</v>
      </c>
    </row>
    <row r="284" spans="1:18" ht="15" customHeight="1" x14ac:dyDescent="0.25">
      <c r="A284" t="str">
        <f>IFERROR(RANK(B284,$B:$B,1)+COUNTIF($B$1:B283,B284),"")</f>
        <v/>
      </c>
      <c r="B284" t="str">
        <f>IFERROR(SEARCH(#REF!,Table4[[#This Row],[Commodity Title]],1),"")</f>
        <v/>
      </c>
      <c r="C284" s="33" t="s">
        <v>1494</v>
      </c>
      <c r="D284" s="33" t="s">
        <v>1495</v>
      </c>
      <c r="E284" s="33" t="s">
        <v>1496</v>
      </c>
      <c r="F284" s="33" t="s">
        <v>1497</v>
      </c>
      <c r="G284" s="33" t="s">
        <v>1736</v>
      </c>
      <c r="H284" s="33" t="s">
        <v>1737</v>
      </c>
      <c r="I284" s="33" t="s">
        <v>1738</v>
      </c>
      <c r="J284" s="33">
        <v>114947</v>
      </c>
      <c r="K284" s="33" t="s">
        <v>2080</v>
      </c>
      <c r="L284" s="33" t="s">
        <v>2081</v>
      </c>
      <c r="M284" s="33" t="s">
        <v>2082</v>
      </c>
      <c r="N284" s="44" t="s">
        <v>1494</v>
      </c>
      <c r="O284" s="33" t="s">
        <v>1494</v>
      </c>
      <c r="P284" s="33" t="s">
        <v>1494</v>
      </c>
      <c r="Q284" s="34" t="s">
        <v>1494</v>
      </c>
      <c r="R284" s="34" t="s">
        <v>1494</v>
      </c>
    </row>
    <row r="285" spans="1:18" ht="15" customHeight="1" x14ac:dyDescent="0.25">
      <c r="A285" t="str">
        <f>IFERROR(RANK(B285,$B:$B,1)+COUNTIF($B$1:B284,B285),"")</f>
        <v/>
      </c>
      <c r="B285" t="str">
        <f>IFERROR(SEARCH(#REF!,Table4[[#This Row],[Commodity Title]],1),"")</f>
        <v/>
      </c>
      <c r="C285" s="35">
        <v>42142701</v>
      </c>
      <c r="D285" s="33" t="s">
        <v>1495</v>
      </c>
      <c r="E285" s="33" t="s">
        <v>1496</v>
      </c>
      <c r="F285" s="33" t="s">
        <v>1497</v>
      </c>
      <c r="G285" s="33" t="s">
        <v>1736</v>
      </c>
      <c r="H285" s="33" t="s">
        <v>1737</v>
      </c>
      <c r="I285" s="33" t="s">
        <v>1738</v>
      </c>
      <c r="J285" s="33">
        <v>114948</v>
      </c>
      <c r="K285" s="33" t="s">
        <v>2080</v>
      </c>
      <c r="L285" s="33" t="s">
        <v>2081</v>
      </c>
      <c r="M285" s="33" t="s">
        <v>2082</v>
      </c>
      <c r="N285" s="44">
        <v>42142701</v>
      </c>
      <c r="O285" s="33" t="s">
        <v>2083</v>
      </c>
      <c r="P285" s="33" t="s">
        <v>2084</v>
      </c>
      <c r="Q285" s="34" t="s">
        <v>1494</v>
      </c>
      <c r="R285" s="34" t="s">
        <v>1494</v>
      </c>
    </row>
    <row r="286" spans="1:18" ht="15" customHeight="1" x14ac:dyDescent="0.25">
      <c r="A286" t="str">
        <f>IFERROR(RANK(B286,$B:$B,1)+COUNTIF($B$1:B285,B286),"")</f>
        <v/>
      </c>
      <c r="B286" t="str">
        <f>IFERROR(SEARCH(#REF!,Table4[[#This Row],[Commodity Title]],1),"")</f>
        <v/>
      </c>
      <c r="C286" s="35">
        <v>42142702</v>
      </c>
      <c r="D286" s="33" t="s">
        <v>1495</v>
      </c>
      <c r="E286" s="33" t="s">
        <v>1496</v>
      </c>
      <c r="F286" s="33" t="s">
        <v>1497</v>
      </c>
      <c r="G286" s="33" t="s">
        <v>1736</v>
      </c>
      <c r="H286" s="33" t="s">
        <v>1737</v>
      </c>
      <c r="I286" s="33" t="s">
        <v>1738</v>
      </c>
      <c r="J286" s="33">
        <v>114949</v>
      </c>
      <c r="K286" s="33" t="s">
        <v>2080</v>
      </c>
      <c r="L286" s="33" t="s">
        <v>2081</v>
      </c>
      <c r="M286" s="33" t="s">
        <v>2082</v>
      </c>
      <c r="N286" s="44">
        <v>42142702</v>
      </c>
      <c r="O286" s="33" t="s">
        <v>2085</v>
      </c>
      <c r="P286" s="33" t="s">
        <v>2086</v>
      </c>
      <c r="Q286" s="34" t="s">
        <v>1494</v>
      </c>
      <c r="R286" s="34" t="s">
        <v>1494</v>
      </c>
    </row>
    <row r="287" spans="1:18" ht="15" customHeight="1" x14ac:dyDescent="0.25">
      <c r="A287" t="str">
        <f>IFERROR(RANK(B287,$B:$B,1)+COUNTIF($B$1:B286,B287),"")</f>
        <v/>
      </c>
      <c r="B287" t="str">
        <f>IFERROR(SEARCH(#REF!,Table4[[#This Row],[Commodity Title]],1),"")</f>
        <v/>
      </c>
      <c r="C287" s="35">
        <v>42142703</v>
      </c>
      <c r="D287" s="33" t="s">
        <v>1495</v>
      </c>
      <c r="E287" s="33" t="s">
        <v>1496</v>
      </c>
      <c r="F287" s="33" t="s">
        <v>1497</v>
      </c>
      <c r="G287" s="33" t="s">
        <v>1736</v>
      </c>
      <c r="H287" s="33" t="s">
        <v>1737</v>
      </c>
      <c r="I287" s="33" t="s">
        <v>1738</v>
      </c>
      <c r="J287" s="33">
        <v>114950</v>
      </c>
      <c r="K287" s="33" t="s">
        <v>2080</v>
      </c>
      <c r="L287" s="33" t="s">
        <v>2081</v>
      </c>
      <c r="M287" s="33" t="s">
        <v>2082</v>
      </c>
      <c r="N287" s="44">
        <v>42142703</v>
      </c>
      <c r="O287" s="33" t="s">
        <v>2087</v>
      </c>
      <c r="P287" s="33" t="s">
        <v>2088</v>
      </c>
      <c r="Q287" s="34" t="s">
        <v>1494</v>
      </c>
      <c r="R287" s="34" t="s">
        <v>1494</v>
      </c>
    </row>
    <row r="288" spans="1:18" ht="15" customHeight="1" x14ac:dyDescent="0.25">
      <c r="A288" t="str">
        <f>IFERROR(RANK(B288,$B:$B,1)+COUNTIF($B$1:B287,B288),"")</f>
        <v/>
      </c>
      <c r="B288" t="str">
        <f>IFERROR(SEARCH(#REF!,Table4[[#This Row],[Commodity Title]],1),"")</f>
        <v/>
      </c>
      <c r="C288" s="35">
        <v>42142704</v>
      </c>
      <c r="D288" s="33" t="s">
        <v>1495</v>
      </c>
      <c r="E288" s="33" t="s">
        <v>1496</v>
      </c>
      <c r="F288" s="33" t="s">
        <v>1497</v>
      </c>
      <c r="G288" s="33" t="s">
        <v>1736</v>
      </c>
      <c r="H288" s="33" t="s">
        <v>1737</v>
      </c>
      <c r="I288" s="33" t="s">
        <v>1738</v>
      </c>
      <c r="J288" s="33">
        <v>114951</v>
      </c>
      <c r="K288" s="33" t="s">
        <v>2080</v>
      </c>
      <c r="L288" s="33" t="s">
        <v>2081</v>
      </c>
      <c r="M288" s="33" t="s">
        <v>2082</v>
      </c>
      <c r="N288" s="44">
        <v>42142704</v>
      </c>
      <c r="O288" s="33" t="s">
        <v>2089</v>
      </c>
      <c r="P288" s="33" t="s">
        <v>2090</v>
      </c>
      <c r="Q288" s="34" t="s">
        <v>1494</v>
      </c>
      <c r="R288" s="34" t="s">
        <v>1494</v>
      </c>
    </row>
    <row r="289" spans="1:18" ht="15" customHeight="1" x14ac:dyDescent="0.25">
      <c r="A289" t="str">
        <f>IFERROR(RANK(B289,$B:$B,1)+COUNTIF($B$1:B288,B289),"")</f>
        <v/>
      </c>
      <c r="B289" t="str">
        <f>IFERROR(SEARCH(#REF!,Table4[[#This Row],[Commodity Title]],1),"")</f>
        <v/>
      </c>
      <c r="C289" s="35">
        <v>42142705</v>
      </c>
      <c r="D289" s="33" t="s">
        <v>1495</v>
      </c>
      <c r="E289" s="33" t="s">
        <v>1496</v>
      </c>
      <c r="F289" s="33" t="s">
        <v>1497</v>
      </c>
      <c r="G289" s="33" t="s">
        <v>1736</v>
      </c>
      <c r="H289" s="33" t="s">
        <v>1737</v>
      </c>
      <c r="I289" s="33" t="s">
        <v>1738</v>
      </c>
      <c r="J289" s="33">
        <v>114952</v>
      </c>
      <c r="K289" s="33" t="s">
        <v>2080</v>
      </c>
      <c r="L289" s="33" t="s">
        <v>2081</v>
      </c>
      <c r="M289" s="33" t="s">
        <v>2082</v>
      </c>
      <c r="N289" s="44">
        <v>42142705</v>
      </c>
      <c r="O289" s="33" t="s">
        <v>2091</v>
      </c>
      <c r="P289" s="33" t="s">
        <v>2092</v>
      </c>
      <c r="Q289" s="34" t="s">
        <v>1494</v>
      </c>
      <c r="R289" s="34" t="s">
        <v>1494</v>
      </c>
    </row>
    <row r="290" spans="1:18" ht="15" customHeight="1" x14ac:dyDescent="0.25">
      <c r="A290" t="str">
        <f>IFERROR(RANK(B290,$B:$B,1)+COUNTIF($B$1:B289,B290),"")</f>
        <v/>
      </c>
      <c r="B290" t="str">
        <f>IFERROR(SEARCH(#REF!,Table4[[#This Row],[Commodity Title]],1),"")</f>
        <v/>
      </c>
      <c r="C290" s="35">
        <v>42142706</v>
      </c>
      <c r="D290" s="33" t="s">
        <v>1495</v>
      </c>
      <c r="E290" s="33" t="s">
        <v>1496</v>
      </c>
      <c r="F290" s="33" t="s">
        <v>1497</v>
      </c>
      <c r="G290" s="33" t="s">
        <v>1736</v>
      </c>
      <c r="H290" s="33" t="s">
        <v>1737</v>
      </c>
      <c r="I290" s="33" t="s">
        <v>1738</v>
      </c>
      <c r="J290" s="33">
        <v>114953</v>
      </c>
      <c r="K290" s="33" t="s">
        <v>2080</v>
      </c>
      <c r="L290" s="33" t="s">
        <v>2081</v>
      </c>
      <c r="M290" s="33" t="s">
        <v>2082</v>
      </c>
      <c r="N290" s="44">
        <v>42142706</v>
      </c>
      <c r="O290" s="33" t="s">
        <v>2093</v>
      </c>
      <c r="P290" s="33" t="s">
        <v>2094</v>
      </c>
      <c r="Q290" s="34" t="s">
        <v>1494</v>
      </c>
      <c r="R290" s="34" t="s">
        <v>1494</v>
      </c>
    </row>
    <row r="291" spans="1:18" ht="15" customHeight="1" x14ac:dyDescent="0.25">
      <c r="A291" t="str">
        <f>IFERROR(RANK(B291,$B:$B,1)+COUNTIF($B$1:B290,B291),"")</f>
        <v/>
      </c>
      <c r="B291" t="str">
        <f>IFERROR(SEARCH(#REF!,Table4[[#This Row],[Commodity Title]],1),"")</f>
        <v/>
      </c>
      <c r="C291" s="35">
        <v>42142707</v>
      </c>
      <c r="D291" s="33" t="s">
        <v>1495</v>
      </c>
      <c r="E291" s="33" t="s">
        <v>1496</v>
      </c>
      <c r="F291" s="33" t="s">
        <v>1497</v>
      </c>
      <c r="G291" s="33" t="s">
        <v>1736</v>
      </c>
      <c r="H291" s="33" t="s">
        <v>1737</v>
      </c>
      <c r="I291" s="33" t="s">
        <v>1738</v>
      </c>
      <c r="J291" s="33">
        <v>142326</v>
      </c>
      <c r="K291" s="33" t="s">
        <v>2080</v>
      </c>
      <c r="L291" s="33" t="s">
        <v>2081</v>
      </c>
      <c r="M291" s="33" t="s">
        <v>2082</v>
      </c>
      <c r="N291" s="44">
        <v>42142707</v>
      </c>
      <c r="O291" s="33" t="s">
        <v>2095</v>
      </c>
      <c r="P291" s="33" t="s">
        <v>2096</v>
      </c>
      <c r="Q291" s="34" t="s">
        <v>1494</v>
      </c>
      <c r="R291" s="34" t="s">
        <v>1494</v>
      </c>
    </row>
    <row r="292" spans="1:18" ht="15" customHeight="1" x14ac:dyDescent="0.25">
      <c r="A292" t="str">
        <f>IFERROR(RANK(B292,$B:$B,1)+COUNTIF($B$1:B291,B292),"")</f>
        <v/>
      </c>
      <c r="B292" t="str">
        <f>IFERROR(SEARCH(#REF!,Table4[[#This Row],[Commodity Title]],1),"")</f>
        <v/>
      </c>
      <c r="C292" s="35">
        <v>42142708</v>
      </c>
      <c r="D292" s="33" t="s">
        <v>1495</v>
      </c>
      <c r="E292" s="33" t="s">
        <v>1496</v>
      </c>
      <c r="F292" s="33" t="s">
        <v>1497</v>
      </c>
      <c r="G292" s="33" t="s">
        <v>1736</v>
      </c>
      <c r="H292" s="33" t="s">
        <v>1737</v>
      </c>
      <c r="I292" s="33" t="s">
        <v>1738</v>
      </c>
      <c r="J292" s="33">
        <v>142327</v>
      </c>
      <c r="K292" s="33" t="s">
        <v>2080</v>
      </c>
      <c r="L292" s="33" t="s">
        <v>2081</v>
      </c>
      <c r="M292" s="33" t="s">
        <v>2082</v>
      </c>
      <c r="N292" s="44">
        <v>42142708</v>
      </c>
      <c r="O292" s="33" t="s">
        <v>2097</v>
      </c>
      <c r="P292" s="33" t="s">
        <v>2098</v>
      </c>
      <c r="Q292" s="34" t="s">
        <v>1494</v>
      </c>
      <c r="R292" s="34" t="s">
        <v>1494</v>
      </c>
    </row>
    <row r="293" spans="1:18" ht="15" customHeight="1" x14ac:dyDescent="0.25">
      <c r="A293" t="str">
        <f>IFERROR(RANK(B293,$B:$B,1)+COUNTIF($B$1:B292,B293),"")</f>
        <v/>
      </c>
      <c r="B293" t="str">
        <f>IFERROR(SEARCH(#REF!,Table4[[#This Row],[Commodity Title]],1),"")</f>
        <v/>
      </c>
      <c r="C293" s="35">
        <v>42142709</v>
      </c>
      <c r="D293" s="33" t="s">
        <v>1495</v>
      </c>
      <c r="E293" s="33" t="s">
        <v>1496</v>
      </c>
      <c r="F293" s="33" t="s">
        <v>1497</v>
      </c>
      <c r="G293" s="33" t="s">
        <v>1736</v>
      </c>
      <c r="H293" s="33" t="s">
        <v>1737</v>
      </c>
      <c r="I293" s="33" t="s">
        <v>1738</v>
      </c>
      <c r="J293" s="33">
        <v>142328</v>
      </c>
      <c r="K293" s="33" t="s">
        <v>2080</v>
      </c>
      <c r="L293" s="33" t="s">
        <v>2081</v>
      </c>
      <c r="M293" s="33" t="s">
        <v>2082</v>
      </c>
      <c r="N293" s="44">
        <v>42142709</v>
      </c>
      <c r="O293" s="33" t="s">
        <v>2099</v>
      </c>
      <c r="P293" s="33" t="s">
        <v>2100</v>
      </c>
      <c r="Q293" s="34" t="s">
        <v>1494</v>
      </c>
      <c r="R293" s="34" t="s">
        <v>1494</v>
      </c>
    </row>
    <row r="294" spans="1:18" ht="15" customHeight="1" x14ac:dyDescent="0.25">
      <c r="A294" t="str">
        <f>IFERROR(RANK(B294,$B:$B,1)+COUNTIF($B$1:B293,B294),"")</f>
        <v/>
      </c>
      <c r="B294" t="str">
        <f>IFERROR(SEARCH(#REF!,Table4[[#This Row],[Commodity Title]],1),"")</f>
        <v/>
      </c>
      <c r="C294" s="35">
        <v>42142710</v>
      </c>
      <c r="D294" s="33" t="s">
        <v>1495</v>
      </c>
      <c r="E294" s="33" t="s">
        <v>1496</v>
      </c>
      <c r="F294" s="33" t="s">
        <v>1497</v>
      </c>
      <c r="G294" s="33" t="s">
        <v>1736</v>
      </c>
      <c r="H294" s="33" t="s">
        <v>1737</v>
      </c>
      <c r="I294" s="33" t="s">
        <v>1738</v>
      </c>
      <c r="J294" s="33">
        <v>142329</v>
      </c>
      <c r="K294" s="33" t="s">
        <v>2080</v>
      </c>
      <c r="L294" s="33" t="s">
        <v>2081</v>
      </c>
      <c r="M294" s="33" t="s">
        <v>2082</v>
      </c>
      <c r="N294" s="44">
        <v>42142710</v>
      </c>
      <c r="O294" s="33" t="s">
        <v>2101</v>
      </c>
      <c r="P294" s="33" t="s">
        <v>2102</v>
      </c>
      <c r="Q294" s="34" t="s">
        <v>1494</v>
      </c>
      <c r="R294" s="34" t="s">
        <v>1494</v>
      </c>
    </row>
    <row r="295" spans="1:18" ht="15" customHeight="1" x14ac:dyDescent="0.25">
      <c r="A295" t="str">
        <f>IFERROR(RANK(B295,$B:$B,1)+COUNTIF($B$1:B294,B295),"")</f>
        <v/>
      </c>
      <c r="B295" t="str">
        <f>IFERROR(SEARCH(#REF!,Table4[[#This Row],[Commodity Title]],1),"")</f>
        <v/>
      </c>
      <c r="C295" s="35">
        <v>42142712</v>
      </c>
      <c r="D295" s="33" t="s">
        <v>1495</v>
      </c>
      <c r="E295" s="33" t="s">
        <v>1496</v>
      </c>
      <c r="F295" s="33" t="s">
        <v>1497</v>
      </c>
      <c r="G295" s="33" t="s">
        <v>1736</v>
      </c>
      <c r="H295" s="33" t="s">
        <v>1737</v>
      </c>
      <c r="I295" s="33" t="s">
        <v>1738</v>
      </c>
      <c r="J295" s="33">
        <v>142331</v>
      </c>
      <c r="K295" s="33" t="s">
        <v>2080</v>
      </c>
      <c r="L295" s="33" t="s">
        <v>2081</v>
      </c>
      <c r="M295" s="33" t="s">
        <v>2082</v>
      </c>
      <c r="N295" s="44">
        <v>42142712</v>
      </c>
      <c r="O295" s="33" t="s">
        <v>2103</v>
      </c>
      <c r="P295" s="33" t="s">
        <v>2104</v>
      </c>
      <c r="Q295" s="34" t="s">
        <v>1494</v>
      </c>
      <c r="R295" s="34" t="s">
        <v>1494</v>
      </c>
    </row>
    <row r="296" spans="1:18" ht="15" customHeight="1" x14ac:dyDescent="0.25">
      <c r="A296" t="str">
        <f>IFERROR(RANK(B296,$B:$B,1)+COUNTIF($B$1:B295,B296),"")</f>
        <v/>
      </c>
      <c r="B296" t="str">
        <f>IFERROR(SEARCH(#REF!,Table4[[#This Row],[Commodity Title]],1),"")</f>
        <v/>
      </c>
      <c r="C296" s="35">
        <v>42142713</v>
      </c>
      <c r="D296" s="33" t="s">
        <v>1495</v>
      </c>
      <c r="E296" s="33" t="s">
        <v>1496</v>
      </c>
      <c r="F296" s="33" t="s">
        <v>1497</v>
      </c>
      <c r="G296" s="33" t="s">
        <v>1736</v>
      </c>
      <c r="H296" s="33" t="s">
        <v>1737</v>
      </c>
      <c r="I296" s="33" t="s">
        <v>1738</v>
      </c>
      <c r="J296" s="33">
        <v>142332</v>
      </c>
      <c r="K296" s="33" t="s">
        <v>2080</v>
      </c>
      <c r="L296" s="33" t="s">
        <v>2081</v>
      </c>
      <c r="M296" s="33" t="s">
        <v>2082</v>
      </c>
      <c r="N296" s="44">
        <v>42142713</v>
      </c>
      <c r="O296" s="33" t="s">
        <v>2105</v>
      </c>
      <c r="P296" s="33" t="s">
        <v>2106</v>
      </c>
      <c r="Q296" s="34" t="s">
        <v>1494</v>
      </c>
      <c r="R296" s="34" t="s">
        <v>1494</v>
      </c>
    </row>
    <row r="297" spans="1:18" ht="15" customHeight="1" x14ac:dyDescent="0.25">
      <c r="A297" t="str">
        <f>IFERROR(RANK(B297,$B:$B,1)+COUNTIF($B$1:B296,B297),"")</f>
        <v/>
      </c>
      <c r="B297" t="str">
        <f>IFERROR(SEARCH(#REF!,Table4[[#This Row],[Commodity Title]],1),"")</f>
        <v/>
      </c>
      <c r="C297" s="35">
        <v>42142714</v>
      </c>
      <c r="D297" s="33" t="s">
        <v>1495</v>
      </c>
      <c r="E297" s="33" t="s">
        <v>1496</v>
      </c>
      <c r="F297" s="33" t="s">
        <v>1497</v>
      </c>
      <c r="G297" s="33" t="s">
        <v>1736</v>
      </c>
      <c r="H297" s="33" t="s">
        <v>1737</v>
      </c>
      <c r="I297" s="33" t="s">
        <v>1738</v>
      </c>
      <c r="J297" s="33">
        <v>142333</v>
      </c>
      <c r="K297" s="33" t="s">
        <v>2080</v>
      </c>
      <c r="L297" s="33" t="s">
        <v>2081</v>
      </c>
      <c r="M297" s="33" t="s">
        <v>2082</v>
      </c>
      <c r="N297" s="44">
        <v>42142714</v>
      </c>
      <c r="O297" s="33" t="s">
        <v>2107</v>
      </c>
      <c r="P297" s="33" t="s">
        <v>2108</v>
      </c>
      <c r="Q297" s="34" t="s">
        <v>1494</v>
      </c>
      <c r="R297" s="34" t="s">
        <v>1494</v>
      </c>
    </row>
    <row r="298" spans="1:18" ht="15" customHeight="1" x14ac:dyDescent="0.25">
      <c r="A298" t="str">
        <f>IFERROR(RANK(B298,$B:$B,1)+COUNTIF($B$1:B297,B298),"")</f>
        <v/>
      </c>
      <c r="B298" t="str">
        <f>IFERROR(SEARCH(#REF!,Table4[[#This Row],[Commodity Title]],1),"")</f>
        <v/>
      </c>
      <c r="C298" s="35">
        <v>42142715</v>
      </c>
      <c r="D298" s="33" t="s">
        <v>1495</v>
      </c>
      <c r="E298" s="33" t="s">
        <v>1496</v>
      </c>
      <c r="F298" s="33" t="s">
        <v>1497</v>
      </c>
      <c r="G298" s="33" t="s">
        <v>1736</v>
      </c>
      <c r="H298" s="33" t="s">
        <v>1737</v>
      </c>
      <c r="I298" s="33" t="s">
        <v>1738</v>
      </c>
      <c r="J298" s="33">
        <v>142334</v>
      </c>
      <c r="K298" s="33" t="s">
        <v>2080</v>
      </c>
      <c r="L298" s="33" t="s">
        <v>2081</v>
      </c>
      <c r="M298" s="33" t="s">
        <v>2082</v>
      </c>
      <c r="N298" s="44">
        <v>42142715</v>
      </c>
      <c r="O298" s="33" t="s">
        <v>2109</v>
      </c>
      <c r="P298" s="33" t="s">
        <v>2110</v>
      </c>
      <c r="Q298" s="34" t="s">
        <v>1494</v>
      </c>
      <c r="R298" s="34" t="s">
        <v>1494</v>
      </c>
    </row>
    <row r="299" spans="1:18" ht="15" customHeight="1" x14ac:dyDescent="0.25">
      <c r="A299" t="str">
        <f>IFERROR(RANK(B299,$B:$B,1)+COUNTIF($B$1:B298,B299),"")</f>
        <v/>
      </c>
      <c r="B299" t="str">
        <f>IFERROR(SEARCH(#REF!,Table4[[#This Row],[Commodity Title]],1),"")</f>
        <v/>
      </c>
      <c r="C299" s="35">
        <v>42142716</v>
      </c>
      <c r="D299" s="33" t="s">
        <v>1495</v>
      </c>
      <c r="E299" s="33" t="s">
        <v>1496</v>
      </c>
      <c r="F299" s="33" t="s">
        <v>1497</v>
      </c>
      <c r="G299" s="33" t="s">
        <v>1736</v>
      </c>
      <c r="H299" s="33" t="s">
        <v>1737</v>
      </c>
      <c r="I299" s="33" t="s">
        <v>1738</v>
      </c>
      <c r="J299" s="33">
        <v>143485</v>
      </c>
      <c r="K299" s="33" t="s">
        <v>2080</v>
      </c>
      <c r="L299" s="33" t="s">
        <v>2081</v>
      </c>
      <c r="M299" s="33" t="s">
        <v>2082</v>
      </c>
      <c r="N299" s="44">
        <v>42142716</v>
      </c>
      <c r="O299" s="33" t="s">
        <v>2111</v>
      </c>
      <c r="P299" s="33" t="s">
        <v>2112</v>
      </c>
      <c r="Q299" s="34" t="s">
        <v>1494</v>
      </c>
      <c r="R299" s="34" t="s">
        <v>1494</v>
      </c>
    </row>
    <row r="300" spans="1:18" ht="15" customHeight="1" x14ac:dyDescent="0.25">
      <c r="A300" t="str">
        <f>IFERROR(RANK(B300,$B:$B,1)+COUNTIF($B$1:B299,B300),"")</f>
        <v/>
      </c>
      <c r="B300" t="str">
        <f>IFERROR(SEARCH(#REF!,Table4[[#This Row],[Commodity Title]],1),"")</f>
        <v/>
      </c>
      <c r="C300" s="35">
        <v>42142717</v>
      </c>
      <c r="D300" s="33" t="s">
        <v>1495</v>
      </c>
      <c r="E300" s="33" t="s">
        <v>1496</v>
      </c>
      <c r="F300" s="33" t="s">
        <v>1497</v>
      </c>
      <c r="G300" s="33" t="s">
        <v>1736</v>
      </c>
      <c r="H300" s="33" t="s">
        <v>1737</v>
      </c>
      <c r="I300" s="33" t="s">
        <v>1738</v>
      </c>
      <c r="J300" s="33">
        <v>146125</v>
      </c>
      <c r="K300" s="33" t="s">
        <v>2080</v>
      </c>
      <c r="L300" s="33" t="s">
        <v>2081</v>
      </c>
      <c r="M300" s="33" t="s">
        <v>2082</v>
      </c>
      <c r="N300" s="44">
        <v>42142717</v>
      </c>
      <c r="O300" s="33" t="s">
        <v>2113</v>
      </c>
      <c r="P300" s="33" t="s">
        <v>2114</v>
      </c>
      <c r="Q300" s="34" t="s">
        <v>1494</v>
      </c>
      <c r="R300" s="34" t="s">
        <v>1494</v>
      </c>
    </row>
    <row r="301" spans="1:18" ht="15" customHeight="1" x14ac:dyDescent="0.25">
      <c r="A301" t="str">
        <f>IFERROR(RANK(B301,$B:$B,1)+COUNTIF($B$1:B300,B301),"")</f>
        <v/>
      </c>
      <c r="B301" t="str">
        <f>IFERROR(SEARCH(#REF!,Table4[[#This Row],[Commodity Title]],1),"")</f>
        <v/>
      </c>
      <c r="C301" s="35">
        <v>42142718</v>
      </c>
      <c r="D301" s="33" t="s">
        <v>1495</v>
      </c>
      <c r="E301" s="33" t="s">
        <v>1496</v>
      </c>
      <c r="F301" s="33" t="s">
        <v>1497</v>
      </c>
      <c r="G301" s="33" t="s">
        <v>1736</v>
      </c>
      <c r="H301" s="33" t="s">
        <v>1737</v>
      </c>
      <c r="I301" s="33" t="s">
        <v>1738</v>
      </c>
      <c r="J301" s="33">
        <v>150695</v>
      </c>
      <c r="K301" s="33" t="s">
        <v>2080</v>
      </c>
      <c r="L301" s="33" t="s">
        <v>2081</v>
      </c>
      <c r="M301" s="33" t="s">
        <v>2082</v>
      </c>
      <c r="N301" s="44">
        <v>42142718</v>
      </c>
      <c r="O301" s="33" t="s">
        <v>2115</v>
      </c>
      <c r="P301" s="33" t="s">
        <v>2116</v>
      </c>
      <c r="Q301" s="34" t="s">
        <v>1494</v>
      </c>
      <c r="R301" s="34" t="s">
        <v>1494</v>
      </c>
    </row>
    <row r="302" spans="1:18" ht="15" customHeight="1" x14ac:dyDescent="0.25">
      <c r="A302" t="str">
        <f>IFERROR(RANK(B302,$B:$B,1)+COUNTIF($B$1:B301,B302),"")</f>
        <v/>
      </c>
      <c r="B302" t="str">
        <f>IFERROR(SEARCH(#REF!,Table4[[#This Row],[Commodity Title]],1),"")</f>
        <v/>
      </c>
      <c r="C302" s="35">
        <v>42142719</v>
      </c>
      <c r="D302" s="33" t="s">
        <v>1495</v>
      </c>
      <c r="E302" s="33" t="s">
        <v>1496</v>
      </c>
      <c r="F302" s="33" t="s">
        <v>1497</v>
      </c>
      <c r="G302" s="33" t="s">
        <v>1736</v>
      </c>
      <c r="H302" s="33" t="s">
        <v>1737</v>
      </c>
      <c r="I302" s="33" t="s">
        <v>1738</v>
      </c>
      <c r="J302" s="33">
        <v>174314</v>
      </c>
      <c r="K302" s="33" t="s">
        <v>2080</v>
      </c>
      <c r="L302" s="33" t="s">
        <v>2081</v>
      </c>
      <c r="M302" s="33" t="s">
        <v>2082</v>
      </c>
      <c r="N302" s="44">
        <v>42142719</v>
      </c>
      <c r="O302" s="33" t="s">
        <v>2117</v>
      </c>
      <c r="P302" s="33" t="s">
        <v>2118</v>
      </c>
      <c r="Q302" s="34" t="s">
        <v>1494</v>
      </c>
      <c r="R302" s="34" t="s">
        <v>1494</v>
      </c>
    </row>
    <row r="303" spans="1:18" ht="15" customHeight="1" x14ac:dyDescent="0.25">
      <c r="A303" t="str">
        <f>IFERROR(RANK(B303,$B:$B,1)+COUNTIF($B$1:B302,B303),"")</f>
        <v/>
      </c>
      <c r="B303" t="str">
        <f>IFERROR(SEARCH(#REF!,Table4[[#This Row],[Commodity Title]],1),"")</f>
        <v/>
      </c>
      <c r="C303" s="35">
        <v>42142720</v>
      </c>
      <c r="D303" s="33" t="s">
        <v>1495</v>
      </c>
      <c r="E303" s="33" t="s">
        <v>1496</v>
      </c>
      <c r="F303" s="33" t="s">
        <v>1497</v>
      </c>
      <c r="G303" s="33" t="s">
        <v>1736</v>
      </c>
      <c r="H303" s="33" t="s">
        <v>1737</v>
      </c>
      <c r="I303" s="33" t="s">
        <v>1738</v>
      </c>
      <c r="J303" s="33">
        <v>174315</v>
      </c>
      <c r="K303" s="33" t="s">
        <v>2080</v>
      </c>
      <c r="L303" s="33" t="s">
        <v>2081</v>
      </c>
      <c r="M303" s="33" t="s">
        <v>2082</v>
      </c>
      <c r="N303" s="44">
        <v>42142720</v>
      </c>
      <c r="O303" s="33" t="s">
        <v>2119</v>
      </c>
      <c r="P303" s="33" t="s">
        <v>2120</v>
      </c>
      <c r="Q303" s="34" t="s">
        <v>1494</v>
      </c>
      <c r="R303" s="34" t="s">
        <v>1494</v>
      </c>
    </row>
    <row r="304" spans="1:18" ht="15" customHeight="1" x14ac:dyDescent="0.25">
      <c r="A304" t="str">
        <f>IFERROR(RANK(B304,$B:$B,1)+COUNTIF($B$1:B303,B304),"")</f>
        <v/>
      </c>
      <c r="B304" t="str">
        <f>IFERROR(SEARCH(#REF!,Table4[[#This Row],[Commodity Title]],1),"")</f>
        <v/>
      </c>
      <c r="C304" s="35">
        <v>42142721</v>
      </c>
      <c r="D304" s="33" t="s">
        <v>1495</v>
      </c>
      <c r="E304" s="33" t="s">
        <v>1496</v>
      </c>
      <c r="F304" s="33" t="s">
        <v>1497</v>
      </c>
      <c r="G304" s="33" t="s">
        <v>1736</v>
      </c>
      <c r="H304" s="33" t="s">
        <v>1737</v>
      </c>
      <c r="I304" s="33" t="s">
        <v>1738</v>
      </c>
      <c r="J304" s="33">
        <v>177412</v>
      </c>
      <c r="K304" s="33" t="s">
        <v>2080</v>
      </c>
      <c r="L304" s="33" t="s">
        <v>2081</v>
      </c>
      <c r="M304" s="33" t="s">
        <v>2082</v>
      </c>
      <c r="N304" s="44">
        <v>42142721</v>
      </c>
      <c r="O304" s="33" t="s">
        <v>2121</v>
      </c>
      <c r="P304" s="33" t="s">
        <v>2122</v>
      </c>
      <c r="Q304" s="34" t="s">
        <v>1494</v>
      </c>
      <c r="R304" s="34" t="s">
        <v>1494</v>
      </c>
    </row>
    <row r="305" spans="1:18" ht="15" customHeight="1" x14ac:dyDescent="0.25">
      <c r="A305" t="str">
        <f>IFERROR(RANK(B305,$B:$B,1)+COUNTIF($B$1:B304,B305),"")</f>
        <v/>
      </c>
      <c r="B305" t="str">
        <f>IFERROR(SEARCH(#REF!,Table4[[#This Row],[Commodity Title]],1),"")</f>
        <v/>
      </c>
      <c r="C305" s="35">
        <v>42142722</v>
      </c>
      <c r="D305" s="33" t="s">
        <v>1495</v>
      </c>
      <c r="E305" s="33" t="s">
        <v>1496</v>
      </c>
      <c r="F305" s="33" t="s">
        <v>1497</v>
      </c>
      <c r="G305" s="33" t="s">
        <v>1736</v>
      </c>
      <c r="H305" s="33" t="s">
        <v>1737</v>
      </c>
      <c r="I305" s="33" t="s">
        <v>1738</v>
      </c>
      <c r="J305" s="33">
        <v>202409</v>
      </c>
      <c r="K305" s="33" t="s">
        <v>2080</v>
      </c>
      <c r="L305" s="33" t="s">
        <v>2081</v>
      </c>
      <c r="M305" s="33" t="s">
        <v>2082</v>
      </c>
      <c r="N305" s="44">
        <v>42142722</v>
      </c>
      <c r="O305" s="33" t="s">
        <v>2123</v>
      </c>
      <c r="P305" s="33" t="s">
        <v>2124</v>
      </c>
      <c r="Q305" s="34" t="s">
        <v>1494</v>
      </c>
      <c r="R305" s="34" t="s">
        <v>1494</v>
      </c>
    </row>
    <row r="306" spans="1:18" ht="15" customHeight="1" x14ac:dyDescent="0.25">
      <c r="A306" t="str">
        <f>IFERROR(RANK(B306,$B:$B,1)+COUNTIF($B$1:B305,B306),"")</f>
        <v/>
      </c>
      <c r="B306" t="str">
        <f>IFERROR(SEARCH(#REF!,Table4[[#This Row],[Commodity Title]],1),"")</f>
        <v/>
      </c>
      <c r="C306" s="35">
        <v>42142723</v>
      </c>
      <c r="D306" s="33" t="s">
        <v>1495</v>
      </c>
      <c r="E306" s="33" t="s">
        <v>1496</v>
      </c>
      <c r="F306" s="33" t="s">
        <v>1497</v>
      </c>
      <c r="G306" s="33" t="s">
        <v>1736</v>
      </c>
      <c r="H306" s="33" t="s">
        <v>1737</v>
      </c>
      <c r="I306" s="33" t="s">
        <v>1738</v>
      </c>
      <c r="J306" s="33">
        <v>202410</v>
      </c>
      <c r="K306" s="33" t="s">
        <v>2080</v>
      </c>
      <c r="L306" s="33" t="s">
        <v>2081</v>
      </c>
      <c r="M306" s="33" t="s">
        <v>2082</v>
      </c>
      <c r="N306" s="44">
        <v>42142723</v>
      </c>
      <c r="O306" s="33" t="s">
        <v>2125</v>
      </c>
      <c r="P306" s="33" t="s">
        <v>2126</v>
      </c>
      <c r="Q306" s="34" t="s">
        <v>1494</v>
      </c>
      <c r="R306" s="34" t="s">
        <v>1494</v>
      </c>
    </row>
    <row r="307" spans="1:18" ht="15" customHeight="1" x14ac:dyDescent="0.25">
      <c r="A307" t="str">
        <f>IFERROR(RANK(B307,$B:$B,1)+COUNTIF($B$1:B306,B307),"")</f>
        <v/>
      </c>
      <c r="B307" t="str">
        <f>IFERROR(SEARCH(#REF!,Table4[[#This Row],[Commodity Title]],1),"")</f>
        <v/>
      </c>
      <c r="C307" s="35">
        <v>42142724</v>
      </c>
      <c r="D307" s="33" t="s">
        <v>1495</v>
      </c>
      <c r="E307" s="33" t="s">
        <v>1496</v>
      </c>
      <c r="F307" s="33" t="s">
        <v>1497</v>
      </c>
      <c r="G307" s="33" t="s">
        <v>1736</v>
      </c>
      <c r="H307" s="33" t="s">
        <v>1737</v>
      </c>
      <c r="I307" s="33" t="s">
        <v>1738</v>
      </c>
      <c r="J307" s="33">
        <v>202411</v>
      </c>
      <c r="K307" s="33" t="s">
        <v>2080</v>
      </c>
      <c r="L307" s="33" t="s">
        <v>2081</v>
      </c>
      <c r="M307" s="33" t="s">
        <v>2082</v>
      </c>
      <c r="N307" s="44">
        <v>42142724</v>
      </c>
      <c r="O307" s="33" t="s">
        <v>2127</v>
      </c>
      <c r="P307" s="33" t="s">
        <v>2128</v>
      </c>
      <c r="Q307" s="34" t="s">
        <v>1494</v>
      </c>
      <c r="R307" s="34" t="s">
        <v>1494</v>
      </c>
    </row>
    <row r="308" spans="1:18" ht="15" customHeight="1" x14ac:dyDescent="0.25">
      <c r="A308" t="str">
        <f>IFERROR(RANK(B308,$B:$B,1)+COUNTIF($B$1:B307,B308),"")</f>
        <v/>
      </c>
      <c r="B308" t="str">
        <f>IFERROR(SEARCH(#REF!,Table4[[#This Row],[Commodity Title]],1),"")</f>
        <v/>
      </c>
      <c r="C308" s="35">
        <v>42142725</v>
      </c>
      <c r="D308" s="33" t="s">
        <v>1495</v>
      </c>
      <c r="E308" s="33" t="s">
        <v>1496</v>
      </c>
      <c r="F308" s="33" t="s">
        <v>1497</v>
      </c>
      <c r="G308" s="33" t="s">
        <v>1736</v>
      </c>
      <c r="H308" s="33" t="s">
        <v>1737</v>
      </c>
      <c r="I308" s="33" t="s">
        <v>1738</v>
      </c>
      <c r="J308" s="33">
        <v>202412</v>
      </c>
      <c r="K308" s="33" t="s">
        <v>2080</v>
      </c>
      <c r="L308" s="33" t="s">
        <v>2081</v>
      </c>
      <c r="M308" s="33" t="s">
        <v>2082</v>
      </c>
      <c r="N308" s="44">
        <v>42142725</v>
      </c>
      <c r="O308" s="33" t="s">
        <v>2129</v>
      </c>
      <c r="P308" s="33" t="s">
        <v>2130</v>
      </c>
      <c r="Q308" s="34" t="s">
        <v>1494</v>
      </c>
      <c r="R308" s="34" t="s">
        <v>1494</v>
      </c>
    </row>
    <row r="309" spans="1:18" ht="15" customHeight="1" x14ac:dyDescent="0.25">
      <c r="A309" t="str">
        <f>IFERROR(RANK(B309,$B:$B,1)+COUNTIF($B$1:B308,B309),"")</f>
        <v/>
      </c>
      <c r="B309" t="str">
        <f>IFERROR(SEARCH(#REF!,Table4[[#This Row],[Commodity Title]],1),"")</f>
        <v/>
      </c>
      <c r="C309" s="35">
        <v>42142726</v>
      </c>
      <c r="D309" s="33" t="s">
        <v>1495</v>
      </c>
      <c r="E309" s="33" t="s">
        <v>1496</v>
      </c>
      <c r="F309" s="33" t="s">
        <v>1497</v>
      </c>
      <c r="G309" s="33" t="s">
        <v>1736</v>
      </c>
      <c r="H309" s="33" t="s">
        <v>1737</v>
      </c>
      <c r="I309" s="33" t="s">
        <v>1738</v>
      </c>
      <c r="J309" s="33">
        <v>202413</v>
      </c>
      <c r="K309" s="33" t="s">
        <v>2080</v>
      </c>
      <c r="L309" s="33" t="s">
        <v>2081</v>
      </c>
      <c r="M309" s="33" t="s">
        <v>2082</v>
      </c>
      <c r="N309" s="44">
        <v>42142726</v>
      </c>
      <c r="O309" s="33" t="s">
        <v>2131</v>
      </c>
      <c r="P309" s="33" t="s">
        <v>2132</v>
      </c>
      <c r="Q309" s="34" t="s">
        <v>1494</v>
      </c>
      <c r="R309" s="34" t="s">
        <v>1494</v>
      </c>
    </row>
    <row r="310" spans="1:18" ht="15" customHeight="1" x14ac:dyDescent="0.25">
      <c r="A310" t="str">
        <f>IFERROR(RANK(B310,$B:$B,1)+COUNTIF($B$1:B309,B310),"")</f>
        <v/>
      </c>
      <c r="B310" t="str">
        <f>IFERROR(SEARCH(#REF!,Table4[[#This Row],[Commodity Title]],1),"")</f>
        <v/>
      </c>
      <c r="C310" s="35">
        <v>42142727</v>
      </c>
      <c r="D310" s="33" t="s">
        <v>1495</v>
      </c>
      <c r="E310" s="33" t="s">
        <v>1496</v>
      </c>
      <c r="F310" s="33" t="s">
        <v>1497</v>
      </c>
      <c r="G310" s="33" t="s">
        <v>1736</v>
      </c>
      <c r="H310" s="33" t="s">
        <v>1737</v>
      </c>
      <c r="I310" s="33" t="s">
        <v>1738</v>
      </c>
      <c r="J310" s="33">
        <v>202414</v>
      </c>
      <c r="K310" s="33" t="s">
        <v>2080</v>
      </c>
      <c r="L310" s="33" t="s">
        <v>2081</v>
      </c>
      <c r="M310" s="33" t="s">
        <v>2082</v>
      </c>
      <c r="N310" s="44">
        <v>42142727</v>
      </c>
      <c r="O310" s="33" t="s">
        <v>2133</v>
      </c>
      <c r="P310" s="33" t="s">
        <v>2134</v>
      </c>
      <c r="Q310" s="34" t="s">
        <v>1494</v>
      </c>
      <c r="R310" s="34" t="s">
        <v>1494</v>
      </c>
    </row>
    <row r="311" spans="1:18" ht="15" customHeight="1" x14ac:dyDescent="0.25">
      <c r="A311" t="str">
        <f>IFERROR(RANK(B311,$B:$B,1)+COUNTIF($B$1:B310,B311),"")</f>
        <v/>
      </c>
      <c r="B311" t="str">
        <f>IFERROR(SEARCH(#REF!,Table4[[#This Row],[Commodity Title]],1),"")</f>
        <v/>
      </c>
      <c r="C311" s="35">
        <v>42142728</v>
      </c>
      <c r="D311" s="33" t="s">
        <v>1495</v>
      </c>
      <c r="E311" s="33" t="s">
        <v>1496</v>
      </c>
      <c r="F311" s="33" t="s">
        <v>1497</v>
      </c>
      <c r="G311" s="33" t="s">
        <v>1736</v>
      </c>
      <c r="H311" s="33" t="s">
        <v>1737</v>
      </c>
      <c r="I311" s="33" t="s">
        <v>1738</v>
      </c>
      <c r="J311" s="33">
        <v>202415</v>
      </c>
      <c r="K311" s="33" t="s">
        <v>2080</v>
      </c>
      <c r="L311" s="33" t="s">
        <v>2081</v>
      </c>
      <c r="M311" s="33" t="s">
        <v>2082</v>
      </c>
      <c r="N311" s="44">
        <v>42142728</v>
      </c>
      <c r="O311" s="33" t="s">
        <v>2135</v>
      </c>
      <c r="P311" s="33" t="s">
        <v>2136</v>
      </c>
      <c r="Q311" s="34" t="s">
        <v>1494</v>
      </c>
      <c r="R311" s="34" t="s">
        <v>1494</v>
      </c>
    </row>
    <row r="312" spans="1:18" ht="15" customHeight="1" x14ac:dyDescent="0.25">
      <c r="A312" t="str">
        <f>IFERROR(RANK(B312,$B:$B,1)+COUNTIF($B$1:B311,B312),"")</f>
        <v/>
      </c>
      <c r="B312" t="str">
        <f>IFERROR(SEARCH(#REF!,Table4[[#This Row],[Commodity Title]],1),"")</f>
        <v/>
      </c>
      <c r="C312" s="35">
        <v>42142729</v>
      </c>
      <c r="D312" s="33" t="s">
        <v>1495</v>
      </c>
      <c r="E312" s="33" t="s">
        <v>1496</v>
      </c>
      <c r="F312" s="33" t="s">
        <v>1497</v>
      </c>
      <c r="G312" s="33" t="s">
        <v>1736</v>
      </c>
      <c r="H312" s="33" t="s">
        <v>1737</v>
      </c>
      <c r="I312" s="33" t="s">
        <v>1738</v>
      </c>
      <c r="J312" s="33">
        <v>202416</v>
      </c>
      <c r="K312" s="33" t="s">
        <v>2080</v>
      </c>
      <c r="L312" s="33" t="s">
        <v>2081</v>
      </c>
      <c r="M312" s="33" t="s">
        <v>2082</v>
      </c>
      <c r="N312" s="44">
        <v>42142729</v>
      </c>
      <c r="O312" s="33" t="s">
        <v>2137</v>
      </c>
      <c r="P312" s="33" t="s">
        <v>2138</v>
      </c>
      <c r="Q312" s="34" t="s">
        <v>1494</v>
      </c>
      <c r="R312" s="34" t="s">
        <v>1494</v>
      </c>
    </row>
    <row r="313" spans="1:18" ht="15" customHeight="1" x14ac:dyDescent="0.25">
      <c r="A313" t="str">
        <f>IFERROR(RANK(B313,$B:$B,1)+COUNTIF($B$1:B312,B313),"")</f>
        <v/>
      </c>
      <c r="B313" t="str">
        <f>IFERROR(SEARCH(#REF!,Table4[[#This Row],[Commodity Title]],1),"")</f>
        <v/>
      </c>
      <c r="C313" s="35">
        <v>42142730</v>
      </c>
      <c r="D313" s="33" t="s">
        <v>1495</v>
      </c>
      <c r="E313" s="33" t="s">
        <v>1496</v>
      </c>
      <c r="F313" s="33" t="s">
        <v>1497</v>
      </c>
      <c r="G313" s="33" t="s">
        <v>1736</v>
      </c>
      <c r="H313" s="33" t="s">
        <v>1737</v>
      </c>
      <c r="I313" s="33" t="s">
        <v>1738</v>
      </c>
      <c r="J313" s="33">
        <v>202417</v>
      </c>
      <c r="K313" s="33" t="s">
        <v>2080</v>
      </c>
      <c r="L313" s="33" t="s">
        <v>2081</v>
      </c>
      <c r="M313" s="33" t="s">
        <v>2082</v>
      </c>
      <c r="N313" s="44">
        <v>42142730</v>
      </c>
      <c r="O313" s="33" t="s">
        <v>2139</v>
      </c>
      <c r="P313" s="33" t="s">
        <v>2140</v>
      </c>
      <c r="Q313" s="34" t="s">
        <v>1494</v>
      </c>
      <c r="R313" s="34" t="s">
        <v>1494</v>
      </c>
    </row>
    <row r="314" spans="1:18" ht="15" customHeight="1" x14ac:dyDescent="0.25">
      <c r="A314" t="str">
        <f>IFERROR(RANK(B314,$B:$B,1)+COUNTIF($B$1:B313,B314),"")</f>
        <v/>
      </c>
      <c r="B314" t="str">
        <f>IFERROR(SEARCH(#REF!,Table4[[#This Row],[Commodity Title]],1),"")</f>
        <v/>
      </c>
      <c r="C314" s="35">
        <v>42142731</v>
      </c>
      <c r="D314" s="33" t="s">
        <v>1495</v>
      </c>
      <c r="E314" s="33" t="s">
        <v>1496</v>
      </c>
      <c r="F314" s="33" t="s">
        <v>1497</v>
      </c>
      <c r="G314" s="33" t="s">
        <v>1736</v>
      </c>
      <c r="H314" s="33" t="s">
        <v>1737</v>
      </c>
      <c r="I314" s="33" t="s">
        <v>1738</v>
      </c>
      <c r="J314" s="33">
        <v>202418</v>
      </c>
      <c r="K314" s="33" t="s">
        <v>2080</v>
      </c>
      <c r="L314" s="33" t="s">
        <v>2081</v>
      </c>
      <c r="M314" s="33" t="s">
        <v>2082</v>
      </c>
      <c r="N314" s="44">
        <v>42142731</v>
      </c>
      <c r="O314" s="33" t="s">
        <v>2141</v>
      </c>
      <c r="P314" s="33" t="s">
        <v>2142</v>
      </c>
      <c r="Q314" s="34" t="s">
        <v>1494</v>
      </c>
      <c r="R314" s="34" t="s">
        <v>1494</v>
      </c>
    </row>
    <row r="315" spans="1:18" ht="15" customHeight="1" x14ac:dyDescent="0.25">
      <c r="A315" t="str">
        <f>IFERROR(RANK(B315,$B:$B,1)+COUNTIF($B$1:B314,B315),"")</f>
        <v/>
      </c>
      <c r="B315" t="str">
        <f>IFERROR(SEARCH(#REF!,Table4[[#This Row],[Commodity Title]],1),"")</f>
        <v/>
      </c>
      <c r="C315" s="35">
        <v>42142732</v>
      </c>
      <c r="D315" s="33" t="s">
        <v>1495</v>
      </c>
      <c r="E315" s="33" t="s">
        <v>1496</v>
      </c>
      <c r="F315" s="33" t="s">
        <v>1497</v>
      </c>
      <c r="G315" s="33" t="s">
        <v>1736</v>
      </c>
      <c r="H315" s="33" t="s">
        <v>1737</v>
      </c>
      <c r="I315" s="33" t="s">
        <v>1738</v>
      </c>
      <c r="J315" s="33">
        <v>202419</v>
      </c>
      <c r="K315" s="33" t="s">
        <v>2080</v>
      </c>
      <c r="L315" s="33" t="s">
        <v>2081</v>
      </c>
      <c r="M315" s="33" t="s">
        <v>2082</v>
      </c>
      <c r="N315" s="44">
        <v>42142732</v>
      </c>
      <c r="O315" s="33" t="s">
        <v>2143</v>
      </c>
      <c r="P315" s="33" t="s">
        <v>2144</v>
      </c>
      <c r="Q315" s="34" t="s">
        <v>1494</v>
      </c>
      <c r="R315" s="34" t="s">
        <v>1494</v>
      </c>
    </row>
    <row r="316" spans="1:18" ht="15" customHeight="1" x14ac:dyDescent="0.25">
      <c r="A316" t="str">
        <f>IFERROR(RANK(B316,$B:$B,1)+COUNTIF($B$1:B315,B316),"")</f>
        <v/>
      </c>
      <c r="B316" t="str">
        <f>IFERROR(SEARCH(#REF!,Table4[[#This Row],[Commodity Title]],1),"")</f>
        <v/>
      </c>
      <c r="C316" s="35">
        <v>42142733</v>
      </c>
      <c r="D316" s="33" t="s">
        <v>1495</v>
      </c>
      <c r="E316" s="33" t="s">
        <v>1496</v>
      </c>
      <c r="F316" s="33" t="s">
        <v>1497</v>
      </c>
      <c r="G316" s="33" t="s">
        <v>1736</v>
      </c>
      <c r="H316" s="33" t="s">
        <v>1737</v>
      </c>
      <c r="I316" s="33" t="s">
        <v>1738</v>
      </c>
      <c r="J316" s="33">
        <v>143860</v>
      </c>
      <c r="K316" s="33" t="s">
        <v>2080</v>
      </c>
      <c r="L316" s="33" t="s">
        <v>2081</v>
      </c>
      <c r="M316" s="33" t="s">
        <v>2082</v>
      </c>
      <c r="N316" s="44">
        <v>42142733</v>
      </c>
      <c r="O316" s="33" t="s">
        <v>2145</v>
      </c>
      <c r="P316" s="33" t="s">
        <v>2146</v>
      </c>
      <c r="Q316" s="34" t="s">
        <v>1494</v>
      </c>
      <c r="R316" s="34" t="s">
        <v>1494</v>
      </c>
    </row>
    <row r="317" spans="1:18" ht="15" customHeight="1" x14ac:dyDescent="0.25">
      <c r="A317" t="str">
        <f>IFERROR(RANK(B317,$B:$B,1)+COUNTIF($B$1:B316,B317),"")</f>
        <v/>
      </c>
      <c r="B317" t="str">
        <f>IFERROR(SEARCH(#REF!,Table4[[#This Row],[Commodity Title]],1),"")</f>
        <v/>
      </c>
      <c r="C317" s="35">
        <v>42142734</v>
      </c>
      <c r="D317" s="33" t="s">
        <v>1495</v>
      </c>
      <c r="E317" s="33" t="s">
        <v>1496</v>
      </c>
      <c r="F317" s="33" t="s">
        <v>1497</v>
      </c>
      <c r="G317" s="33" t="s">
        <v>1736</v>
      </c>
      <c r="H317" s="33" t="s">
        <v>1737</v>
      </c>
      <c r="I317" s="33" t="s">
        <v>1738</v>
      </c>
      <c r="J317" s="33">
        <v>116440</v>
      </c>
      <c r="K317" s="33" t="s">
        <v>2080</v>
      </c>
      <c r="L317" s="33" t="s">
        <v>2081</v>
      </c>
      <c r="M317" s="33" t="s">
        <v>2082</v>
      </c>
      <c r="N317" s="44">
        <v>42142734</v>
      </c>
      <c r="O317" s="33" t="s">
        <v>2147</v>
      </c>
      <c r="P317" s="33" t="s">
        <v>2148</v>
      </c>
      <c r="Q317" s="34" t="s">
        <v>1494</v>
      </c>
      <c r="R317" s="34" t="s">
        <v>1494</v>
      </c>
    </row>
    <row r="318" spans="1:18" ht="15" customHeight="1" x14ac:dyDescent="0.25">
      <c r="A318" t="str">
        <f>IFERROR(RANK(B318,$B:$B,1)+COUNTIF($B$1:B317,B318),"")</f>
        <v/>
      </c>
      <c r="B318" t="str">
        <f>IFERROR(SEARCH(#REF!,Table4[[#This Row],[Commodity Title]],1),"")</f>
        <v/>
      </c>
      <c r="C318" s="35">
        <v>42142735</v>
      </c>
      <c r="D318" s="33" t="s">
        <v>1495</v>
      </c>
      <c r="E318" s="33" t="s">
        <v>1496</v>
      </c>
      <c r="F318" s="33" t="s">
        <v>1497</v>
      </c>
      <c r="G318" s="33" t="s">
        <v>1736</v>
      </c>
      <c r="H318" s="33" t="s">
        <v>1737</v>
      </c>
      <c r="I318" s="33" t="s">
        <v>1738</v>
      </c>
      <c r="J318" s="33">
        <v>202420</v>
      </c>
      <c r="K318" s="33" t="s">
        <v>2080</v>
      </c>
      <c r="L318" s="33" t="s">
        <v>2081</v>
      </c>
      <c r="M318" s="33" t="s">
        <v>2082</v>
      </c>
      <c r="N318" s="44">
        <v>42142735</v>
      </c>
      <c r="O318" s="33" t="s">
        <v>2149</v>
      </c>
      <c r="P318" s="33" t="s">
        <v>2150</v>
      </c>
      <c r="Q318" s="34" t="s">
        <v>1494</v>
      </c>
      <c r="R318" s="34" t="s">
        <v>1494</v>
      </c>
    </row>
    <row r="319" spans="1:18" ht="15" customHeight="1" x14ac:dyDescent="0.25">
      <c r="A319" t="str">
        <f>IFERROR(RANK(B319,$B:$B,1)+COUNTIF($B$1:B318,B319),"")</f>
        <v/>
      </c>
      <c r="B319" t="str">
        <f>IFERROR(SEARCH(#REF!,Table4[[#This Row],[Commodity Title]],1),"")</f>
        <v/>
      </c>
      <c r="C319" s="35">
        <v>42142736</v>
      </c>
      <c r="D319" s="33" t="s">
        <v>1495</v>
      </c>
      <c r="E319" s="33" t="s">
        <v>1496</v>
      </c>
      <c r="F319" s="33" t="s">
        <v>1497</v>
      </c>
      <c r="G319" s="33" t="s">
        <v>1736</v>
      </c>
      <c r="H319" s="33" t="s">
        <v>1737</v>
      </c>
      <c r="I319" s="33" t="s">
        <v>1738</v>
      </c>
      <c r="J319" s="33">
        <v>116457</v>
      </c>
      <c r="K319" s="33" t="s">
        <v>2080</v>
      </c>
      <c r="L319" s="33" t="s">
        <v>2081</v>
      </c>
      <c r="M319" s="33" t="s">
        <v>2082</v>
      </c>
      <c r="N319" s="44">
        <v>42142736</v>
      </c>
      <c r="O319" s="33" t="s">
        <v>2151</v>
      </c>
      <c r="P319" s="33" t="s">
        <v>2152</v>
      </c>
      <c r="Q319" s="34" t="s">
        <v>1494</v>
      </c>
      <c r="R319" s="34" t="s">
        <v>1494</v>
      </c>
    </row>
    <row r="320" spans="1:18" ht="15" customHeight="1" x14ac:dyDescent="0.25">
      <c r="A320" t="str">
        <f>IFERROR(RANK(B320,$B:$B,1)+COUNTIF($B$1:B319,B320),"")</f>
        <v/>
      </c>
      <c r="B320" t="str">
        <f>IFERROR(SEARCH(#REF!,Table4[[#This Row],[Commodity Title]],1),"")</f>
        <v/>
      </c>
      <c r="C320" s="33" t="s">
        <v>1494</v>
      </c>
      <c r="D320" s="33" t="s">
        <v>1495</v>
      </c>
      <c r="E320" s="33" t="s">
        <v>1496</v>
      </c>
      <c r="F320" s="33" t="s">
        <v>1497</v>
      </c>
      <c r="G320" s="33" t="s">
        <v>1736</v>
      </c>
      <c r="H320" s="33" t="s">
        <v>1737</v>
      </c>
      <c r="I320" s="33" t="s">
        <v>1738</v>
      </c>
      <c r="J320" s="33">
        <v>114954</v>
      </c>
      <c r="K320" s="33" t="s">
        <v>2153</v>
      </c>
      <c r="L320" s="33" t="s">
        <v>2154</v>
      </c>
      <c r="M320" s="33" t="s">
        <v>2155</v>
      </c>
      <c r="N320" s="44" t="s">
        <v>1494</v>
      </c>
      <c r="O320" s="33" t="s">
        <v>1494</v>
      </c>
      <c r="P320" s="33" t="s">
        <v>1494</v>
      </c>
      <c r="Q320" s="34" t="s">
        <v>1494</v>
      </c>
      <c r="R320" s="34" t="s">
        <v>1494</v>
      </c>
    </row>
    <row r="321" spans="1:18" ht="15" customHeight="1" x14ac:dyDescent="0.25">
      <c r="A321" t="str">
        <f>IFERROR(RANK(B321,$B:$B,1)+COUNTIF($B$1:B320,B321),"")</f>
        <v/>
      </c>
      <c r="B321" t="str">
        <f>IFERROR(SEARCH(#REF!,Table4[[#This Row],[Commodity Title]],1),"")</f>
        <v/>
      </c>
      <c r="C321" s="35">
        <v>42142801</v>
      </c>
      <c r="D321" s="33" t="s">
        <v>1495</v>
      </c>
      <c r="E321" s="33" t="s">
        <v>1496</v>
      </c>
      <c r="F321" s="33" t="s">
        <v>1497</v>
      </c>
      <c r="G321" s="33" t="s">
        <v>1736</v>
      </c>
      <c r="H321" s="33" t="s">
        <v>1737</v>
      </c>
      <c r="I321" s="33" t="s">
        <v>1738</v>
      </c>
      <c r="J321" s="33">
        <v>114955</v>
      </c>
      <c r="K321" s="33" t="s">
        <v>2153</v>
      </c>
      <c r="L321" s="33" t="s">
        <v>2154</v>
      </c>
      <c r="M321" s="33" t="s">
        <v>2155</v>
      </c>
      <c r="N321" s="44">
        <v>42142801</v>
      </c>
      <c r="O321" s="33" t="s">
        <v>2156</v>
      </c>
      <c r="P321" s="33" t="s">
        <v>2157</v>
      </c>
      <c r="Q321" s="34" t="s">
        <v>1494</v>
      </c>
      <c r="R321" s="34" t="s">
        <v>1494</v>
      </c>
    </row>
    <row r="322" spans="1:18" ht="15" customHeight="1" x14ac:dyDescent="0.25">
      <c r="A322" t="str">
        <f>IFERROR(RANK(B322,$B:$B,1)+COUNTIF($B$1:B321,B322),"")</f>
        <v/>
      </c>
      <c r="B322" t="str">
        <f>IFERROR(SEARCH(#REF!,Table4[[#This Row],[Commodity Title]],1),"")</f>
        <v/>
      </c>
      <c r="C322" s="35">
        <v>42142802</v>
      </c>
      <c r="D322" s="33" t="s">
        <v>1495</v>
      </c>
      <c r="E322" s="33" t="s">
        <v>1496</v>
      </c>
      <c r="F322" s="33" t="s">
        <v>1497</v>
      </c>
      <c r="G322" s="33" t="s">
        <v>1736</v>
      </c>
      <c r="H322" s="33" t="s">
        <v>1737</v>
      </c>
      <c r="I322" s="33" t="s">
        <v>1738</v>
      </c>
      <c r="J322" s="33">
        <v>114956</v>
      </c>
      <c r="K322" s="33" t="s">
        <v>2153</v>
      </c>
      <c r="L322" s="33" t="s">
        <v>2154</v>
      </c>
      <c r="M322" s="33" t="s">
        <v>2155</v>
      </c>
      <c r="N322" s="44">
        <v>42142802</v>
      </c>
      <c r="O322" s="33" t="s">
        <v>2158</v>
      </c>
      <c r="P322" s="33" t="s">
        <v>2159</v>
      </c>
      <c r="Q322" s="34" t="s">
        <v>1494</v>
      </c>
      <c r="R322" s="34" t="s">
        <v>1494</v>
      </c>
    </row>
    <row r="323" spans="1:18" ht="15" customHeight="1" x14ac:dyDescent="0.25">
      <c r="A323" t="str">
        <f>IFERROR(RANK(B323,$B:$B,1)+COUNTIF($B$1:B322,B323),"")</f>
        <v/>
      </c>
      <c r="B323" t="str">
        <f>IFERROR(SEARCH(#REF!,Table4[[#This Row],[Commodity Title]],1),"")</f>
        <v/>
      </c>
      <c r="C323" s="33" t="s">
        <v>1494</v>
      </c>
      <c r="D323" s="33" t="s">
        <v>1495</v>
      </c>
      <c r="E323" s="33" t="s">
        <v>1496</v>
      </c>
      <c r="F323" s="33" t="s">
        <v>1497</v>
      </c>
      <c r="G323" s="33" t="s">
        <v>1736</v>
      </c>
      <c r="H323" s="33" t="s">
        <v>1737</v>
      </c>
      <c r="I323" s="33" t="s">
        <v>1738</v>
      </c>
      <c r="J323" s="33">
        <v>114957</v>
      </c>
      <c r="K323" s="33" t="s">
        <v>2160</v>
      </c>
      <c r="L323" s="33" t="s">
        <v>2161</v>
      </c>
      <c r="M323" s="33" t="s">
        <v>2162</v>
      </c>
      <c r="N323" s="44" t="s">
        <v>1494</v>
      </c>
      <c r="O323" s="33" t="s">
        <v>1494</v>
      </c>
      <c r="P323" s="33" t="s">
        <v>1494</v>
      </c>
      <c r="Q323" s="34" t="s">
        <v>1494</v>
      </c>
      <c r="R323" s="34" t="s">
        <v>1494</v>
      </c>
    </row>
    <row r="324" spans="1:18" ht="15" customHeight="1" x14ac:dyDescent="0.25">
      <c r="A324" t="str">
        <f>IFERROR(RANK(B324,$B:$B,1)+COUNTIF($B$1:B323,B324),"")</f>
        <v/>
      </c>
      <c r="B324" t="str">
        <f>IFERROR(SEARCH(#REF!,Table4[[#This Row],[Commodity Title]],1),"")</f>
        <v/>
      </c>
      <c r="C324" s="35">
        <v>42142901</v>
      </c>
      <c r="D324" s="33" t="s">
        <v>1495</v>
      </c>
      <c r="E324" s="33" t="s">
        <v>1496</v>
      </c>
      <c r="F324" s="33" t="s">
        <v>1497</v>
      </c>
      <c r="G324" s="33" t="s">
        <v>1736</v>
      </c>
      <c r="H324" s="33" t="s">
        <v>1737</v>
      </c>
      <c r="I324" s="33" t="s">
        <v>1738</v>
      </c>
      <c r="J324" s="33">
        <v>112917</v>
      </c>
      <c r="K324" s="33" t="s">
        <v>2160</v>
      </c>
      <c r="L324" s="33" t="s">
        <v>2161</v>
      </c>
      <c r="M324" s="33" t="s">
        <v>2162</v>
      </c>
      <c r="N324" s="44">
        <v>42142901</v>
      </c>
      <c r="O324" s="33" t="s">
        <v>2163</v>
      </c>
      <c r="P324" s="33" t="s">
        <v>2164</v>
      </c>
      <c r="Q324" s="34" t="s">
        <v>1494</v>
      </c>
      <c r="R324" s="34" t="s">
        <v>1494</v>
      </c>
    </row>
    <row r="325" spans="1:18" ht="15" customHeight="1" x14ac:dyDescent="0.25">
      <c r="A325" t="str">
        <f>IFERROR(RANK(B325,$B:$B,1)+COUNTIF($B$1:B324,B325),"")</f>
        <v/>
      </c>
      <c r="B325" t="str">
        <f>IFERROR(SEARCH(#REF!,Table4[[#This Row],[Commodity Title]],1),"")</f>
        <v/>
      </c>
      <c r="C325" s="35">
        <v>42142902</v>
      </c>
      <c r="D325" s="33" t="s">
        <v>1495</v>
      </c>
      <c r="E325" s="33" t="s">
        <v>1496</v>
      </c>
      <c r="F325" s="33" t="s">
        <v>1497</v>
      </c>
      <c r="G325" s="33" t="s">
        <v>1736</v>
      </c>
      <c r="H325" s="33" t="s">
        <v>1737</v>
      </c>
      <c r="I325" s="33" t="s">
        <v>1738</v>
      </c>
      <c r="J325" s="33">
        <v>114959</v>
      </c>
      <c r="K325" s="33" t="s">
        <v>2160</v>
      </c>
      <c r="L325" s="33" t="s">
        <v>2161</v>
      </c>
      <c r="M325" s="33" t="s">
        <v>2162</v>
      </c>
      <c r="N325" s="44">
        <v>42142902</v>
      </c>
      <c r="O325" s="33" t="s">
        <v>2165</v>
      </c>
      <c r="P325" s="33" t="s">
        <v>2166</v>
      </c>
      <c r="Q325" s="34" t="s">
        <v>1494</v>
      </c>
      <c r="R325" s="34" t="s">
        <v>1494</v>
      </c>
    </row>
    <row r="326" spans="1:18" ht="15" customHeight="1" x14ac:dyDescent="0.25">
      <c r="A326" t="str">
        <f>IFERROR(RANK(B326,$B:$B,1)+COUNTIF($B$1:B325,B326),"")</f>
        <v/>
      </c>
      <c r="B326" t="str">
        <f>IFERROR(SEARCH(#REF!,Table4[[#This Row],[Commodity Title]],1),"")</f>
        <v/>
      </c>
      <c r="C326" s="35">
        <v>42142903</v>
      </c>
      <c r="D326" s="33" t="s">
        <v>1495</v>
      </c>
      <c r="E326" s="33" t="s">
        <v>1496</v>
      </c>
      <c r="F326" s="33" t="s">
        <v>1497</v>
      </c>
      <c r="G326" s="33" t="s">
        <v>1736</v>
      </c>
      <c r="H326" s="33" t="s">
        <v>1737</v>
      </c>
      <c r="I326" s="33" t="s">
        <v>1738</v>
      </c>
      <c r="J326" s="33">
        <v>114960</v>
      </c>
      <c r="K326" s="33" t="s">
        <v>2160</v>
      </c>
      <c r="L326" s="33" t="s">
        <v>2161</v>
      </c>
      <c r="M326" s="33" t="s">
        <v>2162</v>
      </c>
      <c r="N326" s="44">
        <v>42142903</v>
      </c>
      <c r="O326" s="33" t="s">
        <v>2167</v>
      </c>
      <c r="P326" s="33" t="s">
        <v>2168</v>
      </c>
      <c r="Q326" s="34" t="s">
        <v>1494</v>
      </c>
      <c r="R326" s="34" t="s">
        <v>1494</v>
      </c>
    </row>
    <row r="327" spans="1:18" ht="15" customHeight="1" x14ac:dyDescent="0.25">
      <c r="A327" t="str">
        <f>IFERROR(RANK(B327,$B:$B,1)+COUNTIF($B$1:B326,B327),"")</f>
        <v/>
      </c>
      <c r="B327" t="str">
        <f>IFERROR(SEARCH(#REF!,Table4[[#This Row],[Commodity Title]],1),"")</f>
        <v/>
      </c>
      <c r="C327" s="35">
        <v>42142904</v>
      </c>
      <c r="D327" s="33" t="s">
        <v>1495</v>
      </c>
      <c r="E327" s="33" t="s">
        <v>1496</v>
      </c>
      <c r="F327" s="33" t="s">
        <v>1497</v>
      </c>
      <c r="G327" s="33" t="s">
        <v>1736</v>
      </c>
      <c r="H327" s="33" t="s">
        <v>1737</v>
      </c>
      <c r="I327" s="33" t="s">
        <v>1738</v>
      </c>
      <c r="J327" s="33">
        <v>114961</v>
      </c>
      <c r="K327" s="33" t="s">
        <v>2160</v>
      </c>
      <c r="L327" s="33" t="s">
        <v>2161</v>
      </c>
      <c r="M327" s="33" t="s">
        <v>2162</v>
      </c>
      <c r="N327" s="44">
        <v>42142904</v>
      </c>
      <c r="O327" s="33" t="s">
        <v>2169</v>
      </c>
      <c r="P327" s="33" t="s">
        <v>2170</v>
      </c>
      <c r="Q327" s="34" t="s">
        <v>1494</v>
      </c>
      <c r="R327" s="34" t="s">
        <v>1494</v>
      </c>
    </row>
    <row r="328" spans="1:18" ht="15" customHeight="1" x14ac:dyDescent="0.25">
      <c r="A328" t="str">
        <f>IFERROR(RANK(B328,$B:$B,1)+COUNTIF($B$1:B327,B328),"")</f>
        <v/>
      </c>
      <c r="B328" t="str">
        <f>IFERROR(SEARCH(#REF!,Table4[[#This Row],[Commodity Title]],1),"")</f>
        <v/>
      </c>
      <c r="C328" s="35">
        <v>42142905</v>
      </c>
      <c r="D328" s="33" t="s">
        <v>1495</v>
      </c>
      <c r="E328" s="33" t="s">
        <v>1496</v>
      </c>
      <c r="F328" s="33" t="s">
        <v>1497</v>
      </c>
      <c r="G328" s="33" t="s">
        <v>1736</v>
      </c>
      <c r="H328" s="33" t="s">
        <v>1737</v>
      </c>
      <c r="I328" s="33" t="s">
        <v>1738</v>
      </c>
      <c r="J328" s="33">
        <v>112919</v>
      </c>
      <c r="K328" s="33" t="s">
        <v>2160</v>
      </c>
      <c r="L328" s="33" t="s">
        <v>2161</v>
      </c>
      <c r="M328" s="33" t="s">
        <v>2162</v>
      </c>
      <c r="N328" s="44">
        <v>42142905</v>
      </c>
      <c r="O328" s="33" t="s">
        <v>2171</v>
      </c>
      <c r="P328" s="33" t="s">
        <v>2172</v>
      </c>
      <c r="Q328" s="34" t="s">
        <v>1494</v>
      </c>
      <c r="R328" s="34" t="s">
        <v>1494</v>
      </c>
    </row>
    <row r="329" spans="1:18" ht="15" customHeight="1" x14ac:dyDescent="0.25">
      <c r="A329" t="str">
        <f>IFERROR(RANK(B329,$B:$B,1)+COUNTIF($B$1:B328,B329),"")</f>
        <v/>
      </c>
      <c r="B329" t="str">
        <f>IFERROR(SEARCH(#REF!,Table4[[#This Row],[Commodity Title]],1),"")</f>
        <v/>
      </c>
      <c r="C329" s="35">
        <v>42142906</v>
      </c>
      <c r="D329" s="33" t="s">
        <v>1495</v>
      </c>
      <c r="E329" s="33" t="s">
        <v>1496</v>
      </c>
      <c r="F329" s="33" t="s">
        <v>1497</v>
      </c>
      <c r="G329" s="33" t="s">
        <v>1736</v>
      </c>
      <c r="H329" s="33" t="s">
        <v>1737</v>
      </c>
      <c r="I329" s="33" t="s">
        <v>1738</v>
      </c>
      <c r="J329" s="33">
        <v>114963</v>
      </c>
      <c r="K329" s="33" t="s">
        <v>2160</v>
      </c>
      <c r="L329" s="33" t="s">
        <v>2161</v>
      </c>
      <c r="M329" s="33" t="s">
        <v>2162</v>
      </c>
      <c r="N329" s="44">
        <v>42142906</v>
      </c>
      <c r="O329" s="33" t="s">
        <v>2173</v>
      </c>
      <c r="P329" s="33" t="s">
        <v>2174</v>
      </c>
      <c r="Q329" s="34" t="s">
        <v>1494</v>
      </c>
      <c r="R329" s="34" t="s">
        <v>1494</v>
      </c>
    </row>
    <row r="330" spans="1:18" ht="15" customHeight="1" x14ac:dyDescent="0.25">
      <c r="A330" t="str">
        <f>IFERROR(RANK(B330,$B:$B,1)+COUNTIF($B$1:B329,B330),"")</f>
        <v/>
      </c>
      <c r="B330" t="str">
        <f>IFERROR(SEARCH(#REF!,Table4[[#This Row],[Commodity Title]],1),"")</f>
        <v/>
      </c>
      <c r="C330" s="35">
        <v>42142907</v>
      </c>
      <c r="D330" s="33" t="s">
        <v>1495</v>
      </c>
      <c r="E330" s="33" t="s">
        <v>1496</v>
      </c>
      <c r="F330" s="33" t="s">
        <v>1497</v>
      </c>
      <c r="G330" s="33" t="s">
        <v>1736</v>
      </c>
      <c r="H330" s="33" t="s">
        <v>1737</v>
      </c>
      <c r="I330" s="33" t="s">
        <v>1738</v>
      </c>
      <c r="J330" s="33">
        <v>114964</v>
      </c>
      <c r="K330" s="33" t="s">
        <v>2160</v>
      </c>
      <c r="L330" s="33" t="s">
        <v>2161</v>
      </c>
      <c r="M330" s="33" t="s">
        <v>2162</v>
      </c>
      <c r="N330" s="44">
        <v>42142907</v>
      </c>
      <c r="O330" s="33" t="s">
        <v>2175</v>
      </c>
      <c r="P330" s="33" t="s">
        <v>2176</v>
      </c>
      <c r="Q330" s="34" t="s">
        <v>1494</v>
      </c>
      <c r="R330" s="34" t="s">
        <v>1494</v>
      </c>
    </row>
    <row r="331" spans="1:18" ht="15" customHeight="1" x14ac:dyDescent="0.25">
      <c r="A331" t="str">
        <f>IFERROR(RANK(B331,$B:$B,1)+COUNTIF($B$1:B330,B331),"")</f>
        <v/>
      </c>
      <c r="B331" t="str">
        <f>IFERROR(SEARCH(#REF!,Table4[[#This Row],[Commodity Title]],1),"")</f>
        <v/>
      </c>
      <c r="C331" s="35">
        <v>42142908</v>
      </c>
      <c r="D331" s="33" t="s">
        <v>1495</v>
      </c>
      <c r="E331" s="33" t="s">
        <v>1496</v>
      </c>
      <c r="F331" s="33" t="s">
        <v>1497</v>
      </c>
      <c r="G331" s="33" t="s">
        <v>1736</v>
      </c>
      <c r="H331" s="33" t="s">
        <v>1737</v>
      </c>
      <c r="I331" s="33" t="s">
        <v>1738</v>
      </c>
      <c r="J331" s="33">
        <v>114965</v>
      </c>
      <c r="K331" s="33" t="s">
        <v>2160</v>
      </c>
      <c r="L331" s="33" t="s">
        <v>2161</v>
      </c>
      <c r="M331" s="33" t="s">
        <v>2162</v>
      </c>
      <c r="N331" s="44">
        <v>42142908</v>
      </c>
      <c r="O331" s="33" t="s">
        <v>2177</v>
      </c>
      <c r="P331" s="33" t="s">
        <v>2178</v>
      </c>
      <c r="Q331" s="34" t="s">
        <v>1494</v>
      </c>
      <c r="R331" s="34" t="s">
        <v>1494</v>
      </c>
    </row>
    <row r="332" spans="1:18" ht="15" customHeight="1" x14ac:dyDescent="0.25">
      <c r="A332" t="str">
        <f>IFERROR(RANK(B332,$B:$B,1)+COUNTIF($B$1:B331,B332),"")</f>
        <v/>
      </c>
      <c r="B332" t="str">
        <f>IFERROR(SEARCH(#REF!,Table4[[#This Row],[Commodity Title]],1),"")</f>
        <v/>
      </c>
      <c r="C332" s="35">
        <v>42142909</v>
      </c>
      <c r="D332" s="33" t="s">
        <v>1495</v>
      </c>
      <c r="E332" s="33" t="s">
        <v>1496</v>
      </c>
      <c r="F332" s="33" t="s">
        <v>1497</v>
      </c>
      <c r="G332" s="33" t="s">
        <v>1736</v>
      </c>
      <c r="H332" s="33" t="s">
        <v>1737</v>
      </c>
      <c r="I332" s="33" t="s">
        <v>1738</v>
      </c>
      <c r="J332" s="33">
        <v>114966</v>
      </c>
      <c r="K332" s="33" t="s">
        <v>2160</v>
      </c>
      <c r="L332" s="33" t="s">
        <v>2161</v>
      </c>
      <c r="M332" s="33" t="s">
        <v>2162</v>
      </c>
      <c r="N332" s="44">
        <v>42142909</v>
      </c>
      <c r="O332" s="33" t="s">
        <v>2179</v>
      </c>
      <c r="P332" s="33" t="s">
        <v>2180</v>
      </c>
      <c r="Q332" s="34" t="s">
        <v>1494</v>
      </c>
      <c r="R332" s="34" t="s">
        <v>1494</v>
      </c>
    </row>
    <row r="333" spans="1:18" ht="15" customHeight="1" x14ac:dyDescent="0.25">
      <c r="A333" t="str">
        <f>IFERROR(RANK(B333,$B:$B,1)+COUNTIF($B$1:B332,B333),"")</f>
        <v/>
      </c>
      <c r="B333" t="str">
        <f>IFERROR(SEARCH(#REF!,Table4[[#This Row],[Commodity Title]],1),"")</f>
        <v/>
      </c>
      <c r="C333" s="35">
        <v>42142910</v>
      </c>
      <c r="D333" s="33" t="s">
        <v>1495</v>
      </c>
      <c r="E333" s="33" t="s">
        <v>1496</v>
      </c>
      <c r="F333" s="33" t="s">
        <v>1497</v>
      </c>
      <c r="G333" s="33" t="s">
        <v>1736</v>
      </c>
      <c r="H333" s="33" t="s">
        <v>1737</v>
      </c>
      <c r="I333" s="33" t="s">
        <v>1738</v>
      </c>
      <c r="J333" s="33">
        <v>114967</v>
      </c>
      <c r="K333" s="33" t="s">
        <v>2160</v>
      </c>
      <c r="L333" s="33" t="s">
        <v>2161</v>
      </c>
      <c r="M333" s="33" t="s">
        <v>2162</v>
      </c>
      <c r="N333" s="44">
        <v>42142910</v>
      </c>
      <c r="O333" s="33" t="s">
        <v>2181</v>
      </c>
      <c r="P333" s="33" t="s">
        <v>2182</v>
      </c>
      <c r="Q333" s="34" t="s">
        <v>1494</v>
      </c>
      <c r="R333" s="34" t="s">
        <v>1494</v>
      </c>
    </row>
    <row r="334" spans="1:18" ht="15" customHeight="1" x14ac:dyDescent="0.25">
      <c r="A334" t="str">
        <f>IFERROR(RANK(B334,$B:$B,1)+COUNTIF($B$1:B333,B334),"")</f>
        <v/>
      </c>
      <c r="B334" t="str">
        <f>IFERROR(SEARCH(#REF!,Table4[[#This Row],[Commodity Title]],1),"")</f>
        <v/>
      </c>
      <c r="C334" s="35">
        <v>42142911</v>
      </c>
      <c r="D334" s="33" t="s">
        <v>1495</v>
      </c>
      <c r="E334" s="33" t="s">
        <v>1496</v>
      </c>
      <c r="F334" s="33" t="s">
        <v>1497</v>
      </c>
      <c r="G334" s="33" t="s">
        <v>1736</v>
      </c>
      <c r="H334" s="33" t="s">
        <v>1737</v>
      </c>
      <c r="I334" s="33" t="s">
        <v>1738</v>
      </c>
      <c r="J334" s="33">
        <v>114968</v>
      </c>
      <c r="K334" s="33" t="s">
        <v>2160</v>
      </c>
      <c r="L334" s="33" t="s">
        <v>2161</v>
      </c>
      <c r="M334" s="33" t="s">
        <v>2162</v>
      </c>
      <c r="N334" s="44">
        <v>42142911</v>
      </c>
      <c r="O334" s="33" t="s">
        <v>2183</v>
      </c>
      <c r="P334" s="33" t="s">
        <v>2184</v>
      </c>
      <c r="Q334" s="34" t="s">
        <v>1494</v>
      </c>
      <c r="R334" s="34" t="s">
        <v>1494</v>
      </c>
    </row>
    <row r="335" spans="1:18" ht="15" customHeight="1" x14ac:dyDescent="0.25">
      <c r="A335" t="str">
        <f>IFERROR(RANK(B335,$B:$B,1)+COUNTIF($B$1:B334,B335),"")</f>
        <v/>
      </c>
      <c r="B335" t="str">
        <f>IFERROR(SEARCH(#REF!,Table4[[#This Row],[Commodity Title]],1),"")</f>
        <v/>
      </c>
      <c r="C335" s="35">
        <v>42142912</v>
      </c>
      <c r="D335" s="33" t="s">
        <v>1495</v>
      </c>
      <c r="E335" s="33" t="s">
        <v>1496</v>
      </c>
      <c r="F335" s="33" t="s">
        <v>1497</v>
      </c>
      <c r="G335" s="33" t="s">
        <v>1736</v>
      </c>
      <c r="H335" s="33" t="s">
        <v>1737</v>
      </c>
      <c r="I335" s="33" t="s">
        <v>1738</v>
      </c>
      <c r="J335" s="33">
        <v>114969</v>
      </c>
      <c r="K335" s="33" t="s">
        <v>2160</v>
      </c>
      <c r="L335" s="33" t="s">
        <v>2161</v>
      </c>
      <c r="M335" s="33" t="s">
        <v>2162</v>
      </c>
      <c r="N335" s="44">
        <v>42142912</v>
      </c>
      <c r="O335" s="33" t="s">
        <v>2185</v>
      </c>
      <c r="P335" s="33" t="s">
        <v>2186</v>
      </c>
      <c r="Q335" s="34" t="s">
        <v>1494</v>
      </c>
      <c r="R335" s="34" t="s">
        <v>1494</v>
      </c>
    </row>
    <row r="336" spans="1:18" ht="15" customHeight="1" x14ac:dyDescent="0.25">
      <c r="A336" t="str">
        <f>IFERROR(RANK(B336,$B:$B,1)+COUNTIF($B$1:B335,B336),"")</f>
        <v/>
      </c>
      <c r="B336" t="str">
        <f>IFERROR(SEARCH(#REF!,Table4[[#This Row],[Commodity Title]],1),"")</f>
        <v/>
      </c>
      <c r="C336" s="35">
        <v>42142913</v>
      </c>
      <c r="D336" s="33" t="s">
        <v>1495</v>
      </c>
      <c r="E336" s="33" t="s">
        <v>1496</v>
      </c>
      <c r="F336" s="33" t="s">
        <v>1497</v>
      </c>
      <c r="G336" s="33" t="s">
        <v>1736</v>
      </c>
      <c r="H336" s="33" t="s">
        <v>1737</v>
      </c>
      <c r="I336" s="33" t="s">
        <v>1738</v>
      </c>
      <c r="J336" s="33">
        <v>112918</v>
      </c>
      <c r="K336" s="33" t="s">
        <v>2160</v>
      </c>
      <c r="L336" s="33" t="s">
        <v>2161</v>
      </c>
      <c r="M336" s="33" t="s">
        <v>2162</v>
      </c>
      <c r="N336" s="44">
        <v>42142913</v>
      </c>
      <c r="O336" s="33" t="s">
        <v>2187</v>
      </c>
      <c r="P336" s="33" t="s">
        <v>2188</v>
      </c>
      <c r="Q336" s="34" t="s">
        <v>1494</v>
      </c>
      <c r="R336" s="34" t="s">
        <v>1494</v>
      </c>
    </row>
    <row r="337" spans="1:18" ht="15" customHeight="1" x14ac:dyDescent="0.25">
      <c r="A337" t="str">
        <f>IFERROR(RANK(B337,$B:$B,1)+COUNTIF($B$1:B336,B337),"")</f>
        <v/>
      </c>
      <c r="B337" t="str">
        <f>IFERROR(SEARCH(#REF!,Table4[[#This Row],[Commodity Title]],1),"")</f>
        <v/>
      </c>
      <c r="C337" s="35">
        <v>42142914</v>
      </c>
      <c r="D337" s="33" t="s">
        <v>1495</v>
      </c>
      <c r="E337" s="33" t="s">
        <v>1496</v>
      </c>
      <c r="F337" s="33" t="s">
        <v>1497</v>
      </c>
      <c r="G337" s="33" t="s">
        <v>1736</v>
      </c>
      <c r="H337" s="33" t="s">
        <v>1737</v>
      </c>
      <c r="I337" s="33" t="s">
        <v>1738</v>
      </c>
      <c r="J337" s="33">
        <v>150696</v>
      </c>
      <c r="K337" s="33" t="s">
        <v>2160</v>
      </c>
      <c r="L337" s="33" t="s">
        <v>2161</v>
      </c>
      <c r="M337" s="33" t="s">
        <v>2162</v>
      </c>
      <c r="N337" s="44">
        <v>42142914</v>
      </c>
      <c r="O337" s="33" t="s">
        <v>2189</v>
      </c>
      <c r="P337" s="33" t="s">
        <v>2190</v>
      </c>
      <c r="Q337" s="34" t="s">
        <v>1494</v>
      </c>
      <c r="R337" s="34" t="s">
        <v>1494</v>
      </c>
    </row>
    <row r="338" spans="1:18" ht="15" customHeight="1" x14ac:dyDescent="0.25">
      <c r="A338" t="str">
        <f>IFERROR(RANK(B338,$B:$B,1)+COUNTIF($B$1:B337,B338),"")</f>
        <v/>
      </c>
      <c r="B338" t="str">
        <f>IFERROR(SEARCH(#REF!,Table4[[#This Row],[Commodity Title]],1),"")</f>
        <v/>
      </c>
      <c r="C338" s="35">
        <v>42142915</v>
      </c>
      <c r="D338" s="33" t="s">
        <v>1495</v>
      </c>
      <c r="E338" s="33" t="s">
        <v>1496</v>
      </c>
      <c r="F338" s="33" t="s">
        <v>1497</v>
      </c>
      <c r="G338" s="33" t="s">
        <v>1736</v>
      </c>
      <c r="H338" s="33" t="s">
        <v>1737</v>
      </c>
      <c r="I338" s="33" t="s">
        <v>1738</v>
      </c>
      <c r="J338" s="33">
        <v>202421</v>
      </c>
      <c r="K338" s="33" t="s">
        <v>2160</v>
      </c>
      <c r="L338" s="33" t="s">
        <v>2161</v>
      </c>
      <c r="M338" s="33" t="s">
        <v>2162</v>
      </c>
      <c r="N338" s="44">
        <v>42142915</v>
      </c>
      <c r="O338" s="33" t="s">
        <v>2191</v>
      </c>
      <c r="P338" s="33" t="s">
        <v>2192</v>
      </c>
      <c r="Q338" s="34" t="s">
        <v>1494</v>
      </c>
      <c r="R338" s="34" t="s">
        <v>1494</v>
      </c>
    </row>
    <row r="339" spans="1:18" ht="15" customHeight="1" x14ac:dyDescent="0.25">
      <c r="A339" t="str">
        <f>IFERROR(RANK(B339,$B:$B,1)+COUNTIF($B$1:B338,B339),"")</f>
        <v/>
      </c>
      <c r="B339" t="str">
        <f>IFERROR(SEARCH(#REF!,Table4[[#This Row],[Commodity Title]],1),"")</f>
        <v/>
      </c>
      <c r="C339" s="35">
        <v>42142916</v>
      </c>
      <c r="D339" s="33" t="s">
        <v>1495</v>
      </c>
      <c r="E339" s="33" t="s">
        <v>1496</v>
      </c>
      <c r="F339" s="33" t="s">
        <v>1497</v>
      </c>
      <c r="G339" s="33" t="s">
        <v>1736</v>
      </c>
      <c r="H339" s="33" t="s">
        <v>1737</v>
      </c>
      <c r="I339" s="33" t="s">
        <v>1738</v>
      </c>
      <c r="J339" s="33">
        <v>202422</v>
      </c>
      <c r="K339" s="33" t="s">
        <v>2160</v>
      </c>
      <c r="L339" s="33" t="s">
        <v>2161</v>
      </c>
      <c r="M339" s="33" t="s">
        <v>2162</v>
      </c>
      <c r="N339" s="44">
        <v>42142916</v>
      </c>
      <c r="O339" s="33" t="s">
        <v>2193</v>
      </c>
      <c r="P339" s="33" t="s">
        <v>2194</v>
      </c>
      <c r="Q339" s="34" t="s">
        <v>1494</v>
      </c>
      <c r="R339" s="34" t="s">
        <v>1494</v>
      </c>
    </row>
    <row r="340" spans="1:18" ht="15" customHeight="1" x14ac:dyDescent="0.25">
      <c r="A340" t="str">
        <f>IFERROR(RANK(B340,$B:$B,1)+COUNTIF($B$1:B339,B340),"")</f>
        <v/>
      </c>
      <c r="B340" t="str">
        <f>IFERROR(SEARCH(#REF!,Table4[[#This Row],[Commodity Title]],1),"")</f>
        <v/>
      </c>
      <c r="C340" s="35">
        <v>42142917</v>
      </c>
      <c r="D340" s="33" t="s">
        <v>1495</v>
      </c>
      <c r="E340" s="33" t="s">
        <v>1496</v>
      </c>
      <c r="F340" s="33" t="s">
        <v>1497</v>
      </c>
      <c r="G340" s="33" t="s">
        <v>1736</v>
      </c>
      <c r="H340" s="33" t="s">
        <v>1737</v>
      </c>
      <c r="I340" s="33" t="s">
        <v>1738</v>
      </c>
      <c r="J340" s="33">
        <v>202423</v>
      </c>
      <c r="K340" s="33" t="s">
        <v>2160</v>
      </c>
      <c r="L340" s="33" t="s">
        <v>2161</v>
      </c>
      <c r="M340" s="33" t="s">
        <v>2162</v>
      </c>
      <c r="N340" s="44">
        <v>42142917</v>
      </c>
      <c r="O340" s="33" t="s">
        <v>2195</v>
      </c>
      <c r="P340" s="33" t="s">
        <v>2196</v>
      </c>
      <c r="Q340" s="34" t="s">
        <v>1494</v>
      </c>
      <c r="R340" s="34" t="s">
        <v>1494</v>
      </c>
    </row>
    <row r="341" spans="1:18" ht="15" customHeight="1" x14ac:dyDescent="0.25">
      <c r="A341" t="str">
        <f>IFERROR(RANK(B341,$B:$B,1)+COUNTIF($B$1:B340,B341),"")</f>
        <v/>
      </c>
      <c r="B341" t="str">
        <f>IFERROR(SEARCH(#REF!,Table4[[#This Row],[Commodity Title]],1),"")</f>
        <v/>
      </c>
      <c r="C341" s="35">
        <v>42142918</v>
      </c>
      <c r="D341" s="33" t="s">
        <v>1495</v>
      </c>
      <c r="E341" s="33" t="s">
        <v>1496</v>
      </c>
      <c r="F341" s="33" t="s">
        <v>1497</v>
      </c>
      <c r="G341" s="33" t="s">
        <v>1736</v>
      </c>
      <c r="H341" s="33" t="s">
        <v>1737</v>
      </c>
      <c r="I341" s="33" t="s">
        <v>1738</v>
      </c>
      <c r="J341" s="33">
        <v>202424</v>
      </c>
      <c r="K341" s="33" t="s">
        <v>2160</v>
      </c>
      <c r="L341" s="33" t="s">
        <v>2161</v>
      </c>
      <c r="M341" s="33" t="s">
        <v>2162</v>
      </c>
      <c r="N341" s="44">
        <v>42142918</v>
      </c>
      <c r="O341" s="33" t="s">
        <v>2197</v>
      </c>
      <c r="P341" s="33" t="s">
        <v>2198</v>
      </c>
      <c r="Q341" s="34" t="s">
        <v>1494</v>
      </c>
      <c r="R341" s="34" t="s">
        <v>1494</v>
      </c>
    </row>
    <row r="342" spans="1:18" ht="15" customHeight="1" x14ac:dyDescent="0.25">
      <c r="A342" t="str">
        <f>IFERROR(RANK(B342,$B:$B,1)+COUNTIF($B$1:B341,B342),"")</f>
        <v/>
      </c>
      <c r="B342" t="str">
        <f>IFERROR(SEARCH(#REF!,Table4[[#This Row],[Commodity Title]],1),"")</f>
        <v/>
      </c>
      <c r="C342" s="35">
        <v>42142919</v>
      </c>
      <c r="D342" s="33" t="s">
        <v>1495</v>
      </c>
      <c r="E342" s="33" t="s">
        <v>1496</v>
      </c>
      <c r="F342" s="33" t="s">
        <v>1497</v>
      </c>
      <c r="G342" s="33" t="s">
        <v>1736</v>
      </c>
      <c r="H342" s="33" t="s">
        <v>1737</v>
      </c>
      <c r="I342" s="33" t="s">
        <v>1738</v>
      </c>
      <c r="J342" s="33">
        <v>202425</v>
      </c>
      <c r="K342" s="33" t="s">
        <v>2160</v>
      </c>
      <c r="L342" s="33" t="s">
        <v>2161</v>
      </c>
      <c r="M342" s="33" t="s">
        <v>2162</v>
      </c>
      <c r="N342" s="44">
        <v>42142919</v>
      </c>
      <c r="O342" s="33" t="s">
        <v>2199</v>
      </c>
      <c r="P342" s="33" t="s">
        <v>2200</v>
      </c>
      <c r="Q342" s="34" t="s">
        <v>1494</v>
      </c>
      <c r="R342" s="34" t="s">
        <v>1494</v>
      </c>
    </row>
    <row r="343" spans="1:18" ht="15" customHeight="1" x14ac:dyDescent="0.25">
      <c r="A343" t="str">
        <f>IFERROR(RANK(B343,$B:$B,1)+COUNTIF($B$1:B342,B343),"")</f>
        <v/>
      </c>
      <c r="B343" t="str">
        <f>IFERROR(SEARCH(#REF!,Table4[[#This Row],[Commodity Title]],1),"")</f>
        <v/>
      </c>
      <c r="C343" s="35">
        <v>42142920</v>
      </c>
      <c r="D343" s="33" t="s">
        <v>1495</v>
      </c>
      <c r="E343" s="33" t="s">
        <v>1496</v>
      </c>
      <c r="F343" s="33" t="s">
        <v>1497</v>
      </c>
      <c r="G343" s="33" t="s">
        <v>1736</v>
      </c>
      <c r="H343" s="33" t="s">
        <v>1737</v>
      </c>
      <c r="I343" s="33" t="s">
        <v>1738</v>
      </c>
      <c r="J343" s="33">
        <v>202426</v>
      </c>
      <c r="K343" s="33" t="s">
        <v>2160</v>
      </c>
      <c r="L343" s="33" t="s">
        <v>2161</v>
      </c>
      <c r="M343" s="33" t="s">
        <v>2162</v>
      </c>
      <c r="N343" s="44">
        <v>42142920</v>
      </c>
      <c r="O343" s="33" t="s">
        <v>2201</v>
      </c>
      <c r="P343" s="33" t="s">
        <v>2202</v>
      </c>
      <c r="Q343" s="34" t="s">
        <v>1494</v>
      </c>
      <c r="R343" s="34" t="s">
        <v>1494</v>
      </c>
    </row>
    <row r="344" spans="1:18" ht="15" customHeight="1" x14ac:dyDescent="0.25">
      <c r="A344" t="str">
        <f>IFERROR(RANK(B344,$B:$B,1)+COUNTIF($B$1:B343,B344),"")</f>
        <v/>
      </c>
      <c r="B344" t="str">
        <f>IFERROR(SEARCH(#REF!,Table4[[#This Row],[Commodity Title]],1),"")</f>
        <v/>
      </c>
      <c r="C344" s="35">
        <v>42142921</v>
      </c>
      <c r="D344" s="33" t="s">
        <v>1495</v>
      </c>
      <c r="E344" s="33" t="s">
        <v>1496</v>
      </c>
      <c r="F344" s="33" t="s">
        <v>1497</v>
      </c>
      <c r="G344" s="33" t="s">
        <v>1736</v>
      </c>
      <c r="H344" s="33" t="s">
        <v>1737</v>
      </c>
      <c r="I344" s="33" t="s">
        <v>1738</v>
      </c>
      <c r="J344" s="33">
        <v>202427</v>
      </c>
      <c r="K344" s="33" t="s">
        <v>2160</v>
      </c>
      <c r="L344" s="33" t="s">
        <v>2161</v>
      </c>
      <c r="M344" s="33" t="s">
        <v>2162</v>
      </c>
      <c r="N344" s="44">
        <v>42142921</v>
      </c>
      <c r="O344" s="33" t="s">
        <v>2203</v>
      </c>
      <c r="P344" s="33" t="s">
        <v>2204</v>
      </c>
      <c r="Q344" s="34" t="s">
        <v>1494</v>
      </c>
      <c r="R344" s="34" t="s">
        <v>1494</v>
      </c>
    </row>
    <row r="345" spans="1:18" ht="15" customHeight="1" x14ac:dyDescent="0.25">
      <c r="A345" t="str">
        <f>IFERROR(RANK(B345,$B:$B,1)+COUNTIF($B$1:B344,B345),"")</f>
        <v/>
      </c>
      <c r="B345" t="str">
        <f>IFERROR(SEARCH(#REF!,Table4[[#This Row],[Commodity Title]],1),"")</f>
        <v/>
      </c>
      <c r="C345" s="35">
        <v>42142922</v>
      </c>
      <c r="D345" s="33" t="s">
        <v>1495</v>
      </c>
      <c r="E345" s="33" t="s">
        <v>1496</v>
      </c>
      <c r="F345" s="33" t="s">
        <v>1497</v>
      </c>
      <c r="G345" s="33" t="s">
        <v>1736</v>
      </c>
      <c r="H345" s="33" t="s">
        <v>1737</v>
      </c>
      <c r="I345" s="33" t="s">
        <v>1738</v>
      </c>
      <c r="J345" s="33">
        <v>202428</v>
      </c>
      <c r="K345" s="33" t="s">
        <v>2160</v>
      </c>
      <c r="L345" s="33" t="s">
        <v>2161</v>
      </c>
      <c r="M345" s="33" t="s">
        <v>2162</v>
      </c>
      <c r="N345" s="44">
        <v>42142922</v>
      </c>
      <c r="O345" s="33" t="s">
        <v>2205</v>
      </c>
      <c r="P345" s="33" t="s">
        <v>2206</v>
      </c>
      <c r="Q345" s="34" t="s">
        <v>1494</v>
      </c>
      <c r="R345" s="34" t="s">
        <v>1494</v>
      </c>
    </row>
    <row r="346" spans="1:18" ht="15" customHeight="1" x14ac:dyDescent="0.25">
      <c r="A346" t="str">
        <f>IFERROR(RANK(B346,$B:$B,1)+COUNTIF($B$1:B345,B346),"")</f>
        <v/>
      </c>
      <c r="B346" t="str">
        <f>IFERROR(SEARCH(#REF!,Table4[[#This Row],[Commodity Title]],1),"")</f>
        <v/>
      </c>
      <c r="C346" s="35">
        <v>42142923</v>
      </c>
      <c r="D346" s="33" t="s">
        <v>1495</v>
      </c>
      <c r="E346" s="33" t="s">
        <v>1496</v>
      </c>
      <c r="F346" s="33" t="s">
        <v>1497</v>
      </c>
      <c r="G346" s="33" t="s">
        <v>1736</v>
      </c>
      <c r="H346" s="33" t="s">
        <v>1737</v>
      </c>
      <c r="I346" s="33" t="s">
        <v>1738</v>
      </c>
      <c r="J346" s="33">
        <v>202429</v>
      </c>
      <c r="K346" s="33" t="s">
        <v>2160</v>
      </c>
      <c r="L346" s="33" t="s">
        <v>2161</v>
      </c>
      <c r="M346" s="33" t="s">
        <v>2162</v>
      </c>
      <c r="N346" s="44">
        <v>42142923</v>
      </c>
      <c r="O346" s="33" t="s">
        <v>2207</v>
      </c>
      <c r="P346" s="33" t="s">
        <v>2208</v>
      </c>
      <c r="Q346" s="34" t="s">
        <v>1494</v>
      </c>
      <c r="R346" s="34" t="s">
        <v>1494</v>
      </c>
    </row>
    <row r="347" spans="1:18" ht="15" customHeight="1" x14ac:dyDescent="0.25">
      <c r="A347" t="str">
        <f>IFERROR(RANK(B347,$B:$B,1)+COUNTIF($B$1:B346,B347),"")</f>
        <v/>
      </c>
      <c r="B347" t="str">
        <f>IFERROR(SEARCH(#REF!,Table4[[#This Row],[Commodity Title]],1),"")</f>
        <v/>
      </c>
      <c r="C347" s="35">
        <v>42142924</v>
      </c>
      <c r="D347" s="33" t="s">
        <v>1495</v>
      </c>
      <c r="E347" s="33" t="s">
        <v>1496</v>
      </c>
      <c r="F347" s="33" t="s">
        <v>1497</v>
      </c>
      <c r="G347" s="33" t="s">
        <v>1736</v>
      </c>
      <c r="H347" s="33" t="s">
        <v>1737</v>
      </c>
      <c r="I347" s="33" t="s">
        <v>1738</v>
      </c>
      <c r="J347" s="33">
        <v>202430</v>
      </c>
      <c r="K347" s="33" t="s">
        <v>2160</v>
      </c>
      <c r="L347" s="33" t="s">
        <v>2161</v>
      </c>
      <c r="M347" s="33" t="s">
        <v>2162</v>
      </c>
      <c r="N347" s="44">
        <v>42142924</v>
      </c>
      <c r="O347" s="33" t="s">
        <v>2209</v>
      </c>
      <c r="P347" s="33" t="s">
        <v>2210</v>
      </c>
      <c r="Q347" s="34" t="s">
        <v>1494</v>
      </c>
      <c r="R347" s="34" t="s">
        <v>1494</v>
      </c>
    </row>
    <row r="348" spans="1:18" ht="15" customHeight="1" x14ac:dyDescent="0.25">
      <c r="A348" t="str">
        <f>IFERROR(RANK(B348,$B:$B,1)+COUNTIF($B$1:B347,B348),"")</f>
        <v/>
      </c>
      <c r="B348" t="str">
        <f>IFERROR(SEARCH(#REF!,Table4[[#This Row],[Commodity Title]],1),"")</f>
        <v/>
      </c>
      <c r="C348" s="35">
        <v>42142925</v>
      </c>
      <c r="D348" s="33" t="s">
        <v>1495</v>
      </c>
      <c r="E348" s="33" t="s">
        <v>1496</v>
      </c>
      <c r="F348" s="33" t="s">
        <v>1497</v>
      </c>
      <c r="G348" s="33" t="s">
        <v>1736</v>
      </c>
      <c r="H348" s="33" t="s">
        <v>1737</v>
      </c>
      <c r="I348" s="33" t="s">
        <v>1738</v>
      </c>
      <c r="J348" s="33">
        <v>202431</v>
      </c>
      <c r="K348" s="33" t="s">
        <v>2160</v>
      </c>
      <c r="L348" s="33" t="s">
        <v>2161</v>
      </c>
      <c r="M348" s="33" t="s">
        <v>2162</v>
      </c>
      <c r="N348" s="44">
        <v>42142925</v>
      </c>
      <c r="O348" s="33" t="s">
        <v>2211</v>
      </c>
      <c r="P348" s="33" t="s">
        <v>2212</v>
      </c>
      <c r="Q348" s="34" t="s">
        <v>1494</v>
      </c>
      <c r="R348" s="34" t="s">
        <v>1494</v>
      </c>
    </row>
    <row r="349" spans="1:18" ht="15" customHeight="1" x14ac:dyDescent="0.25">
      <c r="A349" t="str">
        <f>IFERROR(RANK(B349,$B:$B,1)+COUNTIF($B$1:B348,B349),"")</f>
        <v/>
      </c>
      <c r="B349" t="str">
        <f>IFERROR(SEARCH(#REF!,Table4[[#This Row],[Commodity Title]],1),"")</f>
        <v/>
      </c>
      <c r="C349" s="35">
        <v>42142926</v>
      </c>
      <c r="D349" s="33" t="s">
        <v>1495</v>
      </c>
      <c r="E349" s="33" t="s">
        <v>1496</v>
      </c>
      <c r="F349" s="33" t="s">
        <v>1497</v>
      </c>
      <c r="G349" s="33" t="s">
        <v>1736</v>
      </c>
      <c r="H349" s="33" t="s">
        <v>1737</v>
      </c>
      <c r="I349" s="33" t="s">
        <v>1738</v>
      </c>
      <c r="J349" s="33">
        <v>202432</v>
      </c>
      <c r="K349" s="33" t="s">
        <v>2160</v>
      </c>
      <c r="L349" s="33" t="s">
        <v>2161</v>
      </c>
      <c r="M349" s="33" t="s">
        <v>2162</v>
      </c>
      <c r="N349" s="44">
        <v>42142926</v>
      </c>
      <c r="O349" s="33" t="s">
        <v>2213</v>
      </c>
      <c r="P349" s="33" t="s">
        <v>2214</v>
      </c>
      <c r="Q349" s="34" t="s">
        <v>1494</v>
      </c>
      <c r="R349" s="34" t="s">
        <v>1494</v>
      </c>
    </row>
    <row r="350" spans="1:18" ht="15" customHeight="1" x14ac:dyDescent="0.25">
      <c r="A350" t="str">
        <f>IFERROR(RANK(B350,$B:$B,1)+COUNTIF($B$1:B349,B350),"")</f>
        <v/>
      </c>
      <c r="B350" t="str">
        <f>IFERROR(SEARCH(#REF!,Table4[[#This Row],[Commodity Title]],1),"")</f>
        <v/>
      </c>
      <c r="C350" s="35">
        <v>42142927</v>
      </c>
      <c r="D350" s="33" t="s">
        <v>1495</v>
      </c>
      <c r="E350" s="33" t="s">
        <v>1496</v>
      </c>
      <c r="F350" s="33" t="s">
        <v>1497</v>
      </c>
      <c r="G350" s="33" t="s">
        <v>1736</v>
      </c>
      <c r="H350" s="33" t="s">
        <v>1737</v>
      </c>
      <c r="I350" s="33" t="s">
        <v>1738</v>
      </c>
      <c r="J350" s="33">
        <v>202433</v>
      </c>
      <c r="K350" s="33" t="s">
        <v>2160</v>
      </c>
      <c r="L350" s="33" t="s">
        <v>2161</v>
      </c>
      <c r="M350" s="33" t="s">
        <v>2162</v>
      </c>
      <c r="N350" s="44">
        <v>42142927</v>
      </c>
      <c r="O350" s="33" t="s">
        <v>2215</v>
      </c>
      <c r="P350" s="33" t="s">
        <v>2216</v>
      </c>
      <c r="Q350" s="34" t="s">
        <v>1494</v>
      </c>
      <c r="R350" s="34" t="s">
        <v>1494</v>
      </c>
    </row>
    <row r="351" spans="1:18" ht="15" customHeight="1" x14ac:dyDescent="0.25">
      <c r="A351" t="str">
        <f>IFERROR(RANK(B351,$B:$B,1)+COUNTIF($B$1:B350,B351),"")</f>
        <v/>
      </c>
      <c r="B351" t="str">
        <f>IFERROR(SEARCH(#REF!,Table4[[#This Row],[Commodity Title]],1),"")</f>
        <v/>
      </c>
      <c r="C351" s="35">
        <v>42142928</v>
      </c>
      <c r="D351" s="33" t="s">
        <v>1495</v>
      </c>
      <c r="E351" s="33" t="s">
        <v>1496</v>
      </c>
      <c r="F351" s="33" t="s">
        <v>1497</v>
      </c>
      <c r="G351" s="33" t="s">
        <v>1736</v>
      </c>
      <c r="H351" s="33" t="s">
        <v>1737</v>
      </c>
      <c r="I351" s="33" t="s">
        <v>1738</v>
      </c>
      <c r="J351" s="33">
        <v>202434</v>
      </c>
      <c r="K351" s="33" t="s">
        <v>2160</v>
      </c>
      <c r="L351" s="33" t="s">
        <v>2161</v>
      </c>
      <c r="M351" s="33" t="s">
        <v>2162</v>
      </c>
      <c r="N351" s="44">
        <v>42142928</v>
      </c>
      <c r="O351" s="33" t="s">
        <v>2217</v>
      </c>
      <c r="P351" s="33" t="s">
        <v>2218</v>
      </c>
      <c r="Q351" s="34" t="s">
        <v>1494</v>
      </c>
      <c r="R351" s="34" t="s">
        <v>1494</v>
      </c>
    </row>
    <row r="352" spans="1:18" ht="15" customHeight="1" x14ac:dyDescent="0.25">
      <c r="A352" t="str">
        <f>IFERROR(RANK(B352,$B:$B,1)+COUNTIF($B$1:B351,B352),"")</f>
        <v/>
      </c>
      <c r="B352" t="str">
        <f>IFERROR(SEARCH(#REF!,Table4[[#This Row],[Commodity Title]],1),"")</f>
        <v/>
      </c>
      <c r="C352" s="35">
        <v>42142929</v>
      </c>
      <c r="D352" s="33" t="s">
        <v>1495</v>
      </c>
      <c r="E352" s="33" t="s">
        <v>1496</v>
      </c>
      <c r="F352" s="33" t="s">
        <v>1497</v>
      </c>
      <c r="G352" s="33" t="s">
        <v>1736</v>
      </c>
      <c r="H352" s="33" t="s">
        <v>1737</v>
      </c>
      <c r="I352" s="33" t="s">
        <v>1738</v>
      </c>
      <c r="J352" s="33">
        <v>202435</v>
      </c>
      <c r="K352" s="33" t="s">
        <v>2160</v>
      </c>
      <c r="L352" s="33" t="s">
        <v>2161</v>
      </c>
      <c r="M352" s="33" t="s">
        <v>2162</v>
      </c>
      <c r="N352" s="44">
        <v>42142929</v>
      </c>
      <c r="O352" s="33" t="s">
        <v>2219</v>
      </c>
      <c r="P352" s="33" t="s">
        <v>2220</v>
      </c>
      <c r="Q352" s="34" t="s">
        <v>1494</v>
      </c>
      <c r="R352" s="34" t="s">
        <v>1494</v>
      </c>
    </row>
    <row r="353" spans="1:18" ht="15" customHeight="1" x14ac:dyDescent="0.25">
      <c r="A353" t="str">
        <f>IFERROR(RANK(B353,$B:$B,1)+COUNTIF($B$1:B352,B353),"")</f>
        <v/>
      </c>
      <c r="B353" t="str">
        <f>IFERROR(SEARCH(#REF!,Table4[[#This Row],[Commodity Title]],1),"")</f>
        <v/>
      </c>
      <c r="C353" s="35">
        <v>42142930</v>
      </c>
      <c r="D353" s="33" t="s">
        <v>1495</v>
      </c>
      <c r="E353" s="33" t="s">
        <v>1496</v>
      </c>
      <c r="F353" s="33" t="s">
        <v>1497</v>
      </c>
      <c r="G353" s="33" t="s">
        <v>1736</v>
      </c>
      <c r="H353" s="33" t="s">
        <v>1737</v>
      </c>
      <c r="I353" s="33" t="s">
        <v>1738</v>
      </c>
      <c r="J353" s="33">
        <v>202436</v>
      </c>
      <c r="K353" s="33" t="s">
        <v>2160</v>
      </c>
      <c r="L353" s="33" t="s">
        <v>2161</v>
      </c>
      <c r="M353" s="33" t="s">
        <v>2162</v>
      </c>
      <c r="N353" s="44">
        <v>42142930</v>
      </c>
      <c r="O353" s="33" t="s">
        <v>2221</v>
      </c>
      <c r="P353" s="33" t="s">
        <v>2222</v>
      </c>
      <c r="Q353" s="34" t="s">
        <v>1494</v>
      </c>
      <c r="R353" s="34" t="s">
        <v>1494</v>
      </c>
    </row>
    <row r="354" spans="1:18" ht="15" customHeight="1" x14ac:dyDescent="0.25">
      <c r="A354" t="str">
        <f>IFERROR(RANK(B354,$B:$B,1)+COUNTIF($B$1:B353,B354),"")</f>
        <v/>
      </c>
      <c r="B354" t="str">
        <f>IFERROR(SEARCH(#REF!,Table4[[#This Row],[Commodity Title]],1),"")</f>
        <v/>
      </c>
      <c r="C354" s="35">
        <v>42142931</v>
      </c>
      <c r="D354" s="33" t="s">
        <v>1495</v>
      </c>
      <c r="E354" s="33" t="s">
        <v>1496</v>
      </c>
      <c r="F354" s="33" t="s">
        <v>1497</v>
      </c>
      <c r="G354" s="33" t="s">
        <v>1736</v>
      </c>
      <c r="H354" s="33" t="s">
        <v>1737</v>
      </c>
      <c r="I354" s="33" t="s">
        <v>1738</v>
      </c>
      <c r="J354" s="33">
        <v>202437</v>
      </c>
      <c r="K354" s="33" t="s">
        <v>2160</v>
      </c>
      <c r="L354" s="33" t="s">
        <v>2161</v>
      </c>
      <c r="M354" s="33" t="s">
        <v>2162</v>
      </c>
      <c r="N354" s="44">
        <v>42142931</v>
      </c>
      <c r="O354" s="33" t="s">
        <v>2223</v>
      </c>
      <c r="P354" s="33" t="s">
        <v>2224</v>
      </c>
      <c r="Q354" s="34" t="s">
        <v>1494</v>
      </c>
      <c r="R354" s="34" t="s">
        <v>1494</v>
      </c>
    </row>
    <row r="355" spans="1:18" ht="15" customHeight="1" x14ac:dyDescent="0.25">
      <c r="A355" t="str">
        <f>IFERROR(RANK(B355,$B:$B,1)+COUNTIF($B$1:B354,B355),"")</f>
        <v/>
      </c>
      <c r="B355" t="str">
        <f>IFERROR(SEARCH(#REF!,Table4[[#This Row],[Commodity Title]],1),"")</f>
        <v/>
      </c>
      <c r="C355" s="35">
        <v>42142932</v>
      </c>
      <c r="D355" s="33" t="s">
        <v>1495</v>
      </c>
      <c r="E355" s="33" t="s">
        <v>1496</v>
      </c>
      <c r="F355" s="33" t="s">
        <v>1497</v>
      </c>
      <c r="G355" s="33" t="s">
        <v>1736</v>
      </c>
      <c r="H355" s="33" t="s">
        <v>1737</v>
      </c>
      <c r="I355" s="33" t="s">
        <v>1738</v>
      </c>
      <c r="J355" s="33">
        <v>202438</v>
      </c>
      <c r="K355" s="33" t="s">
        <v>2160</v>
      </c>
      <c r="L355" s="33" t="s">
        <v>2161</v>
      </c>
      <c r="M355" s="33" t="s">
        <v>2162</v>
      </c>
      <c r="N355" s="44">
        <v>42142932</v>
      </c>
      <c r="O355" s="33" t="s">
        <v>2225</v>
      </c>
      <c r="P355" s="33" t="s">
        <v>2226</v>
      </c>
      <c r="Q355" s="34" t="s">
        <v>1494</v>
      </c>
      <c r="R355" s="34" t="s">
        <v>1494</v>
      </c>
    </row>
    <row r="356" spans="1:18" ht="15" customHeight="1" x14ac:dyDescent="0.25">
      <c r="A356" t="str">
        <f>IFERROR(RANK(B356,$B:$B,1)+COUNTIF($B$1:B355,B356),"")</f>
        <v/>
      </c>
      <c r="B356" t="str">
        <f>IFERROR(SEARCH(#REF!,Table4[[#This Row],[Commodity Title]],1),"")</f>
        <v/>
      </c>
      <c r="C356" s="33" t="s">
        <v>1494</v>
      </c>
      <c r="D356" s="33" t="s">
        <v>1495</v>
      </c>
      <c r="E356" s="33" t="s">
        <v>1496</v>
      </c>
      <c r="F356" s="33" t="s">
        <v>1497</v>
      </c>
      <c r="G356" s="33" t="s">
        <v>1736</v>
      </c>
      <c r="H356" s="33" t="s">
        <v>1737</v>
      </c>
      <c r="I356" s="33" t="s">
        <v>1738</v>
      </c>
      <c r="J356" s="33">
        <v>142268</v>
      </c>
      <c r="K356" s="33" t="s">
        <v>2227</v>
      </c>
      <c r="L356" s="33" t="s">
        <v>2228</v>
      </c>
      <c r="M356" s="33" t="s">
        <v>2229</v>
      </c>
      <c r="N356" s="44" t="s">
        <v>1494</v>
      </c>
      <c r="O356" s="33" t="s">
        <v>1494</v>
      </c>
      <c r="P356" s="33" t="s">
        <v>1494</v>
      </c>
      <c r="Q356" s="34" t="s">
        <v>1494</v>
      </c>
      <c r="R356" s="34" t="s">
        <v>1494</v>
      </c>
    </row>
    <row r="357" spans="1:18" ht="15" customHeight="1" x14ac:dyDescent="0.25">
      <c r="A357" t="str">
        <f>IFERROR(RANK(B357,$B:$B,1)+COUNTIF($B$1:B356,B357),"")</f>
        <v/>
      </c>
      <c r="B357" t="str">
        <f>IFERROR(SEARCH(#REF!,Table4[[#This Row],[Commodity Title]],1),"")</f>
        <v/>
      </c>
      <c r="C357" s="35">
        <v>42143101</v>
      </c>
      <c r="D357" s="33" t="s">
        <v>1495</v>
      </c>
      <c r="E357" s="33" t="s">
        <v>1496</v>
      </c>
      <c r="F357" s="33" t="s">
        <v>1497</v>
      </c>
      <c r="G357" s="33" t="s">
        <v>1736</v>
      </c>
      <c r="H357" s="33" t="s">
        <v>1737</v>
      </c>
      <c r="I357" s="33" t="s">
        <v>1738</v>
      </c>
      <c r="J357" s="33">
        <v>142269</v>
      </c>
      <c r="K357" s="33" t="s">
        <v>2227</v>
      </c>
      <c r="L357" s="33" t="s">
        <v>2228</v>
      </c>
      <c r="M357" s="33" t="s">
        <v>2229</v>
      </c>
      <c r="N357" s="44">
        <v>42143101</v>
      </c>
      <c r="O357" s="33" t="s">
        <v>2230</v>
      </c>
      <c r="P357" s="33" t="s">
        <v>2231</v>
      </c>
      <c r="Q357" s="34" t="s">
        <v>1494</v>
      </c>
      <c r="R357" s="34" t="s">
        <v>1494</v>
      </c>
    </row>
    <row r="358" spans="1:18" ht="15" customHeight="1" x14ac:dyDescent="0.25">
      <c r="A358" t="str">
        <f>IFERROR(RANK(B358,$B:$B,1)+COUNTIF($B$1:B357,B358),"")</f>
        <v/>
      </c>
      <c r="B358" t="str">
        <f>IFERROR(SEARCH(#REF!,Table4[[#This Row],[Commodity Title]],1),"")</f>
        <v/>
      </c>
      <c r="C358" s="35">
        <v>42143102</v>
      </c>
      <c r="D358" s="33" t="s">
        <v>1495</v>
      </c>
      <c r="E358" s="33" t="s">
        <v>1496</v>
      </c>
      <c r="F358" s="33" t="s">
        <v>1497</v>
      </c>
      <c r="G358" s="33" t="s">
        <v>1736</v>
      </c>
      <c r="H358" s="33" t="s">
        <v>1737</v>
      </c>
      <c r="I358" s="33" t="s">
        <v>1738</v>
      </c>
      <c r="J358" s="33">
        <v>142270</v>
      </c>
      <c r="K358" s="33" t="s">
        <v>2227</v>
      </c>
      <c r="L358" s="33" t="s">
        <v>2228</v>
      </c>
      <c r="M358" s="33" t="s">
        <v>2229</v>
      </c>
      <c r="N358" s="44">
        <v>42143102</v>
      </c>
      <c r="O358" s="33" t="s">
        <v>2232</v>
      </c>
      <c r="P358" s="33" t="s">
        <v>2233</v>
      </c>
      <c r="Q358" s="34" t="s">
        <v>1494</v>
      </c>
      <c r="R358" s="34" t="s">
        <v>1494</v>
      </c>
    </row>
    <row r="359" spans="1:18" ht="15" customHeight="1" x14ac:dyDescent="0.25">
      <c r="A359" t="str">
        <f>IFERROR(RANK(B359,$B:$B,1)+COUNTIF($B$1:B358,B359),"")</f>
        <v/>
      </c>
      <c r="B359" t="str">
        <f>IFERROR(SEARCH(#REF!,Table4[[#This Row],[Commodity Title]],1),"")</f>
        <v/>
      </c>
      <c r="C359" s="35">
        <v>42143103</v>
      </c>
      <c r="D359" s="33" t="s">
        <v>1495</v>
      </c>
      <c r="E359" s="33" t="s">
        <v>1496</v>
      </c>
      <c r="F359" s="33" t="s">
        <v>1497</v>
      </c>
      <c r="G359" s="33" t="s">
        <v>1736</v>
      </c>
      <c r="H359" s="33" t="s">
        <v>1737</v>
      </c>
      <c r="I359" s="33" t="s">
        <v>1738</v>
      </c>
      <c r="J359" s="33">
        <v>142271</v>
      </c>
      <c r="K359" s="33" t="s">
        <v>2227</v>
      </c>
      <c r="L359" s="33" t="s">
        <v>2228</v>
      </c>
      <c r="M359" s="33" t="s">
        <v>2229</v>
      </c>
      <c r="N359" s="44">
        <v>42143103</v>
      </c>
      <c r="O359" s="33" t="s">
        <v>2234</v>
      </c>
      <c r="P359" s="33" t="s">
        <v>2235</v>
      </c>
      <c r="Q359" s="34" t="s">
        <v>1494</v>
      </c>
      <c r="R359" s="34" t="s">
        <v>1494</v>
      </c>
    </row>
    <row r="360" spans="1:18" ht="15" customHeight="1" x14ac:dyDescent="0.25">
      <c r="A360" t="str">
        <f>IFERROR(RANK(B360,$B:$B,1)+COUNTIF($B$1:B359,B360),"")</f>
        <v/>
      </c>
      <c r="B360" t="str">
        <f>IFERROR(SEARCH(#REF!,Table4[[#This Row],[Commodity Title]],1),"")</f>
        <v/>
      </c>
      <c r="C360" s="35">
        <v>42143104</v>
      </c>
      <c r="D360" s="33" t="s">
        <v>1495</v>
      </c>
      <c r="E360" s="33" t="s">
        <v>1496</v>
      </c>
      <c r="F360" s="33" t="s">
        <v>1497</v>
      </c>
      <c r="G360" s="33" t="s">
        <v>1736</v>
      </c>
      <c r="H360" s="33" t="s">
        <v>1737</v>
      </c>
      <c r="I360" s="33" t="s">
        <v>1738</v>
      </c>
      <c r="J360" s="33">
        <v>142272</v>
      </c>
      <c r="K360" s="33" t="s">
        <v>2227</v>
      </c>
      <c r="L360" s="33" t="s">
        <v>2228</v>
      </c>
      <c r="M360" s="33" t="s">
        <v>2229</v>
      </c>
      <c r="N360" s="44">
        <v>42143104</v>
      </c>
      <c r="O360" s="33" t="s">
        <v>2236</v>
      </c>
      <c r="P360" s="33" t="s">
        <v>2237</v>
      </c>
      <c r="Q360" s="34" t="s">
        <v>1494</v>
      </c>
      <c r="R360" s="34" t="s">
        <v>1494</v>
      </c>
    </row>
    <row r="361" spans="1:18" ht="15" customHeight="1" x14ac:dyDescent="0.25">
      <c r="A361" t="str">
        <f>IFERROR(RANK(B361,$B:$B,1)+COUNTIF($B$1:B360,B361),"")</f>
        <v/>
      </c>
      <c r="B361" t="str">
        <f>IFERROR(SEARCH(#REF!,Table4[[#This Row],[Commodity Title]],1),"")</f>
        <v/>
      </c>
      <c r="C361" s="35">
        <v>42143105</v>
      </c>
      <c r="D361" s="33" t="s">
        <v>1495</v>
      </c>
      <c r="E361" s="33" t="s">
        <v>1496</v>
      </c>
      <c r="F361" s="33" t="s">
        <v>1497</v>
      </c>
      <c r="G361" s="33" t="s">
        <v>1736</v>
      </c>
      <c r="H361" s="33" t="s">
        <v>1737</v>
      </c>
      <c r="I361" s="33" t="s">
        <v>1738</v>
      </c>
      <c r="J361" s="33">
        <v>142273</v>
      </c>
      <c r="K361" s="33" t="s">
        <v>2227</v>
      </c>
      <c r="L361" s="33" t="s">
        <v>2228</v>
      </c>
      <c r="M361" s="33" t="s">
        <v>2229</v>
      </c>
      <c r="N361" s="44">
        <v>42143105</v>
      </c>
      <c r="O361" s="33" t="s">
        <v>2238</v>
      </c>
      <c r="P361" s="33" t="s">
        <v>2239</v>
      </c>
      <c r="Q361" s="34" t="s">
        <v>1494</v>
      </c>
      <c r="R361" s="34" t="s">
        <v>1494</v>
      </c>
    </row>
    <row r="362" spans="1:18" ht="15" customHeight="1" x14ac:dyDescent="0.25">
      <c r="A362" t="str">
        <f>IFERROR(RANK(B362,$B:$B,1)+COUNTIF($B$1:B361,B362),"")</f>
        <v/>
      </c>
      <c r="B362" t="str">
        <f>IFERROR(SEARCH(#REF!,Table4[[#This Row],[Commodity Title]],1),"")</f>
        <v/>
      </c>
      <c r="C362" s="35">
        <v>42143106</v>
      </c>
      <c r="D362" s="33" t="s">
        <v>1495</v>
      </c>
      <c r="E362" s="33" t="s">
        <v>1496</v>
      </c>
      <c r="F362" s="33" t="s">
        <v>1497</v>
      </c>
      <c r="G362" s="33" t="s">
        <v>1736</v>
      </c>
      <c r="H362" s="33" t="s">
        <v>1737</v>
      </c>
      <c r="I362" s="33" t="s">
        <v>1738</v>
      </c>
      <c r="J362" s="33">
        <v>142274</v>
      </c>
      <c r="K362" s="33" t="s">
        <v>2227</v>
      </c>
      <c r="L362" s="33" t="s">
        <v>2228</v>
      </c>
      <c r="M362" s="33" t="s">
        <v>2229</v>
      </c>
      <c r="N362" s="44">
        <v>42143106</v>
      </c>
      <c r="O362" s="33" t="s">
        <v>2240</v>
      </c>
      <c r="P362" s="33" t="s">
        <v>2241</v>
      </c>
      <c r="Q362" s="34" t="s">
        <v>1494</v>
      </c>
      <c r="R362" s="34" t="s">
        <v>1494</v>
      </c>
    </row>
    <row r="363" spans="1:18" ht="15" customHeight="1" x14ac:dyDescent="0.25">
      <c r="A363" t="str">
        <f>IFERROR(RANK(B363,$B:$B,1)+COUNTIF($B$1:B362,B363),"")</f>
        <v/>
      </c>
      <c r="B363" t="str">
        <f>IFERROR(SEARCH(#REF!,Table4[[#This Row],[Commodity Title]],1),"")</f>
        <v/>
      </c>
      <c r="C363" s="35">
        <v>42143107</v>
      </c>
      <c r="D363" s="33" t="s">
        <v>1495</v>
      </c>
      <c r="E363" s="33" t="s">
        <v>1496</v>
      </c>
      <c r="F363" s="33" t="s">
        <v>1497</v>
      </c>
      <c r="G363" s="33" t="s">
        <v>1736</v>
      </c>
      <c r="H363" s="33" t="s">
        <v>1737</v>
      </c>
      <c r="I363" s="33" t="s">
        <v>1738</v>
      </c>
      <c r="J363" s="33">
        <v>174316</v>
      </c>
      <c r="K363" s="33" t="s">
        <v>2227</v>
      </c>
      <c r="L363" s="33" t="s">
        <v>2228</v>
      </c>
      <c r="M363" s="33" t="s">
        <v>2229</v>
      </c>
      <c r="N363" s="44">
        <v>42143107</v>
      </c>
      <c r="O363" s="33" t="s">
        <v>2242</v>
      </c>
      <c r="P363" s="33" t="s">
        <v>2243</v>
      </c>
      <c r="Q363" s="34" t="s">
        <v>1494</v>
      </c>
      <c r="R363" s="34" t="s">
        <v>1494</v>
      </c>
    </row>
    <row r="364" spans="1:18" ht="15" customHeight="1" x14ac:dyDescent="0.25">
      <c r="A364" t="str">
        <f>IFERROR(RANK(B364,$B:$B,1)+COUNTIF($B$1:B363,B364),"")</f>
        <v/>
      </c>
      <c r="B364" t="str">
        <f>IFERROR(SEARCH(#REF!,Table4[[#This Row],[Commodity Title]],1),"")</f>
        <v/>
      </c>
      <c r="C364" s="35">
        <v>42143108</v>
      </c>
      <c r="D364" s="33" t="s">
        <v>1495</v>
      </c>
      <c r="E364" s="33" t="s">
        <v>1496</v>
      </c>
      <c r="F364" s="33" t="s">
        <v>1497</v>
      </c>
      <c r="G364" s="33" t="s">
        <v>1736</v>
      </c>
      <c r="H364" s="33" t="s">
        <v>1737</v>
      </c>
      <c r="I364" s="33" t="s">
        <v>1738</v>
      </c>
      <c r="J364" s="33">
        <v>174317</v>
      </c>
      <c r="K364" s="33" t="s">
        <v>2227</v>
      </c>
      <c r="L364" s="33" t="s">
        <v>2228</v>
      </c>
      <c r="M364" s="33" t="s">
        <v>2229</v>
      </c>
      <c r="N364" s="44">
        <v>42143108</v>
      </c>
      <c r="O364" s="33" t="s">
        <v>2244</v>
      </c>
      <c r="P364" s="33" t="s">
        <v>2245</v>
      </c>
      <c r="Q364" s="34" t="s">
        <v>1494</v>
      </c>
      <c r="R364" s="34" t="s">
        <v>1494</v>
      </c>
    </row>
    <row r="365" spans="1:18" ht="15" customHeight="1" x14ac:dyDescent="0.25">
      <c r="A365" t="str">
        <f>IFERROR(RANK(B365,$B:$B,1)+COUNTIF($B$1:B364,B365),"")</f>
        <v/>
      </c>
      <c r="B365" t="str">
        <f>IFERROR(SEARCH(#REF!,Table4[[#This Row],[Commodity Title]],1),"")</f>
        <v/>
      </c>
      <c r="C365" s="35">
        <v>42143109</v>
      </c>
      <c r="D365" s="33" t="s">
        <v>1495</v>
      </c>
      <c r="E365" s="33" t="s">
        <v>1496</v>
      </c>
      <c r="F365" s="33" t="s">
        <v>1497</v>
      </c>
      <c r="G365" s="33" t="s">
        <v>1736</v>
      </c>
      <c r="H365" s="33" t="s">
        <v>1737</v>
      </c>
      <c r="I365" s="33" t="s">
        <v>1738</v>
      </c>
      <c r="J365" s="33">
        <v>202439</v>
      </c>
      <c r="K365" s="33" t="s">
        <v>2227</v>
      </c>
      <c r="L365" s="33" t="s">
        <v>2228</v>
      </c>
      <c r="M365" s="33" t="s">
        <v>2229</v>
      </c>
      <c r="N365" s="44">
        <v>42143109</v>
      </c>
      <c r="O365" s="33" t="s">
        <v>2246</v>
      </c>
      <c r="P365" s="33" t="s">
        <v>2247</v>
      </c>
      <c r="Q365" s="34" t="s">
        <v>1494</v>
      </c>
      <c r="R365" s="34" t="s">
        <v>1494</v>
      </c>
    </row>
    <row r="366" spans="1:18" ht="15" customHeight="1" x14ac:dyDescent="0.25">
      <c r="A366" t="str">
        <f>IFERROR(RANK(B366,$B:$B,1)+COUNTIF($B$1:B365,B366),"")</f>
        <v/>
      </c>
      <c r="B366" t="str">
        <f>IFERROR(SEARCH(#REF!,Table4[[#This Row],[Commodity Title]],1),"")</f>
        <v/>
      </c>
      <c r="C366" s="35">
        <v>42143110</v>
      </c>
      <c r="D366" s="33" t="s">
        <v>1495</v>
      </c>
      <c r="E366" s="33" t="s">
        <v>1496</v>
      </c>
      <c r="F366" s="33" t="s">
        <v>1497</v>
      </c>
      <c r="G366" s="33" t="s">
        <v>1736</v>
      </c>
      <c r="H366" s="33" t="s">
        <v>1737</v>
      </c>
      <c r="I366" s="33" t="s">
        <v>1738</v>
      </c>
      <c r="J366" s="33">
        <v>202440</v>
      </c>
      <c r="K366" s="33" t="s">
        <v>2227</v>
      </c>
      <c r="L366" s="33" t="s">
        <v>2228</v>
      </c>
      <c r="M366" s="33" t="s">
        <v>2229</v>
      </c>
      <c r="N366" s="44">
        <v>42143110</v>
      </c>
      <c r="O366" s="33" t="s">
        <v>2248</v>
      </c>
      <c r="P366" s="33" t="s">
        <v>2249</v>
      </c>
      <c r="Q366" s="34" t="s">
        <v>1494</v>
      </c>
      <c r="R366" s="34" t="s">
        <v>1494</v>
      </c>
    </row>
    <row r="367" spans="1:18" ht="15" customHeight="1" x14ac:dyDescent="0.25">
      <c r="A367" t="str">
        <f>IFERROR(RANK(B367,$B:$B,1)+COUNTIF($B$1:B366,B367),"")</f>
        <v/>
      </c>
      <c r="B367" t="str">
        <f>IFERROR(SEARCH(#REF!,Table4[[#This Row],[Commodity Title]],1),"")</f>
        <v/>
      </c>
      <c r="C367" s="35">
        <v>42143111</v>
      </c>
      <c r="D367" s="33" t="s">
        <v>1495</v>
      </c>
      <c r="E367" s="33" t="s">
        <v>1496</v>
      </c>
      <c r="F367" s="33" t="s">
        <v>1497</v>
      </c>
      <c r="G367" s="33" t="s">
        <v>1736</v>
      </c>
      <c r="H367" s="33" t="s">
        <v>1737</v>
      </c>
      <c r="I367" s="33" t="s">
        <v>1738</v>
      </c>
      <c r="J367" s="33">
        <v>202441</v>
      </c>
      <c r="K367" s="33" t="s">
        <v>2227</v>
      </c>
      <c r="L367" s="33" t="s">
        <v>2228</v>
      </c>
      <c r="M367" s="33" t="s">
        <v>2229</v>
      </c>
      <c r="N367" s="44">
        <v>42143111</v>
      </c>
      <c r="O367" s="33" t="s">
        <v>2250</v>
      </c>
      <c r="P367" s="33" t="s">
        <v>2251</v>
      </c>
      <c r="Q367" s="34" t="s">
        <v>1494</v>
      </c>
      <c r="R367" s="34" t="s">
        <v>1494</v>
      </c>
    </row>
    <row r="368" spans="1:18" ht="15" customHeight="1" x14ac:dyDescent="0.25">
      <c r="A368" t="str">
        <f>IFERROR(RANK(B368,$B:$B,1)+COUNTIF($B$1:B367,B368),"")</f>
        <v/>
      </c>
      <c r="B368" t="str">
        <f>IFERROR(SEARCH(#REF!,Table4[[#This Row],[Commodity Title]],1),"")</f>
        <v/>
      </c>
      <c r="C368" s="35">
        <v>42143112</v>
      </c>
      <c r="D368" s="33" t="s">
        <v>1495</v>
      </c>
      <c r="E368" s="33" t="s">
        <v>1496</v>
      </c>
      <c r="F368" s="33" t="s">
        <v>1497</v>
      </c>
      <c r="G368" s="33" t="s">
        <v>1736</v>
      </c>
      <c r="H368" s="33" t="s">
        <v>1737</v>
      </c>
      <c r="I368" s="33" t="s">
        <v>1738</v>
      </c>
      <c r="J368" s="33">
        <v>202442</v>
      </c>
      <c r="K368" s="33" t="s">
        <v>2227</v>
      </c>
      <c r="L368" s="33" t="s">
        <v>2228</v>
      </c>
      <c r="M368" s="33" t="s">
        <v>2229</v>
      </c>
      <c r="N368" s="44">
        <v>42143112</v>
      </c>
      <c r="O368" s="33" t="s">
        <v>2252</v>
      </c>
      <c r="P368" s="33" t="s">
        <v>2253</v>
      </c>
      <c r="Q368" s="34" t="s">
        <v>1494</v>
      </c>
      <c r="R368" s="34" t="s">
        <v>1494</v>
      </c>
    </row>
    <row r="369" spans="1:18" ht="15" customHeight="1" x14ac:dyDescent="0.25">
      <c r="A369" t="str">
        <f>IFERROR(RANK(B369,$B:$B,1)+COUNTIF($B$1:B368,B369),"")</f>
        <v/>
      </c>
      <c r="B369" t="str">
        <f>IFERROR(SEARCH(#REF!,Table4[[#This Row],[Commodity Title]],1),"")</f>
        <v/>
      </c>
      <c r="C369" s="35">
        <v>42143113</v>
      </c>
      <c r="D369" s="33" t="s">
        <v>1495</v>
      </c>
      <c r="E369" s="33" t="s">
        <v>1496</v>
      </c>
      <c r="F369" s="33" t="s">
        <v>1497</v>
      </c>
      <c r="G369" s="33" t="s">
        <v>1736</v>
      </c>
      <c r="H369" s="33" t="s">
        <v>1737</v>
      </c>
      <c r="I369" s="33" t="s">
        <v>1738</v>
      </c>
      <c r="J369" s="33">
        <v>202443</v>
      </c>
      <c r="K369" s="33" t="s">
        <v>2227</v>
      </c>
      <c r="L369" s="33" t="s">
        <v>2228</v>
      </c>
      <c r="M369" s="33" t="s">
        <v>2229</v>
      </c>
      <c r="N369" s="44">
        <v>42143113</v>
      </c>
      <c r="O369" s="33" t="s">
        <v>2254</v>
      </c>
      <c r="P369" s="33" t="s">
        <v>2255</v>
      </c>
      <c r="Q369" s="34" t="s">
        <v>1494</v>
      </c>
      <c r="R369" s="34" t="s">
        <v>1494</v>
      </c>
    </row>
    <row r="370" spans="1:18" ht="15" customHeight="1" x14ac:dyDescent="0.25">
      <c r="A370" t="str">
        <f>IFERROR(RANK(B370,$B:$B,1)+COUNTIF($B$1:B369,B370),"")</f>
        <v/>
      </c>
      <c r="B370" t="str">
        <f>IFERROR(SEARCH(#REF!,Table4[[#This Row],[Commodity Title]],1),"")</f>
        <v/>
      </c>
      <c r="C370" s="35">
        <v>42143114</v>
      </c>
      <c r="D370" s="33" t="s">
        <v>1495</v>
      </c>
      <c r="E370" s="33" t="s">
        <v>1496</v>
      </c>
      <c r="F370" s="33" t="s">
        <v>1497</v>
      </c>
      <c r="G370" s="33" t="s">
        <v>1736</v>
      </c>
      <c r="H370" s="33" t="s">
        <v>1737</v>
      </c>
      <c r="I370" s="33" t="s">
        <v>1738</v>
      </c>
      <c r="J370" s="33">
        <v>202444</v>
      </c>
      <c r="K370" s="33" t="s">
        <v>2227</v>
      </c>
      <c r="L370" s="33" t="s">
        <v>2228</v>
      </c>
      <c r="M370" s="33" t="s">
        <v>2229</v>
      </c>
      <c r="N370" s="44">
        <v>42143114</v>
      </c>
      <c r="O370" s="33" t="s">
        <v>2256</v>
      </c>
      <c r="P370" s="33" t="s">
        <v>2257</v>
      </c>
      <c r="Q370" s="34" t="s">
        <v>1494</v>
      </c>
      <c r="R370" s="34" t="s">
        <v>1494</v>
      </c>
    </row>
    <row r="371" spans="1:18" ht="15" customHeight="1" x14ac:dyDescent="0.25">
      <c r="A371" t="str">
        <f>IFERROR(RANK(B371,$B:$B,1)+COUNTIF($B$1:B370,B371),"")</f>
        <v/>
      </c>
      <c r="B371" t="str">
        <f>IFERROR(SEARCH(#REF!,Table4[[#This Row],[Commodity Title]],1),"")</f>
        <v/>
      </c>
      <c r="C371" s="35">
        <v>42143115</v>
      </c>
      <c r="D371" s="33" t="s">
        <v>1495</v>
      </c>
      <c r="E371" s="33" t="s">
        <v>1496</v>
      </c>
      <c r="F371" s="33" t="s">
        <v>1497</v>
      </c>
      <c r="G371" s="33" t="s">
        <v>1736</v>
      </c>
      <c r="H371" s="33" t="s">
        <v>1737</v>
      </c>
      <c r="I371" s="33" t="s">
        <v>1738</v>
      </c>
      <c r="J371" s="33">
        <v>202445</v>
      </c>
      <c r="K371" s="33" t="s">
        <v>2227</v>
      </c>
      <c r="L371" s="33" t="s">
        <v>2228</v>
      </c>
      <c r="M371" s="33" t="s">
        <v>2229</v>
      </c>
      <c r="N371" s="44">
        <v>42143115</v>
      </c>
      <c r="O371" s="33" t="s">
        <v>2258</v>
      </c>
      <c r="P371" s="33" t="s">
        <v>2259</v>
      </c>
      <c r="Q371" s="34" t="s">
        <v>1494</v>
      </c>
      <c r="R371" s="34" t="s">
        <v>1494</v>
      </c>
    </row>
    <row r="372" spans="1:18" ht="15" customHeight="1" x14ac:dyDescent="0.25">
      <c r="A372" t="str">
        <f>IFERROR(RANK(B372,$B:$B,1)+COUNTIF($B$1:B371,B372),"")</f>
        <v/>
      </c>
      <c r="B372" t="str">
        <f>IFERROR(SEARCH(#REF!,Table4[[#This Row],[Commodity Title]],1),"")</f>
        <v/>
      </c>
      <c r="C372" s="35">
        <v>42143116</v>
      </c>
      <c r="D372" s="33" t="s">
        <v>1495</v>
      </c>
      <c r="E372" s="33" t="s">
        <v>1496</v>
      </c>
      <c r="F372" s="33" t="s">
        <v>1497</v>
      </c>
      <c r="G372" s="33" t="s">
        <v>1736</v>
      </c>
      <c r="H372" s="33" t="s">
        <v>1737</v>
      </c>
      <c r="I372" s="33" t="s">
        <v>1738</v>
      </c>
      <c r="J372" s="33">
        <v>142488</v>
      </c>
      <c r="K372" s="33" t="s">
        <v>2227</v>
      </c>
      <c r="L372" s="33" t="s">
        <v>2228</v>
      </c>
      <c r="M372" s="33" t="s">
        <v>2229</v>
      </c>
      <c r="N372" s="44">
        <v>42143116</v>
      </c>
      <c r="O372" s="33" t="s">
        <v>2260</v>
      </c>
      <c r="P372" s="33" t="s">
        <v>2261</v>
      </c>
      <c r="Q372" s="34" t="s">
        <v>1494</v>
      </c>
      <c r="R372" s="34" t="s">
        <v>1494</v>
      </c>
    </row>
    <row r="373" spans="1:18" ht="15" customHeight="1" x14ac:dyDescent="0.25">
      <c r="A373" t="str">
        <f>IFERROR(RANK(B373,$B:$B,1)+COUNTIF($B$1:B372,B373),"")</f>
        <v/>
      </c>
      <c r="B373" t="str">
        <f>IFERROR(SEARCH(#REF!,Table4[[#This Row],[Commodity Title]],1),"")</f>
        <v/>
      </c>
      <c r="C373" s="35">
        <v>42143117</v>
      </c>
      <c r="D373" s="33" t="s">
        <v>1495</v>
      </c>
      <c r="E373" s="33" t="s">
        <v>1496</v>
      </c>
      <c r="F373" s="33" t="s">
        <v>1497</v>
      </c>
      <c r="G373" s="33" t="s">
        <v>1736</v>
      </c>
      <c r="H373" s="33" t="s">
        <v>1737</v>
      </c>
      <c r="I373" s="33" t="s">
        <v>1738</v>
      </c>
      <c r="J373" s="33">
        <v>202446</v>
      </c>
      <c r="K373" s="33" t="s">
        <v>2227</v>
      </c>
      <c r="L373" s="33" t="s">
        <v>2228</v>
      </c>
      <c r="M373" s="33" t="s">
        <v>2229</v>
      </c>
      <c r="N373" s="44">
        <v>42143117</v>
      </c>
      <c r="O373" s="33" t="s">
        <v>2262</v>
      </c>
      <c r="P373" s="33" t="s">
        <v>2263</v>
      </c>
      <c r="Q373" s="34" t="s">
        <v>1494</v>
      </c>
      <c r="R373" s="34" t="s">
        <v>1494</v>
      </c>
    </row>
    <row r="374" spans="1:18" ht="15" customHeight="1" x14ac:dyDescent="0.25">
      <c r="A374" t="str">
        <f>IFERROR(RANK(B374,$B:$B,1)+COUNTIF($B$1:B373,B374),"")</f>
        <v/>
      </c>
      <c r="B374" t="str">
        <f>IFERROR(SEARCH(#REF!,Table4[[#This Row],[Commodity Title]],1),"")</f>
        <v/>
      </c>
      <c r="C374" s="35">
        <v>42143118</v>
      </c>
      <c r="D374" s="33" t="s">
        <v>1495</v>
      </c>
      <c r="E374" s="33" t="s">
        <v>1496</v>
      </c>
      <c r="F374" s="33" t="s">
        <v>1497</v>
      </c>
      <c r="G374" s="33" t="s">
        <v>1736</v>
      </c>
      <c r="H374" s="33" t="s">
        <v>1737</v>
      </c>
      <c r="I374" s="33" t="s">
        <v>1738</v>
      </c>
      <c r="J374" s="33">
        <v>142492</v>
      </c>
      <c r="K374" s="33" t="s">
        <v>2227</v>
      </c>
      <c r="L374" s="33" t="s">
        <v>2228</v>
      </c>
      <c r="M374" s="33" t="s">
        <v>2229</v>
      </c>
      <c r="N374" s="44">
        <v>42143118</v>
      </c>
      <c r="O374" s="33" t="s">
        <v>2264</v>
      </c>
      <c r="P374" s="33" t="s">
        <v>2265</v>
      </c>
      <c r="Q374" s="34" t="s">
        <v>1494</v>
      </c>
      <c r="R374" s="34" t="s">
        <v>1494</v>
      </c>
    </row>
    <row r="375" spans="1:18" ht="15" customHeight="1" x14ac:dyDescent="0.25">
      <c r="A375" t="str">
        <f>IFERROR(RANK(B375,$B:$B,1)+COUNTIF($B$1:B374,B375),"")</f>
        <v/>
      </c>
      <c r="B375" t="str">
        <f>IFERROR(SEARCH(#REF!,Table4[[#This Row],[Commodity Title]],1),"")</f>
        <v/>
      </c>
      <c r="C375" s="35">
        <v>42143119</v>
      </c>
      <c r="D375" s="33" t="s">
        <v>1495</v>
      </c>
      <c r="E375" s="33" t="s">
        <v>1496</v>
      </c>
      <c r="F375" s="33" t="s">
        <v>1497</v>
      </c>
      <c r="G375" s="33" t="s">
        <v>1736</v>
      </c>
      <c r="H375" s="33" t="s">
        <v>1737</v>
      </c>
      <c r="I375" s="33" t="s">
        <v>1738</v>
      </c>
      <c r="J375" s="33">
        <v>202447</v>
      </c>
      <c r="K375" s="33" t="s">
        <v>2227</v>
      </c>
      <c r="L375" s="33" t="s">
        <v>2228</v>
      </c>
      <c r="M375" s="33" t="s">
        <v>2229</v>
      </c>
      <c r="N375" s="44">
        <v>42143119</v>
      </c>
      <c r="O375" s="33" t="s">
        <v>2266</v>
      </c>
      <c r="P375" s="33" t="s">
        <v>2267</v>
      </c>
      <c r="Q375" s="34" t="s">
        <v>1494</v>
      </c>
      <c r="R375" s="34" t="s">
        <v>1494</v>
      </c>
    </row>
    <row r="376" spans="1:18" ht="15" customHeight="1" x14ac:dyDescent="0.25">
      <c r="A376" t="str">
        <f>IFERROR(RANK(B376,$B:$B,1)+COUNTIF($B$1:B375,B376),"")</f>
        <v/>
      </c>
      <c r="B376" t="str">
        <f>IFERROR(SEARCH(#REF!,Table4[[#This Row],[Commodity Title]],1),"")</f>
        <v/>
      </c>
      <c r="C376" s="35">
        <v>42143120</v>
      </c>
      <c r="D376" s="33" t="s">
        <v>1495</v>
      </c>
      <c r="E376" s="33" t="s">
        <v>1496</v>
      </c>
      <c r="F376" s="33" t="s">
        <v>1497</v>
      </c>
      <c r="G376" s="33" t="s">
        <v>1736</v>
      </c>
      <c r="H376" s="33" t="s">
        <v>1737</v>
      </c>
      <c r="I376" s="33" t="s">
        <v>1738</v>
      </c>
      <c r="J376" s="33">
        <v>115320</v>
      </c>
      <c r="K376" s="33" t="s">
        <v>2227</v>
      </c>
      <c r="L376" s="33" t="s">
        <v>2228</v>
      </c>
      <c r="M376" s="33" t="s">
        <v>2229</v>
      </c>
      <c r="N376" s="44">
        <v>42143120</v>
      </c>
      <c r="O376" s="33" t="s">
        <v>2268</v>
      </c>
      <c r="P376" s="33" t="s">
        <v>2269</v>
      </c>
      <c r="Q376" s="34" t="s">
        <v>1494</v>
      </c>
      <c r="R376" s="34" t="s">
        <v>1494</v>
      </c>
    </row>
    <row r="377" spans="1:18" ht="15" customHeight="1" x14ac:dyDescent="0.25">
      <c r="A377" t="str">
        <f>IFERROR(RANK(B377,$B:$B,1)+COUNTIF($B$1:B376,B377),"")</f>
        <v/>
      </c>
      <c r="B377" t="str">
        <f>IFERROR(SEARCH(#REF!,Table4[[#This Row],[Commodity Title]],1),"")</f>
        <v/>
      </c>
      <c r="C377" s="35">
        <v>42143121</v>
      </c>
      <c r="D377" s="33" t="s">
        <v>1495</v>
      </c>
      <c r="E377" s="33" t="s">
        <v>1496</v>
      </c>
      <c r="F377" s="33" t="s">
        <v>1497</v>
      </c>
      <c r="G377" s="33" t="s">
        <v>1736</v>
      </c>
      <c r="H377" s="33" t="s">
        <v>1737</v>
      </c>
      <c r="I377" s="33" t="s">
        <v>1738</v>
      </c>
      <c r="J377" s="33">
        <v>174355</v>
      </c>
      <c r="K377" s="33" t="s">
        <v>2227</v>
      </c>
      <c r="L377" s="33" t="s">
        <v>2228</v>
      </c>
      <c r="M377" s="33" t="s">
        <v>2229</v>
      </c>
      <c r="N377" s="44">
        <v>42143121</v>
      </c>
      <c r="O377" s="33" t="s">
        <v>2270</v>
      </c>
      <c r="P377" s="33" t="s">
        <v>2271</v>
      </c>
      <c r="Q377" s="34" t="s">
        <v>1494</v>
      </c>
      <c r="R377" s="34" t="s">
        <v>1494</v>
      </c>
    </row>
    <row r="378" spans="1:18" ht="15" customHeight="1" x14ac:dyDescent="0.25">
      <c r="A378" t="str">
        <f>IFERROR(RANK(B378,$B:$B,1)+COUNTIF($B$1:B377,B378),"")</f>
        <v/>
      </c>
      <c r="B378" t="str">
        <f>IFERROR(SEARCH(#REF!,Table4[[#This Row],[Commodity Title]],1),"")</f>
        <v/>
      </c>
      <c r="C378" s="35">
        <v>42143122</v>
      </c>
      <c r="D378" s="33" t="s">
        <v>1495</v>
      </c>
      <c r="E378" s="33" t="s">
        <v>1496</v>
      </c>
      <c r="F378" s="33" t="s">
        <v>1497</v>
      </c>
      <c r="G378" s="33" t="s">
        <v>1736</v>
      </c>
      <c r="H378" s="33" t="s">
        <v>1737</v>
      </c>
      <c r="I378" s="33" t="s">
        <v>1738</v>
      </c>
      <c r="J378" s="33">
        <v>202448</v>
      </c>
      <c r="K378" s="33" t="s">
        <v>2227</v>
      </c>
      <c r="L378" s="33" t="s">
        <v>2228</v>
      </c>
      <c r="M378" s="33" t="s">
        <v>2229</v>
      </c>
      <c r="N378" s="44">
        <v>42143122</v>
      </c>
      <c r="O378" s="33" t="s">
        <v>2272</v>
      </c>
      <c r="P378" s="33" t="s">
        <v>2273</v>
      </c>
      <c r="Q378" s="34" t="s">
        <v>1494</v>
      </c>
      <c r="R378" s="34" t="s">
        <v>1494</v>
      </c>
    </row>
    <row r="379" spans="1:18" ht="15" customHeight="1" x14ac:dyDescent="0.25">
      <c r="A379" t="str">
        <f>IFERROR(RANK(B379,$B:$B,1)+COUNTIF($B$1:B378,B379),"")</f>
        <v/>
      </c>
      <c r="B379" t="str">
        <f>IFERROR(SEARCH(#REF!,Table4[[#This Row],[Commodity Title]],1),"")</f>
        <v/>
      </c>
      <c r="C379" s="35">
        <v>42143123</v>
      </c>
      <c r="D379" s="33" t="s">
        <v>1495</v>
      </c>
      <c r="E379" s="33" t="s">
        <v>1496</v>
      </c>
      <c r="F379" s="33" t="s">
        <v>1497</v>
      </c>
      <c r="G379" s="33" t="s">
        <v>1736</v>
      </c>
      <c r="H379" s="33" t="s">
        <v>1737</v>
      </c>
      <c r="I379" s="33" t="s">
        <v>1738</v>
      </c>
      <c r="J379" s="33">
        <v>174356</v>
      </c>
      <c r="K379" s="33" t="s">
        <v>2227</v>
      </c>
      <c r="L379" s="33" t="s">
        <v>2228</v>
      </c>
      <c r="M379" s="33" t="s">
        <v>2229</v>
      </c>
      <c r="N379" s="44">
        <v>42143123</v>
      </c>
      <c r="O379" s="33" t="s">
        <v>2274</v>
      </c>
      <c r="P379" s="33" t="s">
        <v>1898</v>
      </c>
      <c r="Q379" s="34" t="s">
        <v>1494</v>
      </c>
      <c r="R379" s="34" t="s">
        <v>1494</v>
      </c>
    </row>
    <row r="380" spans="1:18" ht="15" customHeight="1" x14ac:dyDescent="0.25">
      <c r="A380" t="str">
        <f>IFERROR(RANK(B380,$B:$B,1)+COUNTIF($B$1:B379,B380),"")</f>
        <v/>
      </c>
      <c r="B380" t="str">
        <f>IFERROR(SEARCH(#REF!,Table4[[#This Row],[Commodity Title]],1),"")</f>
        <v/>
      </c>
      <c r="C380" s="35">
        <v>42143124</v>
      </c>
      <c r="D380" s="33" t="s">
        <v>1495</v>
      </c>
      <c r="E380" s="33" t="s">
        <v>1496</v>
      </c>
      <c r="F380" s="33" t="s">
        <v>1497</v>
      </c>
      <c r="G380" s="33" t="s">
        <v>1736</v>
      </c>
      <c r="H380" s="33" t="s">
        <v>1737</v>
      </c>
      <c r="I380" s="33" t="s">
        <v>1738</v>
      </c>
      <c r="J380" s="33">
        <v>202449</v>
      </c>
      <c r="K380" s="33" t="s">
        <v>2227</v>
      </c>
      <c r="L380" s="33" t="s">
        <v>2228</v>
      </c>
      <c r="M380" s="33" t="s">
        <v>2229</v>
      </c>
      <c r="N380" s="44">
        <v>42143124</v>
      </c>
      <c r="O380" s="33" t="s">
        <v>2275</v>
      </c>
      <c r="P380" s="33" t="s">
        <v>2276</v>
      </c>
      <c r="Q380" s="34" t="s">
        <v>1494</v>
      </c>
      <c r="R380" s="34" t="s">
        <v>1494</v>
      </c>
    </row>
    <row r="381" spans="1:18" ht="15" customHeight="1" x14ac:dyDescent="0.25">
      <c r="A381" t="str">
        <f>IFERROR(RANK(B381,$B:$B,1)+COUNTIF($B$1:B380,B381),"")</f>
        <v/>
      </c>
      <c r="B381" t="str">
        <f>IFERROR(SEARCH(#REF!,Table4[[#This Row],[Commodity Title]],1),"")</f>
        <v/>
      </c>
      <c r="C381" s="35">
        <v>42143125</v>
      </c>
      <c r="D381" s="33" t="s">
        <v>1495</v>
      </c>
      <c r="E381" s="33" t="s">
        <v>1496</v>
      </c>
      <c r="F381" s="33" t="s">
        <v>1497</v>
      </c>
      <c r="G381" s="33" t="s">
        <v>1736</v>
      </c>
      <c r="H381" s="33" t="s">
        <v>1737</v>
      </c>
      <c r="I381" s="33" t="s">
        <v>1738</v>
      </c>
      <c r="J381" s="33">
        <v>202450</v>
      </c>
      <c r="K381" s="33" t="s">
        <v>2227</v>
      </c>
      <c r="L381" s="33" t="s">
        <v>2228</v>
      </c>
      <c r="M381" s="33" t="s">
        <v>2229</v>
      </c>
      <c r="N381" s="44">
        <v>42143125</v>
      </c>
      <c r="O381" s="33" t="s">
        <v>2277</v>
      </c>
      <c r="P381" s="33" t="s">
        <v>2278</v>
      </c>
      <c r="Q381" s="34" t="s">
        <v>1494</v>
      </c>
      <c r="R381" s="34" t="s">
        <v>1494</v>
      </c>
    </row>
    <row r="382" spans="1:18" ht="15" customHeight="1" x14ac:dyDescent="0.25">
      <c r="A382" t="str">
        <f>IFERROR(RANK(B382,$B:$B,1)+COUNTIF($B$1:B381,B382),"")</f>
        <v/>
      </c>
      <c r="B382" t="str">
        <f>IFERROR(SEARCH(#REF!,Table4[[#This Row],[Commodity Title]],1),"")</f>
        <v/>
      </c>
      <c r="C382" s="35">
        <v>42143126</v>
      </c>
      <c r="D382" s="33" t="s">
        <v>1495</v>
      </c>
      <c r="E382" s="33" t="s">
        <v>1496</v>
      </c>
      <c r="F382" s="33" t="s">
        <v>1497</v>
      </c>
      <c r="G382" s="33" t="s">
        <v>1736</v>
      </c>
      <c r="H382" s="33" t="s">
        <v>1737</v>
      </c>
      <c r="I382" s="33" t="s">
        <v>1738</v>
      </c>
      <c r="J382" s="33">
        <v>202451</v>
      </c>
      <c r="K382" s="33" t="s">
        <v>2227</v>
      </c>
      <c r="L382" s="33" t="s">
        <v>2228</v>
      </c>
      <c r="M382" s="33" t="s">
        <v>2229</v>
      </c>
      <c r="N382" s="44">
        <v>42143126</v>
      </c>
      <c r="O382" s="33" t="s">
        <v>2279</v>
      </c>
      <c r="P382" s="33" t="s">
        <v>2280</v>
      </c>
      <c r="Q382" s="34" t="s">
        <v>1494</v>
      </c>
      <c r="R382" s="34" t="s">
        <v>1494</v>
      </c>
    </row>
    <row r="383" spans="1:18" ht="15" customHeight="1" x14ac:dyDescent="0.25">
      <c r="A383" t="str">
        <f>IFERROR(RANK(B383,$B:$B,1)+COUNTIF($B$1:B382,B383),"")</f>
        <v/>
      </c>
      <c r="B383" t="str">
        <f>IFERROR(SEARCH(#REF!,Table4[[#This Row],[Commodity Title]],1),"")</f>
        <v/>
      </c>
      <c r="C383" s="35">
        <v>42143127</v>
      </c>
      <c r="D383" s="33" t="s">
        <v>1495</v>
      </c>
      <c r="E383" s="33" t="s">
        <v>1496</v>
      </c>
      <c r="F383" s="33" t="s">
        <v>1497</v>
      </c>
      <c r="G383" s="33" t="s">
        <v>1736</v>
      </c>
      <c r="H383" s="33" t="s">
        <v>1737</v>
      </c>
      <c r="I383" s="33" t="s">
        <v>1738</v>
      </c>
      <c r="J383" s="33">
        <v>202452</v>
      </c>
      <c r="K383" s="33" t="s">
        <v>2227</v>
      </c>
      <c r="L383" s="33" t="s">
        <v>2228</v>
      </c>
      <c r="M383" s="33" t="s">
        <v>2229</v>
      </c>
      <c r="N383" s="44">
        <v>42143127</v>
      </c>
      <c r="O383" s="33" t="s">
        <v>2281</v>
      </c>
      <c r="P383" s="33" t="s">
        <v>2282</v>
      </c>
      <c r="Q383" s="34" t="s">
        <v>1494</v>
      </c>
      <c r="R383" s="34" t="s">
        <v>1494</v>
      </c>
    </row>
    <row r="384" spans="1:18" ht="15" customHeight="1" x14ac:dyDescent="0.25">
      <c r="A384" t="str">
        <f>IFERROR(RANK(B384,$B:$B,1)+COUNTIF($B$1:B383,B384),"")</f>
        <v/>
      </c>
      <c r="B384" t="str">
        <f>IFERROR(SEARCH(#REF!,Table4[[#This Row],[Commodity Title]],1),"")</f>
        <v/>
      </c>
      <c r="C384" s="35">
        <v>42143128</v>
      </c>
      <c r="D384" s="33" t="s">
        <v>1495</v>
      </c>
      <c r="E384" s="33" t="s">
        <v>1496</v>
      </c>
      <c r="F384" s="33" t="s">
        <v>1497</v>
      </c>
      <c r="G384" s="33" t="s">
        <v>1736</v>
      </c>
      <c r="H384" s="33" t="s">
        <v>1737</v>
      </c>
      <c r="I384" s="33" t="s">
        <v>1738</v>
      </c>
      <c r="J384" s="33">
        <v>202453</v>
      </c>
      <c r="K384" s="33" t="s">
        <v>2227</v>
      </c>
      <c r="L384" s="33" t="s">
        <v>2228</v>
      </c>
      <c r="M384" s="33" t="s">
        <v>2229</v>
      </c>
      <c r="N384" s="44">
        <v>42143128</v>
      </c>
      <c r="O384" s="33" t="s">
        <v>2283</v>
      </c>
      <c r="P384" s="33" t="s">
        <v>2284</v>
      </c>
      <c r="Q384" s="34" t="s">
        <v>1494</v>
      </c>
      <c r="R384" s="34" t="s">
        <v>1494</v>
      </c>
    </row>
    <row r="385" spans="1:18" ht="15" customHeight="1" x14ac:dyDescent="0.25">
      <c r="A385" t="str">
        <f>IFERROR(RANK(B385,$B:$B,1)+COUNTIF($B$1:B384,B385),"")</f>
        <v/>
      </c>
      <c r="B385" t="str">
        <f>IFERROR(SEARCH(#REF!,Table4[[#This Row],[Commodity Title]],1),"")</f>
        <v/>
      </c>
      <c r="C385" s="35">
        <v>42143129</v>
      </c>
      <c r="D385" s="33" t="s">
        <v>1495</v>
      </c>
      <c r="E385" s="33" t="s">
        <v>1496</v>
      </c>
      <c r="F385" s="33" t="s">
        <v>1497</v>
      </c>
      <c r="G385" s="33" t="s">
        <v>1736</v>
      </c>
      <c r="H385" s="33" t="s">
        <v>1737</v>
      </c>
      <c r="I385" s="33" t="s">
        <v>1738</v>
      </c>
      <c r="J385" s="33">
        <v>202454</v>
      </c>
      <c r="K385" s="33" t="s">
        <v>2227</v>
      </c>
      <c r="L385" s="33" t="s">
        <v>2228</v>
      </c>
      <c r="M385" s="33" t="s">
        <v>2229</v>
      </c>
      <c r="N385" s="44">
        <v>42143129</v>
      </c>
      <c r="O385" s="33" t="s">
        <v>2285</v>
      </c>
      <c r="P385" s="33" t="s">
        <v>2286</v>
      </c>
      <c r="Q385" s="34" t="s">
        <v>1494</v>
      </c>
      <c r="R385" s="34" t="s">
        <v>1494</v>
      </c>
    </row>
    <row r="386" spans="1:18" ht="15" customHeight="1" x14ac:dyDescent="0.25">
      <c r="A386" t="str">
        <f>IFERROR(RANK(B386,$B:$B,1)+COUNTIF($B$1:B385,B386),"")</f>
        <v/>
      </c>
      <c r="B386" t="str">
        <f>IFERROR(SEARCH(#REF!,Table4[[#This Row],[Commodity Title]],1),"")</f>
        <v/>
      </c>
      <c r="C386" s="35">
        <v>42143130</v>
      </c>
      <c r="D386" s="33" t="s">
        <v>1495</v>
      </c>
      <c r="E386" s="33" t="s">
        <v>1496</v>
      </c>
      <c r="F386" s="33" t="s">
        <v>1497</v>
      </c>
      <c r="G386" s="33" t="s">
        <v>1736</v>
      </c>
      <c r="H386" s="33" t="s">
        <v>1737</v>
      </c>
      <c r="I386" s="33" t="s">
        <v>1738</v>
      </c>
      <c r="J386" s="33">
        <v>202455</v>
      </c>
      <c r="K386" s="33" t="s">
        <v>2227</v>
      </c>
      <c r="L386" s="33" t="s">
        <v>2228</v>
      </c>
      <c r="M386" s="33" t="s">
        <v>2229</v>
      </c>
      <c r="N386" s="44">
        <v>42143130</v>
      </c>
      <c r="O386" s="33" t="s">
        <v>2287</v>
      </c>
      <c r="P386" s="33" t="s">
        <v>2288</v>
      </c>
      <c r="Q386" s="34" t="s">
        <v>1494</v>
      </c>
      <c r="R386" s="34" t="s">
        <v>1494</v>
      </c>
    </row>
    <row r="387" spans="1:18" ht="15" customHeight="1" x14ac:dyDescent="0.25">
      <c r="A387" t="str">
        <f>IFERROR(RANK(B387,$B:$B,1)+COUNTIF($B$1:B386,B387),"")</f>
        <v/>
      </c>
      <c r="B387" t="str">
        <f>IFERROR(SEARCH(#REF!,Table4[[#This Row],[Commodity Title]],1),"")</f>
        <v/>
      </c>
      <c r="C387" s="35">
        <v>42143131</v>
      </c>
      <c r="D387" s="33" t="s">
        <v>1495</v>
      </c>
      <c r="E387" s="33" t="s">
        <v>1496</v>
      </c>
      <c r="F387" s="33" t="s">
        <v>1497</v>
      </c>
      <c r="G387" s="33" t="s">
        <v>1736</v>
      </c>
      <c r="H387" s="33" t="s">
        <v>1737</v>
      </c>
      <c r="I387" s="33" t="s">
        <v>1738</v>
      </c>
      <c r="J387" s="33">
        <v>202456</v>
      </c>
      <c r="K387" s="33" t="s">
        <v>2227</v>
      </c>
      <c r="L387" s="33" t="s">
        <v>2228</v>
      </c>
      <c r="M387" s="33" t="s">
        <v>2229</v>
      </c>
      <c r="N387" s="44">
        <v>42143131</v>
      </c>
      <c r="O387" s="33" t="s">
        <v>2289</v>
      </c>
      <c r="P387" s="33" t="s">
        <v>1898</v>
      </c>
      <c r="Q387" s="34" t="s">
        <v>1494</v>
      </c>
      <c r="R387" s="34" t="s">
        <v>1494</v>
      </c>
    </row>
    <row r="388" spans="1:18" ht="15" customHeight="1" x14ac:dyDescent="0.25">
      <c r="A388" t="str">
        <f>IFERROR(RANK(B388,$B:$B,1)+COUNTIF($B$1:B387,B388),"")</f>
        <v/>
      </c>
      <c r="B388" t="str">
        <f>IFERROR(SEARCH(#REF!,Table4[[#This Row],[Commodity Title]],1),"")</f>
        <v/>
      </c>
      <c r="C388" s="35">
        <v>42143132</v>
      </c>
      <c r="D388" s="33" t="s">
        <v>1495</v>
      </c>
      <c r="E388" s="33" t="s">
        <v>1496</v>
      </c>
      <c r="F388" s="33" t="s">
        <v>1497</v>
      </c>
      <c r="G388" s="33" t="s">
        <v>1736</v>
      </c>
      <c r="H388" s="33" t="s">
        <v>1737</v>
      </c>
      <c r="I388" s="33" t="s">
        <v>1738</v>
      </c>
      <c r="J388" s="33">
        <v>202457</v>
      </c>
      <c r="K388" s="33" t="s">
        <v>2227</v>
      </c>
      <c r="L388" s="33" t="s">
        <v>2228</v>
      </c>
      <c r="M388" s="33" t="s">
        <v>2229</v>
      </c>
      <c r="N388" s="44">
        <v>42143132</v>
      </c>
      <c r="O388" s="33" t="s">
        <v>2290</v>
      </c>
      <c r="P388" s="33" t="s">
        <v>2291</v>
      </c>
      <c r="Q388" s="34" t="s">
        <v>1494</v>
      </c>
      <c r="R388" s="34" t="s">
        <v>1494</v>
      </c>
    </row>
    <row r="389" spans="1:18" ht="15" customHeight="1" x14ac:dyDescent="0.25">
      <c r="A389" t="str">
        <f>IFERROR(RANK(B389,$B:$B,1)+COUNTIF($B$1:B388,B389),"")</f>
        <v/>
      </c>
      <c r="B389" t="str">
        <f>IFERROR(SEARCH(#REF!,Table4[[#This Row],[Commodity Title]],1),"")</f>
        <v/>
      </c>
      <c r="C389" s="35">
        <v>42143133</v>
      </c>
      <c r="D389" s="33" t="s">
        <v>1495</v>
      </c>
      <c r="E389" s="33" t="s">
        <v>1496</v>
      </c>
      <c r="F389" s="33" t="s">
        <v>1497</v>
      </c>
      <c r="G389" s="33" t="s">
        <v>1736</v>
      </c>
      <c r="H389" s="33" t="s">
        <v>1737</v>
      </c>
      <c r="I389" s="33" t="s">
        <v>1738</v>
      </c>
      <c r="J389" s="33">
        <v>202458</v>
      </c>
      <c r="K389" s="33" t="s">
        <v>2227</v>
      </c>
      <c r="L389" s="33" t="s">
        <v>2228</v>
      </c>
      <c r="M389" s="33" t="s">
        <v>2229</v>
      </c>
      <c r="N389" s="44">
        <v>42143133</v>
      </c>
      <c r="O389" s="33" t="s">
        <v>2292</v>
      </c>
      <c r="P389" s="33" t="s">
        <v>2293</v>
      </c>
      <c r="Q389" s="34" t="s">
        <v>1494</v>
      </c>
      <c r="R389" s="34" t="s">
        <v>1494</v>
      </c>
    </row>
    <row r="390" spans="1:18" ht="15" customHeight="1" x14ac:dyDescent="0.25">
      <c r="A390" t="str">
        <f>IFERROR(RANK(B390,$B:$B,1)+COUNTIF($B$1:B389,B390),"")</f>
        <v/>
      </c>
      <c r="B390" t="str">
        <f>IFERROR(SEARCH(#REF!,Table4[[#This Row],[Commodity Title]],1),"")</f>
        <v/>
      </c>
      <c r="C390" s="35">
        <v>42143134</v>
      </c>
      <c r="D390" s="33" t="s">
        <v>1495</v>
      </c>
      <c r="E390" s="33" t="s">
        <v>1496</v>
      </c>
      <c r="F390" s="33" t="s">
        <v>1497</v>
      </c>
      <c r="G390" s="33" t="s">
        <v>1736</v>
      </c>
      <c r="H390" s="33" t="s">
        <v>1737</v>
      </c>
      <c r="I390" s="33" t="s">
        <v>1738</v>
      </c>
      <c r="J390" s="33">
        <v>202459</v>
      </c>
      <c r="K390" s="33" t="s">
        <v>2227</v>
      </c>
      <c r="L390" s="33" t="s">
        <v>2228</v>
      </c>
      <c r="M390" s="33" t="s">
        <v>2229</v>
      </c>
      <c r="N390" s="44">
        <v>42143134</v>
      </c>
      <c r="O390" s="33" t="s">
        <v>2294</v>
      </c>
      <c r="P390" s="33" t="s">
        <v>2295</v>
      </c>
      <c r="Q390" s="34" t="s">
        <v>1494</v>
      </c>
      <c r="R390" s="34" t="s">
        <v>1494</v>
      </c>
    </row>
    <row r="391" spans="1:18" ht="15" customHeight="1" x14ac:dyDescent="0.25">
      <c r="A391" t="str">
        <f>IFERROR(RANK(B391,$B:$B,1)+COUNTIF($B$1:B390,B391),"")</f>
        <v/>
      </c>
      <c r="B391" t="str">
        <f>IFERROR(SEARCH(#REF!,Table4[[#This Row],[Commodity Title]],1),"")</f>
        <v/>
      </c>
      <c r="C391" s="35">
        <v>42143135</v>
      </c>
      <c r="D391" s="33" t="s">
        <v>1495</v>
      </c>
      <c r="E391" s="33" t="s">
        <v>1496</v>
      </c>
      <c r="F391" s="33" t="s">
        <v>1497</v>
      </c>
      <c r="G391" s="33" t="s">
        <v>1736</v>
      </c>
      <c r="H391" s="33" t="s">
        <v>1737</v>
      </c>
      <c r="I391" s="33" t="s">
        <v>1738</v>
      </c>
      <c r="J391" s="33">
        <v>145857</v>
      </c>
      <c r="K391" s="33" t="s">
        <v>2227</v>
      </c>
      <c r="L391" s="33" t="s">
        <v>2228</v>
      </c>
      <c r="M391" s="33" t="s">
        <v>2229</v>
      </c>
      <c r="N391" s="44">
        <v>42143135</v>
      </c>
      <c r="O391" s="33" t="s">
        <v>2296</v>
      </c>
      <c r="P391" s="33" t="s">
        <v>2297</v>
      </c>
      <c r="Q391" s="34" t="s">
        <v>1494</v>
      </c>
      <c r="R391" s="34" t="s">
        <v>1494</v>
      </c>
    </row>
    <row r="392" spans="1:18" ht="15" customHeight="1" x14ac:dyDescent="0.25">
      <c r="A392" t="str">
        <f>IFERROR(RANK(B392,$B:$B,1)+COUNTIF($B$1:B391,B392),"")</f>
        <v/>
      </c>
      <c r="B392" t="str">
        <f>IFERROR(SEARCH(#REF!,Table4[[#This Row],[Commodity Title]],1),"")</f>
        <v/>
      </c>
      <c r="C392" s="33" t="s">
        <v>1494</v>
      </c>
      <c r="D392" s="33" t="s">
        <v>1495</v>
      </c>
      <c r="E392" s="33" t="s">
        <v>1496</v>
      </c>
      <c r="F392" s="33" t="s">
        <v>1497</v>
      </c>
      <c r="G392" s="33" t="s">
        <v>1736</v>
      </c>
      <c r="H392" s="33" t="s">
        <v>1737</v>
      </c>
      <c r="I392" s="33" t="s">
        <v>1738</v>
      </c>
      <c r="J392" s="33">
        <v>142275</v>
      </c>
      <c r="K392" s="33" t="s">
        <v>2298</v>
      </c>
      <c r="L392" s="33" t="s">
        <v>2299</v>
      </c>
      <c r="M392" s="33" t="s">
        <v>2300</v>
      </c>
      <c r="N392" s="44" t="s">
        <v>1494</v>
      </c>
      <c r="O392" s="33" t="s">
        <v>1494</v>
      </c>
      <c r="P392" s="33" t="s">
        <v>1494</v>
      </c>
      <c r="Q392" s="34" t="s">
        <v>1494</v>
      </c>
      <c r="R392" s="34" t="s">
        <v>1494</v>
      </c>
    </row>
    <row r="393" spans="1:18" ht="15" customHeight="1" x14ac:dyDescent="0.25">
      <c r="A393" t="str">
        <f>IFERROR(RANK(B393,$B:$B,1)+COUNTIF($B$1:B392,B393),"")</f>
        <v/>
      </c>
      <c r="B393" t="str">
        <f>IFERROR(SEARCH(#REF!,Table4[[#This Row],[Commodity Title]],1),"")</f>
        <v/>
      </c>
      <c r="C393" s="35">
        <v>42143201</v>
      </c>
      <c r="D393" s="33" t="s">
        <v>1495</v>
      </c>
      <c r="E393" s="33" t="s">
        <v>1496</v>
      </c>
      <c r="F393" s="33" t="s">
        <v>1497</v>
      </c>
      <c r="G393" s="33" t="s">
        <v>1736</v>
      </c>
      <c r="H393" s="33" t="s">
        <v>1737</v>
      </c>
      <c r="I393" s="33" t="s">
        <v>1738</v>
      </c>
      <c r="J393" s="33">
        <v>142276</v>
      </c>
      <c r="K393" s="33" t="s">
        <v>2298</v>
      </c>
      <c r="L393" s="33" t="s">
        <v>2299</v>
      </c>
      <c r="M393" s="33" t="s">
        <v>2300</v>
      </c>
      <c r="N393" s="44">
        <v>42143201</v>
      </c>
      <c r="O393" s="33" t="s">
        <v>2301</v>
      </c>
      <c r="P393" s="33" t="s">
        <v>2302</v>
      </c>
      <c r="Q393" s="34" t="s">
        <v>1494</v>
      </c>
      <c r="R393" s="34" t="s">
        <v>1494</v>
      </c>
    </row>
    <row r="394" spans="1:18" ht="15" customHeight="1" x14ac:dyDescent="0.25">
      <c r="A394" t="str">
        <f>IFERROR(RANK(B394,$B:$B,1)+COUNTIF($B$1:B393,B394),"")</f>
        <v/>
      </c>
      <c r="B394" t="str">
        <f>IFERROR(SEARCH(#REF!,Table4[[#This Row],[Commodity Title]],1),"")</f>
        <v/>
      </c>
      <c r="C394" s="35">
        <v>42143203</v>
      </c>
      <c r="D394" s="33" t="s">
        <v>1495</v>
      </c>
      <c r="E394" s="33" t="s">
        <v>1496</v>
      </c>
      <c r="F394" s="33" t="s">
        <v>1497</v>
      </c>
      <c r="G394" s="33" t="s">
        <v>1736</v>
      </c>
      <c r="H394" s="33" t="s">
        <v>1737</v>
      </c>
      <c r="I394" s="33" t="s">
        <v>1738</v>
      </c>
      <c r="J394" s="33">
        <v>164854</v>
      </c>
      <c r="K394" s="33" t="s">
        <v>2298</v>
      </c>
      <c r="L394" s="33" t="s">
        <v>2299</v>
      </c>
      <c r="M394" s="33" t="s">
        <v>2300</v>
      </c>
      <c r="N394" s="44">
        <v>42143203</v>
      </c>
      <c r="O394" s="33" t="s">
        <v>2303</v>
      </c>
      <c r="P394" s="33" t="s">
        <v>2304</v>
      </c>
      <c r="Q394" s="34" t="s">
        <v>1494</v>
      </c>
      <c r="R394" s="34" t="s">
        <v>1494</v>
      </c>
    </row>
    <row r="395" spans="1:18" ht="15" customHeight="1" x14ac:dyDescent="0.25">
      <c r="A395" t="str">
        <f>IFERROR(RANK(B395,$B:$B,1)+COUNTIF($B$1:B394,B395),"")</f>
        <v/>
      </c>
      <c r="B395" t="str">
        <f>IFERROR(SEARCH(#REF!,Table4[[#This Row],[Commodity Title]],1),"")</f>
        <v/>
      </c>
      <c r="C395" s="35">
        <v>42143204</v>
      </c>
      <c r="D395" s="33" t="s">
        <v>1495</v>
      </c>
      <c r="E395" s="33" t="s">
        <v>1496</v>
      </c>
      <c r="F395" s="33" t="s">
        <v>1497</v>
      </c>
      <c r="G395" s="33" t="s">
        <v>1736</v>
      </c>
      <c r="H395" s="33" t="s">
        <v>1737</v>
      </c>
      <c r="I395" s="33" t="s">
        <v>1738</v>
      </c>
      <c r="J395" s="33">
        <v>164855</v>
      </c>
      <c r="K395" s="33" t="s">
        <v>2298</v>
      </c>
      <c r="L395" s="33" t="s">
        <v>2299</v>
      </c>
      <c r="M395" s="33" t="s">
        <v>2300</v>
      </c>
      <c r="N395" s="44">
        <v>42143204</v>
      </c>
      <c r="O395" s="33" t="s">
        <v>2305</v>
      </c>
      <c r="P395" s="33" t="s">
        <v>2306</v>
      </c>
      <c r="Q395" s="34" t="s">
        <v>1494</v>
      </c>
      <c r="R395" s="34" t="s">
        <v>1494</v>
      </c>
    </row>
    <row r="396" spans="1:18" ht="15" customHeight="1" x14ac:dyDescent="0.25">
      <c r="A396" t="str">
        <f>IFERROR(RANK(B396,$B:$B,1)+COUNTIF($B$1:B395,B396),"")</f>
        <v/>
      </c>
      <c r="B396" t="str">
        <f>IFERROR(SEARCH(#REF!,Table4[[#This Row],[Commodity Title]],1),"")</f>
        <v/>
      </c>
      <c r="C396" s="35">
        <v>42143205</v>
      </c>
      <c r="D396" s="33" t="s">
        <v>1495</v>
      </c>
      <c r="E396" s="33" t="s">
        <v>1496</v>
      </c>
      <c r="F396" s="33" t="s">
        <v>1497</v>
      </c>
      <c r="G396" s="33" t="s">
        <v>1736</v>
      </c>
      <c r="H396" s="33" t="s">
        <v>1737</v>
      </c>
      <c r="I396" s="33" t="s">
        <v>1738</v>
      </c>
      <c r="J396" s="33">
        <v>202460</v>
      </c>
      <c r="K396" s="33" t="s">
        <v>2298</v>
      </c>
      <c r="L396" s="33" t="s">
        <v>2299</v>
      </c>
      <c r="M396" s="33" t="s">
        <v>2300</v>
      </c>
      <c r="N396" s="44">
        <v>42143205</v>
      </c>
      <c r="O396" s="33" t="s">
        <v>2307</v>
      </c>
      <c r="P396" s="33" t="s">
        <v>2308</v>
      </c>
      <c r="Q396" s="34" t="s">
        <v>1494</v>
      </c>
      <c r="R396" s="34" t="s">
        <v>1494</v>
      </c>
    </row>
    <row r="397" spans="1:18" ht="15" customHeight="1" x14ac:dyDescent="0.25">
      <c r="A397" t="str">
        <f>IFERROR(RANK(B397,$B:$B,1)+COUNTIF($B$1:B396,B397),"")</f>
        <v/>
      </c>
      <c r="B397" t="str">
        <f>IFERROR(SEARCH(#REF!,Table4[[#This Row],[Commodity Title]],1),"")</f>
        <v/>
      </c>
      <c r="C397" s="35">
        <v>42143206</v>
      </c>
      <c r="D397" s="33" t="s">
        <v>1495</v>
      </c>
      <c r="E397" s="33" t="s">
        <v>1496</v>
      </c>
      <c r="F397" s="33" t="s">
        <v>1497</v>
      </c>
      <c r="G397" s="33" t="s">
        <v>1736</v>
      </c>
      <c r="H397" s="33" t="s">
        <v>1737</v>
      </c>
      <c r="I397" s="33" t="s">
        <v>1738</v>
      </c>
      <c r="J397" s="33">
        <v>202461</v>
      </c>
      <c r="K397" s="33" t="s">
        <v>2298</v>
      </c>
      <c r="L397" s="33" t="s">
        <v>2299</v>
      </c>
      <c r="M397" s="33" t="s">
        <v>2300</v>
      </c>
      <c r="N397" s="44">
        <v>42143206</v>
      </c>
      <c r="O397" s="33" t="s">
        <v>2309</v>
      </c>
      <c r="P397" s="33" t="s">
        <v>2310</v>
      </c>
      <c r="Q397" s="34" t="s">
        <v>1494</v>
      </c>
      <c r="R397" s="34" t="s">
        <v>1494</v>
      </c>
    </row>
    <row r="398" spans="1:18" ht="15" customHeight="1" x14ac:dyDescent="0.25">
      <c r="A398" t="str">
        <f>IFERROR(RANK(B398,$B:$B,1)+COUNTIF($B$1:B397,B398),"")</f>
        <v/>
      </c>
      <c r="B398" t="str">
        <f>IFERROR(SEARCH(#REF!,Table4[[#This Row],[Commodity Title]],1),"")</f>
        <v/>
      </c>
      <c r="C398" s="35">
        <v>42143207</v>
      </c>
      <c r="D398" s="33" t="s">
        <v>1495</v>
      </c>
      <c r="E398" s="33" t="s">
        <v>1496</v>
      </c>
      <c r="F398" s="33" t="s">
        <v>1497</v>
      </c>
      <c r="G398" s="33" t="s">
        <v>1736</v>
      </c>
      <c r="H398" s="33" t="s">
        <v>1737</v>
      </c>
      <c r="I398" s="33" t="s">
        <v>1738</v>
      </c>
      <c r="J398" s="33">
        <v>202462</v>
      </c>
      <c r="K398" s="33" t="s">
        <v>2298</v>
      </c>
      <c r="L398" s="33" t="s">
        <v>2299</v>
      </c>
      <c r="M398" s="33" t="s">
        <v>2300</v>
      </c>
      <c r="N398" s="44">
        <v>42143207</v>
      </c>
      <c r="O398" s="33" t="s">
        <v>2311</v>
      </c>
      <c r="P398" s="33" t="s">
        <v>2312</v>
      </c>
      <c r="Q398" s="34" t="s">
        <v>1494</v>
      </c>
      <c r="R398" s="34" t="s">
        <v>1494</v>
      </c>
    </row>
    <row r="399" spans="1:18" ht="15" customHeight="1" x14ac:dyDescent="0.25">
      <c r="A399" t="str">
        <f>IFERROR(RANK(B399,$B:$B,1)+COUNTIF($B$1:B398,B399),"")</f>
        <v/>
      </c>
      <c r="B399" t="str">
        <f>IFERROR(SEARCH(#REF!,Table4[[#This Row],[Commodity Title]],1),"")</f>
        <v/>
      </c>
      <c r="C399" s="35">
        <v>42143208</v>
      </c>
      <c r="D399" s="33" t="s">
        <v>1495</v>
      </c>
      <c r="E399" s="33" t="s">
        <v>1496</v>
      </c>
      <c r="F399" s="33" t="s">
        <v>1497</v>
      </c>
      <c r="G399" s="33" t="s">
        <v>1736</v>
      </c>
      <c r="H399" s="33" t="s">
        <v>1737</v>
      </c>
      <c r="I399" s="33" t="s">
        <v>1738</v>
      </c>
      <c r="J399" s="33">
        <v>202463</v>
      </c>
      <c r="K399" s="33" t="s">
        <v>2298</v>
      </c>
      <c r="L399" s="33" t="s">
        <v>2299</v>
      </c>
      <c r="M399" s="33" t="s">
        <v>2300</v>
      </c>
      <c r="N399" s="44">
        <v>42143208</v>
      </c>
      <c r="O399" s="33" t="s">
        <v>2313</v>
      </c>
      <c r="P399" s="33" t="s">
        <v>2314</v>
      </c>
      <c r="Q399" s="34" t="s">
        <v>1494</v>
      </c>
      <c r="R399" s="34" t="s">
        <v>1494</v>
      </c>
    </row>
    <row r="400" spans="1:18" ht="15" customHeight="1" x14ac:dyDescent="0.25">
      <c r="A400" t="str">
        <f>IFERROR(RANK(B400,$B:$B,1)+COUNTIF($B$1:B399,B400),"")</f>
        <v/>
      </c>
      <c r="B400" t="str">
        <f>IFERROR(SEARCH(#REF!,Table4[[#This Row],[Commodity Title]],1),"")</f>
        <v/>
      </c>
      <c r="C400" s="35">
        <v>42143209</v>
      </c>
      <c r="D400" s="33" t="s">
        <v>1495</v>
      </c>
      <c r="E400" s="33" t="s">
        <v>1496</v>
      </c>
      <c r="F400" s="33" t="s">
        <v>1497</v>
      </c>
      <c r="G400" s="33" t="s">
        <v>1736</v>
      </c>
      <c r="H400" s="33" t="s">
        <v>1737</v>
      </c>
      <c r="I400" s="33" t="s">
        <v>1738</v>
      </c>
      <c r="J400" s="33">
        <v>202464</v>
      </c>
      <c r="K400" s="33" t="s">
        <v>2298</v>
      </c>
      <c r="L400" s="33" t="s">
        <v>2299</v>
      </c>
      <c r="M400" s="33" t="s">
        <v>2300</v>
      </c>
      <c r="N400" s="44">
        <v>42143209</v>
      </c>
      <c r="O400" s="33" t="s">
        <v>2315</v>
      </c>
      <c r="P400" s="33" t="s">
        <v>2316</v>
      </c>
      <c r="Q400" s="34" t="s">
        <v>1494</v>
      </c>
      <c r="R400" s="34" t="s">
        <v>1494</v>
      </c>
    </row>
    <row r="401" spans="1:18" ht="15" customHeight="1" x14ac:dyDescent="0.25">
      <c r="A401" t="str">
        <f>IFERROR(RANK(B401,$B:$B,1)+COUNTIF($B$1:B400,B401),"")</f>
        <v/>
      </c>
      <c r="B401" t="str">
        <f>IFERROR(SEARCH(#REF!,Table4[[#This Row],[Commodity Title]],1),"")</f>
        <v/>
      </c>
      <c r="C401" s="35">
        <v>42143210</v>
      </c>
      <c r="D401" s="33" t="s">
        <v>1495</v>
      </c>
      <c r="E401" s="33" t="s">
        <v>1496</v>
      </c>
      <c r="F401" s="33" t="s">
        <v>1497</v>
      </c>
      <c r="G401" s="33" t="s">
        <v>1736</v>
      </c>
      <c r="H401" s="33" t="s">
        <v>1737</v>
      </c>
      <c r="I401" s="33" t="s">
        <v>1738</v>
      </c>
      <c r="J401" s="33">
        <v>202465</v>
      </c>
      <c r="K401" s="33" t="s">
        <v>2298</v>
      </c>
      <c r="L401" s="33" t="s">
        <v>2299</v>
      </c>
      <c r="M401" s="33" t="s">
        <v>2300</v>
      </c>
      <c r="N401" s="44">
        <v>42143210</v>
      </c>
      <c r="O401" s="33" t="s">
        <v>2317</v>
      </c>
      <c r="P401" s="33" t="s">
        <v>2318</v>
      </c>
      <c r="Q401" s="34" t="s">
        <v>1494</v>
      </c>
      <c r="R401" s="34" t="s">
        <v>1494</v>
      </c>
    </row>
    <row r="402" spans="1:18" ht="15" customHeight="1" x14ac:dyDescent="0.25">
      <c r="A402" t="str">
        <f>IFERROR(RANK(B402,$B:$B,1)+COUNTIF($B$1:B401,B402),"")</f>
        <v/>
      </c>
      <c r="B402" t="str">
        <f>IFERROR(SEARCH(#REF!,Table4[[#This Row],[Commodity Title]],1),"")</f>
        <v/>
      </c>
      <c r="C402" s="35">
        <v>42143211</v>
      </c>
      <c r="D402" s="33" t="s">
        <v>1495</v>
      </c>
      <c r="E402" s="33" t="s">
        <v>1496</v>
      </c>
      <c r="F402" s="33" t="s">
        <v>1497</v>
      </c>
      <c r="G402" s="33" t="s">
        <v>1736</v>
      </c>
      <c r="H402" s="33" t="s">
        <v>1737</v>
      </c>
      <c r="I402" s="33" t="s">
        <v>1738</v>
      </c>
      <c r="J402" s="33">
        <v>202466</v>
      </c>
      <c r="K402" s="33" t="s">
        <v>2298</v>
      </c>
      <c r="L402" s="33" t="s">
        <v>2299</v>
      </c>
      <c r="M402" s="33" t="s">
        <v>2300</v>
      </c>
      <c r="N402" s="44">
        <v>42143211</v>
      </c>
      <c r="O402" s="33" t="s">
        <v>2319</v>
      </c>
      <c r="P402" s="33" t="s">
        <v>2320</v>
      </c>
      <c r="Q402" s="34" t="s">
        <v>1494</v>
      </c>
      <c r="R402" s="34" t="s">
        <v>1494</v>
      </c>
    </row>
    <row r="403" spans="1:18" ht="15" customHeight="1" x14ac:dyDescent="0.25">
      <c r="A403" t="str">
        <f>IFERROR(RANK(B403,$B:$B,1)+COUNTIF($B$1:B402,B403),"")</f>
        <v/>
      </c>
      <c r="B403" t="str">
        <f>IFERROR(SEARCH(#REF!,Table4[[#This Row],[Commodity Title]],1),"")</f>
        <v/>
      </c>
      <c r="C403" s="35">
        <v>42143212</v>
      </c>
      <c r="D403" s="33" t="s">
        <v>1495</v>
      </c>
      <c r="E403" s="33" t="s">
        <v>1496</v>
      </c>
      <c r="F403" s="33" t="s">
        <v>1497</v>
      </c>
      <c r="G403" s="33" t="s">
        <v>1736</v>
      </c>
      <c r="H403" s="33" t="s">
        <v>1737</v>
      </c>
      <c r="I403" s="33" t="s">
        <v>1738</v>
      </c>
      <c r="J403" s="33">
        <v>202467</v>
      </c>
      <c r="K403" s="33" t="s">
        <v>2298</v>
      </c>
      <c r="L403" s="33" t="s">
        <v>2299</v>
      </c>
      <c r="M403" s="33" t="s">
        <v>2300</v>
      </c>
      <c r="N403" s="44">
        <v>42143212</v>
      </c>
      <c r="O403" s="33" t="s">
        <v>2321</v>
      </c>
      <c r="P403" s="33" t="s">
        <v>2322</v>
      </c>
      <c r="Q403" s="34" t="s">
        <v>1494</v>
      </c>
      <c r="R403" s="34" t="s">
        <v>1494</v>
      </c>
    </row>
    <row r="404" spans="1:18" ht="15" customHeight="1" x14ac:dyDescent="0.25">
      <c r="A404" t="str">
        <f>IFERROR(RANK(B404,$B:$B,1)+COUNTIF($B$1:B403,B404),"")</f>
        <v/>
      </c>
      <c r="B404" t="str">
        <f>IFERROR(SEARCH(#REF!,Table4[[#This Row],[Commodity Title]],1),"")</f>
        <v/>
      </c>
      <c r="C404" s="35">
        <v>42143213</v>
      </c>
      <c r="D404" s="33" t="s">
        <v>1495</v>
      </c>
      <c r="E404" s="33" t="s">
        <v>1496</v>
      </c>
      <c r="F404" s="33" t="s">
        <v>1497</v>
      </c>
      <c r="G404" s="33" t="s">
        <v>1736</v>
      </c>
      <c r="H404" s="33" t="s">
        <v>1737</v>
      </c>
      <c r="I404" s="33" t="s">
        <v>1738</v>
      </c>
      <c r="J404" s="33">
        <v>202468</v>
      </c>
      <c r="K404" s="33" t="s">
        <v>2298</v>
      </c>
      <c r="L404" s="33" t="s">
        <v>2299</v>
      </c>
      <c r="M404" s="33" t="s">
        <v>2300</v>
      </c>
      <c r="N404" s="44">
        <v>42143213</v>
      </c>
      <c r="O404" s="33" t="s">
        <v>2323</v>
      </c>
      <c r="P404" s="33" t="s">
        <v>2324</v>
      </c>
      <c r="Q404" s="34" t="s">
        <v>1494</v>
      </c>
      <c r="R404" s="34" t="s">
        <v>1494</v>
      </c>
    </row>
    <row r="405" spans="1:18" ht="15" customHeight="1" x14ac:dyDescent="0.25">
      <c r="A405" t="str">
        <f>IFERROR(RANK(B405,$B:$B,1)+COUNTIF($B$1:B404,B405),"")</f>
        <v/>
      </c>
      <c r="B405" t="str">
        <f>IFERROR(SEARCH(#REF!,Table4[[#This Row],[Commodity Title]],1),"")</f>
        <v/>
      </c>
      <c r="C405" s="33" t="s">
        <v>1494</v>
      </c>
      <c r="D405" s="33" t="s">
        <v>1495</v>
      </c>
      <c r="E405" s="33" t="s">
        <v>1496</v>
      </c>
      <c r="F405" s="33" t="s">
        <v>1497</v>
      </c>
      <c r="G405" s="33" t="s">
        <v>1736</v>
      </c>
      <c r="H405" s="33" t="s">
        <v>1737</v>
      </c>
      <c r="I405" s="33" t="s">
        <v>1738</v>
      </c>
      <c r="J405" s="33">
        <v>142278</v>
      </c>
      <c r="K405" s="33" t="s">
        <v>2325</v>
      </c>
      <c r="L405" s="33" t="s">
        <v>2326</v>
      </c>
      <c r="M405" s="33" t="s">
        <v>2327</v>
      </c>
      <c r="N405" s="44" t="s">
        <v>1494</v>
      </c>
      <c r="O405" s="33" t="s">
        <v>1494</v>
      </c>
      <c r="P405" s="33" t="s">
        <v>1494</v>
      </c>
      <c r="Q405" s="34" t="s">
        <v>1494</v>
      </c>
      <c r="R405" s="34" t="s">
        <v>1494</v>
      </c>
    </row>
    <row r="406" spans="1:18" ht="15" customHeight="1" x14ac:dyDescent="0.25">
      <c r="A406" t="str">
        <f>IFERROR(RANK(B406,$B:$B,1)+COUNTIF($B$1:B405,B406),"")</f>
        <v/>
      </c>
      <c r="B406" t="str">
        <f>IFERROR(SEARCH(#REF!,Table4[[#This Row],[Commodity Title]],1),"")</f>
        <v/>
      </c>
      <c r="C406" s="35">
        <v>42143301</v>
      </c>
      <c r="D406" s="33" t="s">
        <v>1495</v>
      </c>
      <c r="E406" s="33" t="s">
        <v>1496</v>
      </c>
      <c r="F406" s="33" t="s">
        <v>1497</v>
      </c>
      <c r="G406" s="33" t="s">
        <v>1736</v>
      </c>
      <c r="H406" s="33" t="s">
        <v>1737</v>
      </c>
      <c r="I406" s="33" t="s">
        <v>1738</v>
      </c>
      <c r="J406" s="33">
        <v>142279</v>
      </c>
      <c r="K406" s="33" t="s">
        <v>2325</v>
      </c>
      <c r="L406" s="33" t="s">
        <v>2326</v>
      </c>
      <c r="M406" s="33" t="s">
        <v>2327</v>
      </c>
      <c r="N406" s="44">
        <v>42143301</v>
      </c>
      <c r="O406" s="33" t="s">
        <v>2328</v>
      </c>
      <c r="P406" s="33" t="s">
        <v>2329</v>
      </c>
      <c r="Q406" s="34" t="s">
        <v>1494</v>
      </c>
      <c r="R406" s="34" t="s">
        <v>1494</v>
      </c>
    </row>
    <row r="407" spans="1:18" ht="15" customHeight="1" x14ac:dyDescent="0.25">
      <c r="A407" t="str">
        <f>IFERROR(RANK(B407,$B:$B,1)+COUNTIF($B$1:B406,B407),"")</f>
        <v/>
      </c>
      <c r="B407" t="str">
        <f>IFERROR(SEARCH(#REF!,Table4[[#This Row],[Commodity Title]],1),"")</f>
        <v/>
      </c>
      <c r="C407" s="35">
        <v>42143302</v>
      </c>
      <c r="D407" s="33" t="s">
        <v>1495</v>
      </c>
      <c r="E407" s="33" t="s">
        <v>1496</v>
      </c>
      <c r="F407" s="33" t="s">
        <v>1497</v>
      </c>
      <c r="G407" s="33" t="s">
        <v>1736</v>
      </c>
      <c r="H407" s="33" t="s">
        <v>1737</v>
      </c>
      <c r="I407" s="33" t="s">
        <v>1738</v>
      </c>
      <c r="J407" s="33">
        <v>174318</v>
      </c>
      <c r="K407" s="33" t="s">
        <v>2325</v>
      </c>
      <c r="L407" s="33" t="s">
        <v>2326</v>
      </c>
      <c r="M407" s="33" t="s">
        <v>2327</v>
      </c>
      <c r="N407" s="44">
        <v>42143302</v>
      </c>
      <c r="O407" s="33" t="s">
        <v>2330</v>
      </c>
      <c r="P407" s="33" t="s">
        <v>2331</v>
      </c>
      <c r="Q407" s="34" t="s">
        <v>1494</v>
      </c>
      <c r="R407" s="34" t="s">
        <v>1494</v>
      </c>
    </row>
    <row r="408" spans="1:18" ht="15" customHeight="1" x14ac:dyDescent="0.25">
      <c r="A408" t="str">
        <f>IFERROR(RANK(B408,$B:$B,1)+COUNTIF($B$1:B407,B408),"")</f>
        <v/>
      </c>
      <c r="B408" t="str">
        <f>IFERROR(SEARCH(#REF!,Table4[[#This Row],[Commodity Title]],1),"")</f>
        <v/>
      </c>
      <c r="C408" s="35">
        <v>42143303</v>
      </c>
      <c r="D408" s="33" t="s">
        <v>1495</v>
      </c>
      <c r="E408" s="33" t="s">
        <v>1496</v>
      </c>
      <c r="F408" s="33" t="s">
        <v>1497</v>
      </c>
      <c r="G408" s="33" t="s">
        <v>1736</v>
      </c>
      <c r="H408" s="33" t="s">
        <v>1737</v>
      </c>
      <c r="I408" s="33" t="s">
        <v>1738</v>
      </c>
      <c r="J408" s="33">
        <v>174319</v>
      </c>
      <c r="K408" s="33" t="s">
        <v>2325</v>
      </c>
      <c r="L408" s="33" t="s">
        <v>2326</v>
      </c>
      <c r="M408" s="33" t="s">
        <v>2327</v>
      </c>
      <c r="N408" s="44">
        <v>42143303</v>
      </c>
      <c r="O408" s="33" t="s">
        <v>2332</v>
      </c>
      <c r="P408" s="33" t="s">
        <v>2333</v>
      </c>
      <c r="Q408" s="34" t="s">
        <v>1494</v>
      </c>
      <c r="R408" s="34" t="s">
        <v>1494</v>
      </c>
    </row>
    <row r="409" spans="1:18" ht="15" customHeight="1" x14ac:dyDescent="0.25">
      <c r="A409" t="str">
        <f>IFERROR(RANK(B409,$B:$B,1)+COUNTIF($B$1:B408,B409),"")</f>
        <v/>
      </c>
      <c r="B409" t="str">
        <f>IFERROR(SEARCH(#REF!,Table4[[#This Row],[Commodity Title]],1),"")</f>
        <v/>
      </c>
      <c r="C409" s="35">
        <v>42143304</v>
      </c>
      <c r="D409" s="33" t="s">
        <v>1495</v>
      </c>
      <c r="E409" s="33" t="s">
        <v>1496</v>
      </c>
      <c r="F409" s="33" t="s">
        <v>1497</v>
      </c>
      <c r="G409" s="33" t="s">
        <v>1736</v>
      </c>
      <c r="H409" s="33" t="s">
        <v>1737</v>
      </c>
      <c r="I409" s="33" t="s">
        <v>1738</v>
      </c>
      <c r="J409" s="33">
        <v>178075</v>
      </c>
      <c r="K409" s="33" t="s">
        <v>2325</v>
      </c>
      <c r="L409" s="33" t="s">
        <v>2326</v>
      </c>
      <c r="M409" s="33" t="s">
        <v>2327</v>
      </c>
      <c r="N409" s="44">
        <v>42143304</v>
      </c>
      <c r="O409" s="33" t="s">
        <v>2334</v>
      </c>
      <c r="P409" s="33" t="s">
        <v>2335</v>
      </c>
      <c r="Q409" s="34" t="s">
        <v>1494</v>
      </c>
      <c r="R409" s="34" t="s">
        <v>1494</v>
      </c>
    </row>
    <row r="410" spans="1:18" ht="15" customHeight="1" x14ac:dyDescent="0.25">
      <c r="A410" t="str">
        <f>IFERROR(RANK(B410,$B:$B,1)+COUNTIF($B$1:B409,B410),"")</f>
        <v/>
      </c>
      <c r="B410" t="str">
        <f>IFERROR(SEARCH(#REF!,Table4[[#This Row],[Commodity Title]],1),"")</f>
        <v/>
      </c>
      <c r="C410" s="35">
        <v>42143305</v>
      </c>
      <c r="D410" s="33" t="s">
        <v>1495</v>
      </c>
      <c r="E410" s="33" t="s">
        <v>1496</v>
      </c>
      <c r="F410" s="33" t="s">
        <v>1497</v>
      </c>
      <c r="G410" s="33" t="s">
        <v>1736</v>
      </c>
      <c r="H410" s="33" t="s">
        <v>1737</v>
      </c>
      <c r="I410" s="33" t="s">
        <v>1738</v>
      </c>
      <c r="J410" s="33">
        <v>202469</v>
      </c>
      <c r="K410" s="33" t="s">
        <v>2325</v>
      </c>
      <c r="L410" s="33" t="s">
        <v>2326</v>
      </c>
      <c r="M410" s="33" t="s">
        <v>2327</v>
      </c>
      <c r="N410" s="44">
        <v>42143305</v>
      </c>
      <c r="O410" s="33" t="s">
        <v>2336</v>
      </c>
      <c r="P410" s="33" t="s">
        <v>2337</v>
      </c>
      <c r="Q410" s="34" t="s">
        <v>1494</v>
      </c>
      <c r="R410" s="34" t="s">
        <v>1494</v>
      </c>
    </row>
    <row r="411" spans="1:18" ht="15" customHeight="1" x14ac:dyDescent="0.25">
      <c r="A411" t="str">
        <f>IFERROR(RANK(B411,$B:$B,1)+COUNTIF($B$1:B410,B411),"")</f>
        <v/>
      </c>
      <c r="B411" t="str">
        <f>IFERROR(SEARCH(#REF!,Table4[[#This Row],[Commodity Title]],1),"")</f>
        <v/>
      </c>
      <c r="C411" s="35">
        <v>42143306</v>
      </c>
      <c r="D411" s="33" t="s">
        <v>1495</v>
      </c>
      <c r="E411" s="33" t="s">
        <v>1496</v>
      </c>
      <c r="F411" s="33" t="s">
        <v>1497</v>
      </c>
      <c r="G411" s="33" t="s">
        <v>1736</v>
      </c>
      <c r="H411" s="33" t="s">
        <v>1737</v>
      </c>
      <c r="I411" s="33" t="s">
        <v>1738</v>
      </c>
      <c r="J411" s="33">
        <v>202470</v>
      </c>
      <c r="K411" s="33" t="s">
        <v>2325</v>
      </c>
      <c r="L411" s="33" t="s">
        <v>2326</v>
      </c>
      <c r="M411" s="33" t="s">
        <v>2327</v>
      </c>
      <c r="N411" s="44">
        <v>42143306</v>
      </c>
      <c r="O411" s="33" t="s">
        <v>2338</v>
      </c>
      <c r="P411" s="33" t="s">
        <v>2339</v>
      </c>
      <c r="Q411" s="34" t="s">
        <v>1494</v>
      </c>
      <c r="R411" s="34" t="s">
        <v>1494</v>
      </c>
    </row>
    <row r="412" spans="1:18" ht="15" customHeight="1" x14ac:dyDescent="0.25">
      <c r="A412" t="str">
        <f>IFERROR(RANK(B412,$B:$B,1)+COUNTIF($B$1:B411,B412),"")</f>
        <v/>
      </c>
      <c r="B412" t="str">
        <f>IFERROR(SEARCH(#REF!,Table4[[#This Row],[Commodity Title]],1),"")</f>
        <v/>
      </c>
      <c r="C412" s="35">
        <v>42143307</v>
      </c>
      <c r="D412" s="33" t="s">
        <v>1495</v>
      </c>
      <c r="E412" s="33" t="s">
        <v>1496</v>
      </c>
      <c r="F412" s="33" t="s">
        <v>1497</v>
      </c>
      <c r="G412" s="33" t="s">
        <v>1736</v>
      </c>
      <c r="H412" s="33" t="s">
        <v>1737</v>
      </c>
      <c r="I412" s="33" t="s">
        <v>1738</v>
      </c>
      <c r="J412" s="33">
        <v>202471</v>
      </c>
      <c r="K412" s="33" t="s">
        <v>2325</v>
      </c>
      <c r="L412" s="33" t="s">
        <v>2326</v>
      </c>
      <c r="M412" s="33" t="s">
        <v>2327</v>
      </c>
      <c r="N412" s="44">
        <v>42143307</v>
      </c>
      <c r="O412" s="33" t="s">
        <v>2340</v>
      </c>
      <c r="P412" s="33" t="s">
        <v>2341</v>
      </c>
      <c r="Q412" s="34" t="s">
        <v>1494</v>
      </c>
      <c r="R412" s="34" t="s">
        <v>1494</v>
      </c>
    </row>
    <row r="413" spans="1:18" ht="15" customHeight="1" x14ac:dyDescent="0.25">
      <c r="A413" t="str">
        <f>IFERROR(RANK(B413,$B:$B,1)+COUNTIF($B$1:B412,B413),"")</f>
        <v/>
      </c>
      <c r="B413" t="str">
        <f>IFERROR(SEARCH(#REF!,Table4[[#This Row],[Commodity Title]],1),"")</f>
        <v/>
      </c>
      <c r="C413" s="35">
        <v>42143308</v>
      </c>
      <c r="D413" s="33" t="s">
        <v>1495</v>
      </c>
      <c r="E413" s="33" t="s">
        <v>1496</v>
      </c>
      <c r="F413" s="33" t="s">
        <v>1497</v>
      </c>
      <c r="G413" s="33" t="s">
        <v>1736</v>
      </c>
      <c r="H413" s="33" t="s">
        <v>1737</v>
      </c>
      <c r="I413" s="33" t="s">
        <v>1738</v>
      </c>
      <c r="J413" s="33">
        <v>202472</v>
      </c>
      <c r="K413" s="33" t="s">
        <v>2325</v>
      </c>
      <c r="L413" s="33" t="s">
        <v>2326</v>
      </c>
      <c r="M413" s="33" t="s">
        <v>2327</v>
      </c>
      <c r="N413" s="44">
        <v>42143308</v>
      </c>
      <c r="O413" s="33" t="s">
        <v>2342</v>
      </c>
      <c r="P413" s="33" t="s">
        <v>2343</v>
      </c>
      <c r="Q413" s="34" t="s">
        <v>1494</v>
      </c>
      <c r="R413" s="34" t="s">
        <v>1494</v>
      </c>
    </row>
    <row r="414" spans="1:18" ht="15" customHeight="1" x14ac:dyDescent="0.25">
      <c r="A414" t="str">
        <f>IFERROR(RANK(B414,$B:$B,1)+COUNTIF($B$1:B413,B414),"")</f>
        <v/>
      </c>
      <c r="B414" t="str">
        <f>IFERROR(SEARCH(#REF!,Table4[[#This Row],[Commodity Title]],1),"")</f>
        <v/>
      </c>
      <c r="C414" s="35">
        <v>42143309</v>
      </c>
      <c r="D414" s="33" t="s">
        <v>1495</v>
      </c>
      <c r="E414" s="33" t="s">
        <v>1496</v>
      </c>
      <c r="F414" s="33" t="s">
        <v>1497</v>
      </c>
      <c r="G414" s="33" t="s">
        <v>1736</v>
      </c>
      <c r="H414" s="33" t="s">
        <v>1737</v>
      </c>
      <c r="I414" s="33" t="s">
        <v>1738</v>
      </c>
      <c r="J414" s="33">
        <v>202473</v>
      </c>
      <c r="K414" s="33" t="s">
        <v>2325</v>
      </c>
      <c r="L414" s="33" t="s">
        <v>2326</v>
      </c>
      <c r="M414" s="33" t="s">
        <v>2327</v>
      </c>
      <c r="N414" s="44">
        <v>42143309</v>
      </c>
      <c r="O414" s="33" t="s">
        <v>2344</v>
      </c>
      <c r="P414" s="33" t="s">
        <v>2345</v>
      </c>
      <c r="Q414" s="34" t="s">
        <v>1494</v>
      </c>
      <c r="R414" s="34" t="s">
        <v>1494</v>
      </c>
    </row>
    <row r="415" spans="1:18" ht="15" customHeight="1" x14ac:dyDescent="0.25">
      <c r="A415" t="str">
        <f>IFERROR(RANK(B415,$B:$B,1)+COUNTIF($B$1:B414,B415),"")</f>
        <v/>
      </c>
      <c r="B415" t="str">
        <f>IFERROR(SEARCH(#REF!,Table4[[#This Row],[Commodity Title]],1),"")</f>
        <v/>
      </c>
      <c r="C415" s="35">
        <v>42143310</v>
      </c>
      <c r="D415" s="33" t="s">
        <v>1495</v>
      </c>
      <c r="E415" s="33" t="s">
        <v>1496</v>
      </c>
      <c r="F415" s="33" t="s">
        <v>1497</v>
      </c>
      <c r="G415" s="33" t="s">
        <v>1736</v>
      </c>
      <c r="H415" s="33" t="s">
        <v>1737</v>
      </c>
      <c r="I415" s="33" t="s">
        <v>1738</v>
      </c>
      <c r="J415" s="33">
        <v>202474</v>
      </c>
      <c r="K415" s="33" t="s">
        <v>2325</v>
      </c>
      <c r="L415" s="33" t="s">
        <v>2326</v>
      </c>
      <c r="M415" s="33" t="s">
        <v>2327</v>
      </c>
      <c r="N415" s="44">
        <v>42143310</v>
      </c>
      <c r="O415" s="33" t="s">
        <v>2346</v>
      </c>
      <c r="P415" s="33" t="s">
        <v>2347</v>
      </c>
      <c r="Q415" s="34" t="s">
        <v>1494</v>
      </c>
      <c r="R415" s="34" t="s">
        <v>1494</v>
      </c>
    </row>
    <row r="416" spans="1:18" ht="15" customHeight="1" x14ac:dyDescent="0.25">
      <c r="A416" t="str">
        <f>IFERROR(RANK(B416,$B:$B,1)+COUNTIF($B$1:B415,B416),"")</f>
        <v/>
      </c>
      <c r="B416" t="str">
        <f>IFERROR(SEARCH(#REF!,Table4[[#This Row],[Commodity Title]],1),"")</f>
        <v/>
      </c>
      <c r="C416" s="35">
        <v>42143311</v>
      </c>
      <c r="D416" s="33" t="s">
        <v>1495</v>
      </c>
      <c r="E416" s="33" t="s">
        <v>1496</v>
      </c>
      <c r="F416" s="33" t="s">
        <v>1497</v>
      </c>
      <c r="G416" s="33" t="s">
        <v>1736</v>
      </c>
      <c r="H416" s="33" t="s">
        <v>1737</v>
      </c>
      <c r="I416" s="33" t="s">
        <v>1738</v>
      </c>
      <c r="J416" s="33">
        <v>202475</v>
      </c>
      <c r="K416" s="33" t="s">
        <v>2325</v>
      </c>
      <c r="L416" s="33" t="s">
        <v>2326</v>
      </c>
      <c r="M416" s="33" t="s">
        <v>2327</v>
      </c>
      <c r="N416" s="44">
        <v>42143311</v>
      </c>
      <c r="O416" s="33" t="s">
        <v>2348</v>
      </c>
      <c r="P416" s="33" t="s">
        <v>2349</v>
      </c>
      <c r="Q416" s="34" t="s">
        <v>1494</v>
      </c>
      <c r="R416" s="34" t="s">
        <v>1494</v>
      </c>
    </row>
    <row r="417" spans="1:18" ht="15" customHeight="1" x14ac:dyDescent="0.25">
      <c r="A417" t="str">
        <f>IFERROR(RANK(B417,$B:$B,1)+COUNTIF($B$1:B416,B417),"")</f>
        <v/>
      </c>
      <c r="B417" t="str">
        <f>IFERROR(SEARCH(#REF!,Table4[[#This Row],[Commodity Title]],1),"")</f>
        <v/>
      </c>
      <c r="C417" s="33" t="s">
        <v>1494</v>
      </c>
      <c r="D417" s="33" t="s">
        <v>1495</v>
      </c>
      <c r="E417" s="33" t="s">
        <v>1496</v>
      </c>
      <c r="F417" s="33" t="s">
        <v>1497</v>
      </c>
      <c r="G417" s="33" t="s">
        <v>1736</v>
      </c>
      <c r="H417" s="33" t="s">
        <v>1737</v>
      </c>
      <c r="I417" s="33" t="s">
        <v>1738</v>
      </c>
      <c r="J417" s="33">
        <v>142280</v>
      </c>
      <c r="K417" s="33" t="s">
        <v>2350</v>
      </c>
      <c r="L417" s="33" t="s">
        <v>2351</v>
      </c>
      <c r="M417" s="33" t="s">
        <v>2352</v>
      </c>
      <c r="N417" s="44" t="s">
        <v>1494</v>
      </c>
      <c r="O417" s="33" t="s">
        <v>1494</v>
      </c>
      <c r="P417" s="33" t="s">
        <v>1494</v>
      </c>
      <c r="Q417" s="34" t="s">
        <v>1494</v>
      </c>
      <c r="R417" s="34" t="s">
        <v>1494</v>
      </c>
    </row>
    <row r="418" spans="1:18" ht="15" customHeight="1" x14ac:dyDescent="0.25">
      <c r="A418" t="str">
        <f>IFERROR(RANK(B418,$B:$B,1)+COUNTIF($B$1:B417,B418),"")</f>
        <v/>
      </c>
      <c r="B418" t="str">
        <f>IFERROR(SEARCH(#REF!,Table4[[#This Row],[Commodity Title]],1),"")</f>
        <v/>
      </c>
      <c r="C418" s="35">
        <v>42143401</v>
      </c>
      <c r="D418" s="33" t="s">
        <v>1495</v>
      </c>
      <c r="E418" s="33" t="s">
        <v>1496</v>
      </c>
      <c r="F418" s="33" t="s">
        <v>1497</v>
      </c>
      <c r="G418" s="33" t="s">
        <v>1736</v>
      </c>
      <c r="H418" s="33" t="s">
        <v>1737</v>
      </c>
      <c r="I418" s="33" t="s">
        <v>1738</v>
      </c>
      <c r="J418" s="33">
        <v>142281</v>
      </c>
      <c r="K418" s="33" t="s">
        <v>2350</v>
      </c>
      <c r="L418" s="33" t="s">
        <v>2351</v>
      </c>
      <c r="M418" s="33" t="s">
        <v>2352</v>
      </c>
      <c r="N418" s="44">
        <v>42143401</v>
      </c>
      <c r="O418" s="33" t="s">
        <v>2353</v>
      </c>
      <c r="P418" s="33" t="s">
        <v>2354</v>
      </c>
      <c r="Q418" s="34" t="s">
        <v>1494</v>
      </c>
      <c r="R418" s="34" t="s">
        <v>1494</v>
      </c>
    </row>
    <row r="419" spans="1:18" ht="15" customHeight="1" x14ac:dyDescent="0.25">
      <c r="A419" t="str">
        <f>IFERROR(RANK(B419,$B:$B,1)+COUNTIF($B$1:B418,B419),"")</f>
        <v/>
      </c>
      <c r="B419" t="str">
        <f>IFERROR(SEARCH(#REF!,Table4[[#This Row],[Commodity Title]],1),"")</f>
        <v/>
      </c>
      <c r="C419" s="35">
        <v>42143402</v>
      </c>
      <c r="D419" s="33" t="s">
        <v>1495</v>
      </c>
      <c r="E419" s="33" t="s">
        <v>1496</v>
      </c>
      <c r="F419" s="33" t="s">
        <v>1497</v>
      </c>
      <c r="G419" s="33" t="s">
        <v>1736</v>
      </c>
      <c r="H419" s="33" t="s">
        <v>1737</v>
      </c>
      <c r="I419" s="33" t="s">
        <v>1738</v>
      </c>
      <c r="J419" s="33">
        <v>202476</v>
      </c>
      <c r="K419" s="33" t="s">
        <v>2350</v>
      </c>
      <c r="L419" s="33" t="s">
        <v>2351</v>
      </c>
      <c r="M419" s="33" t="s">
        <v>2352</v>
      </c>
      <c r="N419" s="44">
        <v>42143402</v>
      </c>
      <c r="O419" s="33" t="s">
        <v>2355</v>
      </c>
      <c r="P419" s="33" t="s">
        <v>2356</v>
      </c>
      <c r="Q419" s="34" t="s">
        <v>1494</v>
      </c>
      <c r="R419" s="34" t="s">
        <v>1494</v>
      </c>
    </row>
    <row r="420" spans="1:18" ht="15" customHeight="1" x14ac:dyDescent="0.25">
      <c r="A420" t="str">
        <f>IFERROR(RANK(B420,$B:$B,1)+COUNTIF($B$1:B419,B420),"")</f>
        <v/>
      </c>
      <c r="B420" t="str">
        <f>IFERROR(SEARCH(#REF!,Table4[[#This Row],[Commodity Title]],1),"")</f>
        <v/>
      </c>
      <c r="C420" s="35">
        <v>42143403</v>
      </c>
      <c r="D420" s="33" t="s">
        <v>1495</v>
      </c>
      <c r="E420" s="33" t="s">
        <v>1496</v>
      </c>
      <c r="F420" s="33" t="s">
        <v>1497</v>
      </c>
      <c r="G420" s="33" t="s">
        <v>1736</v>
      </c>
      <c r="H420" s="33" t="s">
        <v>1737</v>
      </c>
      <c r="I420" s="33" t="s">
        <v>1738</v>
      </c>
      <c r="J420" s="33">
        <v>202477</v>
      </c>
      <c r="K420" s="33" t="s">
        <v>2350</v>
      </c>
      <c r="L420" s="33" t="s">
        <v>2351</v>
      </c>
      <c r="M420" s="33" t="s">
        <v>2352</v>
      </c>
      <c r="N420" s="44">
        <v>42143403</v>
      </c>
      <c r="O420" s="33" t="s">
        <v>2357</v>
      </c>
      <c r="P420" s="33" t="s">
        <v>2358</v>
      </c>
      <c r="Q420" s="34" t="s">
        <v>1494</v>
      </c>
      <c r="R420" s="34" t="s">
        <v>1494</v>
      </c>
    </row>
    <row r="421" spans="1:18" ht="15" customHeight="1" x14ac:dyDescent="0.25">
      <c r="A421" t="str">
        <f>IFERROR(RANK(B421,$B:$B,1)+COUNTIF($B$1:B420,B421),"")</f>
        <v/>
      </c>
      <c r="B421" t="str">
        <f>IFERROR(SEARCH(#REF!,Table4[[#This Row],[Commodity Title]],1),"")</f>
        <v/>
      </c>
      <c r="C421" s="35">
        <v>42143404</v>
      </c>
      <c r="D421" s="33" t="s">
        <v>1495</v>
      </c>
      <c r="E421" s="33" t="s">
        <v>1496</v>
      </c>
      <c r="F421" s="33" t="s">
        <v>1497</v>
      </c>
      <c r="G421" s="33" t="s">
        <v>1736</v>
      </c>
      <c r="H421" s="33" t="s">
        <v>1737</v>
      </c>
      <c r="I421" s="33" t="s">
        <v>1738</v>
      </c>
      <c r="J421" s="33">
        <v>202478</v>
      </c>
      <c r="K421" s="33" t="s">
        <v>2350</v>
      </c>
      <c r="L421" s="33" t="s">
        <v>2351</v>
      </c>
      <c r="M421" s="33" t="s">
        <v>2352</v>
      </c>
      <c r="N421" s="44">
        <v>42143404</v>
      </c>
      <c r="O421" s="33" t="s">
        <v>2359</v>
      </c>
      <c r="P421" s="33" t="s">
        <v>2358</v>
      </c>
      <c r="Q421" s="34" t="s">
        <v>1494</v>
      </c>
      <c r="R421" s="34" t="s">
        <v>1494</v>
      </c>
    </row>
    <row r="422" spans="1:18" ht="15" customHeight="1" x14ac:dyDescent="0.25">
      <c r="A422" t="str">
        <f>IFERROR(RANK(B422,$B:$B,1)+COUNTIF($B$1:B421,B422),"")</f>
        <v/>
      </c>
      <c r="B422" t="str">
        <f>IFERROR(SEARCH(#REF!,Table4[[#This Row],[Commodity Title]],1),"")</f>
        <v/>
      </c>
      <c r="C422" s="33" t="s">
        <v>1494</v>
      </c>
      <c r="D422" s="33" t="s">
        <v>1495</v>
      </c>
      <c r="E422" s="33" t="s">
        <v>1496</v>
      </c>
      <c r="F422" s="33" t="s">
        <v>1497</v>
      </c>
      <c r="G422" s="33" t="s">
        <v>1736</v>
      </c>
      <c r="H422" s="33" t="s">
        <v>1737</v>
      </c>
      <c r="I422" s="33" t="s">
        <v>1738</v>
      </c>
      <c r="J422" s="33">
        <v>142282</v>
      </c>
      <c r="K422" s="33" t="s">
        <v>2360</v>
      </c>
      <c r="L422" s="33" t="s">
        <v>2361</v>
      </c>
      <c r="M422" s="33" t="s">
        <v>2362</v>
      </c>
      <c r="N422" s="44" t="s">
        <v>1494</v>
      </c>
      <c r="O422" s="33" t="s">
        <v>1494</v>
      </c>
      <c r="P422" s="33" t="s">
        <v>1494</v>
      </c>
      <c r="Q422" s="34" t="s">
        <v>1494</v>
      </c>
      <c r="R422" s="34" t="s">
        <v>1494</v>
      </c>
    </row>
    <row r="423" spans="1:18" ht="15" customHeight="1" x14ac:dyDescent="0.25">
      <c r="A423" t="str">
        <f>IFERROR(RANK(B423,$B:$B,1)+COUNTIF($B$1:B422,B423),"")</f>
        <v/>
      </c>
      <c r="B423" t="str">
        <f>IFERROR(SEARCH(#REF!,Table4[[#This Row],[Commodity Title]],1),"")</f>
        <v/>
      </c>
      <c r="C423" s="35">
        <v>42143501</v>
      </c>
      <c r="D423" s="33" t="s">
        <v>1495</v>
      </c>
      <c r="E423" s="33" t="s">
        <v>1496</v>
      </c>
      <c r="F423" s="33" t="s">
        <v>1497</v>
      </c>
      <c r="G423" s="33" t="s">
        <v>1736</v>
      </c>
      <c r="H423" s="33" t="s">
        <v>1737</v>
      </c>
      <c r="I423" s="33" t="s">
        <v>1738</v>
      </c>
      <c r="J423" s="33">
        <v>142283</v>
      </c>
      <c r="K423" s="33" t="s">
        <v>2360</v>
      </c>
      <c r="L423" s="33" t="s">
        <v>2361</v>
      </c>
      <c r="M423" s="33" t="s">
        <v>2362</v>
      </c>
      <c r="N423" s="44">
        <v>42143501</v>
      </c>
      <c r="O423" s="33" t="s">
        <v>2363</v>
      </c>
      <c r="P423" s="33" t="s">
        <v>2364</v>
      </c>
      <c r="Q423" s="34" t="s">
        <v>1494</v>
      </c>
      <c r="R423" s="34" t="s">
        <v>1494</v>
      </c>
    </row>
    <row r="424" spans="1:18" ht="15" customHeight="1" x14ac:dyDescent="0.25">
      <c r="A424" t="str">
        <f>IFERROR(RANK(B424,$B:$B,1)+COUNTIF($B$1:B423,B424),"")</f>
        <v/>
      </c>
      <c r="B424" t="str">
        <f>IFERROR(SEARCH(#REF!,Table4[[#This Row],[Commodity Title]],1),"")</f>
        <v/>
      </c>
      <c r="C424" s="35">
        <v>42143502</v>
      </c>
      <c r="D424" s="33" t="s">
        <v>1495</v>
      </c>
      <c r="E424" s="33" t="s">
        <v>1496</v>
      </c>
      <c r="F424" s="33" t="s">
        <v>1497</v>
      </c>
      <c r="G424" s="33" t="s">
        <v>1736</v>
      </c>
      <c r="H424" s="33" t="s">
        <v>1737</v>
      </c>
      <c r="I424" s="33" t="s">
        <v>1738</v>
      </c>
      <c r="J424" s="33">
        <v>142284</v>
      </c>
      <c r="K424" s="33" t="s">
        <v>2360</v>
      </c>
      <c r="L424" s="33" t="s">
        <v>2361</v>
      </c>
      <c r="M424" s="33" t="s">
        <v>2362</v>
      </c>
      <c r="N424" s="44">
        <v>42143502</v>
      </c>
      <c r="O424" s="33" t="s">
        <v>2365</v>
      </c>
      <c r="P424" s="33" t="s">
        <v>2366</v>
      </c>
      <c r="Q424" s="34" t="s">
        <v>1494</v>
      </c>
      <c r="R424" s="34" t="s">
        <v>1494</v>
      </c>
    </row>
    <row r="425" spans="1:18" ht="15" customHeight="1" x14ac:dyDescent="0.25">
      <c r="A425" t="str">
        <f>IFERROR(RANK(B425,$B:$B,1)+COUNTIF($B$1:B424,B425),"")</f>
        <v/>
      </c>
      <c r="B425" t="str">
        <f>IFERROR(SEARCH(#REF!,Table4[[#This Row],[Commodity Title]],1),"")</f>
        <v/>
      </c>
      <c r="C425" s="35">
        <v>42143503</v>
      </c>
      <c r="D425" s="33" t="s">
        <v>1495</v>
      </c>
      <c r="E425" s="33" t="s">
        <v>1496</v>
      </c>
      <c r="F425" s="33" t="s">
        <v>1497</v>
      </c>
      <c r="G425" s="33" t="s">
        <v>1736</v>
      </c>
      <c r="H425" s="33" t="s">
        <v>1737</v>
      </c>
      <c r="I425" s="33" t="s">
        <v>1738</v>
      </c>
      <c r="J425" s="33">
        <v>142285</v>
      </c>
      <c r="K425" s="33" t="s">
        <v>2360</v>
      </c>
      <c r="L425" s="33" t="s">
        <v>2361</v>
      </c>
      <c r="M425" s="33" t="s">
        <v>2362</v>
      </c>
      <c r="N425" s="44">
        <v>42143503</v>
      </c>
      <c r="O425" s="33" t="s">
        <v>2367</v>
      </c>
      <c r="P425" s="33" t="s">
        <v>2368</v>
      </c>
      <c r="Q425" s="34" t="s">
        <v>1494</v>
      </c>
      <c r="R425" s="34" t="s">
        <v>1494</v>
      </c>
    </row>
    <row r="426" spans="1:18" ht="15" customHeight="1" x14ac:dyDescent="0.25">
      <c r="A426" t="str">
        <f>IFERROR(RANK(B426,$B:$B,1)+COUNTIF($B$1:B425,B426),"")</f>
        <v/>
      </c>
      <c r="B426" t="str">
        <f>IFERROR(SEARCH(#REF!,Table4[[#This Row],[Commodity Title]],1),"")</f>
        <v/>
      </c>
      <c r="C426" s="35">
        <v>42143504</v>
      </c>
      <c r="D426" s="33" t="s">
        <v>1495</v>
      </c>
      <c r="E426" s="33" t="s">
        <v>1496</v>
      </c>
      <c r="F426" s="33" t="s">
        <v>1497</v>
      </c>
      <c r="G426" s="33" t="s">
        <v>1736</v>
      </c>
      <c r="H426" s="33" t="s">
        <v>1737</v>
      </c>
      <c r="I426" s="33" t="s">
        <v>1738</v>
      </c>
      <c r="J426" s="33">
        <v>142286</v>
      </c>
      <c r="K426" s="33" t="s">
        <v>2360</v>
      </c>
      <c r="L426" s="33" t="s">
        <v>2361</v>
      </c>
      <c r="M426" s="33" t="s">
        <v>2362</v>
      </c>
      <c r="N426" s="44">
        <v>42143504</v>
      </c>
      <c r="O426" s="33" t="s">
        <v>2369</v>
      </c>
      <c r="P426" s="33" t="s">
        <v>2370</v>
      </c>
      <c r="Q426" s="34" t="s">
        <v>1494</v>
      </c>
      <c r="R426" s="34" t="s">
        <v>1494</v>
      </c>
    </row>
    <row r="427" spans="1:18" ht="15" customHeight="1" x14ac:dyDescent="0.25">
      <c r="A427" t="str">
        <f>IFERROR(RANK(B427,$B:$B,1)+COUNTIF($B$1:B426,B427),"")</f>
        <v/>
      </c>
      <c r="B427" t="str">
        <f>IFERROR(SEARCH(#REF!,Table4[[#This Row],[Commodity Title]],1),"")</f>
        <v/>
      </c>
      <c r="C427" s="35">
        <v>42143505</v>
      </c>
      <c r="D427" s="33" t="s">
        <v>1495</v>
      </c>
      <c r="E427" s="33" t="s">
        <v>1496</v>
      </c>
      <c r="F427" s="33" t="s">
        <v>1497</v>
      </c>
      <c r="G427" s="33" t="s">
        <v>1736</v>
      </c>
      <c r="H427" s="33" t="s">
        <v>1737</v>
      </c>
      <c r="I427" s="33" t="s">
        <v>1738</v>
      </c>
      <c r="J427" s="33">
        <v>142287</v>
      </c>
      <c r="K427" s="33" t="s">
        <v>2360</v>
      </c>
      <c r="L427" s="33" t="s">
        <v>2361</v>
      </c>
      <c r="M427" s="33" t="s">
        <v>2362</v>
      </c>
      <c r="N427" s="44">
        <v>42143505</v>
      </c>
      <c r="O427" s="33" t="s">
        <v>2371</v>
      </c>
      <c r="P427" s="33" t="s">
        <v>2372</v>
      </c>
      <c r="Q427" s="34" t="s">
        <v>1494</v>
      </c>
      <c r="R427" s="34" t="s">
        <v>1494</v>
      </c>
    </row>
    <row r="428" spans="1:18" ht="15" customHeight="1" x14ac:dyDescent="0.25">
      <c r="A428" t="str">
        <f>IFERROR(RANK(B428,$B:$B,1)+COUNTIF($B$1:B427,B428),"")</f>
        <v/>
      </c>
      <c r="B428" t="str">
        <f>IFERROR(SEARCH(#REF!,Table4[[#This Row],[Commodity Title]],1),"")</f>
        <v/>
      </c>
      <c r="C428" s="35">
        <v>42143506</v>
      </c>
      <c r="D428" s="33" t="s">
        <v>1495</v>
      </c>
      <c r="E428" s="33" t="s">
        <v>1496</v>
      </c>
      <c r="F428" s="33" t="s">
        <v>1497</v>
      </c>
      <c r="G428" s="33" t="s">
        <v>1736</v>
      </c>
      <c r="H428" s="33" t="s">
        <v>1737</v>
      </c>
      <c r="I428" s="33" t="s">
        <v>1738</v>
      </c>
      <c r="J428" s="33">
        <v>142288</v>
      </c>
      <c r="K428" s="33" t="s">
        <v>2360</v>
      </c>
      <c r="L428" s="33" t="s">
        <v>2361</v>
      </c>
      <c r="M428" s="33" t="s">
        <v>2362</v>
      </c>
      <c r="N428" s="44">
        <v>42143506</v>
      </c>
      <c r="O428" s="33" t="s">
        <v>2373</v>
      </c>
      <c r="P428" s="33" t="s">
        <v>2374</v>
      </c>
      <c r="Q428" s="34" t="s">
        <v>1494</v>
      </c>
      <c r="R428" s="34" t="s">
        <v>1494</v>
      </c>
    </row>
    <row r="429" spans="1:18" ht="15" customHeight="1" x14ac:dyDescent="0.25">
      <c r="A429" t="str">
        <f>IFERROR(RANK(B429,$B:$B,1)+COUNTIF($B$1:B428,B429),"")</f>
        <v/>
      </c>
      <c r="B429" t="str">
        <f>IFERROR(SEARCH(#REF!,Table4[[#This Row],[Commodity Title]],1),"")</f>
        <v/>
      </c>
      <c r="C429" s="35">
        <v>42143507</v>
      </c>
      <c r="D429" s="33" t="s">
        <v>1495</v>
      </c>
      <c r="E429" s="33" t="s">
        <v>1496</v>
      </c>
      <c r="F429" s="33" t="s">
        <v>1497</v>
      </c>
      <c r="G429" s="33" t="s">
        <v>1736</v>
      </c>
      <c r="H429" s="33" t="s">
        <v>1737</v>
      </c>
      <c r="I429" s="33" t="s">
        <v>1738</v>
      </c>
      <c r="J429" s="33">
        <v>142289</v>
      </c>
      <c r="K429" s="33" t="s">
        <v>2360</v>
      </c>
      <c r="L429" s="33" t="s">
        <v>2361</v>
      </c>
      <c r="M429" s="33" t="s">
        <v>2362</v>
      </c>
      <c r="N429" s="44">
        <v>42143507</v>
      </c>
      <c r="O429" s="33" t="s">
        <v>2375</v>
      </c>
      <c r="P429" s="33" t="s">
        <v>2368</v>
      </c>
      <c r="Q429" s="34" t="s">
        <v>1494</v>
      </c>
      <c r="R429" s="34" t="s">
        <v>1494</v>
      </c>
    </row>
    <row r="430" spans="1:18" ht="15" customHeight="1" x14ac:dyDescent="0.25">
      <c r="A430" t="str">
        <f>IFERROR(RANK(B430,$B:$B,1)+COUNTIF($B$1:B429,B430),"")</f>
        <v/>
      </c>
      <c r="B430" t="str">
        <f>IFERROR(SEARCH(#REF!,Table4[[#This Row],[Commodity Title]],1),"")</f>
        <v/>
      </c>
      <c r="C430" s="35">
        <v>42143508</v>
      </c>
      <c r="D430" s="33" t="s">
        <v>1495</v>
      </c>
      <c r="E430" s="33" t="s">
        <v>1496</v>
      </c>
      <c r="F430" s="33" t="s">
        <v>1497</v>
      </c>
      <c r="G430" s="33" t="s">
        <v>1736</v>
      </c>
      <c r="H430" s="33" t="s">
        <v>1737</v>
      </c>
      <c r="I430" s="33" t="s">
        <v>1738</v>
      </c>
      <c r="J430" s="33">
        <v>142290</v>
      </c>
      <c r="K430" s="33" t="s">
        <v>2360</v>
      </c>
      <c r="L430" s="33" t="s">
        <v>2361</v>
      </c>
      <c r="M430" s="33" t="s">
        <v>2362</v>
      </c>
      <c r="N430" s="44">
        <v>42143508</v>
      </c>
      <c r="O430" s="33" t="s">
        <v>2376</v>
      </c>
      <c r="P430" s="33" t="s">
        <v>2377</v>
      </c>
      <c r="Q430" s="34" t="s">
        <v>1494</v>
      </c>
      <c r="R430" s="34" t="s">
        <v>1494</v>
      </c>
    </row>
    <row r="431" spans="1:18" ht="15" customHeight="1" x14ac:dyDescent="0.25">
      <c r="A431" t="str">
        <f>IFERROR(RANK(B431,$B:$B,1)+COUNTIF($B$1:B430,B431),"")</f>
        <v/>
      </c>
      <c r="B431" t="str">
        <f>IFERROR(SEARCH(#REF!,Table4[[#This Row],[Commodity Title]],1),"")</f>
        <v/>
      </c>
      <c r="C431" s="35">
        <v>42143509</v>
      </c>
      <c r="D431" s="33" t="s">
        <v>1495</v>
      </c>
      <c r="E431" s="33" t="s">
        <v>1496</v>
      </c>
      <c r="F431" s="33" t="s">
        <v>1497</v>
      </c>
      <c r="G431" s="33" t="s">
        <v>1736</v>
      </c>
      <c r="H431" s="33" t="s">
        <v>1737</v>
      </c>
      <c r="I431" s="33" t="s">
        <v>1738</v>
      </c>
      <c r="J431" s="33">
        <v>142291</v>
      </c>
      <c r="K431" s="33" t="s">
        <v>2360</v>
      </c>
      <c r="L431" s="33" t="s">
        <v>2361</v>
      </c>
      <c r="M431" s="33" t="s">
        <v>2362</v>
      </c>
      <c r="N431" s="44">
        <v>42143509</v>
      </c>
      <c r="O431" s="33" t="s">
        <v>2378</v>
      </c>
      <c r="P431" s="33" t="s">
        <v>2379</v>
      </c>
      <c r="Q431" s="34" t="s">
        <v>1494</v>
      </c>
      <c r="R431" s="34" t="s">
        <v>1494</v>
      </c>
    </row>
    <row r="432" spans="1:18" ht="15" customHeight="1" x14ac:dyDescent="0.25">
      <c r="A432" t="str">
        <f>IFERROR(RANK(B432,$B:$B,1)+COUNTIF($B$1:B431,B432),"")</f>
        <v/>
      </c>
      <c r="B432" t="str">
        <f>IFERROR(SEARCH(#REF!,Table4[[#This Row],[Commodity Title]],1),"")</f>
        <v/>
      </c>
      <c r="C432" s="35">
        <v>42143510</v>
      </c>
      <c r="D432" s="33" t="s">
        <v>1495</v>
      </c>
      <c r="E432" s="33" t="s">
        <v>1496</v>
      </c>
      <c r="F432" s="33" t="s">
        <v>1497</v>
      </c>
      <c r="G432" s="33" t="s">
        <v>1736</v>
      </c>
      <c r="H432" s="33" t="s">
        <v>1737</v>
      </c>
      <c r="I432" s="33" t="s">
        <v>1738</v>
      </c>
      <c r="J432" s="33">
        <v>142292</v>
      </c>
      <c r="K432" s="33" t="s">
        <v>2360</v>
      </c>
      <c r="L432" s="33" t="s">
        <v>2361</v>
      </c>
      <c r="M432" s="33" t="s">
        <v>2362</v>
      </c>
      <c r="N432" s="44">
        <v>42143510</v>
      </c>
      <c r="O432" s="33" t="s">
        <v>2380</v>
      </c>
      <c r="P432" s="33" t="s">
        <v>2381</v>
      </c>
      <c r="Q432" s="34" t="s">
        <v>1494</v>
      </c>
      <c r="R432" s="34" t="s">
        <v>1494</v>
      </c>
    </row>
    <row r="433" spans="1:18" ht="15" customHeight="1" x14ac:dyDescent="0.25">
      <c r="A433" t="str">
        <f>IFERROR(RANK(B433,$B:$B,1)+COUNTIF($B$1:B432,B433),"")</f>
        <v/>
      </c>
      <c r="B433" t="str">
        <f>IFERROR(SEARCH(#REF!,Table4[[#This Row],[Commodity Title]],1),"")</f>
        <v/>
      </c>
      <c r="C433" s="35">
        <v>42143511</v>
      </c>
      <c r="D433" s="33" t="s">
        <v>1495</v>
      </c>
      <c r="E433" s="33" t="s">
        <v>1496</v>
      </c>
      <c r="F433" s="33" t="s">
        <v>1497</v>
      </c>
      <c r="G433" s="33" t="s">
        <v>1736</v>
      </c>
      <c r="H433" s="33" t="s">
        <v>1737</v>
      </c>
      <c r="I433" s="33" t="s">
        <v>1738</v>
      </c>
      <c r="J433" s="33">
        <v>142293</v>
      </c>
      <c r="K433" s="33" t="s">
        <v>2360</v>
      </c>
      <c r="L433" s="33" t="s">
        <v>2361</v>
      </c>
      <c r="M433" s="33" t="s">
        <v>2362</v>
      </c>
      <c r="N433" s="44">
        <v>42143511</v>
      </c>
      <c r="O433" s="33" t="s">
        <v>2382</v>
      </c>
      <c r="P433" s="33" t="s">
        <v>2383</v>
      </c>
      <c r="Q433" s="34" t="s">
        <v>1494</v>
      </c>
      <c r="R433" s="34" t="s">
        <v>1494</v>
      </c>
    </row>
    <row r="434" spans="1:18" ht="15" customHeight="1" x14ac:dyDescent="0.25">
      <c r="A434" t="str">
        <f>IFERROR(RANK(B434,$B:$B,1)+COUNTIF($B$1:B433,B434),"")</f>
        <v/>
      </c>
      <c r="B434" t="str">
        <f>IFERROR(SEARCH(#REF!,Table4[[#This Row],[Commodity Title]],1),"")</f>
        <v/>
      </c>
      <c r="C434" s="35">
        <v>42143512</v>
      </c>
      <c r="D434" s="33" t="s">
        <v>1495</v>
      </c>
      <c r="E434" s="33" t="s">
        <v>1496</v>
      </c>
      <c r="F434" s="33" t="s">
        <v>1497</v>
      </c>
      <c r="G434" s="33" t="s">
        <v>1736</v>
      </c>
      <c r="H434" s="33" t="s">
        <v>1737</v>
      </c>
      <c r="I434" s="33" t="s">
        <v>1738</v>
      </c>
      <c r="J434" s="33">
        <v>142294</v>
      </c>
      <c r="K434" s="33" t="s">
        <v>2360</v>
      </c>
      <c r="L434" s="33" t="s">
        <v>2361</v>
      </c>
      <c r="M434" s="33" t="s">
        <v>2362</v>
      </c>
      <c r="N434" s="44">
        <v>42143512</v>
      </c>
      <c r="O434" s="33" t="s">
        <v>2384</v>
      </c>
      <c r="P434" s="33" t="s">
        <v>2385</v>
      </c>
      <c r="Q434" s="34" t="s">
        <v>1494</v>
      </c>
      <c r="R434" s="34" t="s">
        <v>1494</v>
      </c>
    </row>
    <row r="435" spans="1:18" ht="15" customHeight="1" x14ac:dyDescent="0.25">
      <c r="A435" t="str">
        <f>IFERROR(RANK(B435,$B:$B,1)+COUNTIF($B$1:B434,B435),"")</f>
        <v/>
      </c>
      <c r="B435" t="str">
        <f>IFERROR(SEARCH(#REF!,Table4[[#This Row],[Commodity Title]],1),"")</f>
        <v/>
      </c>
      <c r="C435" s="35">
        <v>42143513</v>
      </c>
      <c r="D435" s="33" t="s">
        <v>1495</v>
      </c>
      <c r="E435" s="33" t="s">
        <v>1496</v>
      </c>
      <c r="F435" s="33" t="s">
        <v>1497</v>
      </c>
      <c r="G435" s="33" t="s">
        <v>1736</v>
      </c>
      <c r="H435" s="33" t="s">
        <v>1737</v>
      </c>
      <c r="I435" s="33" t="s">
        <v>1738</v>
      </c>
      <c r="J435" s="33">
        <v>142295</v>
      </c>
      <c r="K435" s="33" t="s">
        <v>2360</v>
      </c>
      <c r="L435" s="33" t="s">
        <v>2361</v>
      </c>
      <c r="M435" s="33" t="s">
        <v>2362</v>
      </c>
      <c r="N435" s="44">
        <v>42143513</v>
      </c>
      <c r="O435" s="33" t="s">
        <v>2386</v>
      </c>
      <c r="P435" s="33" t="s">
        <v>2387</v>
      </c>
      <c r="Q435" s="34" t="s">
        <v>1494</v>
      </c>
      <c r="R435" s="34" t="s">
        <v>1494</v>
      </c>
    </row>
    <row r="436" spans="1:18" ht="15" customHeight="1" x14ac:dyDescent="0.25">
      <c r="A436" t="str">
        <f>IFERROR(RANK(B436,$B:$B,1)+COUNTIF($B$1:B435,B436),"")</f>
        <v/>
      </c>
      <c r="B436" t="str">
        <f>IFERROR(SEARCH(#REF!,Table4[[#This Row],[Commodity Title]],1),"")</f>
        <v/>
      </c>
      <c r="C436" s="35">
        <v>42143514</v>
      </c>
      <c r="D436" s="33" t="s">
        <v>1495</v>
      </c>
      <c r="E436" s="33" t="s">
        <v>1496</v>
      </c>
      <c r="F436" s="33" t="s">
        <v>1497</v>
      </c>
      <c r="G436" s="33" t="s">
        <v>1736</v>
      </c>
      <c r="H436" s="33" t="s">
        <v>1737</v>
      </c>
      <c r="I436" s="33" t="s">
        <v>1738</v>
      </c>
      <c r="J436" s="33">
        <v>176715</v>
      </c>
      <c r="K436" s="33" t="s">
        <v>2360</v>
      </c>
      <c r="L436" s="33" t="s">
        <v>2361</v>
      </c>
      <c r="M436" s="33" t="s">
        <v>2362</v>
      </c>
      <c r="N436" s="44">
        <v>42143514</v>
      </c>
      <c r="O436" s="33" t="s">
        <v>2388</v>
      </c>
      <c r="P436" s="33" t="s">
        <v>2389</v>
      </c>
      <c r="Q436" s="34" t="s">
        <v>1494</v>
      </c>
      <c r="R436" s="34" t="s">
        <v>1494</v>
      </c>
    </row>
    <row r="437" spans="1:18" ht="15" customHeight="1" x14ac:dyDescent="0.25">
      <c r="A437" t="str">
        <f>IFERROR(RANK(B437,$B:$B,1)+COUNTIF($B$1:B436,B437),"")</f>
        <v/>
      </c>
      <c r="B437" t="str">
        <f>IFERROR(SEARCH(#REF!,Table4[[#This Row],[Commodity Title]],1),"")</f>
        <v/>
      </c>
      <c r="C437" s="35">
        <v>42143515</v>
      </c>
      <c r="D437" s="33" t="s">
        <v>1495</v>
      </c>
      <c r="E437" s="33" t="s">
        <v>1496</v>
      </c>
      <c r="F437" s="33" t="s">
        <v>1497</v>
      </c>
      <c r="G437" s="33" t="s">
        <v>1736</v>
      </c>
      <c r="H437" s="33" t="s">
        <v>1737</v>
      </c>
      <c r="I437" s="33" t="s">
        <v>1738</v>
      </c>
      <c r="J437" s="33">
        <v>202479</v>
      </c>
      <c r="K437" s="33" t="s">
        <v>2360</v>
      </c>
      <c r="L437" s="33" t="s">
        <v>2361</v>
      </c>
      <c r="M437" s="33" t="s">
        <v>2362</v>
      </c>
      <c r="N437" s="44">
        <v>42143515</v>
      </c>
      <c r="O437" s="33" t="s">
        <v>2390</v>
      </c>
      <c r="P437" s="33" t="s">
        <v>2391</v>
      </c>
      <c r="Q437" s="34" t="s">
        <v>1494</v>
      </c>
      <c r="R437" s="34" t="s">
        <v>1494</v>
      </c>
    </row>
    <row r="438" spans="1:18" ht="15" customHeight="1" x14ac:dyDescent="0.25">
      <c r="A438" t="str">
        <f>IFERROR(RANK(B438,$B:$B,1)+COUNTIF($B$1:B437,B438),"")</f>
        <v/>
      </c>
      <c r="B438" t="str">
        <f>IFERROR(SEARCH(#REF!,Table4[[#This Row],[Commodity Title]],1),"")</f>
        <v/>
      </c>
      <c r="C438" s="35">
        <v>42143516</v>
      </c>
      <c r="D438" s="33" t="s">
        <v>1495</v>
      </c>
      <c r="E438" s="33" t="s">
        <v>1496</v>
      </c>
      <c r="F438" s="33" t="s">
        <v>1497</v>
      </c>
      <c r="G438" s="33" t="s">
        <v>1736</v>
      </c>
      <c r="H438" s="33" t="s">
        <v>1737</v>
      </c>
      <c r="I438" s="33" t="s">
        <v>1738</v>
      </c>
      <c r="J438" s="33">
        <v>142465</v>
      </c>
      <c r="K438" s="33" t="s">
        <v>2360</v>
      </c>
      <c r="L438" s="33" t="s">
        <v>2361</v>
      </c>
      <c r="M438" s="33" t="s">
        <v>2362</v>
      </c>
      <c r="N438" s="44">
        <v>42143516</v>
      </c>
      <c r="O438" s="33" t="s">
        <v>2392</v>
      </c>
      <c r="P438" s="33" t="s">
        <v>2364</v>
      </c>
      <c r="Q438" s="34" t="s">
        <v>1494</v>
      </c>
      <c r="R438" s="34" t="s">
        <v>1494</v>
      </c>
    </row>
    <row r="439" spans="1:18" ht="15" customHeight="1" x14ac:dyDescent="0.25">
      <c r="A439" t="str">
        <f>IFERROR(RANK(B439,$B:$B,1)+COUNTIF($B$1:B438,B439),"")</f>
        <v/>
      </c>
      <c r="B439" t="str">
        <f>IFERROR(SEARCH(#REF!,Table4[[#This Row],[Commodity Title]],1),"")</f>
        <v/>
      </c>
      <c r="C439" s="35">
        <v>42143517</v>
      </c>
      <c r="D439" s="33" t="s">
        <v>1495</v>
      </c>
      <c r="E439" s="33" t="s">
        <v>1496</v>
      </c>
      <c r="F439" s="33" t="s">
        <v>1497</v>
      </c>
      <c r="G439" s="33" t="s">
        <v>1736</v>
      </c>
      <c r="H439" s="33" t="s">
        <v>1737</v>
      </c>
      <c r="I439" s="33" t="s">
        <v>1738</v>
      </c>
      <c r="J439" s="33">
        <v>202480</v>
      </c>
      <c r="K439" s="33" t="s">
        <v>2360</v>
      </c>
      <c r="L439" s="33" t="s">
        <v>2361</v>
      </c>
      <c r="M439" s="33" t="s">
        <v>2362</v>
      </c>
      <c r="N439" s="44">
        <v>42143517</v>
      </c>
      <c r="O439" s="33" t="s">
        <v>2393</v>
      </c>
      <c r="P439" s="33" t="s">
        <v>2394</v>
      </c>
      <c r="Q439" s="34" t="s">
        <v>1494</v>
      </c>
      <c r="R439" s="34" t="s">
        <v>1494</v>
      </c>
    </row>
    <row r="440" spans="1:18" ht="15" customHeight="1" x14ac:dyDescent="0.25">
      <c r="A440" t="str">
        <f>IFERROR(RANK(B440,$B:$B,1)+COUNTIF($B$1:B439,B440),"")</f>
        <v/>
      </c>
      <c r="B440" t="str">
        <f>IFERROR(SEARCH(#REF!,Table4[[#This Row],[Commodity Title]],1),"")</f>
        <v/>
      </c>
      <c r="C440" s="35">
        <v>42143518</v>
      </c>
      <c r="D440" s="33" t="s">
        <v>1495</v>
      </c>
      <c r="E440" s="33" t="s">
        <v>1496</v>
      </c>
      <c r="F440" s="33" t="s">
        <v>1497</v>
      </c>
      <c r="G440" s="33" t="s">
        <v>1736</v>
      </c>
      <c r="H440" s="33" t="s">
        <v>1737</v>
      </c>
      <c r="I440" s="33" t="s">
        <v>1738</v>
      </c>
      <c r="J440" s="33">
        <v>202481</v>
      </c>
      <c r="K440" s="33" t="s">
        <v>2360</v>
      </c>
      <c r="L440" s="33" t="s">
        <v>2361</v>
      </c>
      <c r="M440" s="33" t="s">
        <v>2362</v>
      </c>
      <c r="N440" s="44">
        <v>42143518</v>
      </c>
      <c r="O440" s="33" t="s">
        <v>2395</v>
      </c>
      <c r="P440" s="33" t="s">
        <v>2368</v>
      </c>
      <c r="Q440" s="34" t="s">
        <v>1494</v>
      </c>
      <c r="R440" s="34" t="s">
        <v>1494</v>
      </c>
    </row>
    <row r="441" spans="1:18" ht="15" customHeight="1" x14ac:dyDescent="0.25">
      <c r="A441" t="str">
        <f>IFERROR(RANK(B441,$B:$B,1)+COUNTIF($B$1:B440,B441),"")</f>
        <v/>
      </c>
      <c r="B441" t="str">
        <f>IFERROR(SEARCH(#REF!,Table4[[#This Row],[Commodity Title]],1),"")</f>
        <v/>
      </c>
      <c r="C441" s="35">
        <v>42143519</v>
      </c>
      <c r="D441" s="33" t="s">
        <v>1495</v>
      </c>
      <c r="E441" s="33" t="s">
        <v>1496</v>
      </c>
      <c r="F441" s="33" t="s">
        <v>1497</v>
      </c>
      <c r="G441" s="33" t="s">
        <v>1736</v>
      </c>
      <c r="H441" s="33" t="s">
        <v>1737</v>
      </c>
      <c r="I441" s="33" t="s">
        <v>1738</v>
      </c>
      <c r="J441" s="33">
        <v>202482</v>
      </c>
      <c r="K441" s="33" t="s">
        <v>2360</v>
      </c>
      <c r="L441" s="33" t="s">
        <v>2361</v>
      </c>
      <c r="M441" s="33" t="s">
        <v>2362</v>
      </c>
      <c r="N441" s="44">
        <v>42143519</v>
      </c>
      <c r="O441" s="33" t="s">
        <v>2396</v>
      </c>
      <c r="P441" s="33" t="s">
        <v>2397</v>
      </c>
      <c r="Q441" s="34" t="s">
        <v>1494</v>
      </c>
      <c r="R441" s="34" t="s">
        <v>1494</v>
      </c>
    </row>
    <row r="442" spans="1:18" ht="15" customHeight="1" x14ac:dyDescent="0.25">
      <c r="A442" t="str">
        <f>IFERROR(RANK(B442,$B:$B,1)+COUNTIF($B$1:B441,B442),"")</f>
        <v/>
      </c>
      <c r="B442" t="str">
        <f>IFERROR(SEARCH(#REF!,Table4[[#This Row],[Commodity Title]],1),"")</f>
        <v/>
      </c>
      <c r="C442" s="35">
        <v>42143520</v>
      </c>
      <c r="D442" s="33" t="s">
        <v>1495</v>
      </c>
      <c r="E442" s="33" t="s">
        <v>1496</v>
      </c>
      <c r="F442" s="33" t="s">
        <v>1497</v>
      </c>
      <c r="G442" s="33" t="s">
        <v>1736</v>
      </c>
      <c r="H442" s="33" t="s">
        <v>1737</v>
      </c>
      <c r="I442" s="33" t="s">
        <v>1738</v>
      </c>
      <c r="J442" s="33">
        <v>202483</v>
      </c>
      <c r="K442" s="33" t="s">
        <v>2360</v>
      </c>
      <c r="L442" s="33" t="s">
        <v>2361</v>
      </c>
      <c r="M442" s="33" t="s">
        <v>2362</v>
      </c>
      <c r="N442" s="44">
        <v>42143520</v>
      </c>
      <c r="O442" s="33" t="s">
        <v>2398</v>
      </c>
      <c r="P442" s="33" t="s">
        <v>2399</v>
      </c>
      <c r="Q442" s="34" t="s">
        <v>1494</v>
      </c>
      <c r="R442" s="34" t="s">
        <v>1494</v>
      </c>
    </row>
    <row r="443" spans="1:18" ht="15" customHeight="1" x14ac:dyDescent="0.25">
      <c r="A443" t="str">
        <f>IFERROR(RANK(B443,$B:$B,1)+COUNTIF($B$1:B442,B443),"")</f>
        <v/>
      </c>
      <c r="B443" t="str">
        <f>IFERROR(SEARCH(#REF!,Table4[[#This Row],[Commodity Title]],1),"")</f>
        <v/>
      </c>
      <c r="C443" s="35">
        <v>42143521</v>
      </c>
      <c r="D443" s="33" t="s">
        <v>1495</v>
      </c>
      <c r="E443" s="33" t="s">
        <v>1496</v>
      </c>
      <c r="F443" s="33" t="s">
        <v>1497</v>
      </c>
      <c r="G443" s="33" t="s">
        <v>1736</v>
      </c>
      <c r="H443" s="33" t="s">
        <v>1737</v>
      </c>
      <c r="I443" s="33" t="s">
        <v>1738</v>
      </c>
      <c r="J443" s="33">
        <v>202484</v>
      </c>
      <c r="K443" s="33" t="s">
        <v>2360</v>
      </c>
      <c r="L443" s="33" t="s">
        <v>2361</v>
      </c>
      <c r="M443" s="33" t="s">
        <v>2362</v>
      </c>
      <c r="N443" s="44">
        <v>42143521</v>
      </c>
      <c r="O443" s="33" t="s">
        <v>2400</v>
      </c>
      <c r="P443" s="33" t="s">
        <v>2401</v>
      </c>
      <c r="Q443" s="34" t="s">
        <v>1494</v>
      </c>
      <c r="R443" s="34" t="s">
        <v>1494</v>
      </c>
    </row>
    <row r="444" spans="1:18" ht="15" customHeight="1" x14ac:dyDescent="0.25">
      <c r="A444" t="str">
        <f>IFERROR(RANK(B444,$B:$B,1)+COUNTIF($B$1:B443,B444),"")</f>
        <v/>
      </c>
      <c r="B444" t="str">
        <f>IFERROR(SEARCH(#REF!,Table4[[#This Row],[Commodity Title]],1),"")</f>
        <v/>
      </c>
      <c r="C444" s="35">
        <v>42143522</v>
      </c>
      <c r="D444" s="33" t="s">
        <v>1495</v>
      </c>
      <c r="E444" s="33" t="s">
        <v>1496</v>
      </c>
      <c r="F444" s="33" t="s">
        <v>1497</v>
      </c>
      <c r="G444" s="33" t="s">
        <v>1736</v>
      </c>
      <c r="H444" s="33" t="s">
        <v>1737</v>
      </c>
      <c r="I444" s="33" t="s">
        <v>1738</v>
      </c>
      <c r="J444" s="33">
        <v>202485</v>
      </c>
      <c r="K444" s="33" t="s">
        <v>2360</v>
      </c>
      <c r="L444" s="33" t="s">
        <v>2361</v>
      </c>
      <c r="M444" s="33" t="s">
        <v>2362</v>
      </c>
      <c r="N444" s="44">
        <v>42143522</v>
      </c>
      <c r="O444" s="33" t="s">
        <v>2402</v>
      </c>
      <c r="P444" s="33" t="s">
        <v>2403</v>
      </c>
      <c r="Q444" s="34" t="s">
        <v>1494</v>
      </c>
      <c r="R444" s="34" t="s">
        <v>1494</v>
      </c>
    </row>
    <row r="445" spans="1:18" ht="15" customHeight="1" x14ac:dyDescent="0.25">
      <c r="A445" t="str">
        <f>IFERROR(RANK(B445,$B:$B,1)+COUNTIF($B$1:B444,B445),"")</f>
        <v/>
      </c>
      <c r="B445" t="str">
        <f>IFERROR(SEARCH(#REF!,Table4[[#This Row],[Commodity Title]],1),"")</f>
        <v/>
      </c>
      <c r="C445" s="35">
        <v>42143523</v>
      </c>
      <c r="D445" s="33" t="s">
        <v>1495</v>
      </c>
      <c r="E445" s="33" t="s">
        <v>1496</v>
      </c>
      <c r="F445" s="33" t="s">
        <v>1497</v>
      </c>
      <c r="G445" s="33" t="s">
        <v>1736</v>
      </c>
      <c r="H445" s="33" t="s">
        <v>1737</v>
      </c>
      <c r="I445" s="33" t="s">
        <v>1738</v>
      </c>
      <c r="J445" s="33">
        <v>105466</v>
      </c>
      <c r="K445" s="33" t="s">
        <v>2360</v>
      </c>
      <c r="L445" s="33" t="s">
        <v>2361</v>
      </c>
      <c r="M445" s="33" t="s">
        <v>2362</v>
      </c>
      <c r="N445" s="44">
        <v>42143523</v>
      </c>
      <c r="O445" s="33" t="s">
        <v>2404</v>
      </c>
      <c r="P445" s="33" t="s">
        <v>2405</v>
      </c>
      <c r="Q445" s="34" t="s">
        <v>1494</v>
      </c>
      <c r="R445" s="34" t="s">
        <v>1494</v>
      </c>
    </row>
    <row r="446" spans="1:18" ht="15" customHeight="1" x14ac:dyDescent="0.25">
      <c r="A446" t="str">
        <f>IFERROR(RANK(B446,$B:$B,1)+COUNTIF($B$1:B445,B446),"")</f>
        <v/>
      </c>
      <c r="B446" t="str">
        <f>IFERROR(SEARCH(#REF!,Table4[[#This Row],[Commodity Title]],1),"")</f>
        <v/>
      </c>
      <c r="C446" s="35">
        <v>42143524</v>
      </c>
      <c r="D446" s="33" t="s">
        <v>1495</v>
      </c>
      <c r="E446" s="33" t="s">
        <v>1496</v>
      </c>
      <c r="F446" s="33" t="s">
        <v>1497</v>
      </c>
      <c r="G446" s="33" t="s">
        <v>1736</v>
      </c>
      <c r="H446" s="33" t="s">
        <v>1737</v>
      </c>
      <c r="I446" s="33" t="s">
        <v>1738</v>
      </c>
      <c r="J446" s="33">
        <v>202486</v>
      </c>
      <c r="K446" s="33" t="s">
        <v>2360</v>
      </c>
      <c r="L446" s="33" t="s">
        <v>2361</v>
      </c>
      <c r="M446" s="33" t="s">
        <v>2362</v>
      </c>
      <c r="N446" s="44">
        <v>42143524</v>
      </c>
      <c r="O446" s="33" t="s">
        <v>2406</v>
      </c>
      <c r="P446" s="33" t="s">
        <v>2407</v>
      </c>
      <c r="Q446" s="34" t="s">
        <v>1494</v>
      </c>
      <c r="R446" s="34" t="s">
        <v>1494</v>
      </c>
    </row>
    <row r="447" spans="1:18" ht="15" customHeight="1" x14ac:dyDescent="0.25">
      <c r="A447" t="str">
        <f>IFERROR(RANK(B447,$B:$B,1)+COUNTIF($B$1:B446,B447),"")</f>
        <v/>
      </c>
      <c r="B447" t="str">
        <f>IFERROR(SEARCH(#REF!,Table4[[#This Row],[Commodity Title]],1),"")</f>
        <v/>
      </c>
      <c r="C447" s="35">
        <v>42143525</v>
      </c>
      <c r="D447" s="33" t="s">
        <v>1495</v>
      </c>
      <c r="E447" s="33" t="s">
        <v>1496</v>
      </c>
      <c r="F447" s="33" t="s">
        <v>1497</v>
      </c>
      <c r="G447" s="33" t="s">
        <v>1736</v>
      </c>
      <c r="H447" s="33" t="s">
        <v>1737</v>
      </c>
      <c r="I447" s="33" t="s">
        <v>1738</v>
      </c>
      <c r="J447" s="33">
        <v>202487</v>
      </c>
      <c r="K447" s="33" t="s">
        <v>2360</v>
      </c>
      <c r="L447" s="33" t="s">
        <v>2361</v>
      </c>
      <c r="M447" s="33" t="s">
        <v>2362</v>
      </c>
      <c r="N447" s="44">
        <v>42143525</v>
      </c>
      <c r="O447" s="33" t="s">
        <v>2408</v>
      </c>
      <c r="P447" s="33" t="s">
        <v>2409</v>
      </c>
      <c r="Q447" s="34" t="s">
        <v>1494</v>
      </c>
      <c r="R447" s="34" t="s">
        <v>1494</v>
      </c>
    </row>
    <row r="448" spans="1:18" ht="15" customHeight="1" x14ac:dyDescent="0.25">
      <c r="A448" t="str">
        <f>IFERROR(RANK(B448,$B:$B,1)+COUNTIF($B$1:B447,B448),"")</f>
        <v/>
      </c>
      <c r="B448" t="str">
        <f>IFERROR(SEARCH(#REF!,Table4[[#This Row],[Commodity Title]],1),"")</f>
        <v/>
      </c>
      <c r="C448" s="35">
        <v>42143526</v>
      </c>
      <c r="D448" s="33" t="s">
        <v>1495</v>
      </c>
      <c r="E448" s="33" t="s">
        <v>1496</v>
      </c>
      <c r="F448" s="33" t="s">
        <v>1497</v>
      </c>
      <c r="G448" s="33" t="s">
        <v>1736</v>
      </c>
      <c r="H448" s="33" t="s">
        <v>1737</v>
      </c>
      <c r="I448" s="33" t="s">
        <v>1738</v>
      </c>
      <c r="J448" s="33">
        <v>202493</v>
      </c>
      <c r="K448" s="33" t="s">
        <v>2360</v>
      </c>
      <c r="L448" s="33" t="s">
        <v>2361</v>
      </c>
      <c r="M448" s="33" t="s">
        <v>2362</v>
      </c>
      <c r="N448" s="44">
        <v>42143526</v>
      </c>
      <c r="O448" s="33" t="s">
        <v>2410</v>
      </c>
      <c r="P448" s="33" t="s">
        <v>2411</v>
      </c>
      <c r="Q448" s="34" t="s">
        <v>1494</v>
      </c>
      <c r="R448" s="34" t="s">
        <v>1494</v>
      </c>
    </row>
    <row r="449" spans="1:18" ht="15" customHeight="1" x14ac:dyDescent="0.25">
      <c r="A449" t="str">
        <f>IFERROR(RANK(B449,$B:$B,1)+COUNTIF($B$1:B448,B449),"")</f>
        <v/>
      </c>
      <c r="B449" t="str">
        <f>IFERROR(SEARCH(#REF!,Table4[[#This Row],[Commodity Title]],1),"")</f>
        <v/>
      </c>
      <c r="C449" s="35">
        <v>42143527</v>
      </c>
      <c r="D449" s="33" t="s">
        <v>1495</v>
      </c>
      <c r="E449" s="33" t="s">
        <v>1496</v>
      </c>
      <c r="F449" s="33" t="s">
        <v>1497</v>
      </c>
      <c r="G449" s="33" t="s">
        <v>1736</v>
      </c>
      <c r="H449" s="33" t="s">
        <v>1737</v>
      </c>
      <c r="I449" s="33" t="s">
        <v>1738</v>
      </c>
      <c r="J449" s="33">
        <v>142466</v>
      </c>
      <c r="K449" s="33" t="s">
        <v>2360</v>
      </c>
      <c r="L449" s="33" t="s">
        <v>2361</v>
      </c>
      <c r="M449" s="33" t="s">
        <v>2362</v>
      </c>
      <c r="N449" s="44">
        <v>42143527</v>
      </c>
      <c r="O449" s="33" t="s">
        <v>2412</v>
      </c>
      <c r="P449" s="33" t="s">
        <v>2413</v>
      </c>
      <c r="Q449" s="34" t="s">
        <v>1494</v>
      </c>
      <c r="R449" s="34" t="s">
        <v>1494</v>
      </c>
    </row>
    <row r="450" spans="1:18" ht="15" customHeight="1" x14ac:dyDescent="0.25">
      <c r="A450" t="str">
        <f>IFERROR(RANK(B450,$B:$B,1)+COUNTIF($B$1:B449,B450),"")</f>
        <v/>
      </c>
      <c r="B450" t="str">
        <f>IFERROR(SEARCH(#REF!,Table4[[#This Row],[Commodity Title]],1),"")</f>
        <v/>
      </c>
      <c r="C450" s="35">
        <v>42143528</v>
      </c>
      <c r="D450" s="33" t="s">
        <v>1495</v>
      </c>
      <c r="E450" s="33" t="s">
        <v>1496</v>
      </c>
      <c r="F450" s="33" t="s">
        <v>1497</v>
      </c>
      <c r="G450" s="33" t="s">
        <v>1736</v>
      </c>
      <c r="H450" s="33" t="s">
        <v>1737</v>
      </c>
      <c r="I450" s="33" t="s">
        <v>1738</v>
      </c>
      <c r="J450" s="33">
        <v>202488</v>
      </c>
      <c r="K450" s="33" t="s">
        <v>2360</v>
      </c>
      <c r="L450" s="33" t="s">
        <v>2361</v>
      </c>
      <c r="M450" s="33" t="s">
        <v>2362</v>
      </c>
      <c r="N450" s="44">
        <v>42143528</v>
      </c>
      <c r="O450" s="33" t="s">
        <v>2414</v>
      </c>
      <c r="P450" s="33" t="s">
        <v>2415</v>
      </c>
      <c r="Q450" s="34" t="s">
        <v>1494</v>
      </c>
      <c r="R450" s="34" t="s">
        <v>1494</v>
      </c>
    </row>
    <row r="451" spans="1:18" ht="15" customHeight="1" x14ac:dyDescent="0.25">
      <c r="A451" t="str">
        <f>IFERROR(RANK(B451,$B:$B,1)+COUNTIF($B$1:B450,B451),"")</f>
        <v/>
      </c>
      <c r="B451" t="str">
        <f>IFERROR(SEARCH(#REF!,Table4[[#This Row],[Commodity Title]],1),"")</f>
        <v/>
      </c>
      <c r="C451" s="35">
        <v>42143529</v>
      </c>
      <c r="D451" s="33" t="s">
        <v>1495</v>
      </c>
      <c r="E451" s="33" t="s">
        <v>1496</v>
      </c>
      <c r="F451" s="33" t="s">
        <v>1497</v>
      </c>
      <c r="G451" s="33" t="s">
        <v>1736</v>
      </c>
      <c r="H451" s="33" t="s">
        <v>1737</v>
      </c>
      <c r="I451" s="33" t="s">
        <v>1738</v>
      </c>
      <c r="J451" s="33">
        <v>202489</v>
      </c>
      <c r="K451" s="33" t="s">
        <v>2360</v>
      </c>
      <c r="L451" s="33" t="s">
        <v>2361</v>
      </c>
      <c r="M451" s="33" t="s">
        <v>2362</v>
      </c>
      <c r="N451" s="44">
        <v>42143529</v>
      </c>
      <c r="O451" s="33" t="s">
        <v>2416</v>
      </c>
      <c r="P451" s="33" t="s">
        <v>2417</v>
      </c>
      <c r="Q451" s="34" t="s">
        <v>1494</v>
      </c>
      <c r="R451" s="34" t="s">
        <v>1494</v>
      </c>
    </row>
    <row r="452" spans="1:18" ht="15" customHeight="1" x14ac:dyDescent="0.25">
      <c r="A452" t="str">
        <f>IFERROR(RANK(B452,$B:$B,1)+COUNTIF($B$1:B451,B452),"")</f>
        <v/>
      </c>
      <c r="B452" t="str">
        <f>IFERROR(SEARCH(#REF!,Table4[[#This Row],[Commodity Title]],1),"")</f>
        <v/>
      </c>
      <c r="C452" s="35">
        <v>42143530</v>
      </c>
      <c r="D452" s="33" t="s">
        <v>1495</v>
      </c>
      <c r="E452" s="33" t="s">
        <v>1496</v>
      </c>
      <c r="F452" s="33" t="s">
        <v>1497</v>
      </c>
      <c r="G452" s="33" t="s">
        <v>1736</v>
      </c>
      <c r="H452" s="33" t="s">
        <v>1737</v>
      </c>
      <c r="I452" s="33" t="s">
        <v>1738</v>
      </c>
      <c r="J452" s="33">
        <v>202490</v>
      </c>
      <c r="K452" s="33" t="s">
        <v>2360</v>
      </c>
      <c r="L452" s="33" t="s">
        <v>2361</v>
      </c>
      <c r="M452" s="33" t="s">
        <v>2362</v>
      </c>
      <c r="N452" s="44">
        <v>42143530</v>
      </c>
      <c r="O452" s="33" t="s">
        <v>2418</v>
      </c>
      <c r="P452" s="33" t="s">
        <v>2419</v>
      </c>
      <c r="Q452" s="34" t="s">
        <v>1494</v>
      </c>
      <c r="R452" s="34" t="s">
        <v>1494</v>
      </c>
    </row>
    <row r="453" spans="1:18" ht="15" customHeight="1" x14ac:dyDescent="0.25">
      <c r="A453" t="str">
        <f>IFERROR(RANK(B453,$B:$B,1)+COUNTIF($B$1:B452,B453),"")</f>
        <v/>
      </c>
      <c r="B453" t="str">
        <f>IFERROR(SEARCH(#REF!,Table4[[#This Row],[Commodity Title]],1),"")</f>
        <v/>
      </c>
      <c r="C453" s="35">
        <v>42143531</v>
      </c>
      <c r="D453" s="33" t="s">
        <v>1495</v>
      </c>
      <c r="E453" s="33" t="s">
        <v>1496</v>
      </c>
      <c r="F453" s="33" t="s">
        <v>1497</v>
      </c>
      <c r="G453" s="33" t="s">
        <v>1736</v>
      </c>
      <c r="H453" s="33" t="s">
        <v>1737</v>
      </c>
      <c r="I453" s="33" t="s">
        <v>1738</v>
      </c>
      <c r="J453" s="33">
        <v>202491</v>
      </c>
      <c r="K453" s="33" t="s">
        <v>2360</v>
      </c>
      <c r="L453" s="33" t="s">
        <v>2361</v>
      </c>
      <c r="M453" s="33" t="s">
        <v>2362</v>
      </c>
      <c r="N453" s="44">
        <v>42143531</v>
      </c>
      <c r="O453" s="33" t="s">
        <v>2420</v>
      </c>
      <c r="P453" s="33" t="s">
        <v>2421</v>
      </c>
      <c r="Q453" s="34" t="s">
        <v>1494</v>
      </c>
      <c r="R453" s="34" t="s">
        <v>1494</v>
      </c>
    </row>
    <row r="454" spans="1:18" ht="15" customHeight="1" x14ac:dyDescent="0.25">
      <c r="A454" t="str">
        <f>IFERROR(RANK(B454,$B:$B,1)+COUNTIF($B$1:B453,B454),"")</f>
        <v/>
      </c>
      <c r="B454" t="str">
        <f>IFERROR(SEARCH(#REF!,Table4[[#This Row],[Commodity Title]],1),"")</f>
        <v/>
      </c>
      <c r="C454" s="35">
        <v>42143532</v>
      </c>
      <c r="D454" s="33" t="s">
        <v>1495</v>
      </c>
      <c r="E454" s="33" t="s">
        <v>1496</v>
      </c>
      <c r="F454" s="33" t="s">
        <v>1497</v>
      </c>
      <c r="G454" s="33" t="s">
        <v>1736</v>
      </c>
      <c r="H454" s="33" t="s">
        <v>1737</v>
      </c>
      <c r="I454" s="33" t="s">
        <v>1738</v>
      </c>
      <c r="J454" s="33">
        <v>202492</v>
      </c>
      <c r="K454" s="33" t="s">
        <v>2360</v>
      </c>
      <c r="L454" s="33" t="s">
        <v>2361</v>
      </c>
      <c r="M454" s="33" t="s">
        <v>2362</v>
      </c>
      <c r="N454" s="44">
        <v>42143532</v>
      </c>
      <c r="O454" s="33" t="s">
        <v>2422</v>
      </c>
      <c r="P454" s="33" t="s">
        <v>2423</v>
      </c>
      <c r="Q454" s="34" t="s">
        <v>1494</v>
      </c>
      <c r="R454" s="34" t="s">
        <v>1494</v>
      </c>
    </row>
    <row r="455" spans="1:18" ht="15" customHeight="1" x14ac:dyDescent="0.25">
      <c r="A455" t="str">
        <f>IFERROR(RANK(B455,$B:$B,1)+COUNTIF($B$1:B454,B455),"")</f>
        <v/>
      </c>
      <c r="B455" t="str">
        <f>IFERROR(SEARCH(#REF!,Table4[[#This Row],[Commodity Title]],1),"")</f>
        <v/>
      </c>
      <c r="C455" s="35">
        <v>42143533</v>
      </c>
      <c r="D455" s="33" t="s">
        <v>1495</v>
      </c>
      <c r="E455" s="33" t="s">
        <v>1496</v>
      </c>
      <c r="F455" s="33" t="s">
        <v>1497</v>
      </c>
      <c r="G455" s="33" t="s">
        <v>1736</v>
      </c>
      <c r="H455" s="33" t="s">
        <v>1737</v>
      </c>
      <c r="I455" s="33" t="s">
        <v>1738</v>
      </c>
      <c r="J455" s="33">
        <v>142768</v>
      </c>
      <c r="K455" s="33" t="s">
        <v>2360</v>
      </c>
      <c r="L455" s="33" t="s">
        <v>2361</v>
      </c>
      <c r="M455" s="33" t="s">
        <v>2362</v>
      </c>
      <c r="N455" s="44">
        <v>42143533</v>
      </c>
      <c r="O455" s="33" t="s">
        <v>2424</v>
      </c>
      <c r="P455" s="33" t="s">
        <v>2425</v>
      </c>
      <c r="Q455" s="34" t="s">
        <v>1494</v>
      </c>
      <c r="R455" s="34" t="s">
        <v>1494</v>
      </c>
    </row>
    <row r="456" spans="1:18" ht="15" customHeight="1" x14ac:dyDescent="0.25">
      <c r="A456" t="str">
        <f>IFERROR(RANK(B456,$B:$B,1)+COUNTIF($B$1:B455,B456),"")</f>
        <v/>
      </c>
      <c r="B456" t="str">
        <f>IFERROR(SEARCH(#REF!,Table4[[#This Row],[Commodity Title]],1),"")</f>
        <v/>
      </c>
      <c r="C456" s="33" t="s">
        <v>1494</v>
      </c>
      <c r="D456" s="33" t="s">
        <v>1495</v>
      </c>
      <c r="E456" s="33" t="s">
        <v>1496</v>
      </c>
      <c r="F456" s="33" t="s">
        <v>1497</v>
      </c>
      <c r="G456" s="33" t="s">
        <v>1736</v>
      </c>
      <c r="H456" s="33" t="s">
        <v>1737</v>
      </c>
      <c r="I456" s="33" t="s">
        <v>1738</v>
      </c>
      <c r="J456" s="33">
        <v>143837</v>
      </c>
      <c r="K456" s="33" t="s">
        <v>2426</v>
      </c>
      <c r="L456" s="33" t="s">
        <v>2427</v>
      </c>
      <c r="M456" s="33" t="s">
        <v>2428</v>
      </c>
      <c r="N456" s="44" t="s">
        <v>1494</v>
      </c>
      <c r="O456" s="33" t="s">
        <v>1494</v>
      </c>
      <c r="P456" s="33" t="s">
        <v>1494</v>
      </c>
      <c r="Q456" s="34" t="s">
        <v>1494</v>
      </c>
      <c r="R456" s="34" t="s">
        <v>1494</v>
      </c>
    </row>
    <row r="457" spans="1:18" ht="15" customHeight="1" x14ac:dyDescent="0.25">
      <c r="A457" t="str">
        <f>IFERROR(RANK(B457,$B:$B,1)+COUNTIF($B$1:B456,B457),"")</f>
        <v/>
      </c>
      <c r="B457" t="str">
        <f>IFERROR(SEARCH(#REF!,Table4[[#This Row],[Commodity Title]],1),"")</f>
        <v/>
      </c>
      <c r="C457" s="35">
        <v>42143601</v>
      </c>
      <c r="D457" s="33" t="s">
        <v>1495</v>
      </c>
      <c r="E457" s="33" t="s">
        <v>1496</v>
      </c>
      <c r="F457" s="33" t="s">
        <v>1497</v>
      </c>
      <c r="G457" s="33" t="s">
        <v>1736</v>
      </c>
      <c r="H457" s="33" t="s">
        <v>1737</v>
      </c>
      <c r="I457" s="33" t="s">
        <v>1738</v>
      </c>
      <c r="J457" s="33">
        <v>143838</v>
      </c>
      <c r="K457" s="33" t="s">
        <v>2426</v>
      </c>
      <c r="L457" s="33" t="s">
        <v>2427</v>
      </c>
      <c r="M457" s="33" t="s">
        <v>2428</v>
      </c>
      <c r="N457" s="44">
        <v>42143601</v>
      </c>
      <c r="O457" s="33" t="s">
        <v>2429</v>
      </c>
      <c r="P457" s="33" t="s">
        <v>2430</v>
      </c>
      <c r="Q457" s="34" t="s">
        <v>1494</v>
      </c>
      <c r="R457" s="34" t="s">
        <v>1494</v>
      </c>
    </row>
    <row r="458" spans="1:18" ht="15" customHeight="1" x14ac:dyDescent="0.25">
      <c r="A458" t="str">
        <f>IFERROR(RANK(B458,$B:$B,1)+COUNTIF($B$1:B457,B458),"")</f>
        <v/>
      </c>
      <c r="B458" t="str">
        <f>IFERROR(SEARCH(#REF!,Table4[[#This Row],[Commodity Title]],1),"")</f>
        <v/>
      </c>
      <c r="C458" s="35">
        <v>42143602</v>
      </c>
      <c r="D458" s="33" t="s">
        <v>1495</v>
      </c>
      <c r="E458" s="33" t="s">
        <v>1496</v>
      </c>
      <c r="F458" s="33" t="s">
        <v>1497</v>
      </c>
      <c r="G458" s="33" t="s">
        <v>1736</v>
      </c>
      <c r="H458" s="33" t="s">
        <v>1737</v>
      </c>
      <c r="I458" s="33" t="s">
        <v>1738</v>
      </c>
      <c r="J458" s="33">
        <v>143839</v>
      </c>
      <c r="K458" s="33" t="s">
        <v>2426</v>
      </c>
      <c r="L458" s="33" t="s">
        <v>2427</v>
      </c>
      <c r="M458" s="33" t="s">
        <v>2428</v>
      </c>
      <c r="N458" s="44">
        <v>42143602</v>
      </c>
      <c r="O458" s="33" t="s">
        <v>2431</v>
      </c>
      <c r="P458" s="33" t="s">
        <v>2432</v>
      </c>
      <c r="Q458" s="34" t="s">
        <v>1494</v>
      </c>
      <c r="R458" s="34" t="s">
        <v>1494</v>
      </c>
    </row>
    <row r="459" spans="1:18" ht="15" customHeight="1" x14ac:dyDescent="0.25">
      <c r="A459" t="str">
        <f>IFERROR(RANK(B459,$B:$B,1)+COUNTIF($B$1:B458,B459),"")</f>
        <v/>
      </c>
      <c r="B459" t="str">
        <f>IFERROR(SEARCH(#REF!,Table4[[#This Row],[Commodity Title]],1),"")</f>
        <v/>
      </c>
      <c r="C459" s="35">
        <v>42143603</v>
      </c>
      <c r="D459" s="33" t="s">
        <v>1495</v>
      </c>
      <c r="E459" s="33" t="s">
        <v>1496</v>
      </c>
      <c r="F459" s="33" t="s">
        <v>1497</v>
      </c>
      <c r="G459" s="33" t="s">
        <v>1736</v>
      </c>
      <c r="H459" s="33" t="s">
        <v>1737</v>
      </c>
      <c r="I459" s="33" t="s">
        <v>1738</v>
      </c>
      <c r="J459" s="33">
        <v>143840</v>
      </c>
      <c r="K459" s="33" t="s">
        <v>2426</v>
      </c>
      <c r="L459" s="33" t="s">
        <v>2427</v>
      </c>
      <c r="M459" s="33" t="s">
        <v>2428</v>
      </c>
      <c r="N459" s="44">
        <v>42143603</v>
      </c>
      <c r="O459" s="33" t="s">
        <v>2433</v>
      </c>
      <c r="P459" s="33" t="s">
        <v>2434</v>
      </c>
      <c r="Q459" s="34" t="s">
        <v>1494</v>
      </c>
      <c r="R459" s="34" t="s">
        <v>1494</v>
      </c>
    </row>
    <row r="460" spans="1:18" ht="15" customHeight="1" x14ac:dyDescent="0.25">
      <c r="A460" t="str">
        <f>IFERROR(RANK(B460,$B:$B,1)+COUNTIF($B$1:B459,B460),"")</f>
        <v/>
      </c>
      <c r="B460" t="str">
        <f>IFERROR(SEARCH(#REF!,Table4[[#This Row],[Commodity Title]],1),"")</f>
        <v/>
      </c>
      <c r="C460" s="35">
        <v>42143604</v>
      </c>
      <c r="D460" s="33" t="s">
        <v>1495</v>
      </c>
      <c r="E460" s="33" t="s">
        <v>1496</v>
      </c>
      <c r="F460" s="33" t="s">
        <v>1497</v>
      </c>
      <c r="G460" s="33" t="s">
        <v>1736</v>
      </c>
      <c r="H460" s="33" t="s">
        <v>1737</v>
      </c>
      <c r="I460" s="33" t="s">
        <v>1738</v>
      </c>
      <c r="J460" s="33">
        <v>143841</v>
      </c>
      <c r="K460" s="33" t="s">
        <v>2426</v>
      </c>
      <c r="L460" s="33" t="s">
        <v>2427</v>
      </c>
      <c r="M460" s="33" t="s">
        <v>2428</v>
      </c>
      <c r="N460" s="44">
        <v>42143604</v>
      </c>
      <c r="O460" s="33" t="s">
        <v>2435</v>
      </c>
      <c r="P460" s="33" t="s">
        <v>2436</v>
      </c>
      <c r="Q460" s="34" t="s">
        <v>1494</v>
      </c>
      <c r="R460" s="34" t="s">
        <v>1494</v>
      </c>
    </row>
    <row r="461" spans="1:18" ht="15" customHeight="1" x14ac:dyDescent="0.25">
      <c r="A461" t="str">
        <f>IFERROR(RANK(B461,$B:$B,1)+COUNTIF($B$1:B460,B461),"")</f>
        <v/>
      </c>
      <c r="B461" t="str">
        <f>IFERROR(SEARCH(#REF!,Table4[[#This Row],[Commodity Title]],1),"")</f>
        <v/>
      </c>
      <c r="C461" s="35">
        <v>42143605</v>
      </c>
      <c r="D461" s="33" t="s">
        <v>1495</v>
      </c>
      <c r="E461" s="33" t="s">
        <v>1496</v>
      </c>
      <c r="F461" s="33" t="s">
        <v>1497</v>
      </c>
      <c r="G461" s="33" t="s">
        <v>1736</v>
      </c>
      <c r="H461" s="33" t="s">
        <v>1737</v>
      </c>
      <c r="I461" s="33" t="s">
        <v>1738</v>
      </c>
      <c r="J461" s="33">
        <v>143842</v>
      </c>
      <c r="K461" s="33" t="s">
        <v>2426</v>
      </c>
      <c r="L461" s="33" t="s">
        <v>2427</v>
      </c>
      <c r="M461" s="33" t="s">
        <v>2428</v>
      </c>
      <c r="N461" s="44">
        <v>42143605</v>
      </c>
      <c r="O461" s="33" t="s">
        <v>2437</v>
      </c>
      <c r="P461" s="33" t="s">
        <v>2438</v>
      </c>
      <c r="Q461" s="34" t="s">
        <v>1494</v>
      </c>
      <c r="R461" s="34" t="s">
        <v>1494</v>
      </c>
    </row>
    <row r="462" spans="1:18" ht="15" customHeight="1" x14ac:dyDescent="0.25">
      <c r="A462" t="str">
        <f>IFERROR(RANK(B462,$B:$B,1)+COUNTIF($B$1:B461,B462),"")</f>
        <v/>
      </c>
      <c r="B462" t="str">
        <f>IFERROR(SEARCH(#REF!,Table4[[#This Row],[Commodity Title]],1),"")</f>
        <v/>
      </c>
      <c r="C462" s="35">
        <v>42143606</v>
      </c>
      <c r="D462" s="33" t="s">
        <v>1495</v>
      </c>
      <c r="E462" s="33" t="s">
        <v>1496</v>
      </c>
      <c r="F462" s="33" t="s">
        <v>1497</v>
      </c>
      <c r="G462" s="33" t="s">
        <v>1736</v>
      </c>
      <c r="H462" s="33" t="s">
        <v>1737</v>
      </c>
      <c r="I462" s="33" t="s">
        <v>1738</v>
      </c>
      <c r="J462" s="33">
        <v>143843</v>
      </c>
      <c r="K462" s="33" t="s">
        <v>2426</v>
      </c>
      <c r="L462" s="33" t="s">
        <v>2427</v>
      </c>
      <c r="M462" s="33" t="s">
        <v>2428</v>
      </c>
      <c r="N462" s="44">
        <v>42143606</v>
      </c>
      <c r="O462" s="33" t="s">
        <v>2439</v>
      </c>
      <c r="P462" s="33" t="s">
        <v>2440</v>
      </c>
      <c r="Q462" s="34" t="s">
        <v>1494</v>
      </c>
      <c r="R462" s="34" t="s">
        <v>1494</v>
      </c>
    </row>
    <row r="463" spans="1:18" ht="15" customHeight="1" x14ac:dyDescent="0.25">
      <c r="A463" t="str">
        <f>IFERROR(RANK(B463,$B:$B,1)+COUNTIF($B$1:B462,B463),"")</f>
        <v/>
      </c>
      <c r="B463" t="str">
        <f>IFERROR(SEARCH(#REF!,Table4[[#This Row],[Commodity Title]],1),"")</f>
        <v/>
      </c>
      <c r="C463" s="35">
        <v>42143607</v>
      </c>
      <c r="D463" s="33" t="s">
        <v>1495</v>
      </c>
      <c r="E463" s="33" t="s">
        <v>1496</v>
      </c>
      <c r="F463" s="33" t="s">
        <v>1497</v>
      </c>
      <c r="G463" s="33" t="s">
        <v>1736</v>
      </c>
      <c r="H463" s="33" t="s">
        <v>1737</v>
      </c>
      <c r="I463" s="33" t="s">
        <v>1738</v>
      </c>
      <c r="J463" s="33">
        <v>143844</v>
      </c>
      <c r="K463" s="33" t="s">
        <v>2426</v>
      </c>
      <c r="L463" s="33" t="s">
        <v>2427</v>
      </c>
      <c r="M463" s="33" t="s">
        <v>2428</v>
      </c>
      <c r="N463" s="44">
        <v>42143607</v>
      </c>
      <c r="O463" s="33" t="s">
        <v>2441</v>
      </c>
      <c r="P463" s="33" t="s">
        <v>2442</v>
      </c>
      <c r="Q463" s="34" t="s">
        <v>1494</v>
      </c>
      <c r="R463" s="34" t="s">
        <v>1494</v>
      </c>
    </row>
    <row r="464" spans="1:18" ht="15" customHeight="1" x14ac:dyDescent="0.25">
      <c r="A464" t="str">
        <f>IFERROR(RANK(B464,$B:$B,1)+COUNTIF($B$1:B463,B464),"")</f>
        <v/>
      </c>
      <c r="B464" t="str">
        <f>IFERROR(SEARCH(#REF!,Table4[[#This Row],[Commodity Title]],1),"")</f>
        <v/>
      </c>
      <c r="C464" s="35">
        <v>42143608</v>
      </c>
      <c r="D464" s="33" t="s">
        <v>1495</v>
      </c>
      <c r="E464" s="33" t="s">
        <v>1496</v>
      </c>
      <c r="F464" s="33" t="s">
        <v>1497</v>
      </c>
      <c r="G464" s="33" t="s">
        <v>1736</v>
      </c>
      <c r="H464" s="33" t="s">
        <v>1737</v>
      </c>
      <c r="I464" s="33" t="s">
        <v>1738</v>
      </c>
      <c r="J464" s="33">
        <v>143845</v>
      </c>
      <c r="K464" s="33" t="s">
        <v>2426</v>
      </c>
      <c r="L464" s="33" t="s">
        <v>2427</v>
      </c>
      <c r="M464" s="33" t="s">
        <v>2428</v>
      </c>
      <c r="N464" s="44">
        <v>42143608</v>
      </c>
      <c r="O464" s="33" t="s">
        <v>2443</v>
      </c>
      <c r="P464" s="33" t="s">
        <v>2444</v>
      </c>
      <c r="Q464" s="34" t="s">
        <v>1494</v>
      </c>
      <c r="R464" s="34" t="s">
        <v>1494</v>
      </c>
    </row>
    <row r="465" spans="1:18" ht="15" customHeight="1" x14ac:dyDescent="0.25">
      <c r="A465" t="str">
        <f>IFERROR(RANK(B465,$B:$B,1)+COUNTIF($B$1:B464,B465),"")</f>
        <v/>
      </c>
      <c r="B465" t="str">
        <f>IFERROR(SEARCH(#REF!,Table4[[#This Row],[Commodity Title]],1),"")</f>
        <v/>
      </c>
      <c r="C465" s="35">
        <v>42143609</v>
      </c>
      <c r="D465" s="33" t="s">
        <v>1495</v>
      </c>
      <c r="E465" s="33" t="s">
        <v>1496</v>
      </c>
      <c r="F465" s="33" t="s">
        <v>1497</v>
      </c>
      <c r="G465" s="33" t="s">
        <v>1736</v>
      </c>
      <c r="H465" s="33" t="s">
        <v>1737</v>
      </c>
      <c r="I465" s="33" t="s">
        <v>1738</v>
      </c>
      <c r="J465" s="33">
        <v>144215</v>
      </c>
      <c r="K465" s="33" t="s">
        <v>2426</v>
      </c>
      <c r="L465" s="33" t="s">
        <v>2427</v>
      </c>
      <c r="M465" s="33" t="s">
        <v>2428</v>
      </c>
      <c r="N465" s="44">
        <v>42143609</v>
      </c>
      <c r="O465" s="33" t="s">
        <v>2445</v>
      </c>
      <c r="P465" s="33" t="s">
        <v>2446</v>
      </c>
      <c r="Q465" s="34" t="s">
        <v>1494</v>
      </c>
      <c r="R465" s="34" t="s">
        <v>1494</v>
      </c>
    </row>
    <row r="466" spans="1:18" ht="15" customHeight="1" x14ac:dyDescent="0.25">
      <c r="A466" t="str">
        <f>IFERROR(RANK(B466,$B:$B,1)+COUNTIF($B$1:B465,B466),"")</f>
        <v/>
      </c>
      <c r="B466" t="str">
        <f>IFERROR(SEARCH(#REF!,Table4[[#This Row],[Commodity Title]],1),"")</f>
        <v/>
      </c>
      <c r="C466" s="35">
        <v>42143610</v>
      </c>
      <c r="D466" s="33" t="s">
        <v>1495</v>
      </c>
      <c r="E466" s="33" t="s">
        <v>1496</v>
      </c>
      <c r="F466" s="33" t="s">
        <v>1497</v>
      </c>
      <c r="G466" s="33" t="s">
        <v>1736</v>
      </c>
      <c r="H466" s="33" t="s">
        <v>1737</v>
      </c>
      <c r="I466" s="33" t="s">
        <v>1738</v>
      </c>
      <c r="J466" s="33">
        <v>202494</v>
      </c>
      <c r="K466" s="33" t="s">
        <v>2426</v>
      </c>
      <c r="L466" s="33" t="s">
        <v>2427</v>
      </c>
      <c r="M466" s="33" t="s">
        <v>2428</v>
      </c>
      <c r="N466" s="44">
        <v>42143610</v>
      </c>
      <c r="O466" s="33" t="s">
        <v>2447</v>
      </c>
      <c r="P466" s="33" t="s">
        <v>2448</v>
      </c>
      <c r="Q466" s="34" t="s">
        <v>1494</v>
      </c>
      <c r="R466" s="34" t="s">
        <v>1494</v>
      </c>
    </row>
    <row r="467" spans="1:18" ht="15" customHeight="1" x14ac:dyDescent="0.25">
      <c r="A467" t="str">
        <f>IFERROR(RANK(B467,$B:$B,1)+COUNTIF($B$1:B466,B467),"")</f>
        <v/>
      </c>
      <c r="B467" t="str">
        <f>IFERROR(SEARCH(#REF!,Table4[[#This Row],[Commodity Title]],1),"")</f>
        <v/>
      </c>
      <c r="C467" s="35">
        <v>42143611</v>
      </c>
      <c r="D467" s="33" t="s">
        <v>1495</v>
      </c>
      <c r="E467" s="33" t="s">
        <v>1496</v>
      </c>
      <c r="F467" s="33" t="s">
        <v>1497</v>
      </c>
      <c r="G467" s="33" t="s">
        <v>1736</v>
      </c>
      <c r="H467" s="33" t="s">
        <v>1737</v>
      </c>
      <c r="I467" s="33" t="s">
        <v>1738</v>
      </c>
      <c r="J467" s="33">
        <v>202495</v>
      </c>
      <c r="K467" s="33" t="s">
        <v>2426</v>
      </c>
      <c r="L467" s="33" t="s">
        <v>2427</v>
      </c>
      <c r="M467" s="33" t="s">
        <v>2428</v>
      </c>
      <c r="N467" s="44">
        <v>42143611</v>
      </c>
      <c r="O467" s="33" t="s">
        <v>2449</v>
      </c>
      <c r="P467" s="33" t="s">
        <v>2450</v>
      </c>
      <c r="Q467" s="34" t="s">
        <v>1494</v>
      </c>
      <c r="R467" s="34" t="s">
        <v>1494</v>
      </c>
    </row>
    <row r="468" spans="1:18" ht="15" customHeight="1" x14ac:dyDescent="0.25">
      <c r="A468" t="str">
        <f>IFERROR(RANK(B468,$B:$B,1)+COUNTIF($B$1:B467,B468),"")</f>
        <v/>
      </c>
      <c r="B468" t="str">
        <f>IFERROR(SEARCH(#REF!,Table4[[#This Row],[Commodity Title]],1),"")</f>
        <v/>
      </c>
      <c r="C468" s="35">
        <v>42143612</v>
      </c>
      <c r="D468" s="33" t="s">
        <v>1495</v>
      </c>
      <c r="E468" s="33" t="s">
        <v>1496</v>
      </c>
      <c r="F468" s="33" t="s">
        <v>1497</v>
      </c>
      <c r="G468" s="33" t="s">
        <v>1736</v>
      </c>
      <c r="H468" s="33" t="s">
        <v>1737</v>
      </c>
      <c r="I468" s="33" t="s">
        <v>1738</v>
      </c>
      <c r="J468" s="33">
        <v>202496</v>
      </c>
      <c r="K468" s="33" t="s">
        <v>2426</v>
      </c>
      <c r="L468" s="33" t="s">
        <v>2427</v>
      </c>
      <c r="M468" s="33" t="s">
        <v>2428</v>
      </c>
      <c r="N468" s="44">
        <v>42143612</v>
      </c>
      <c r="O468" s="33" t="s">
        <v>2451</v>
      </c>
      <c r="P468" s="33" t="s">
        <v>2452</v>
      </c>
      <c r="Q468" s="34" t="s">
        <v>1494</v>
      </c>
      <c r="R468" s="34" t="s">
        <v>1494</v>
      </c>
    </row>
    <row r="469" spans="1:18" ht="15" customHeight="1" x14ac:dyDescent="0.25">
      <c r="A469" t="str">
        <f>IFERROR(RANK(B469,$B:$B,1)+COUNTIF($B$1:B468,B469),"")</f>
        <v/>
      </c>
      <c r="B469" t="str">
        <f>IFERROR(SEARCH(#REF!,Table4[[#This Row],[Commodity Title]],1),"")</f>
        <v/>
      </c>
      <c r="C469" s="33" t="s">
        <v>1494</v>
      </c>
      <c r="D469" s="33" t="s">
        <v>1495</v>
      </c>
      <c r="E469" s="33" t="s">
        <v>1496</v>
      </c>
      <c r="F469" s="33" t="s">
        <v>1497</v>
      </c>
      <c r="G469" s="33" t="s">
        <v>1736</v>
      </c>
      <c r="H469" s="33" t="s">
        <v>1737</v>
      </c>
      <c r="I469" s="33" t="s">
        <v>1738</v>
      </c>
      <c r="J469" s="33">
        <v>144216</v>
      </c>
      <c r="K469" s="33" t="s">
        <v>2453</v>
      </c>
      <c r="L469" s="33" t="s">
        <v>2454</v>
      </c>
      <c r="M469" s="33" t="s">
        <v>2455</v>
      </c>
      <c r="N469" s="44" t="s">
        <v>1494</v>
      </c>
      <c r="O469" s="33" t="s">
        <v>1494</v>
      </c>
      <c r="P469" s="33" t="s">
        <v>1494</v>
      </c>
      <c r="Q469" s="34" t="s">
        <v>1494</v>
      </c>
      <c r="R469" s="34" t="s">
        <v>1494</v>
      </c>
    </row>
    <row r="470" spans="1:18" ht="15" customHeight="1" x14ac:dyDescent="0.25">
      <c r="A470" t="str">
        <f>IFERROR(RANK(B470,$B:$B,1)+COUNTIF($B$1:B469,B470),"")</f>
        <v/>
      </c>
      <c r="B470" t="str">
        <f>IFERROR(SEARCH(#REF!,Table4[[#This Row],[Commodity Title]],1),"")</f>
        <v/>
      </c>
      <c r="C470" s="35">
        <v>42143701</v>
      </c>
      <c r="D470" s="33" t="s">
        <v>1495</v>
      </c>
      <c r="E470" s="33" t="s">
        <v>1496</v>
      </c>
      <c r="F470" s="33" t="s">
        <v>1497</v>
      </c>
      <c r="G470" s="33" t="s">
        <v>1736</v>
      </c>
      <c r="H470" s="33" t="s">
        <v>1737</v>
      </c>
      <c r="I470" s="33" t="s">
        <v>1738</v>
      </c>
      <c r="J470" s="33">
        <v>144217</v>
      </c>
      <c r="K470" s="33" t="s">
        <v>2453</v>
      </c>
      <c r="L470" s="33" t="s">
        <v>2454</v>
      </c>
      <c r="M470" s="33" t="s">
        <v>2455</v>
      </c>
      <c r="N470" s="44">
        <v>42143701</v>
      </c>
      <c r="O470" s="33" t="s">
        <v>2456</v>
      </c>
      <c r="P470" s="33" t="s">
        <v>2457</v>
      </c>
      <c r="Q470" s="34" t="s">
        <v>1494</v>
      </c>
      <c r="R470" s="34" t="s">
        <v>1494</v>
      </c>
    </row>
    <row r="471" spans="1:18" ht="15" customHeight="1" x14ac:dyDescent="0.25">
      <c r="A471" t="str">
        <f>IFERROR(RANK(B471,$B:$B,1)+COUNTIF($B$1:B470,B471),"")</f>
        <v/>
      </c>
      <c r="B471" t="str">
        <f>IFERROR(SEARCH(#REF!,Table4[[#This Row],[Commodity Title]],1),"")</f>
        <v/>
      </c>
      <c r="C471" s="35">
        <v>42143702</v>
      </c>
      <c r="D471" s="33" t="s">
        <v>1495</v>
      </c>
      <c r="E471" s="33" t="s">
        <v>1496</v>
      </c>
      <c r="F471" s="33" t="s">
        <v>1497</v>
      </c>
      <c r="G471" s="33" t="s">
        <v>1736</v>
      </c>
      <c r="H471" s="33" t="s">
        <v>1737</v>
      </c>
      <c r="I471" s="33" t="s">
        <v>1738</v>
      </c>
      <c r="J471" s="33">
        <v>144218</v>
      </c>
      <c r="K471" s="33" t="s">
        <v>2453</v>
      </c>
      <c r="L471" s="33" t="s">
        <v>2454</v>
      </c>
      <c r="M471" s="33" t="s">
        <v>2455</v>
      </c>
      <c r="N471" s="44">
        <v>42143702</v>
      </c>
      <c r="O471" s="33" t="s">
        <v>2458</v>
      </c>
      <c r="P471" s="33" t="s">
        <v>2459</v>
      </c>
      <c r="Q471" s="34" t="s">
        <v>1494</v>
      </c>
      <c r="R471" s="34" t="s">
        <v>1494</v>
      </c>
    </row>
    <row r="472" spans="1:18" ht="15" customHeight="1" x14ac:dyDescent="0.25">
      <c r="A472" t="str">
        <f>IFERROR(RANK(B472,$B:$B,1)+COUNTIF($B$1:B471,B472),"")</f>
        <v/>
      </c>
      <c r="B472" t="str">
        <f>IFERROR(SEARCH(#REF!,Table4[[#This Row],[Commodity Title]],1),"")</f>
        <v/>
      </c>
      <c r="C472" s="35">
        <v>42143703</v>
      </c>
      <c r="D472" s="33" t="s">
        <v>1495</v>
      </c>
      <c r="E472" s="33" t="s">
        <v>1496</v>
      </c>
      <c r="F472" s="33" t="s">
        <v>1497</v>
      </c>
      <c r="G472" s="33" t="s">
        <v>1736</v>
      </c>
      <c r="H472" s="33" t="s">
        <v>1737</v>
      </c>
      <c r="I472" s="33" t="s">
        <v>1738</v>
      </c>
      <c r="J472" s="33">
        <v>144219</v>
      </c>
      <c r="K472" s="33" t="s">
        <v>2453</v>
      </c>
      <c r="L472" s="33" t="s">
        <v>2454</v>
      </c>
      <c r="M472" s="33" t="s">
        <v>2455</v>
      </c>
      <c r="N472" s="44">
        <v>42143703</v>
      </c>
      <c r="O472" s="33" t="s">
        <v>2460</v>
      </c>
      <c r="P472" s="33" t="s">
        <v>2461</v>
      </c>
      <c r="Q472" s="34" t="s">
        <v>1494</v>
      </c>
      <c r="R472" s="34" t="s">
        <v>1494</v>
      </c>
    </row>
    <row r="473" spans="1:18" ht="15" customHeight="1" x14ac:dyDescent="0.25">
      <c r="A473" t="str">
        <f>IFERROR(RANK(B473,$B:$B,1)+COUNTIF($B$1:B472,B473),"")</f>
        <v/>
      </c>
      <c r="B473" t="str">
        <f>IFERROR(SEARCH(#REF!,Table4[[#This Row],[Commodity Title]],1),"")</f>
        <v/>
      </c>
      <c r="C473" s="35">
        <v>42143704</v>
      </c>
      <c r="D473" s="33" t="s">
        <v>1495</v>
      </c>
      <c r="E473" s="33" t="s">
        <v>1496</v>
      </c>
      <c r="F473" s="33" t="s">
        <v>1497</v>
      </c>
      <c r="G473" s="33" t="s">
        <v>1736</v>
      </c>
      <c r="H473" s="33" t="s">
        <v>1737</v>
      </c>
      <c r="I473" s="33" t="s">
        <v>1738</v>
      </c>
      <c r="J473" s="33">
        <v>144220</v>
      </c>
      <c r="K473" s="33" t="s">
        <v>2453</v>
      </c>
      <c r="L473" s="33" t="s">
        <v>2454</v>
      </c>
      <c r="M473" s="33" t="s">
        <v>2455</v>
      </c>
      <c r="N473" s="44">
        <v>42143704</v>
      </c>
      <c r="O473" s="33" t="s">
        <v>2462</v>
      </c>
      <c r="P473" s="33" t="s">
        <v>2463</v>
      </c>
      <c r="Q473" s="34" t="s">
        <v>1494</v>
      </c>
      <c r="R473" s="34" t="s">
        <v>1494</v>
      </c>
    </row>
    <row r="474" spans="1:18" ht="15" customHeight="1" x14ac:dyDescent="0.25">
      <c r="A474" t="str">
        <f>IFERROR(RANK(B474,$B:$B,1)+COUNTIF($B$1:B473,B474),"")</f>
        <v/>
      </c>
      <c r="B474" t="str">
        <f>IFERROR(SEARCH(#REF!,Table4[[#This Row],[Commodity Title]],1),"")</f>
        <v/>
      </c>
      <c r="C474" s="35">
        <v>42143705</v>
      </c>
      <c r="D474" s="33" t="s">
        <v>1495</v>
      </c>
      <c r="E474" s="33" t="s">
        <v>1496</v>
      </c>
      <c r="F474" s="33" t="s">
        <v>1497</v>
      </c>
      <c r="G474" s="33" t="s">
        <v>1736</v>
      </c>
      <c r="H474" s="33" t="s">
        <v>1737</v>
      </c>
      <c r="I474" s="33" t="s">
        <v>1738</v>
      </c>
      <c r="J474" s="33">
        <v>144221</v>
      </c>
      <c r="K474" s="33" t="s">
        <v>2453</v>
      </c>
      <c r="L474" s="33" t="s">
        <v>2454</v>
      </c>
      <c r="M474" s="33" t="s">
        <v>2455</v>
      </c>
      <c r="N474" s="44">
        <v>42143705</v>
      </c>
      <c r="O474" s="33" t="s">
        <v>2464</v>
      </c>
      <c r="P474" s="33" t="s">
        <v>2465</v>
      </c>
      <c r="Q474" s="34" t="s">
        <v>1494</v>
      </c>
      <c r="R474" s="34" t="s">
        <v>1494</v>
      </c>
    </row>
    <row r="475" spans="1:18" ht="15" customHeight="1" x14ac:dyDescent="0.25">
      <c r="A475" t="str">
        <f>IFERROR(RANK(B475,$B:$B,1)+COUNTIF($B$1:B474,B475),"")</f>
        <v/>
      </c>
      <c r="B475" t="str">
        <f>IFERROR(SEARCH(#REF!,Table4[[#This Row],[Commodity Title]],1),"")</f>
        <v/>
      </c>
      <c r="C475" s="35">
        <v>42143706</v>
      </c>
      <c r="D475" s="33" t="s">
        <v>1495</v>
      </c>
      <c r="E475" s="33" t="s">
        <v>1496</v>
      </c>
      <c r="F475" s="33" t="s">
        <v>1497</v>
      </c>
      <c r="G475" s="33" t="s">
        <v>1736</v>
      </c>
      <c r="H475" s="33" t="s">
        <v>1737</v>
      </c>
      <c r="I475" s="33" t="s">
        <v>1738</v>
      </c>
      <c r="J475" s="33">
        <v>144222</v>
      </c>
      <c r="K475" s="33" t="s">
        <v>2453</v>
      </c>
      <c r="L475" s="33" t="s">
        <v>2454</v>
      </c>
      <c r="M475" s="33" t="s">
        <v>2455</v>
      </c>
      <c r="N475" s="44">
        <v>42143706</v>
      </c>
      <c r="O475" s="33" t="s">
        <v>2466</v>
      </c>
      <c r="P475" s="33" t="s">
        <v>2467</v>
      </c>
      <c r="Q475" s="34" t="s">
        <v>1494</v>
      </c>
      <c r="R475" s="34" t="s">
        <v>1494</v>
      </c>
    </row>
    <row r="476" spans="1:18" ht="15" customHeight="1" x14ac:dyDescent="0.25">
      <c r="A476" t="str">
        <f>IFERROR(RANK(B476,$B:$B,1)+COUNTIF($B$1:B475,B476),"")</f>
        <v/>
      </c>
      <c r="B476" t="str">
        <f>IFERROR(SEARCH(#REF!,Table4[[#This Row],[Commodity Title]],1),"")</f>
        <v/>
      </c>
      <c r="C476" s="35">
        <v>42143707</v>
      </c>
      <c r="D476" s="33" t="s">
        <v>1495</v>
      </c>
      <c r="E476" s="33" t="s">
        <v>1496</v>
      </c>
      <c r="F476" s="33" t="s">
        <v>1497</v>
      </c>
      <c r="G476" s="33" t="s">
        <v>1736</v>
      </c>
      <c r="H476" s="33" t="s">
        <v>1737</v>
      </c>
      <c r="I476" s="33" t="s">
        <v>1738</v>
      </c>
      <c r="J476" s="33">
        <v>144223</v>
      </c>
      <c r="K476" s="33" t="s">
        <v>2453</v>
      </c>
      <c r="L476" s="33" t="s">
        <v>2454</v>
      </c>
      <c r="M476" s="33" t="s">
        <v>2455</v>
      </c>
      <c r="N476" s="44">
        <v>42143707</v>
      </c>
      <c r="O476" s="33" t="s">
        <v>2468</v>
      </c>
      <c r="P476" s="33" t="s">
        <v>2469</v>
      </c>
      <c r="Q476" s="34" t="s">
        <v>1494</v>
      </c>
      <c r="R476" s="34" t="s">
        <v>1494</v>
      </c>
    </row>
    <row r="477" spans="1:18" ht="15" customHeight="1" x14ac:dyDescent="0.25">
      <c r="A477" t="str">
        <f>IFERROR(RANK(B477,$B:$B,1)+COUNTIF($B$1:B476,B477),"")</f>
        <v/>
      </c>
      <c r="B477" t="str">
        <f>IFERROR(SEARCH(#REF!,Table4[[#This Row],[Commodity Title]],1),"")</f>
        <v/>
      </c>
      <c r="C477" s="35">
        <v>42143708</v>
      </c>
      <c r="D477" s="33" t="s">
        <v>1495</v>
      </c>
      <c r="E477" s="33" t="s">
        <v>1496</v>
      </c>
      <c r="F477" s="33" t="s">
        <v>1497</v>
      </c>
      <c r="G477" s="33" t="s">
        <v>1736</v>
      </c>
      <c r="H477" s="33" t="s">
        <v>1737</v>
      </c>
      <c r="I477" s="33" t="s">
        <v>1738</v>
      </c>
      <c r="J477" s="33">
        <v>146126</v>
      </c>
      <c r="K477" s="33" t="s">
        <v>2453</v>
      </c>
      <c r="L477" s="33" t="s">
        <v>2454</v>
      </c>
      <c r="M477" s="33" t="s">
        <v>2455</v>
      </c>
      <c r="N477" s="44">
        <v>42143708</v>
      </c>
      <c r="O477" s="33" t="s">
        <v>2470</v>
      </c>
      <c r="P477" s="33" t="s">
        <v>2471</v>
      </c>
      <c r="Q477" s="34" t="s">
        <v>1494</v>
      </c>
      <c r="R477" s="34" t="s">
        <v>1494</v>
      </c>
    </row>
    <row r="478" spans="1:18" ht="15" customHeight="1" x14ac:dyDescent="0.25">
      <c r="A478" t="str">
        <f>IFERROR(RANK(B478,$B:$B,1)+COUNTIF($B$1:B477,B478),"")</f>
        <v/>
      </c>
      <c r="B478" t="str">
        <f>IFERROR(SEARCH(#REF!,Table4[[#This Row],[Commodity Title]],1),"")</f>
        <v/>
      </c>
      <c r="C478" s="35">
        <v>42143709</v>
      </c>
      <c r="D478" s="33" t="s">
        <v>1495</v>
      </c>
      <c r="E478" s="33" t="s">
        <v>1496</v>
      </c>
      <c r="F478" s="33" t="s">
        <v>1497</v>
      </c>
      <c r="G478" s="33" t="s">
        <v>1736</v>
      </c>
      <c r="H478" s="33" t="s">
        <v>1737</v>
      </c>
      <c r="I478" s="33" t="s">
        <v>1738</v>
      </c>
      <c r="J478" s="33">
        <v>174320</v>
      </c>
      <c r="K478" s="33" t="s">
        <v>2453</v>
      </c>
      <c r="L478" s="33" t="s">
        <v>2454</v>
      </c>
      <c r="M478" s="33" t="s">
        <v>2455</v>
      </c>
      <c r="N478" s="44">
        <v>42143709</v>
      </c>
      <c r="O478" s="33" t="s">
        <v>2472</v>
      </c>
      <c r="P478" s="33" t="s">
        <v>2473</v>
      </c>
      <c r="Q478" s="34" t="s">
        <v>1494</v>
      </c>
      <c r="R478" s="34" t="s">
        <v>1494</v>
      </c>
    </row>
    <row r="479" spans="1:18" ht="15" customHeight="1" x14ac:dyDescent="0.25">
      <c r="A479" t="str">
        <f>IFERROR(RANK(B479,$B:$B,1)+COUNTIF($B$1:B478,B479),"")</f>
        <v/>
      </c>
      <c r="B479" t="str">
        <f>IFERROR(SEARCH(#REF!,Table4[[#This Row],[Commodity Title]],1),"")</f>
        <v/>
      </c>
      <c r="C479" s="35">
        <v>42143710</v>
      </c>
      <c r="D479" s="33" t="s">
        <v>1495</v>
      </c>
      <c r="E479" s="33" t="s">
        <v>1496</v>
      </c>
      <c r="F479" s="33" t="s">
        <v>1497</v>
      </c>
      <c r="G479" s="33" t="s">
        <v>1736</v>
      </c>
      <c r="H479" s="33" t="s">
        <v>1737</v>
      </c>
      <c r="I479" s="33" t="s">
        <v>1738</v>
      </c>
      <c r="J479" s="33">
        <v>202497</v>
      </c>
      <c r="K479" s="33" t="s">
        <v>2453</v>
      </c>
      <c r="L479" s="33" t="s">
        <v>2454</v>
      </c>
      <c r="M479" s="33" t="s">
        <v>2455</v>
      </c>
      <c r="N479" s="44">
        <v>42143710</v>
      </c>
      <c r="O479" s="33" t="s">
        <v>2474</v>
      </c>
      <c r="P479" s="33" t="s">
        <v>2475</v>
      </c>
      <c r="Q479" s="34" t="s">
        <v>1494</v>
      </c>
      <c r="R479" s="34" t="s">
        <v>1494</v>
      </c>
    </row>
    <row r="480" spans="1:18" ht="15" customHeight="1" x14ac:dyDescent="0.25">
      <c r="A480" t="str">
        <f>IFERROR(RANK(B480,$B:$B,1)+COUNTIF($B$1:B479,B480),"")</f>
        <v/>
      </c>
      <c r="B480" t="str">
        <f>IFERROR(SEARCH(#REF!,Table4[[#This Row],[Commodity Title]],1),"")</f>
        <v/>
      </c>
      <c r="C480" s="35">
        <v>42143711</v>
      </c>
      <c r="D480" s="33" t="s">
        <v>1495</v>
      </c>
      <c r="E480" s="33" t="s">
        <v>1496</v>
      </c>
      <c r="F480" s="33" t="s">
        <v>1497</v>
      </c>
      <c r="G480" s="33" t="s">
        <v>1736</v>
      </c>
      <c r="H480" s="33" t="s">
        <v>1737</v>
      </c>
      <c r="I480" s="33" t="s">
        <v>1738</v>
      </c>
      <c r="J480" s="33">
        <v>202498</v>
      </c>
      <c r="K480" s="33" t="s">
        <v>2453</v>
      </c>
      <c r="L480" s="33" t="s">
        <v>2454</v>
      </c>
      <c r="M480" s="33" t="s">
        <v>2455</v>
      </c>
      <c r="N480" s="44">
        <v>42143711</v>
      </c>
      <c r="O480" s="33" t="s">
        <v>2476</v>
      </c>
      <c r="P480" s="33" t="s">
        <v>2477</v>
      </c>
      <c r="Q480" s="34" t="s">
        <v>1494</v>
      </c>
      <c r="R480" s="34" t="s">
        <v>1494</v>
      </c>
    </row>
    <row r="481" spans="1:18" ht="15" customHeight="1" x14ac:dyDescent="0.25">
      <c r="A481" t="str">
        <f>IFERROR(RANK(B481,$B:$B,1)+COUNTIF($B$1:B480,B481),"")</f>
        <v/>
      </c>
      <c r="B481" t="str">
        <f>IFERROR(SEARCH(#REF!,Table4[[#This Row],[Commodity Title]],1),"")</f>
        <v/>
      </c>
      <c r="C481" s="35">
        <v>42143712</v>
      </c>
      <c r="D481" s="33" t="s">
        <v>1495</v>
      </c>
      <c r="E481" s="33" t="s">
        <v>1496</v>
      </c>
      <c r="F481" s="33" t="s">
        <v>1497</v>
      </c>
      <c r="G481" s="33" t="s">
        <v>1736</v>
      </c>
      <c r="H481" s="33" t="s">
        <v>1737</v>
      </c>
      <c r="I481" s="33" t="s">
        <v>1738</v>
      </c>
      <c r="J481" s="33">
        <v>202499</v>
      </c>
      <c r="K481" s="33" t="s">
        <v>2453</v>
      </c>
      <c r="L481" s="33" t="s">
        <v>2454</v>
      </c>
      <c r="M481" s="33" t="s">
        <v>2455</v>
      </c>
      <c r="N481" s="44">
        <v>42143712</v>
      </c>
      <c r="O481" s="33" t="s">
        <v>2478</v>
      </c>
      <c r="P481" s="33" t="s">
        <v>2479</v>
      </c>
      <c r="Q481" s="34" t="s">
        <v>1494</v>
      </c>
      <c r="R481" s="34" t="s">
        <v>1494</v>
      </c>
    </row>
    <row r="482" spans="1:18" ht="15" customHeight="1" x14ac:dyDescent="0.25">
      <c r="A482" t="str">
        <f>IFERROR(RANK(B482,$B:$B,1)+COUNTIF($B$1:B481,B482),"")</f>
        <v/>
      </c>
      <c r="B482" t="str">
        <f>IFERROR(SEARCH(#REF!,Table4[[#This Row],[Commodity Title]],1),"")</f>
        <v/>
      </c>
      <c r="C482" s="35">
        <v>42143713</v>
      </c>
      <c r="D482" s="33" t="s">
        <v>1495</v>
      </c>
      <c r="E482" s="33" t="s">
        <v>1496</v>
      </c>
      <c r="F482" s="33" t="s">
        <v>1497</v>
      </c>
      <c r="G482" s="33" t="s">
        <v>1736</v>
      </c>
      <c r="H482" s="33" t="s">
        <v>1737</v>
      </c>
      <c r="I482" s="33" t="s">
        <v>1738</v>
      </c>
      <c r="J482" s="33">
        <v>202500</v>
      </c>
      <c r="K482" s="33" t="s">
        <v>2453</v>
      </c>
      <c r="L482" s="33" t="s">
        <v>2454</v>
      </c>
      <c r="M482" s="33" t="s">
        <v>2455</v>
      </c>
      <c r="N482" s="44">
        <v>42143713</v>
      </c>
      <c r="O482" s="33" t="s">
        <v>2480</v>
      </c>
      <c r="P482" s="33" t="s">
        <v>2481</v>
      </c>
      <c r="Q482" s="34" t="s">
        <v>1494</v>
      </c>
      <c r="R482" s="34" t="s">
        <v>1494</v>
      </c>
    </row>
    <row r="483" spans="1:18" ht="15" customHeight="1" x14ac:dyDescent="0.25">
      <c r="A483" t="str">
        <f>IFERROR(RANK(B483,$B:$B,1)+COUNTIF($B$1:B482,B483),"")</f>
        <v/>
      </c>
      <c r="B483" t="str">
        <f>IFERROR(SEARCH(#REF!,Table4[[#This Row],[Commodity Title]],1),"")</f>
        <v/>
      </c>
      <c r="C483" s="35">
        <v>42143714</v>
      </c>
      <c r="D483" s="33" t="s">
        <v>1495</v>
      </c>
      <c r="E483" s="33" t="s">
        <v>1496</v>
      </c>
      <c r="F483" s="33" t="s">
        <v>1497</v>
      </c>
      <c r="G483" s="33" t="s">
        <v>1736</v>
      </c>
      <c r="H483" s="33" t="s">
        <v>1737</v>
      </c>
      <c r="I483" s="33" t="s">
        <v>1738</v>
      </c>
      <c r="J483" s="33">
        <v>202501</v>
      </c>
      <c r="K483" s="33" t="s">
        <v>2453</v>
      </c>
      <c r="L483" s="33" t="s">
        <v>2454</v>
      </c>
      <c r="M483" s="33" t="s">
        <v>2455</v>
      </c>
      <c r="N483" s="44">
        <v>42143714</v>
      </c>
      <c r="O483" s="33" t="s">
        <v>2482</v>
      </c>
      <c r="P483" s="33" t="s">
        <v>2483</v>
      </c>
      <c r="Q483" s="34" t="s">
        <v>1494</v>
      </c>
      <c r="R483" s="34" t="s">
        <v>1494</v>
      </c>
    </row>
    <row r="484" spans="1:18" ht="15" customHeight="1" x14ac:dyDescent="0.25">
      <c r="A484" t="str">
        <f>IFERROR(RANK(B484,$B:$B,1)+COUNTIF($B$1:B483,B484),"")</f>
        <v/>
      </c>
      <c r="B484" t="str">
        <f>IFERROR(SEARCH(#REF!,Table4[[#This Row],[Commodity Title]],1),"")</f>
        <v/>
      </c>
      <c r="C484" s="33" t="s">
        <v>1494</v>
      </c>
      <c r="D484" s="33" t="s">
        <v>1495</v>
      </c>
      <c r="E484" s="33" t="s">
        <v>1496</v>
      </c>
      <c r="F484" s="33" t="s">
        <v>1497</v>
      </c>
      <c r="G484" s="33" t="s">
        <v>1736</v>
      </c>
      <c r="H484" s="33" t="s">
        <v>1737</v>
      </c>
      <c r="I484" s="33" t="s">
        <v>1738</v>
      </c>
      <c r="J484" s="33">
        <v>144224</v>
      </c>
      <c r="K484" s="33" t="s">
        <v>2484</v>
      </c>
      <c r="L484" s="33" t="s">
        <v>2485</v>
      </c>
      <c r="M484" s="33" t="s">
        <v>2486</v>
      </c>
      <c r="N484" s="44" t="s">
        <v>1494</v>
      </c>
      <c r="O484" s="33" t="s">
        <v>1494</v>
      </c>
      <c r="P484" s="33" t="s">
        <v>1494</v>
      </c>
      <c r="Q484" s="34" t="s">
        <v>1494</v>
      </c>
      <c r="R484" s="34" t="s">
        <v>1494</v>
      </c>
    </row>
    <row r="485" spans="1:18" ht="15" customHeight="1" x14ac:dyDescent="0.25">
      <c r="A485" t="str">
        <f>IFERROR(RANK(B485,$B:$B,1)+COUNTIF($B$1:B484,B485),"")</f>
        <v/>
      </c>
      <c r="B485" t="str">
        <f>IFERROR(SEARCH(#REF!,Table4[[#This Row],[Commodity Title]],1),"")</f>
        <v/>
      </c>
      <c r="C485" s="35">
        <v>42143801</v>
      </c>
      <c r="D485" s="33" t="s">
        <v>1495</v>
      </c>
      <c r="E485" s="33" t="s">
        <v>1496</v>
      </c>
      <c r="F485" s="33" t="s">
        <v>1497</v>
      </c>
      <c r="G485" s="33" t="s">
        <v>1736</v>
      </c>
      <c r="H485" s="33" t="s">
        <v>1737</v>
      </c>
      <c r="I485" s="33" t="s">
        <v>1738</v>
      </c>
      <c r="J485" s="33">
        <v>144225</v>
      </c>
      <c r="K485" s="33" t="s">
        <v>2484</v>
      </c>
      <c r="L485" s="33" t="s">
        <v>2485</v>
      </c>
      <c r="M485" s="33" t="s">
        <v>2486</v>
      </c>
      <c r="N485" s="44">
        <v>42143801</v>
      </c>
      <c r="O485" s="33" t="s">
        <v>2487</v>
      </c>
      <c r="P485" s="33" t="s">
        <v>2488</v>
      </c>
      <c r="Q485" s="34" t="s">
        <v>1494</v>
      </c>
      <c r="R485" s="34" t="s">
        <v>1494</v>
      </c>
    </row>
    <row r="486" spans="1:18" ht="15" customHeight="1" x14ac:dyDescent="0.25">
      <c r="A486" t="str">
        <f>IFERROR(RANK(B486,$B:$B,1)+COUNTIF($B$1:B485,B486),"")</f>
        <v/>
      </c>
      <c r="B486" t="str">
        <f>IFERROR(SEARCH(#REF!,Table4[[#This Row],[Commodity Title]],1),"")</f>
        <v/>
      </c>
      <c r="C486" s="35">
        <v>42143802</v>
      </c>
      <c r="D486" s="33" t="s">
        <v>1495</v>
      </c>
      <c r="E486" s="33" t="s">
        <v>1496</v>
      </c>
      <c r="F486" s="33" t="s">
        <v>1497</v>
      </c>
      <c r="G486" s="33" t="s">
        <v>1736</v>
      </c>
      <c r="H486" s="33" t="s">
        <v>1737</v>
      </c>
      <c r="I486" s="33" t="s">
        <v>1738</v>
      </c>
      <c r="J486" s="33">
        <v>144226</v>
      </c>
      <c r="K486" s="33" t="s">
        <v>2484</v>
      </c>
      <c r="L486" s="33" t="s">
        <v>2485</v>
      </c>
      <c r="M486" s="33" t="s">
        <v>2486</v>
      </c>
      <c r="N486" s="44">
        <v>42143802</v>
      </c>
      <c r="O486" s="33" t="s">
        <v>2489</v>
      </c>
      <c r="P486" s="33" t="s">
        <v>2490</v>
      </c>
      <c r="Q486" s="34" t="s">
        <v>1494</v>
      </c>
      <c r="R486" s="34" t="s">
        <v>1494</v>
      </c>
    </row>
    <row r="487" spans="1:18" ht="15" customHeight="1" x14ac:dyDescent="0.25">
      <c r="A487" t="str">
        <f>IFERROR(RANK(B487,$B:$B,1)+COUNTIF($B$1:B486,B487),"")</f>
        <v/>
      </c>
      <c r="B487" t="str">
        <f>IFERROR(SEARCH(#REF!,Table4[[#This Row],[Commodity Title]],1),"")</f>
        <v/>
      </c>
      <c r="C487" s="35">
        <v>42143803</v>
      </c>
      <c r="D487" s="33" t="s">
        <v>1495</v>
      </c>
      <c r="E487" s="33" t="s">
        <v>1496</v>
      </c>
      <c r="F487" s="33" t="s">
        <v>1497</v>
      </c>
      <c r="G487" s="33" t="s">
        <v>1736</v>
      </c>
      <c r="H487" s="33" t="s">
        <v>1737</v>
      </c>
      <c r="I487" s="33" t="s">
        <v>1738</v>
      </c>
      <c r="J487" s="33">
        <v>144227</v>
      </c>
      <c r="K487" s="33" t="s">
        <v>2484</v>
      </c>
      <c r="L487" s="33" t="s">
        <v>2485</v>
      </c>
      <c r="M487" s="33" t="s">
        <v>2486</v>
      </c>
      <c r="N487" s="44">
        <v>42143803</v>
      </c>
      <c r="O487" s="33" t="s">
        <v>2491</v>
      </c>
      <c r="P487" s="33" t="s">
        <v>2492</v>
      </c>
      <c r="Q487" s="34" t="s">
        <v>1494</v>
      </c>
      <c r="R487" s="34" t="s">
        <v>1494</v>
      </c>
    </row>
    <row r="488" spans="1:18" ht="15" customHeight="1" x14ac:dyDescent="0.25">
      <c r="A488" t="str">
        <f>IFERROR(RANK(B488,$B:$B,1)+COUNTIF($B$1:B487,B488),"")</f>
        <v/>
      </c>
      <c r="B488" t="str">
        <f>IFERROR(SEARCH(#REF!,Table4[[#This Row],[Commodity Title]],1),"")</f>
        <v/>
      </c>
      <c r="C488" s="35">
        <v>42143804</v>
      </c>
      <c r="D488" s="33" t="s">
        <v>1495</v>
      </c>
      <c r="E488" s="33" t="s">
        <v>1496</v>
      </c>
      <c r="F488" s="33" t="s">
        <v>1497</v>
      </c>
      <c r="G488" s="33" t="s">
        <v>1736</v>
      </c>
      <c r="H488" s="33" t="s">
        <v>1737</v>
      </c>
      <c r="I488" s="33" t="s">
        <v>1738</v>
      </c>
      <c r="J488" s="33">
        <v>202502</v>
      </c>
      <c r="K488" s="33" t="s">
        <v>2484</v>
      </c>
      <c r="L488" s="33" t="s">
        <v>2485</v>
      </c>
      <c r="M488" s="33" t="s">
        <v>2486</v>
      </c>
      <c r="N488" s="44">
        <v>42143804</v>
      </c>
      <c r="O488" s="33" t="s">
        <v>2493</v>
      </c>
      <c r="P488" s="33" t="s">
        <v>2494</v>
      </c>
      <c r="Q488" s="34" t="s">
        <v>1494</v>
      </c>
      <c r="R488" s="34" t="s">
        <v>1494</v>
      </c>
    </row>
    <row r="489" spans="1:18" ht="15" customHeight="1" x14ac:dyDescent="0.25">
      <c r="A489" t="str">
        <f>IFERROR(RANK(B489,$B:$B,1)+COUNTIF($B$1:B488,B489),"")</f>
        <v/>
      </c>
      <c r="B489" t="str">
        <f>IFERROR(SEARCH(#REF!,Table4[[#This Row],[Commodity Title]],1),"")</f>
        <v/>
      </c>
      <c r="C489" s="35">
        <v>42143805</v>
      </c>
      <c r="D489" s="33" t="s">
        <v>1495</v>
      </c>
      <c r="E489" s="33" t="s">
        <v>1496</v>
      </c>
      <c r="F489" s="33" t="s">
        <v>1497</v>
      </c>
      <c r="G489" s="33" t="s">
        <v>1736</v>
      </c>
      <c r="H489" s="33" t="s">
        <v>1737</v>
      </c>
      <c r="I489" s="33" t="s">
        <v>1738</v>
      </c>
      <c r="J489" s="33">
        <v>202503</v>
      </c>
      <c r="K489" s="33" t="s">
        <v>2484</v>
      </c>
      <c r="L489" s="33" t="s">
        <v>2485</v>
      </c>
      <c r="M489" s="33" t="s">
        <v>2486</v>
      </c>
      <c r="N489" s="44">
        <v>42143805</v>
      </c>
      <c r="O489" s="33" t="s">
        <v>2495</v>
      </c>
      <c r="P489" s="33" t="s">
        <v>2496</v>
      </c>
      <c r="Q489" s="34" t="s">
        <v>1494</v>
      </c>
      <c r="R489" s="34" t="s">
        <v>1494</v>
      </c>
    </row>
    <row r="490" spans="1:18" ht="15" customHeight="1" x14ac:dyDescent="0.25">
      <c r="A490" t="str">
        <f>IFERROR(RANK(B490,$B:$B,1)+COUNTIF($B$1:B489,B490),"")</f>
        <v/>
      </c>
      <c r="B490" t="str">
        <f>IFERROR(SEARCH(#REF!,Table4[[#This Row],[Commodity Title]],1),"")</f>
        <v/>
      </c>
      <c r="C490" s="35">
        <v>42143806</v>
      </c>
      <c r="D490" s="33" t="s">
        <v>1495</v>
      </c>
      <c r="E490" s="33" t="s">
        <v>1496</v>
      </c>
      <c r="F490" s="33" t="s">
        <v>1497</v>
      </c>
      <c r="G490" s="33" t="s">
        <v>1736</v>
      </c>
      <c r="H490" s="33" t="s">
        <v>1737</v>
      </c>
      <c r="I490" s="33" t="s">
        <v>1738</v>
      </c>
      <c r="J490" s="33">
        <v>202504</v>
      </c>
      <c r="K490" s="33" t="s">
        <v>2484</v>
      </c>
      <c r="L490" s="33" t="s">
        <v>2485</v>
      </c>
      <c r="M490" s="33" t="s">
        <v>2486</v>
      </c>
      <c r="N490" s="44">
        <v>42143806</v>
      </c>
      <c r="O490" s="33" t="s">
        <v>2497</v>
      </c>
      <c r="P490" s="33" t="s">
        <v>2498</v>
      </c>
      <c r="Q490" s="34" t="s">
        <v>1494</v>
      </c>
      <c r="R490" s="34" t="s">
        <v>1494</v>
      </c>
    </row>
    <row r="491" spans="1:18" ht="15" customHeight="1" x14ac:dyDescent="0.25">
      <c r="A491" t="str">
        <f>IFERROR(RANK(B491,$B:$B,1)+COUNTIF($B$1:B490,B491),"")</f>
        <v/>
      </c>
      <c r="B491" t="str">
        <f>IFERROR(SEARCH(#REF!,Table4[[#This Row],[Commodity Title]],1),"")</f>
        <v/>
      </c>
      <c r="C491" s="35">
        <v>42143807</v>
      </c>
      <c r="D491" s="33" t="s">
        <v>1495</v>
      </c>
      <c r="E491" s="33" t="s">
        <v>1496</v>
      </c>
      <c r="F491" s="33" t="s">
        <v>1497</v>
      </c>
      <c r="G491" s="33" t="s">
        <v>1736</v>
      </c>
      <c r="H491" s="33" t="s">
        <v>1737</v>
      </c>
      <c r="I491" s="33" t="s">
        <v>1738</v>
      </c>
      <c r="J491" s="33">
        <v>202505</v>
      </c>
      <c r="K491" s="33" t="s">
        <v>2484</v>
      </c>
      <c r="L491" s="33" t="s">
        <v>2485</v>
      </c>
      <c r="M491" s="33" t="s">
        <v>2486</v>
      </c>
      <c r="N491" s="44">
        <v>42143807</v>
      </c>
      <c r="O491" s="33" t="s">
        <v>2499</v>
      </c>
      <c r="P491" s="33" t="s">
        <v>2500</v>
      </c>
      <c r="Q491" s="34" t="s">
        <v>1494</v>
      </c>
      <c r="R491" s="34" t="s">
        <v>1494</v>
      </c>
    </row>
    <row r="492" spans="1:18" ht="15" customHeight="1" x14ac:dyDescent="0.25">
      <c r="A492" t="str">
        <f>IFERROR(RANK(B492,$B:$B,1)+COUNTIF($B$1:B491,B492),"")</f>
        <v/>
      </c>
      <c r="B492" t="str">
        <f>IFERROR(SEARCH(#REF!,Table4[[#This Row],[Commodity Title]],1),"")</f>
        <v/>
      </c>
      <c r="C492" s="35">
        <v>42143808</v>
      </c>
      <c r="D492" s="33" t="s">
        <v>1495</v>
      </c>
      <c r="E492" s="33" t="s">
        <v>1496</v>
      </c>
      <c r="F492" s="33" t="s">
        <v>1497</v>
      </c>
      <c r="G492" s="33" t="s">
        <v>1736</v>
      </c>
      <c r="H492" s="33" t="s">
        <v>1737</v>
      </c>
      <c r="I492" s="33" t="s">
        <v>1738</v>
      </c>
      <c r="J492" s="33">
        <v>202506</v>
      </c>
      <c r="K492" s="33" t="s">
        <v>2484</v>
      </c>
      <c r="L492" s="33" t="s">
        <v>2485</v>
      </c>
      <c r="M492" s="33" t="s">
        <v>2486</v>
      </c>
      <c r="N492" s="44">
        <v>42143808</v>
      </c>
      <c r="O492" s="33" t="s">
        <v>2501</v>
      </c>
      <c r="P492" s="33" t="s">
        <v>2502</v>
      </c>
      <c r="Q492" s="34" t="s">
        <v>1494</v>
      </c>
      <c r="R492" s="34" t="s">
        <v>1494</v>
      </c>
    </row>
    <row r="493" spans="1:18" ht="15" customHeight="1" x14ac:dyDescent="0.25">
      <c r="A493" t="str">
        <f>IFERROR(RANK(B493,$B:$B,1)+COUNTIF($B$1:B492,B493),"")</f>
        <v/>
      </c>
      <c r="B493" t="str">
        <f>IFERROR(SEARCH(#REF!,Table4[[#This Row],[Commodity Title]],1),"")</f>
        <v/>
      </c>
      <c r="C493" s="35">
        <v>42143809</v>
      </c>
      <c r="D493" s="33" t="s">
        <v>1495</v>
      </c>
      <c r="E493" s="33" t="s">
        <v>1496</v>
      </c>
      <c r="F493" s="33" t="s">
        <v>1497</v>
      </c>
      <c r="G493" s="33" t="s">
        <v>1736</v>
      </c>
      <c r="H493" s="33" t="s">
        <v>1737</v>
      </c>
      <c r="I493" s="33" t="s">
        <v>1738</v>
      </c>
      <c r="J493" s="33">
        <v>202507</v>
      </c>
      <c r="K493" s="33" t="s">
        <v>2484</v>
      </c>
      <c r="L493" s="33" t="s">
        <v>2485</v>
      </c>
      <c r="M493" s="33" t="s">
        <v>2486</v>
      </c>
      <c r="N493" s="44">
        <v>42143809</v>
      </c>
      <c r="O493" s="33" t="s">
        <v>2503</v>
      </c>
      <c r="P493" s="33" t="s">
        <v>2504</v>
      </c>
      <c r="Q493" s="34" t="s">
        <v>1494</v>
      </c>
      <c r="R493" s="34" t="s">
        <v>1494</v>
      </c>
    </row>
    <row r="494" spans="1:18" ht="15" customHeight="1" x14ac:dyDescent="0.25">
      <c r="A494" t="str">
        <f>IFERROR(RANK(B494,$B:$B,1)+COUNTIF($B$1:B493,B494),"")</f>
        <v/>
      </c>
      <c r="B494" t="str">
        <f>IFERROR(SEARCH(#REF!,Table4[[#This Row],[Commodity Title]],1),"")</f>
        <v/>
      </c>
      <c r="C494" s="35">
        <v>42143810</v>
      </c>
      <c r="D494" s="33" t="s">
        <v>1495</v>
      </c>
      <c r="E494" s="33" t="s">
        <v>1496</v>
      </c>
      <c r="F494" s="33" t="s">
        <v>1497</v>
      </c>
      <c r="G494" s="33" t="s">
        <v>1736</v>
      </c>
      <c r="H494" s="33" t="s">
        <v>1737</v>
      </c>
      <c r="I494" s="33" t="s">
        <v>1738</v>
      </c>
      <c r="J494" s="33">
        <v>202508</v>
      </c>
      <c r="K494" s="33" t="s">
        <v>2484</v>
      </c>
      <c r="L494" s="33" t="s">
        <v>2485</v>
      </c>
      <c r="M494" s="33" t="s">
        <v>2486</v>
      </c>
      <c r="N494" s="44">
        <v>42143810</v>
      </c>
      <c r="O494" s="33" t="s">
        <v>2505</v>
      </c>
      <c r="P494" s="33" t="s">
        <v>2304</v>
      </c>
      <c r="Q494" s="34" t="s">
        <v>1494</v>
      </c>
      <c r="R494" s="34" t="s">
        <v>1494</v>
      </c>
    </row>
    <row r="495" spans="1:18" ht="15" customHeight="1" x14ac:dyDescent="0.25">
      <c r="A495" t="str">
        <f>IFERROR(RANK(B495,$B:$B,1)+COUNTIF($B$1:B494,B495),"")</f>
        <v/>
      </c>
      <c r="B495" t="str">
        <f>IFERROR(SEARCH(#REF!,Table4[[#This Row],[Commodity Title]],1),"")</f>
        <v/>
      </c>
      <c r="C495" s="33" t="s">
        <v>1494</v>
      </c>
      <c r="D495" s="33" t="s">
        <v>1495</v>
      </c>
      <c r="E495" s="33" t="s">
        <v>1496</v>
      </c>
      <c r="F495" s="33" t="s">
        <v>1497</v>
      </c>
      <c r="G495" s="33" t="s">
        <v>1736</v>
      </c>
      <c r="H495" s="33" t="s">
        <v>1737</v>
      </c>
      <c r="I495" s="33" t="s">
        <v>1738</v>
      </c>
      <c r="J495" s="33">
        <v>145301</v>
      </c>
      <c r="K495" s="33" t="s">
        <v>2506</v>
      </c>
      <c r="L495" s="33" t="s">
        <v>2507</v>
      </c>
      <c r="M495" s="33" t="s">
        <v>2508</v>
      </c>
      <c r="N495" s="44" t="s">
        <v>1494</v>
      </c>
      <c r="O495" s="33" t="s">
        <v>1494</v>
      </c>
      <c r="P495" s="33" t="s">
        <v>1494</v>
      </c>
      <c r="Q495" s="34" t="s">
        <v>1494</v>
      </c>
      <c r="R495" s="34" t="s">
        <v>1494</v>
      </c>
    </row>
    <row r="496" spans="1:18" ht="15" customHeight="1" x14ac:dyDescent="0.25">
      <c r="A496" t="str">
        <f>IFERROR(RANK(B496,$B:$B,1)+COUNTIF($B$1:B495,B496),"")</f>
        <v/>
      </c>
      <c r="B496" t="str">
        <f>IFERROR(SEARCH(#REF!,Table4[[#This Row],[Commodity Title]],1),"")</f>
        <v/>
      </c>
      <c r="C496" s="35">
        <v>42143901</v>
      </c>
      <c r="D496" s="33" t="s">
        <v>1495</v>
      </c>
      <c r="E496" s="33" t="s">
        <v>1496</v>
      </c>
      <c r="F496" s="33" t="s">
        <v>1497</v>
      </c>
      <c r="G496" s="33" t="s">
        <v>1736</v>
      </c>
      <c r="H496" s="33" t="s">
        <v>1737</v>
      </c>
      <c r="I496" s="33" t="s">
        <v>1738</v>
      </c>
      <c r="J496" s="33">
        <v>145302</v>
      </c>
      <c r="K496" s="33" t="s">
        <v>2506</v>
      </c>
      <c r="L496" s="33" t="s">
        <v>2507</v>
      </c>
      <c r="M496" s="33" t="s">
        <v>2508</v>
      </c>
      <c r="N496" s="44">
        <v>42143901</v>
      </c>
      <c r="O496" s="33" t="s">
        <v>2509</v>
      </c>
      <c r="P496" s="33" t="s">
        <v>2510</v>
      </c>
      <c r="Q496" s="34" t="s">
        <v>1494</v>
      </c>
      <c r="R496" s="34" t="s">
        <v>1494</v>
      </c>
    </row>
    <row r="497" spans="1:18" ht="15" customHeight="1" x14ac:dyDescent="0.25">
      <c r="A497" t="str">
        <f>IFERROR(RANK(B497,$B:$B,1)+COUNTIF($B$1:B496,B497),"")</f>
        <v/>
      </c>
      <c r="B497" t="str">
        <f>IFERROR(SEARCH(#REF!,Table4[[#This Row],[Commodity Title]],1),"")</f>
        <v/>
      </c>
      <c r="C497" s="35">
        <v>42143902</v>
      </c>
      <c r="D497" s="33" t="s">
        <v>1495</v>
      </c>
      <c r="E497" s="33" t="s">
        <v>1496</v>
      </c>
      <c r="F497" s="33" t="s">
        <v>1497</v>
      </c>
      <c r="G497" s="33" t="s">
        <v>1736</v>
      </c>
      <c r="H497" s="33" t="s">
        <v>1737</v>
      </c>
      <c r="I497" s="33" t="s">
        <v>1738</v>
      </c>
      <c r="J497" s="33">
        <v>145303</v>
      </c>
      <c r="K497" s="33" t="s">
        <v>2506</v>
      </c>
      <c r="L497" s="33" t="s">
        <v>2507</v>
      </c>
      <c r="M497" s="33" t="s">
        <v>2508</v>
      </c>
      <c r="N497" s="44">
        <v>42143902</v>
      </c>
      <c r="O497" s="33" t="s">
        <v>2511</v>
      </c>
      <c r="P497" s="33" t="s">
        <v>2512</v>
      </c>
      <c r="Q497" s="34" t="s">
        <v>1494</v>
      </c>
      <c r="R497" s="34" t="s">
        <v>1494</v>
      </c>
    </row>
    <row r="498" spans="1:18" ht="15" customHeight="1" x14ac:dyDescent="0.25">
      <c r="A498" t="str">
        <f>IFERROR(RANK(B498,$B:$B,1)+COUNTIF($B$1:B497,B498),"")</f>
        <v/>
      </c>
      <c r="B498" t="str">
        <f>IFERROR(SEARCH(#REF!,Table4[[#This Row],[Commodity Title]],1),"")</f>
        <v/>
      </c>
      <c r="C498" s="35">
        <v>42143903</v>
      </c>
      <c r="D498" s="33" t="s">
        <v>1495</v>
      </c>
      <c r="E498" s="33" t="s">
        <v>1496</v>
      </c>
      <c r="F498" s="33" t="s">
        <v>1497</v>
      </c>
      <c r="G498" s="33" t="s">
        <v>1736</v>
      </c>
      <c r="H498" s="33" t="s">
        <v>1737</v>
      </c>
      <c r="I498" s="33" t="s">
        <v>1738</v>
      </c>
      <c r="J498" s="33">
        <v>166784</v>
      </c>
      <c r="K498" s="33" t="s">
        <v>2506</v>
      </c>
      <c r="L498" s="33" t="s">
        <v>2507</v>
      </c>
      <c r="M498" s="33" t="s">
        <v>2508</v>
      </c>
      <c r="N498" s="44">
        <v>42143903</v>
      </c>
      <c r="O498" s="33" t="s">
        <v>2513</v>
      </c>
      <c r="P498" s="33" t="s">
        <v>2304</v>
      </c>
      <c r="Q498" s="34" t="s">
        <v>1494</v>
      </c>
      <c r="R498" s="34" t="s">
        <v>1494</v>
      </c>
    </row>
    <row r="499" spans="1:18" ht="15" customHeight="1" x14ac:dyDescent="0.25">
      <c r="A499" t="str">
        <f>IFERROR(RANK(B499,$B:$B,1)+COUNTIF($B$1:B498,B499),"")</f>
        <v/>
      </c>
      <c r="B499" t="str">
        <f>IFERROR(SEARCH(#REF!,Table4[[#This Row],[Commodity Title]],1),"")</f>
        <v/>
      </c>
      <c r="C499" s="35">
        <v>42143904</v>
      </c>
      <c r="D499" s="33" t="s">
        <v>1495</v>
      </c>
      <c r="E499" s="33" t="s">
        <v>1496</v>
      </c>
      <c r="F499" s="33" t="s">
        <v>1497</v>
      </c>
      <c r="G499" s="33" t="s">
        <v>1736</v>
      </c>
      <c r="H499" s="33" t="s">
        <v>1737</v>
      </c>
      <c r="I499" s="33" t="s">
        <v>1738</v>
      </c>
      <c r="J499" s="33">
        <v>202509</v>
      </c>
      <c r="K499" s="33" t="s">
        <v>2506</v>
      </c>
      <c r="L499" s="33" t="s">
        <v>2507</v>
      </c>
      <c r="M499" s="33" t="s">
        <v>2508</v>
      </c>
      <c r="N499" s="44">
        <v>42143904</v>
      </c>
      <c r="O499" s="33" t="s">
        <v>2514</v>
      </c>
      <c r="P499" s="33" t="s">
        <v>2515</v>
      </c>
      <c r="Q499" s="34" t="s">
        <v>1494</v>
      </c>
      <c r="R499" s="34" t="s">
        <v>1494</v>
      </c>
    </row>
    <row r="500" spans="1:18" ht="15" customHeight="1" x14ac:dyDescent="0.25">
      <c r="A500" t="str">
        <f>IFERROR(RANK(B500,$B:$B,1)+COUNTIF($B$1:B499,B500),"")</f>
        <v/>
      </c>
      <c r="B500" t="str">
        <f>IFERROR(SEARCH(#REF!,Table4[[#This Row],[Commodity Title]],1),"")</f>
        <v/>
      </c>
      <c r="C500" s="35">
        <v>42143905</v>
      </c>
      <c r="D500" s="33" t="s">
        <v>1495</v>
      </c>
      <c r="E500" s="33" t="s">
        <v>1496</v>
      </c>
      <c r="F500" s="33" t="s">
        <v>1497</v>
      </c>
      <c r="G500" s="33" t="s">
        <v>1736</v>
      </c>
      <c r="H500" s="33" t="s">
        <v>1737</v>
      </c>
      <c r="I500" s="33" t="s">
        <v>1738</v>
      </c>
      <c r="J500" s="33">
        <v>202510</v>
      </c>
      <c r="K500" s="33" t="s">
        <v>2506</v>
      </c>
      <c r="L500" s="33" t="s">
        <v>2507</v>
      </c>
      <c r="M500" s="33" t="s">
        <v>2508</v>
      </c>
      <c r="N500" s="44">
        <v>42143905</v>
      </c>
      <c r="O500" s="33" t="s">
        <v>2516</v>
      </c>
      <c r="P500" s="33" t="s">
        <v>2517</v>
      </c>
      <c r="Q500" s="34" t="s">
        <v>1494</v>
      </c>
      <c r="R500" s="34" t="s">
        <v>1494</v>
      </c>
    </row>
    <row r="501" spans="1:18" ht="15" customHeight="1" x14ac:dyDescent="0.25">
      <c r="A501" t="str">
        <f>IFERROR(RANK(B501,$B:$B,1)+COUNTIF($B$1:B500,B501),"")</f>
        <v/>
      </c>
      <c r="B501" t="str">
        <f>IFERROR(SEARCH(#REF!,Table4[[#This Row],[Commodity Title]],1),"")</f>
        <v/>
      </c>
      <c r="C501" s="33" t="s">
        <v>1494</v>
      </c>
      <c r="D501" s="33" t="s">
        <v>1495</v>
      </c>
      <c r="E501" s="33" t="s">
        <v>1496</v>
      </c>
      <c r="F501" s="33" t="s">
        <v>1497</v>
      </c>
      <c r="G501" s="33" t="s">
        <v>1736</v>
      </c>
      <c r="H501" s="33" t="s">
        <v>1737</v>
      </c>
      <c r="I501" s="33" t="s">
        <v>1738</v>
      </c>
      <c r="J501" s="33">
        <v>164856</v>
      </c>
      <c r="K501" s="33" t="s">
        <v>2518</v>
      </c>
      <c r="L501" s="33" t="s">
        <v>2519</v>
      </c>
      <c r="M501" s="33" t="s">
        <v>2520</v>
      </c>
      <c r="N501" s="44" t="s">
        <v>1494</v>
      </c>
      <c r="O501" s="33" t="s">
        <v>1494</v>
      </c>
      <c r="P501" s="33" t="s">
        <v>1494</v>
      </c>
      <c r="Q501" s="34" t="s">
        <v>1494</v>
      </c>
      <c r="R501" s="34" t="s">
        <v>1494</v>
      </c>
    </row>
    <row r="502" spans="1:18" ht="15" customHeight="1" x14ac:dyDescent="0.25">
      <c r="A502" t="str">
        <f>IFERROR(RANK(B502,$B:$B,1)+COUNTIF($B$1:B501,B502),"")</f>
        <v/>
      </c>
      <c r="B502" t="str">
        <f>IFERROR(SEARCH(#REF!,Table4[[#This Row],[Commodity Title]],1),"")</f>
        <v/>
      </c>
      <c r="C502" s="35">
        <v>42144001</v>
      </c>
      <c r="D502" s="33" t="s">
        <v>1495</v>
      </c>
      <c r="E502" s="33" t="s">
        <v>1496</v>
      </c>
      <c r="F502" s="33" t="s">
        <v>1497</v>
      </c>
      <c r="G502" s="33" t="s">
        <v>1736</v>
      </c>
      <c r="H502" s="33" t="s">
        <v>1737</v>
      </c>
      <c r="I502" s="33" t="s">
        <v>1738</v>
      </c>
      <c r="J502" s="33">
        <v>164857</v>
      </c>
      <c r="K502" s="33" t="s">
        <v>2518</v>
      </c>
      <c r="L502" s="33" t="s">
        <v>2519</v>
      </c>
      <c r="M502" s="33" t="s">
        <v>2520</v>
      </c>
      <c r="N502" s="44">
        <v>42144001</v>
      </c>
      <c r="O502" s="33" t="s">
        <v>2521</v>
      </c>
      <c r="P502" s="33" t="s">
        <v>2522</v>
      </c>
      <c r="Q502" s="34" t="s">
        <v>1494</v>
      </c>
      <c r="R502" s="34" t="s">
        <v>1494</v>
      </c>
    </row>
    <row r="503" spans="1:18" ht="15" customHeight="1" x14ac:dyDescent="0.25">
      <c r="A503" t="str">
        <f>IFERROR(RANK(B503,$B:$B,1)+COUNTIF($B$1:B502,B503),"")</f>
        <v/>
      </c>
      <c r="B503" t="str">
        <f>IFERROR(SEARCH(#REF!,Table4[[#This Row],[Commodity Title]],1),"")</f>
        <v/>
      </c>
      <c r="C503" s="35">
        <v>42144002</v>
      </c>
      <c r="D503" s="33" t="s">
        <v>1495</v>
      </c>
      <c r="E503" s="33" t="s">
        <v>1496</v>
      </c>
      <c r="F503" s="33" t="s">
        <v>1497</v>
      </c>
      <c r="G503" s="33" t="s">
        <v>1736</v>
      </c>
      <c r="H503" s="33" t="s">
        <v>1737</v>
      </c>
      <c r="I503" s="33" t="s">
        <v>1738</v>
      </c>
      <c r="J503" s="33">
        <v>164858</v>
      </c>
      <c r="K503" s="33" t="s">
        <v>2518</v>
      </c>
      <c r="L503" s="33" t="s">
        <v>2519</v>
      </c>
      <c r="M503" s="33" t="s">
        <v>2520</v>
      </c>
      <c r="N503" s="44">
        <v>42144002</v>
      </c>
      <c r="O503" s="33" t="s">
        <v>2523</v>
      </c>
      <c r="P503" s="33" t="s">
        <v>2524</v>
      </c>
      <c r="Q503" s="34" t="s">
        <v>1494</v>
      </c>
      <c r="R503" s="34" t="s">
        <v>1494</v>
      </c>
    </row>
    <row r="504" spans="1:18" ht="15" customHeight="1" x14ac:dyDescent="0.25">
      <c r="A504" t="str">
        <f>IFERROR(RANK(B504,$B:$B,1)+COUNTIF($B$1:B503,B504),"")</f>
        <v/>
      </c>
      <c r="B504" t="str">
        <f>IFERROR(SEARCH(#REF!,Table4[[#This Row],[Commodity Title]],1),"")</f>
        <v/>
      </c>
      <c r="C504" s="35">
        <v>42144003</v>
      </c>
      <c r="D504" s="33" t="s">
        <v>1495</v>
      </c>
      <c r="E504" s="33" t="s">
        <v>1496</v>
      </c>
      <c r="F504" s="33" t="s">
        <v>1497</v>
      </c>
      <c r="G504" s="33" t="s">
        <v>1736</v>
      </c>
      <c r="H504" s="33" t="s">
        <v>1737</v>
      </c>
      <c r="I504" s="33" t="s">
        <v>1738</v>
      </c>
      <c r="J504" s="33">
        <v>164859</v>
      </c>
      <c r="K504" s="33" t="s">
        <v>2518</v>
      </c>
      <c r="L504" s="33" t="s">
        <v>2519</v>
      </c>
      <c r="M504" s="33" t="s">
        <v>2520</v>
      </c>
      <c r="N504" s="44">
        <v>42144003</v>
      </c>
      <c r="O504" s="33" t="s">
        <v>2525</v>
      </c>
      <c r="P504" s="33" t="s">
        <v>2526</v>
      </c>
      <c r="Q504" s="34" t="s">
        <v>1494</v>
      </c>
      <c r="R504" s="34" t="s">
        <v>1494</v>
      </c>
    </row>
    <row r="505" spans="1:18" ht="15" customHeight="1" x14ac:dyDescent="0.25">
      <c r="A505" t="str">
        <f>IFERROR(RANK(B505,$B:$B,1)+COUNTIF($B$1:B504,B505),"")</f>
        <v/>
      </c>
      <c r="B505" t="str">
        <f>IFERROR(SEARCH(#REF!,Table4[[#This Row],[Commodity Title]],1),"")</f>
        <v/>
      </c>
      <c r="C505" s="35">
        <v>42144004</v>
      </c>
      <c r="D505" s="33" t="s">
        <v>1495</v>
      </c>
      <c r="E505" s="33" t="s">
        <v>1496</v>
      </c>
      <c r="F505" s="33" t="s">
        <v>1497</v>
      </c>
      <c r="G505" s="33" t="s">
        <v>1736</v>
      </c>
      <c r="H505" s="33" t="s">
        <v>1737</v>
      </c>
      <c r="I505" s="33" t="s">
        <v>1738</v>
      </c>
      <c r="J505" s="33">
        <v>164860</v>
      </c>
      <c r="K505" s="33" t="s">
        <v>2518</v>
      </c>
      <c r="L505" s="33" t="s">
        <v>2519</v>
      </c>
      <c r="M505" s="33" t="s">
        <v>2520</v>
      </c>
      <c r="N505" s="44">
        <v>42144004</v>
      </c>
      <c r="O505" s="33" t="s">
        <v>2527</v>
      </c>
      <c r="P505" s="33" t="s">
        <v>2528</v>
      </c>
      <c r="Q505" s="34" t="s">
        <v>1494</v>
      </c>
      <c r="R505" s="34" t="s">
        <v>1494</v>
      </c>
    </row>
    <row r="506" spans="1:18" ht="15" customHeight="1" x14ac:dyDescent="0.25">
      <c r="A506" t="str">
        <f>IFERROR(RANK(B506,$B:$B,1)+COUNTIF($B$1:B505,B506),"")</f>
        <v/>
      </c>
      <c r="B506" t="str">
        <f>IFERROR(SEARCH(#REF!,Table4[[#This Row],[Commodity Title]],1),"")</f>
        <v/>
      </c>
      <c r="C506" s="35">
        <v>42144005</v>
      </c>
      <c r="D506" s="33" t="s">
        <v>1495</v>
      </c>
      <c r="E506" s="33" t="s">
        <v>1496</v>
      </c>
      <c r="F506" s="33" t="s">
        <v>1497</v>
      </c>
      <c r="G506" s="33" t="s">
        <v>1736</v>
      </c>
      <c r="H506" s="33" t="s">
        <v>1737</v>
      </c>
      <c r="I506" s="33" t="s">
        <v>1738</v>
      </c>
      <c r="J506" s="33">
        <v>164861</v>
      </c>
      <c r="K506" s="33" t="s">
        <v>2518</v>
      </c>
      <c r="L506" s="33" t="s">
        <v>2519</v>
      </c>
      <c r="M506" s="33" t="s">
        <v>2520</v>
      </c>
      <c r="N506" s="44">
        <v>42144005</v>
      </c>
      <c r="O506" s="33" t="s">
        <v>2529</v>
      </c>
      <c r="P506" s="33" t="s">
        <v>2530</v>
      </c>
      <c r="Q506" s="34" t="s">
        <v>1494</v>
      </c>
      <c r="R506" s="34" t="s">
        <v>1494</v>
      </c>
    </row>
    <row r="507" spans="1:18" ht="15" customHeight="1" x14ac:dyDescent="0.25">
      <c r="A507" t="str">
        <f>IFERROR(RANK(B507,$B:$B,1)+COUNTIF($B$1:B506,B507),"")</f>
        <v/>
      </c>
      <c r="B507" t="str">
        <f>IFERROR(SEARCH(#REF!,Table4[[#This Row],[Commodity Title]],1),"")</f>
        <v/>
      </c>
      <c r="C507" s="35">
        <v>42144006</v>
      </c>
      <c r="D507" s="33" t="s">
        <v>1495</v>
      </c>
      <c r="E507" s="33" t="s">
        <v>1496</v>
      </c>
      <c r="F507" s="33" t="s">
        <v>1497</v>
      </c>
      <c r="G507" s="33" t="s">
        <v>1736</v>
      </c>
      <c r="H507" s="33" t="s">
        <v>1737</v>
      </c>
      <c r="I507" s="33" t="s">
        <v>1738</v>
      </c>
      <c r="J507" s="33">
        <v>202511</v>
      </c>
      <c r="K507" s="33" t="s">
        <v>2518</v>
      </c>
      <c r="L507" s="33" t="s">
        <v>2519</v>
      </c>
      <c r="M507" s="33" t="s">
        <v>2520</v>
      </c>
      <c r="N507" s="44">
        <v>42144006</v>
      </c>
      <c r="O507" s="33" t="s">
        <v>2531</v>
      </c>
      <c r="P507" s="33" t="s">
        <v>2532</v>
      </c>
      <c r="Q507" s="34" t="s">
        <v>1494</v>
      </c>
      <c r="R507" s="34" t="s">
        <v>1494</v>
      </c>
    </row>
    <row r="508" spans="1:18" ht="15" customHeight="1" x14ac:dyDescent="0.25">
      <c r="A508" t="str">
        <f>IFERROR(RANK(B508,$B:$B,1)+COUNTIF($B$1:B507,B508),"")</f>
        <v/>
      </c>
      <c r="B508" t="str">
        <f>IFERROR(SEARCH(#REF!,Table4[[#This Row],[Commodity Title]],1),"")</f>
        <v/>
      </c>
      <c r="C508" s="33" t="s">
        <v>1494</v>
      </c>
      <c r="D508" s="33" t="s">
        <v>1495</v>
      </c>
      <c r="E508" s="33" t="s">
        <v>1496</v>
      </c>
      <c r="F508" s="33" t="s">
        <v>1497</v>
      </c>
      <c r="G508" s="33" t="s">
        <v>1736</v>
      </c>
      <c r="H508" s="33" t="s">
        <v>1737</v>
      </c>
      <c r="I508" s="33" t="s">
        <v>1738</v>
      </c>
      <c r="J508" s="33">
        <v>166785</v>
      </c>
      <c r="K508" s="33" t="s">
        <v>2533</v>
      </c>
      <c r="L508" s="33" t="s">
        <v>2534</v>
      </c>
      <c r="M508" s="33" t="s">
        <v>2535</v>
      </c>
      <c r="N508" s="44" t="s">
        <v>1494</v>
      </c>
      <c r="O508" s="33" t="s">
        <v>1494</v>
      </c>
      <c r="P508" s="33" t="s">
        <v>1494</v>
      </c>
      <c r="Q508" s="34" t="s">
        <v>1494</v>
      </c>
      <c r="R508" s="34" t="s">
        <v>1494</v>
      </c>
    </row>
    <row r="509" spans="1:18" ht="15" customHeight="1" x14ac:dyDescent="0.25">
      <c r="A509" t="str">
        <f>IFERROR(RANK(B509,$B:$B,1)+COUNTIF($B$1:B508,B509),"")</f>
        <v/>
      </c>
      <c r="B509" t="str">
        <f>IFERROR(SEARCH(#REF!,Table4[[#This Row],[Commodity Title]],1),"")</f>
        <v/>
      </c>
      <c r="C509" s="35">
        <v>42144101</v>
      </c>
      <c r="D509" s="33" t="s">
        <v>1495</v>
      </c>
      <c r="E509" s="33" t="s">
        <v>1496</v>
      </c>
      <c r="F509" s="33" t="s">
        <v>1497</v>
      </c>
      <c r="G509" s="33" t="s">
        <v>1736</v>
      </c>
      <c r="H509" s="33" t="s">
        <v>1737</v>
      </c>
      <c r="I509" s="33" t="s">
        <v>1738</v>
      </c>
      <c r="J509" s="33">
        <v>142722</v>
      </c>
      <c r="K509" s="33" t="s">
        <v>2533</v>
      </c>
      <c r="L509" s="33" t="s">
        <v>2534</v>
      </c>
      <c r="M509" s="33" t="s">
        <v>2535</v>
      </c>
      <c r="N509" s="44">
        <v>42144101</v>
      </c>
      <c r="O509" s="33" t="s">
        <v>2536</v>
      </c>
      <c r="P509" s="33" t="s">
        <v>2537</v>
      </c>
      <c r="Q509" s="34" t="s">
        <v>1494</v>
      </c>
      <c r="R509" s="34" t="s">
        <v>1494</v>
      </c>
    </row>
    <row r="510" spans="1:18" ht="15" customHeight="1" x14ac:dyDescent="0.25">
      <c r="A510" t="str">
        <f>IFERROR(RANK(B510,$B:$B,1)+COUNTIF($B$1:B509,B510),"")</f>
        <v/>
      </c>
      <c r="B510" t="str">
        <f>IFERROR(SEARCH(#REF!,Table4[[#This Row],[Commodity Title]],1),"")</f>
        <v/>
      </c>
      <c r="C510" s="35">
        <v>42144102</v>
      </c>
      <c r="D510" s="33" t="s">
        <v>1495</v>
      </c>
      <c r="E510" s="33" t="s">
        <v>1496</v>
      </c>
      <c r="F510" s="33" t="s">
        <v>1497</v>
      </c>
      <c r="G510" s="33" t="s">
        <v>1736</v>
      </c>
      <c r="H510" s="33" t="s">
        <v>1737</v>
      </c>
      <c r="I510" s="33" t="s">
        <v>1738</v>
      </c>
      <c r="J510" s="33">
        <v>166786</v>
      </c>
      <c r="K510" s="33" t="s">
        <v>2533</v>
      </c>
      <c r="L510" s="33" t="s">
        <v>2534</v>
      </c>
      <c r="M510" s="33" t="s">
        <v>2535</v>
      </c>
      <c r="N510" s="44">
        <v>42144102</v>
      </c>
      <c r="O510" s="33" t="s">
        <v>2538</v>
      </c>
      <c r="P510" s="33" t="s">
        <v>2539</v>
      </c>
      <c r="Q510" s="34" t="s">
        <v>1494</v>
      </c>
      <c r="R510" s="34" t="s">
        <v>1494</v>
      </c>
    </row>
    <row r="511" spans="1:18" ht="15" customHeight="1" x14ac:dyDescent="0.25">
      <c r="A511" t="str">
        <f>IFERROR(RANK(B511,$B:$B,1)+COUNTIF($B$1:B510,B511),"")</f>
        <v/>
      </c>
      <c r="B511" t="str">
        <f>IFERROR(SEARCH(#REF!,Table4[[#This Row],[Commodity Title]],1),"")</f>
        <v/>
      </c>
      <c r="C511" s="35">
        <v>42144103</v>
      </c>
      <c r="D511" s="33" t="s">
        <v>1495</v>
      </c>
      <c r="E511" s="33" t="s">
        <v>1496</v>
      </c>
      <c r="F511" s="33" t="s">
        <v>1497</v>
      </c>
      <c r="G511" s="33" t="s">
        <v>1736</v>
      </c>
      <c r="H511" s="33" t="s">
        <v>1737</v>
      </c>
      <c r="I511" s="33" t="s">
        <v>1738</v>
      </c>
      <c r="J511" s="33">
        <v>166787</v>
      </c>
      <c r="K511" s="33" t="s">
        <v>2533</v>
      </c>
      <c r="L511" s="33" t="s">
        <v>2534</v>
      </c>
      <c r="M511" s="33" t="s">
        <v>2535</v>
      </c>
      <c r="N511" s="44">
        <v>42144103</v>
      </c>
      <c r="O511" s="33" t="s">
        <v>2540</v>
      </c>
      <c r="P511" s="33" t="s">
        <v>2541</v>
      </c>
      <c r="Q511" s="34" t="s">
        <v>1494</v>
      </c>
      <c r="R511" s="34" t="s">
        <v>1494</v>
      </c>
    </row>
    <row r="512" spans="1:18" ht="15" customHeight="1" x14ac:dyDescent="0.25">
      <c r="A512" t="str">
        <f>IFERROR(RANK(B512,$B:$B,1)+COUNTIF($B$1:B511,B512),"")</f>
        <v/>
      </c>
      <c r="B512" t="str">
        <f>IFERROR(SEARCH(#REF!,Table4[[#This Row],[Commodity Title]],1),"")</f>
        <v/>
      </c>
      <c r="C512" s="35">
        <v>42144104</v>
      </c>
      <c r="D512" s="33" t="s">
        <v>1495</v>
      </c>
      <c r="E512" s="33" t="s">
        <v>1496</v>
      </c>
      <c r="F512" s="33" t="s">
        <v>1497</v>
      </c>
      <c r="G512" s="33" t="s">
        <v>1736</v>
      </c>
      <c r="H512" s="33" t="s">
        <v>1737</v>
      </c>
      <c r="I512" s="33" t="s">
        <v>1738</v>
      </c>
      <c r="J512" s="33">
        <v>202512</v>
      </c>
      <c r="K512" s="33" t="s">
        <v>2533</v>
      </c>
      <c r="L512" s="33" t="s">
        <v>2534</v>
      </c>
      <c r="M512" s="33" t="s">
        <v>2535</v>
      </c>
      <c r="N512" s="44">
        <v>42144104</v>
      </c>
      <c r="O512" s="33" t="s">
        <v>2542</v>
      </c>
      <c r="P512" s="33" t="s">
        <v>2543</v>
      </c>
      <c r="Q512" s="34" t="s">
        <v>1494</v>
      </c>
      <c r="R512" s="34" t="s">
        <v>1494</v>
      </c>
    </row>
    <row r="513" spans="1:18" ht="15" customHeight="1" x14ac:dyDescent="0.25">
      <c r="A513" t="str">
        <f>IFERROR(RANK(B513,$B:$B,1)+COUNTIF($B$1:B512,B513),"")</f>
        <v/>
      </c>
      <c r="B513" t="str">
        <f>IFERROR(SEARCH(#REF!,Table4[[#This Row],[Commodity Title]],1),"")</f>
        <v/>
      </c>
      <c r="C513" s="33" t="s">
        <v>1494</v>
      </c>
      <c r="D513" s="33" t="s">
        <v>1495</v>
      </c>
      <c r="E513" s="33" t="s">
        <v>1496</v>
      </c>
      <c r="F513" s="33" t="s">
        <v>1497</v>
      </c>
      <c r="G513" s="33" t="s">
        <v>1736</v>
      </c>
      <c r="H513" s="33" t="s">
        <v>1737</v>
      </c>
      <c r="I513" s="33" t="s">
        <v>1738</v>
      </c>
      <c r="J513" s="33">
        <v>174321</v>
      </c>
      <c r="K513" s="33" t="s">
        <v>2544</v>
      </c>
      <c r="L513" s="33" t="s">
        <v>2545</v>
      </c>
      <c r="M513" s="33" t="s">
        <v>2546</v>
      </c>
      <c r="N513" s="44" t="s">
        <v>1494</v>
      </c>
      <c r="O513" s="33" t="s">
        <v>1494</v>
      </c>
      <c r="P513" s="33" t="s">
        <v>1494</v>
      </c>
      <c r="Q513" s="34" t="s">
        <v>1494</v>
      </c>
      <c r="R513" s="34" t="s">
        <v>1494</v>
      </c>
    </row>
    <row r="514" spans="1:18" ht="15" customHeight="1" x14ac:dyDescent="0.25">
      <c r="A514" t="str">
        <f>IFERROR(RANK(B514,$B:$B,1)+COUNTIF($B$1:B513,B514),"")</f>
        <v/>
      </c>
      <c r="B514" t="str">
        <f>IFERROR(SEARCH(#REF!,Table4[[#This Row],[Commodity Title]],1),"")</f>
        <v/>
      </c>
      <c r="C514" s="35">
        <v>42144201</v>
      </c>
      <c r="D514" s="33" t="s">
        <v>1495</v>
      </c>
      <c r="E514" s="33" t="s">
        <v>1496</v>
      </c>
      <c r="F514" s="33" t="s">
        <v>1497</v>
      </c>
      <c r="G514" s="33" t="s">
        <v>1736</v>
      </c>
      <c r="H514" s="33" t="s">
        <v>1737</v>
      </c>
      <c r="I514" s="33" t="s">
        <v>1738</v>
      </c>
      <c r="J514" s="33">
        <v>174322</v>
      </c>
      <c r="K514" s="33" t="s">
        <v>2544</v>
      </c>
      <c r="L514" s="33" t="s">
        <v>2545</v>
      </c>
      <c r="M514" s="33" t="s">
        <v>2546</v>
      </c>
      <c r="N514" s="44">
        <v>42144201</v>
      </c>
      <c r="O514" s="33" t="s">
        <v>2547</v>
      </c>
      <c r="P514" s="33" t="s">
        <v>2548</v>
      </c>
      <c r="Q514" s="34" t="s">
        <v>1494</v>
      </c>
      <c r="R514" s="34" t="s">
        <v>1494</v>
      </c>
    </row>
    <row r="515" spans="1:18" ht="15" customHeight="1" x14ac:dyDescent="0.25">
      <c r="A515" t="str">
        <f>IFERROR(RANK(B515,$B:$B,1)+COUNTIF($B$1:B514,B515),"")</f>
        <v/>
      </c>
      <c r="B515" t="str">
        <f>IFERROR(SEARCH(#REF!,Table4[[#This Row],[Commodity Title]],1),"")</f>
        <v/>
      </c>
      <c r="C515" s="35">
        <v>42144202</v>
      </c>
      <c r="D515" s="33" t="s">
        <v>1495</v>
      </c>
      <c r="E515" s="33" t="s">
        <v>1496</v>
      </c>
      <c r="F515" s="33" t="s">
        <v>1497</v>
      </c>
      <c r="G515" s="33" t="s">
        <v>1736</v>
      </c>
      <c r="H515" s="33" t="s">
        <v>1737</v>
      </c>
      <c r="I515" s="33" t="s">
        <v>1738</v>
      </c>
      <c r="J515" s="33">
        <v>174323</v>
      </c>
      <c r="K515" s="33" t="s">
        <v>2544</v>
      </c>
      <c r="L515" s="33" t="s">
        <v>2545</v>
      </c>
      <c r="M515" s="33" t="s">
        <v>2546</v>
      </c>
      <c r="N515" s="44">
        <v>42144202</v>
      </c>
      <c r="O515" s="33" t="s">
        <v>2549</v>
      </c>
      <c r="P515" s="33" t="s">
        <v>2550</v>
      </c>
      <c r="Q515" s="34" t="s">
        <v>1494</v>
      </c>
      <c r="R515" s="34" t="s">
        <v>1494</v>
      </c>
    </row>
    <row r="516" spans="1:18" ht="15" customHeight="1" x14ac:dyDescent="0.25">
      <c r="A516" t="str">
        <f>IFERROR(RANK(B516,$B:$B,1)+COUNTIF($B$1:B515,B516),"")</f>
        <v/>
      </c>
      <c r="B516" t="str">
        <f>IFERROR(SEARCH(#REF!,Table4[[#This Row],[Commodity Title]],1),"")</f>
        <v/>
      </c>
      <c r="C516" s="35">
        <v>42144203</v>
      </c>
      <c r="D516" s="33" t="s">
        <v>1495</v>
      </c>
      <c r="E516" s="33" t="s">
        <v>1496</v>
      </c>
      <c r="F516" s="33" t="s">
        <v>1497</v>
      </c>
      <c r="G516" s="33" t="s">
        <v>1736</v>
      </c>
      <c r="H516" s="33" t="s">
        <v>1737</v>
      </c>
      <c r="I516" s="33" t="s">
        <v>1738</v>
      </c>
      <c r="J516" s="33">
        <v>177413</v>
      </c>
      <c r="K516" s="33" t="s">
        <v>2544</v>
      </c>
      <c r="L516" s="33" t="s">
        <v>2545</v>
      </c>
      <c r="M516" s="33" t="s">
        <v>2546</v>
      </c>
      <c r="N516" s="44">
        <v>42144203</v>
      </c>
      <c r="O516" s="33" t="s">
        <v>2551</v>
      </c>
      <c r="P516" s="33" t="s">
        <v>2552</v>
      </c>
      <c r="Q516" s="34" t="s">
        <v>1494</v>
      </c>
      <c r="R516" s="34" t="s">
        <v>1494</v>
      </c>
    </row>
    <row r="517" spans="1:18" ht="15" customHeight="1" x14ac:dyDescent="0.25">
      <c r="A517" t="str">
        <f>IFERROR(RANK(B517,$B:$B,1)+COUNTIF($B$1:B516,B517),"")</f>
        <v/>
      </c>
      <c r="B517" t="str">
        <f>IFERROR(SEARCH(#REF!,Table4[[#This Row],[Commodity Title]],1),"")</f>
        <v/>
      </c>
      <c r="C517" s="35">
        <v>42144204</v>
      </c>
      <c r="D517" s="33" t="s">
        <v>1495</v>
      </c>
      <c r="E517" s="33" t="s">
        <v>1496</v>
      </c>
      <c r="F517" s="33" t="s">
        <v>1497</v>
      </c>
      <c r="G517" s="33" t="s">
        <v>1736</v>
      </c>
      <c r="H517" s="33" t="s">
        <v>1737</v>
      </c>
      <c r="I517" s="33" t="s">
        <v>1738</v>
      </c>
      <c r="J517" s="33">
        <v>202513</v>
      </c>
      <c r="K517" s="33" t="s">
        <v>2544</v>
      </c>
      <c r="L517" s="33" t="s">
        <v>2545</v>
      </c>
      <c r="M517" s="33" t="s">
        <v>2546</v>
      </c>
      <c r="N517" s="44">
        <v>42144204</v>
      </c>
      <c r="O517" s="33" t="s">
        <v>2553</v>
      </c>
      <c r="P517" s="33" t="s">
        <v>2554</v>
      </c>
      <c r="Q517" s="34" t="s">
        <v>1494</v>
      </c>
      <c r="R517" s="34" t="s">
        <v>1494</v>
      </c>
    </row>
    <row r="518" spans="1:18" ht="15" customHeight="1" x14ac:dyDescent="0.25">
      <c r="A518" t="str">
        <f>IFERROR(RANK(B518,$B:$B,1)+COUNTIF($B$1:B517,B518),"")</f>
        <v/>
      </c>
      <c r="B518" t="str">
        <f>IFERROR(SEARCH(#REF!,Table4[[#This Row],[Commodity Title]],1),"")</f>
        <v/>
      </c>
      <c r="C518" s="35">
        <v>42144205</v>
      </c>
      <c r="D518" s="33" t="s">
        <v>1495</v>
      </c>
      <c r="E518" s="33" t="s">
        <v>1496</v>
      </c>
      <c r="F518" s="33" t="s">
        <v>1497</v>
      </c>
      <c r="G518" s="33" t="s">
        <v>1736</v>
      </c>
      <c r="H518" s="33" t="s">
        <v>1737</v>
      </c>
      <c r="I518" s="33" t="s">
        <v>1738</v>
      </c>
      <c r="J518" s="33">
        <v>202514</v>
      </c>
      <c r="K518" s="33" t="s">
        <v>2544</v>
      </c>
      <c r="L518" s="33" t="s">
        <v>2545</v>
      </c>
      <c r="M518" s="33" t="s">
        <v>2546</v>
      </c>
      <c r="N518" s="44">
        <v>42144205</v>
      </c>
      <c r="O518" s="33" t="s">
        <v>2555</v>
      </c>
      <c r="P518" s="33" t="s">
        <v>2556</v>
      </c>
      <c r="Q518" s="34" t="s">
        <v>1494</v>
      </c>
      <c r="R518" s="34" t="s">
        <v>1494</v>
      </c>
    </row>
    <row r="519" spans="1:18" ht="15" customHeight="1" x14ac:dyDescent="0.25">
      <c r="A519" t="str">
        <f>IFERROR(RANK(B519,$B:$B,1)+COUNTIF($B$1:B518,B519),"")</f>
        <v/>
      </c>
      <c r="B519" t="str">
        <f>IFERROR(SEARCH(#REF!,Table4[[#This Row],[Commodity Title]],1),"")</f>
        <v/>
      </c>
      <c r="C519" s="35">
        <v>42144206</v>
      </c>
      <c r="D519" s="33" t="s">
        <v>1495</v>
      </c>
      <c r="E519" s="33" t="s">
        <v>1496</v>
      </c>
      <c r="F519" s="33" t="s">
        <v>1497</v>
      </c>
      <c r="G519" s="33" t="s">
        <v>1736</v>
      </c>
      <c r="H519" s="33" t="s">
        <v>1737</v>
      </c>
      <c r="I519" s="33" t="s">
        <v>1738</v>
      </c>
      <c r="J519" s="33">
        <v>202515</v>
      </c>
      <c r="K519" s="33" t="s">
        <v>2544</v>
      </c>
      <c r="L519" s="33" t="s">
        <v>2545</v>
      </c>
      <c r="M519" s="33" t="s">
        <v>2546</v>
      </c>
      <c r="N519" s="44">
        <v>42144206</v>
      </c>
      <c r="O519" s="33" t="s">
        <v>2557</v>
      </c>
      <c r="P519" s="33" t="s">
        <v>2558</v>
      </c>
      <c r="Q519" s="34" t="s">
        <v>1494</v>
      </c>
      <c r="R519" s="34" t="s">
        <v>1494</v>
      </c>
    </row>
    <row r="520" spans="1:18" ht="15" customHeight="1" x14ac:dyDescent="0.25">
      <c r="A520" t="str">
        <f>IFERROR(RANK(B520,$B:$B,1)+COUNTIF($B$1:B519,B520),"")</f>
        <v/>
      </c>
      <c r="B520" t="str">
        <f>IFERROR(SEARCH(#REF!,Table4[[#This Row],[Commodity Title]],1),"")</f>
        <v/>
      </c>
      <c r="C520" s="35">
        <v>42144207</v>
      </c>
      <c r="D520" s="33" t="s">
        <v>1495</v>
      </c>
      <c r="E520" s="33" t="s">
        <v>1496</v>
      </c>
      <c r="F520" s="33" t="s">
        <v>1497</v>
      </c>
      <c r="G520" s="33" t="s">
        <v>1736</v>
      </c>
      <c r="H520" s="33" t="s">
        <v>1737</v>
      </c>
      <c r="I520" s="33" t="s">
        <v>1738</v>
      </c>
      <c r="J520" s="33">
        <v>202516</v>
      </c>
      <c r="K520" s="33" t="s">
        <v>2544</v>
      </c>
      <c r="L520" s="33" t="s">
        <v>2545</v>
      </c>
      <c r="M520" s="33" t="s">
        <v>2546</v>
      </c>
      <c r="N520" s="44">
        <v>42144207</v>
      </c>
      <c r="O520" s="33" t="s">
        <v>2559</v>
      </c>
      <c r="P520" s="33" t="s">
        <v>2560</v>
      </c>
      <c r="Q520" s="34" t="s">
        <v>1494</v>
      </c>
      <c r="R520" s="34" t="s">
        <v>1494</v>
      </c>
    </row>
    <row r="521" spans="1:18" ht="15" customHeight="1" x14ac:dyDescent="0.25">
      <c r="A521" t="str">
        <f>IFERROR(RANK(B521,$B:$B,1)+COUNTIF($B$1:B520,B521),"")</f>
        <v/>
      </c>
      <c r="B521" t="str">
        <f>IFERROR(SEARCH(#REF!,Table4[[#This Row],[Commodity Title]],1),"")</f>
        <v/>
      </c>
      <c r="C521" s="35">
        <v>42144208</v>
      </c>
      <c r="D521" s="33" t="s">
        <v>1495</v>
      </c>
      <c r="E521" s="33" t="s">
        <v>1496</v>
      </c>
      <c r="F521" s="33" t="s">
        <v>1497</v>
      </c>
      <c r="G521" s="33" t="s">
        <v>1736</v>
      </c>
      <c r="H521" s="33" t="s">
        <v>1737</v>
      </c>
      <c r="I521" s="33" t="s">
        <v>1738</v>
      </c>
      <c r="J521" s="33">
        <v>202517</v>
      </c>
      <c r="K521" s="33" t="s">
        <v>2544</v>
      </c>
      <c r="L521" s="33" t="s">
        <v>2545</v>
      </c>
      <c r="M521" s="33" t="s">
        <v>2546</v>
      </c>
      <c r="N521" s="44">
        <v>42144208</v>
      </c>
      <c r="O521" s="33" t="s">
        <v>2561</v>
      </c>
      <c r="P521" s="33" t="s">
        <v>2562</v>
      </c>
      <c r="Q521" s="34" t="s">
        <v>1494</v>
      </c>
      <c r="R521" s="34" t="s">
        <v>1494</v>
      </c>
    </row>
    <row r="522" spans="1:18" ht="15" customHeight="1" x14ac:dyDescent="0.25">
      <c r="A522" t="str">
        <f>IFERROR(RANK(B522,$B:$B,1)+COUNTIF($B$1:B521,B522),"")</f>
        <v/>
      </c>
      <c r="B522" t="str">
        <f>IFERROR(SEARCH(#REF!,Table4[[#This Row],[Commodity Title]],1),"")</f>
        <v/>
      </c>
      <c r="C522" s="35">
        <v>42144209</v>
      </c>
      <c r="D522" s="33" t="s">
        <v>1495</v>
      </c>
      <c r="E522" s="33" t="s">
        <v>1496</v>
      </c>
      <c r="F522" s="33" t="s">
        <v>1497</v>
      </c>
      <c r="G522" s="33" t="s">
        <v>1736</v>
      </c>
      <c r="H522" s="33" t="s">
        <v>1737</v>
      </c>
      <c r="I522" s="33" t="s">
        <v>1738</v>
      </c>
      <c r="J522" s="33">
        <v>202518</v>
      </c>
      <c r="K522" s="33" t="s">
        <v>2544</v>
      </c>
      <c r="L522" s="33" t="s">
        <v>2545</v>
      </c>
      <c r="M522" s="33" t="s">
        <v>2546</v>
      </c>
      <c r="N522" s="44">
        <v>42144209</v>
      </c>
      <c r="O522" s="33" t="s">
        <v>2563</v>
      </c>
      <c r="P522" s="33" t="s">
        <v>2564</v>
      </c>
      <c r="Q522" s="34" t="s">
        <v>1494</v>
      </c>
      <c r="R522" s="34" t="s">
        <v>1494</v>
      </c>
    </row>
    <row r="523" spans="1:18" ht="15" customHeight="1" x14ac:dyDescent="0.25">
      <c r="A523" t="str">
        <f>IFERROR(RANK(B523,$B:$B,1)+COUNTIF($B$1:B522,B523),"")</f>
        <v/>
      </c>
      <c r="B523" t="str">
        <f>IFERROR(SEARCH(#REF!,Table4[[#This Row],[Commodity Title]],1),"")</f>
        <v/>
      </c>
      <c r="C523" s="33" t="s">
        <v>1494</v>
      </c>
      <c r="D523" s="33" t="s">
        <v>1495</v>
      </c>
      <c r="E523" s="33" t="s">
        <v>1496</v>
      </c>
      <c r="F523" s="33" t="s">
        <v>1497</v>
      </c>
      <c r="G523" s="33" t="s">
        <v>1736</v>
      </c>
      <c r="H523" s="33" t="s">
        <v>1737</v>
      </c>
      <c r="I523" s="33" t="s">
        <v>1738</v>
      </c>
      <c r="J523" s="33">
        <v>176716</v>
      </c>
      <c r="K523" s="33" t="s">
        <v>2565</v>
      </c>
      <c r="L523" s="33" t="s">
        <v>2566</v>
      </c>
      <c r="M523" s="33" t="s">
        <v>2567</v>
      </c>
      <c r="N523" s="44" t="s">
        <v>1494</v>
      </c>
      <c r="O523" s="33" t="s">
        <v>1494</v>
      </c>
      <c r="P523" s="33" t="s">
        <v>1494</v>
      </c>
      <c r="Q523" s="34" t="s">
        <v>1494</v>
      </c>
      <c r="R523" s="34" t="s">
        <v>1494</v>
      </c>
    </row>
    <row r="524" spans="1:18" ht="15" customHeight="1" x14ac:dyDescent="0.25">
      <c r="A524" t="str">
        <f>IFERROR(RANK(B524,$B:$B,1)+COUNTIF($B$1:B523,B524),"")</f>
        <v/>
      </c>
      <c r="B524" t="str">
        <f>IFERROR(SEARCH(#REF!,Table4[[#This Row],[Commodity Title]],1),"")</f>
        <v/>
      </c>
      <c r="C524" s="35">
        <v>42144301</v>
      </c>
      <c r="D524" s="33" t="s">
        <v>1495</v>
      </c>
      <c r="E524" s="33" t="s">
        <v>1496</v>
      </c>
      <c r="F524" s="33" t="s">
        <v>1497</v>
      </c>
      <c r="G524" s="33" t="s">
        <v>1736</v>
      </c>
      <c r="H524" s="33" t="s">
        <v>1737</v>
      </c>
      <c r="I524" s="33" t="s">
        <v>1738</v>
      </c>
      <c r="J524" s="33">
        <v>176717</v>
      </c>
      <c r="K524" s="33" t="s">
        <v>2565</v>
      </c>
      <c r="L524" s="33" t="s">
        <v>2566</v>
      </c>
      <c r="M524" s="33" t="s">
        <v>2567</v>
      </c>
      <c r="N524" s="44">
        <v>42144301</v>
      </c>
      <c r="O524" s="33" t="s">
        <v>2568</v>
      </c>
      <c r="P524" s="33" t="s">
        <v>2569</v>
      </c>
      <c r="Q524" s="34" t="s">
        <v>1494</v>
      </c>
      <c r="R524" s="34" t="s">
        <v>1494</v>
      </c>
    </row>
    <row r="525" spans="1:18" ht="15" customHeight="1" x14ac:dyDescent="0.25">
      <c r="A525" t="str">
        <f>IFERROR(RANK(B525,$B:$B,1)+COUNTIF($B$1:B524,B525),"")</f>
        <v/>
      </c>
      <c r="B525" t="str">
        <f>IFERROR(SEARCH(#REF!,Table4[[#This Row],[Commodity Title]],1),"")</f>
        <v/>
      </c>
      <c r="C525" s="35">
        <v>42144302</v>
      </c>
      <c r="D525" s="33" t="s">
        <v>1495</v>
      </c>
      <c r="E525" s="33" t="s">
        <v>1496</v>
      </c>
      <c r="F525" s="33" t="s">
        <v>1497</v>
      </c>
      <c r="G525" s="33" t="s">
        <v>1736</v>
      </c>
      <c r="H525" s="33" t="s">
        <v>1737</v>
      </c>
      <c r="I525" s="33" t="s">
        <v>1738</v>
      </c>
      <c r="J525" s="33">
        <v>176718</v>
      </c>
      <c r="K525" s="33" t="s">
        <v>2565</v>
      </c>
      <c r="L525" s="33" t="s">
        <v>2566</v>
      </c>
      <c r="M525" s="33" t="s">
        <v>2567</v>
      </c>
      <c r="N525" s="44">
        <v>42144302</v>
      </c>
      <c r="O525" s="33" t="s">
        <v>2570</v>
      </c>
      <c r="P525" s="33" t="s">
        <v>2571</v>
      </c>
      <c r="Q525" s="34" t="s">
        <v>1494</v>
      </c>
      <c r="R525" s="34" t="s">
        <v>1494</v>
      </c>
    </row>
    <row r="526" spans="1:18" ht="15" customHeight="1" x14ac:dyDescent="0.25">
      <c r="A526" t="str">
        <f>IFERROR(RANK(B526,$B:$B,1)+COUNTIF($B$1:B525,B526),"")</f>
        <v/>
      </c>
      <c r="B526" t="str">
        <f>IFERROR(SEARCH(#REF!,Table4[[#This Row],[Commodity Title]],1),"")</f>
        <v/>
      </c>
      <c r="C526" s="33" t="s">
        <v>1494</v>
      </c>
      <c r="D526" s="33" t="s">
        <v>1495</v>
      </c>
      <c r="E526" s="33" t="s">
        <v>1496</v>
      </c>
      <c r="F526" s="33" t="s">
        <v>1497</v>
      </c>
      <c r="G526" s="33" t="s">
        <v>1736</v>
      </c>
      <c r="H526" s="33" t="s">
        <v>1737</v>
      </c>
      <c r="I526" s="33" t="s">
        <v>1738</v>
      </c>
      <c r="J526" s="33">
        <v>202519</v>
      </c>
      <c r="K526" s="33" t="s">
        <v>2572</v>
      </c>
      <c r="L526" s="33" t="s">
        <v>2573</v>
      </c>
      <c r="M526" s="33" t="s">
        <v>2574</v>
      </c>
      <c r="N526" s="44" t="s">
        <v>1494</v>
      </c>
      <c r="O526" s="33" t="s">
        <v>1494</v>
      </c>
      <c r="P526" s="33" t="s">
        <v>1494</v>
      </c>
      <c r="Q526" s="34" t="s">
        <v>1494</v>
      </c>
      <c r="R526" s="34" t="s">
        <v>1494</v>
      </c>
    </row>
    <row r="527" spans="1:18" ht="15" customHeight="1" x14ac:dyDescent="0.25">
      <c r="A527" t="str">
        <f>IFERROR(RANK(B527,$B:$B,1)+COUNTIF($B$1:B526,B527),"")</f>
        <v/>
      </c>
      <c r="B527" t="str">
        <f>IFERROR(SEARCH(#REF!,Table4[[#This Row],[Commodity Title]],1),"")</f>
        <v/>
      </c>
      <c r="C527" s="35">
        <v>42144401</v>
      </c>
      <c r="D527" s="33" t="s">
        <v>1495</v>
      </c>
      <c r="E527" s="33" t="s">
        <v>1496</v>
      </c>
      <c r="F527" s="33" t="s">
        <v>1497</v>
      </c>
      <c r="G527" s="33" t="s">
        <v>1736</v>
      </c>
      <c r="H527" s="33" t="s">
        <v>1737</v>
      </c>
      <c r="I527" s="33" t="s">
        <v>1738</v>
      </c>
      <c r="J527" s="33">
        <v>202520</v>
      </c>
      <c r="K527" s="33" t="s">
        <v>2572</v>
      </c>
      <c r="L527" s="33" t="s">
        <v>2573</v>
      </c>
      <c r="M527" s="33" t="s">
        <v>2574</v>
      </c>
      <c r="N527" s="44">
        <v>42144401</v>
      </c>
      <c r="O527" s="33" t="s">
        <v>2575</v>
      </c>
      <c r="P527" s="33" t="s">
        <v>2576</v>
      </c>
      <c r="Q527" s="34" t="s">
        <v>1494</v>
      </c>
      <c r="R527" s="34" t="s">
        <v>1494</v>
      </c>
    </row>
    <row r="528" spans="1:18" ht="15" customHeight="1" x14ac:dyDescent="0.25">
      <c r="A528" t="str">
        <f>IFERROR(RANK(B528,$B:$B,1)+COUNTIF($B$1:B527,B528),"")</f>
        <v/>
      </c>
      <c r="B528" t="str">
        <f>IFERROR(SEARCH(#REF!,Table4[[#This Row],[Commodity Title]],1),"")</f>
        <v/>
      </c>
      <c r="C528" s="35">
        <v>42144402</v>
      </c>
      <c r="D528" s="33" t="s">
        <v>1495</v>
      </c>
      <c r="E528" s="33" t="s">
        <v>1496</v>
      </c>
      <c r="F528" s="33" t="s">
        <v>1497</v>
      </c>
      <c r="G528" s="33" t="s">
        <v>1736</v>
      </c>
      <c r="H528" s="33" t="s">
        <v>1737</v>
      </c>
      <c r="I528" s="33" t="s">
        <v>1738</v>
      </c>
      <c r="J528" s="33">
        <v>202521</v>
      </c>
      <c r="K528" s="33" t="s">
        <v>2572</v>
      </c>
      <c r="L528" s="33" t="s">
        <v>2573</v>
      </c>
      <c r="M528" s="33" t="s">
        <v>2574</v>
      </c>
      <c r="N528" s="44">
        <v>42144402</v>
      </c>
      <c r="O528" s="33" t="s">
        <v>2577</v>
      </c>
      <c r="P528" s="33" t="s">
        <v>2578</v>
      </c>
      <c r="Q528" s="34" t="s">
        <v>1494</v>
      </c>
      <c r="R528" s="34" t="s">
        <v>1494</v>
      </c>
    </row>
    <row r="529" spans="1:18" ht="15" customHeight="1" x14ac:dyDescent="0.25">
      <c r="A529" t="str">
        <f>IFERROR(RANK(B529,$B:$B,1)+COUNTIF($B$1:B528,B529),"")</f>
        <v/>
      </c>
      <c r="B529" t="str">
        <f>IFERROR(SEARCH(#REF!,Table4[[#This Row],[Commodity Title]],1),"")</f>
        <v/>
      </c>
      <c r="C529" s="35">
        <v>42144403</v>
      </c>
      <c r="D529" s="33" t="s">
        <v>1495</v>
      </c>
      <c r="E529" s="33" t="s">
        <v>1496</v>
      </c>
      <c r="F529" s="33" t="s">
        <v>1497</v>
      </c>
      <c r="G529" s="33" t="s">
        <v>1736</v>
      </c>
      <c r="H529" s="33" t="s">
        <v>1737</v>
      </c>
      <c r="I529" s="33" t="s">
        <v>1738</v>
      </c>
      <c r="J529" s="33">
        <v>202522</v>
      </c>
      <c r="K529" s="33" t="s">
        <v>2572</v>
      </c>
      <c r="L529" s="33" t="s">
        <v>2573</v>
      </c>
      <c r="M529" s="33" t="s">
        <v>2574</v>
      </c>
      <c r="N529" s="44">
        <v>42144403</v>
      </c>
      <c r="O529" s="33" t="s">
        <v>2579</v>
      </c>
      <c r="P529" s="33" t="s">
        <v>2580</v>
      </c>
      <c r="Q529" s="34" t="s">
        <v>1494</v>
      </c>
      <c r="R529" s="34" t="s">
        <v>1494</v>
      </c>
    </row>
    <row r="530" spans="1:18" ht="15" customHeight="1" x14ac:dyDescent="0.25">
      <c r="A530" t="str">
        <f>IFERROR(RANK(B530,$B:$B,1)+COUNTIF($B$1:B529,B530),"")</f>
        <v/>
      </c>
      <c r="B530" t="str">
        <f>IFERROR(SEARCH(#REF!,Table4[[#This Row],[Commodity Title]],1),"")</f>
        <v/>
      </c>
      <c r="C530" s="35">
        <v>42144404</v>
      </c>
      <c r="D530" s="33" t="s">
        <v>1495</v>
      </c>
      <c r="E530" s="33" t="s">
        <v>1496</v>
      </c>
      <c r="F530" s="33" t="s">
        <v>1497</v>
      </c>
      <c r="G530" s="33" t="s">
        <v>1736</v>
      </c>
      <c r="H530" s="33" t="s">
        <v>1737</v>
      </c>
      <c r="I530" s="33" t="s">
        <v>1738</v>
      </c>
      <c r="J530" s="33">
        <v>202523</v>
      </c>
      <c r="K530" s="33" t="s">
        <v>2572</v>
      </c>
      <c r="L530" s="33" t="s">
        <v>2573</v>
      </c>
      <c r="M530" s="33" t="s">
        <v>2574</v>
      </c>
      <c r="N530" s="44">
        <v>42144404</v>
      </c>
      <c r="O530" s="33" t="s">
        <v>2581</v>
      </c>
      <c r="P530" s="33" t="s">
        <v>2580</v>
      </c>
      <c r="Q530" s="34" t="s">
        <v>1494</v>
      </c>
      <c r="R530" s="34" t="s">
        <v>1494</v>
      </c>
    </row>
    <row r="531" spans="1:18" ht="15" customHeight="1" x14ac:dyDescent="0.25">
      <c r="A531" t="str">
        <f>IFERROR(RANK(B531,$B:$B,1)+COUNTIF($B$1:B530,B531),"")</f>
        <v/>
      </c>
      <c r="B531" t="str">
        <f>IFERROR(SEARCH(#REF!,Table4[[#This Row],[Commodity Title]],1),"")</f>
        <v/>
      </c>
      <c r="C531" s="35">
        <v>42144405</v>
      </c>
      <c r="D531" s="33" t="s">
        <v>1495</v>
      </c>
      <c r="E531" s="33" t="s">
        <v>1496</v>
      </c>
      <c r="F531" s="33" t="s">
        <v>1497</v>
      </c>
      <c r="G531" s="33" t="s">
        <v>1736</v>
      </c>
      <c r="H531" s="33" t="s">
        <v>1737</v>
      </c>
      <c r="I531" s="33" t="s">
        <v>1738</v>
      </c>
      <c r="J531" s="33">
        <v>202524</v>
      </c>
      <c r="K531" s="33" t="s">
        <v>2572</v>
      </c>
      <c r="L531" s="33" t="s">
        <v>2573</v>
      </c>
      <c r="M531" s="33" t="s">
        <v>2574</v>
      </c>
      <c r="N531" s="44">
        <v>42144405</v>
      </c>
      <c r="O531" s="33" t="s">
        <v>2582</v>
      </c>
      <c r="P531" s="33" t="s">
        <v>2583</v>
      </c>
      <c r="Q531" s="34" t="s">
        <v>1494</v>
      </c>
      <c r="R531" s="34" t="s">
        <v>1494</v>
      </c>
    </row>
    <row r="532" spans="1:18" ht="15" customHeight="1" x14ac:dyDescent="0.25">
      <c r="A532" t="str">
        <f>IFERROR(RANK(B532,$B:$B,1)+COUNTIF($B$1:B531,B532),"")</f>
        <v/>
      </c>
      <c r="B532" t="str">
        <f>IFERROR(SEARCH(#REF!,Table4[[#This Row],[Commodity Title]],1),"")</f>
        <v/>
      </c>
      <c r="C532" s="35">
        <v>42144406</v>
      </c>
      <c r="D532" s="33" t="s">
        <v>1495</v>
      </c>
      <c r="E532" s="33" t="s">
        <v>1496</v>
      </c>
      <c r="F532" s="33" t="s">
        <v>1497</v>
      </c>
      <c r="G532" s="33" t="s">
        <v>1736</v>
      </c>
      <c r="H532" s="33" t="s">
        <v>1737</v>
      </c>
      <c r="I532" s="33" t="s">
        <v>1738</v>
      </c>
      <c r="J532" s="33">
        <v>116041</v>
      </c>
      <c r="K532" s="33" t="s">
        <v>2572</v>
      </c>
      <c r="L532" s="33" t="s">
        <v>2573</v>
      </c>
      <c r="M532" s="33" t="s">
        <v>2574</v>
      </c>
      <c r="N532" s="44">
        <v>42144406</v>
      </c>
      <c r="O532" s="33" t="s">
        <v>2584</v>
      </c>
      <c r="P532" s="33" t="s">
        <v>2304</v>
      </c>
      <c r="Q532" s="34" t="s">
        <v>1494</v>
      </c>
      <c r="R532" s="34" t="s">
        <v>1494</v>
      </c>
    </row>
    <row r="533" spans="1:18" ht="15" customHeight="1" x14ac:dyDescent="0.25">
      <c r="A533" t="str">
        <f>IFERROR(RANK(B533,$B:$B,1)+COUNTIF($B$1:B532,B533),"")</f>
        <v/>
      </c>
      <c r="B533" t="str">
        <f>IFERROR(SEARCH(#REF!,Table4[[#This Row],[Commodity Title]],1),"")</f>
        <v/>
      </c>
      <c r="C533" s="35">
        <v>42144407</v>
      </c>
      <c r="D533" s="33" t="s">
        <v>1495</v>
      </c>
      <c r="E533" s="33" t="s">
        <v>1496</v>
      </c>
      <c r="F533" s="33" t="s">
        <v>1497</v>
      </c>
      <c r="G533" s="33" t="s">
        <v>1736</v>
      </c>
      <c r="H533" s="33" t="s">
        <v>1737</v>
      </c>
      <c r="I533" s="33" t="s">
        <v>1738</v>
      </c>
      <c r="J533" s="33">
        <v>202525</v>
      </c>
      <c r="K533" s="33" t="s">
        <v>2572</v>
      </c>
      <c r="L533" s="33" t="s">
        <v>2573</v>
      </c>
      <c r="M533" s="33" t="s">
        <v>2574</v>
      </c>
      <c r="N533" s="44">
        <v>42144407</v>
      </c>
      <c r="O533" s="33" t="s">
        <v>2585</v>
      </c>
      <c r="P533" s="33" t="s">
        <v>2586</v>
      </c>
      <c r="Q533" s="34" t="s">
        <v>1494</v>
      </c>
      <c r="R533" s="34" t="s">
        <v>1494</v>
      </c>
    </row>
    <row r="534" spans="1:18" ht="15" customHeight="1" x14ac:dyDescent="0.25">
      <c r="A534" t="str">
        <f>IFERROR(RANK(B534,$B:$B,1)+COUNTIF($B$1:B533,B534),"")</f>
        <v/>
      </c>
      <c r="B534" t="str">
        <f>IFERROR(SEARCH(#REF!,Table4[[#This Row],[Commodity Title]],1),"")</f>
        <v/>
      </c>
      <c r="C534" s="35">
        <v>42144408</v>
      </c>
      <c r="D534" s="33" t="s">
        <v>1495</v>
      </c>
      <c r="E534" s="33" t="s">
        <v>1496</v>
      </c>
      <c r="F534" s="33" t="s">
        <v>1497</v>
      </c>
      <c r="G534" s="33" t="s">
        <v>1736</v>
      </c>
      <c r="H534" s="33" t="s">
        <v>1737</v>
      </c>
      <c r="I534" s="33" t="s">
        <v>1738</v>
      </c>
      <c r="J534" s="33">
        <v>202526</v>
      </c>
      <c r="K534" s="33" t="s">
        <v>2572</v>
      </c>
      <c r="L534" s="33" t="s">
        <v>2573</v>
      </c>
      <c r="M534" s="33" t="s">
        <v>2574</v>
      </c>
      <c r="N534" s="44">
        <v>42144408</v>
      </c>
      <c r="O534" s="33" t="s">
        <v>2587</v>
      </c>
      <c r="P534" s="33" t="s">
        <v>2588</v>
      </c>
      <c r="Q534" s="34" t="s">
        <v>1494</v>
      </c>
      <c r="R534" s="34" t="s">
        <v>1494</v>
      </c>
    </row>
    <row r="535" spans="1:18" ht="15" customHeight="1" x14ac:dyDescent="0.25">
      <c r="A535" t="str">
        <f>IFERROR(RANK(B535,$B:$B,1)+COUNTIF($B$1:B534,B535),"")</f>
        <v/>
      </c>
      <c r="B535" t="str">
        <f>IFERROR(SEARCH(#REF!,Table4[[#This Row],[Commodity Title]],1),"")</f>
        <v/>
      </c>
      <c r="C535" s="35">
        <v>42144409</v>
      </c>
      <c r="D535" s="33" t="s">
        <v>1495</v>
      </c>
      <c r="E535" s="33" t="s">
        <v>1496</v>
      </c>
      <c r="F535" s="33" t="s">
        <v>1497</v>
      </c>
      <c r="G535" s="33" t="s">
        <v>1736</v>
      </c>
      <c r="H535" s="33" t="s">
        <v>1737</v>
      </c>
      <c r="I535" s="33" t="s">
        <v>1738</v>
      </c>
      <c r="J535" s="33">
        <v>202527</v>
      </c>
      <c r="K535" s="33" t="s">
        <v>2572</v>
      </c>
      <c r="L535" s="33" t="s">
        <v>2573</v>
      </c>
      <c r="M535" s="33" t="s">
        <v>2574</v>
      </c>
      <c r="N535" s="44">
        <v>42144409</v>
      </c>
      <c r="O535" s="33" t="s">
        <v>2589</v>
      </c>
      <c r="P535" s="33" t="s">
        <v>2304</v>
      </c>
      <c r="Q535" s="34" t="s">
        <v>1494</v>
      </c>
      <c r="R535" s="34" t="s">
        <v>1494</v>
      </c>
    </row>
    <row r="536" spans="1:18" ht="15" customHeight="1" x14ac:dyDescent="0.25">
      <c r="A536" t="str">
        <f>IFERROR(RANK(B536,$B:$B,1)+COUNTIF($B$1:B535,B536),"")</f>
        <v/>
      </c>
      <c r="B536" t="str">
        <f>IFERROR(SEARCH(#REF!,Table4[[#This Row],[Commodity Title]],1),"")</f>
        <v/>
      </c>
      <c r="C536" s="33" t="s">
        <v>1494</v>
      </c>
      <c r="D536" s="33" t="s">
        <v>1495</v>
      </c>
      <c r="E536" s="33" t="s">
        <v>1496</v>
      </c>
      <c r="F536" s="33" t="s">
        <v>1497</v>
      </c>
      <c r="G536" s="33" t="s">
        <v>1736</v>
      </c>
      <c r="H536" s="33" t="s">
        <v>1737</v>
      </c>
      <c r="I536" s="33" t="s">
        <v>1738</v>
      </c>
      <c r="J536" s="33">
        <v>142277</v>
      </c>
      <c r="K536" s="33" t="s">
        <v>2590</v>
      </c>
      <c r="L536" s="33" t="s">
        <v>2591</v>
      </c>
      <c r="M536" s="33" t="s">
        <v>2592</v>
      </c>
      <c r="N536" s="44" t="s">
        <v>1494</v>
      </c>
      <c r="O536" s="33" t="s">
        <v>1494</v>
      </c>
      <c r="P536" s="33" t="s">
        <v>1494</v>
      </c>
      <c r="Q536" s="34" t="s">
        <v>1494</v>
      </c>
      <c r="R536" s="34" t="s">
        <v>1494</v>
      </c>
    </row>
    <row r="537" spans="1:18" ht="15" customHeight="1" x14ac:dyDescent="0.25">
      <c r="A537" t="str">
        <f>IFERROR(RANK(B537,$B:$B,1)+COUNTIF($B$1:B536,B537),"")</f>
        <v/>
      </c>
      <c r="B537" t="str">
        <f>IFERROR(SEARCH(#REF!,Table4[[#This Row],[Commodity Title]],1),"")</f>
        <v/>
      </c>
      <c r="C537" s="35">
        <v>42144501</v>
      </c>
      <c r="D537" s="33" t="s">
        <v>1495</v>
      </c>
      <c r="E537" s="33" t="s">
        <v>1496</v>
      </c>
      <c r="F537" s="33" t="s">
        <v>1497</v>
      </c>
      <c r="G537" s="33" t="s">
        <v>1736</v>
      </c>
      <c r="H537" s="33" t="s">
        <v>1737</v>
      </c>
      <c r="I537" s="33" t="s">
        <v>1738</v>
      </c>
      <c r="J537" s="33">
        <v>202528</v>
      </c>
      <c r="K537" s="33" t="s">
        <v>2590</v>
      </c>
      <c r="L537" s="33" t="s">
        <v>2591</v>
      </c>
      <c r="M537" s="33" t="s">
        <v>2592</v>
      </c>
      <c r="N537" s="44">
        <v>42144501</v>
      </c>
      <c r="O537" s="33" t="s">
        <v>2593</v>
      </c>
      <c r="P537" s="33" t="s">
        <v>2594</v>
      </c>
      <c r="Q537" s="34" t="s">
        <v>1494</v>
      </c>
      <c r="R537" s="34" t="s">
        <v>1494</v>
      </c>
    </row>
    <row r="538" spans="1:18" ht="15" customHeight="1" x14ac:dyDescent="0.25">
      <c r="A538" t="str">
        <f>IFERROR(RANK(B538,$B:$B,1)+COUNTIF($B$1:B537,B538),"")</f>
        <v/>
      </c>
      <c r="B538" t="str">
        <f>IFERROR(SEARCH(#REF!,Table4[[#This Row],[Commodity Title]],1),"")</f>
        <v/>
      </c>
      <c r="C538" s="35">
        <v>42144502</v>
      </c>
      <c r="D538" s="33" t="s">
        <v>1495</v>
      </c>
      <c r="E538" s="33" t="s">
        <v>1496</v>
      </c>
      <c r="F538" s="33" t="s">
        <v>1497</v>
      </c>
      <c r="G538" s="33" t="s">
        <v>1736</v>
      </c>
      <c r="H538" s="33" t="s">
        <v>1737</v>
      </c>
      <c r="I538" s="33" t="s">
        <v>1738</v>
      </c>
      <c r="J538" s="33">
        <v>202529</v>
      </c>
      <c r="K538" s="33" t="s">
        <v>2590</v>
      </c>
      <c r="L538" s="33" t="s">
        <v>2591</v>
      </c>
      <c r="M538" s="33" t="s">
        <v>2592</v>
      </c>
      <c r="N538" s="44">
        <v>42144502</v>
      </c>
      <c r="O538" s="33" t="s">
        <v>2595</v>
      </c>
      <c r="P538" s="33" t="s">
        <v>2596</v>
      </c>
      <c r="Q538" s="34" t="s">
        <v>1494</v>
      </c>
      <c r="R538" s="34" t="s">
        <v>1494</v>
      </c>
    </row>
    <row r="539" spans="1:18" ht="15" customHeight="1" x14ac:dyDescent="0.25">
      <c r="A539" t="str">
        <f>IFERROR(RANK(B539,$B:$B,1)+COUNTIF($B$1:B538,B539),"")</f>
        <v/>
      </c>
      <c r="B539" t="str">
        <f>IFERROR(SEARCH(#REF!,Table4[[#This Row],[Commodity Title]],1),"")</f>
        <v/>
      </c>
      <c r="C539" s="35">
        <v>42144503</v>
      </c>
      <c r="D539" s="33" t="s">
        <v>1495</v>
      </c>
      <c r="E539" s="33" t="s">
        <v>1496</v>
      </c>
      <c r="F539" s="33" t="s">
        <v>1497</v>
      </c>
      <c r="G539" s="33" t="s">
        <v>1736</v>
      </c>
      <c r="H539" s="33" t="s">
        <v>1737</v>
      </c>
      <c r="I539" s="33" t="s">
        <v>1738</v>
      </c>
      <c r="J539" s="33">
        <v>202530</v>
      </c>
      <c r="K539" s="33" t="s">
        <v>2590</v>
      </c>
      <c r="L539" s="33" t="s">
        <v>2591</v>
      </c>
      <c r="M539" s="33" t="s">
        <v>2592</v>
      </c>
      <c r="N539" s="44">
        <v>42144503</v>
      </c>
      <c r="O539" s="33" t="s">
        <v>2597</v>
      </c>
      <c r="P539" s="33" t="s">
        <v>2598</v>
      </c>
      <c r="Q539" s="34" t="s">
        <v>1494</v>
      </c>
      <c r="R539" s="34" t="s">
        <v>1494</v>
      </c>
    </row>
    <row r="540" spans="1:18" ht="15" customHeight="1" x14ac:dyDescent="0.25">
      <c r="A540" t="str">
        <f>IFERROR(RANK(B540,$B:$B,1)+COUNTIF($B$1:B539,B540),"")</f>
        <v/>
      </c>
      <c r="B540" t="str">
        <f>IFERROR(SEARCH(#REF!,Table4[[#This Row],[Commodity Title]],1),"")</f>
        <v/>
      </c>
      <c r="C540" s="35">
        <v>42144504</v>
      </c>
      <c r="D540" s="33" t="s">
        <v>1495</v>
      </c>
      <c r="E540" s="33" t="s">
        <v>1496</v>
      </c>
      <c r="F540" s="33" t="s">
        <v>1497</v>
      </c>
      <c r="G540" s="33" t="s">
        <v>1736</v>
      </c>
      <c r="H540" s="33" t="s">
        <v>1737</v>
      </c>
      <c r="I540" s="33" t="s">
        <v>1738</v>
      </c>
      <c r="J540" s="33">
        <v>202531</v>
      </c>
      <c r="K540" s="33" t="s">
        <v>2590</v>
      </c>
      <c r="L540" s="33" t="s">
        <v>2591</v>
      </c>
      <c r="M540" s="33" t="s">
        <v>2592</v>
      </c>
      <c r="N540" s="44">
        <v>42144504</v>
      </c>
      <c r="O540" s="33" t="s">
        <v>2599</v>
      </c>
      <c r="P540" s="33" t="s">
        <v>2600</v>
      </c>
      <c r="Q540" s="34" t="s">
        <v>1494</v>
      </c>
      <c r="R540" s="34" t="s">
        <v>1494</v>
      </c>
    </row>
    <row r="541" spans="1:18" ht="15" customHeight="1" x14ac:dyDescent="0.25">
      <c r="A541" t="str">
        <f>IFERROR(RANK(B541,$B:$B,1)+COUNTIF($B$1:B540,B541),"")</f>
        <v/>
      </c>
      <c r="B541" t="str">
        <f>IFERROR(SEARCH(#REF!,Table4[[#This Row],[Commodity Title]],1),"")</f>
        <v/>
      </c>
      <c r="C541" s="35">
        <v>42144505</v>
      </c>
      <c r="D541" s="33" t="s">
        <v>1495</v>
      </c>
      <c r="E541" s="33" t="s">
        <v>1496</v>
      </c>
      <c r="F541" s="33" t="s">
        <v>1497</v>
      </c>
      <c r="G541" s="33" t="s">
        <v>1736</v>
      </c>
      <c r="H541" s="33" t="s">
        <v>1737</v>
      </c>
      <c r="I541" s="33" t="s">
        <v>1738</v>
      </c>
      <c r="J541" s="33">
        <v>202532</v>
      </c>
      <c r="K541" s="33" t="s">
        <v>2590</v>
      </c>
      <c r="L541" s="33" t="s">
        <v>2591</v>
      </c>
      <c r="M541" s="33" t="s">
        <v>2592</v>
      </c>
      <c r="N541" s="44">
        <v>42144505</v>
      </c>
      <c r="O541" s="33" t="s">
        <v>2601</v>
      </c>
      <c r="P541" s="33" t="s">
        <v>2602</v>
      </c>
      <c r="Q541" s="34" t="s">
        <v>1494</v>
      </c>
      <c r="R541" s="34" t="s">
        <v>1494</v>
      </c>
    </row>
    <row r="542" spans="1:18" ht="15" customHeight="1" x14ac:dyDescent="0.25">
      <c r="A542" t="str">
        <f>IFERROR(RANK(B542,$B:$B,1)+COUNTIF($B$1:B541,B542),"")</f>
        <v/>
      </c>
      <c r="B542" t="str">
        <f>IFERROR(SEARCH(#REF!,Table4[[#This Row],[Commodity Title]],1),"")</f>
        <v/>
      </c>
      <c r="C542" s="35">
        <v>42144506</v>
      </c>
      <c r="D542" s="33" t="s">
        <v>1495</v>
      </c>
      <c r="E542" s="33" t="s">
        <v>1496</v>
      </c>
      <c r="F542" s="33" t="s">
        <v>1497</v>
      </c>
      <c r="G542" s="33" t="s">
        <v>1736</v>
      </c>
      <c r="H542" s="33" t="s">
        <v>1737</v>
      </c>
      <c r="I542" s="33" t="s">
        <v>1738</v>
      </c>
      <c r="J542" s="33">
        <v>202533</v>
      </c>
      <c r="K542" s="33" t="s">
        <v>2590</v>
      </c>
      <c r="L542" s="33" t="s">
        <v>2591</v>
      </c>
      <c r="M542" s="33" t="s">
        <v>2592</v>
      </c>
      <c r="N542" s="44">
        <v>42144506</v>
      </c>
      <c r="O542" s="33" t="s">
        <v>2603</v>
      </c>
      <c r="P542" s="33" t="s">
        <v>2604</v>
      </c>
      <c r="Q542" s="34" t="s">
        <v>1494</v>
      </c>
      <c r="R542" s="34" t="s">
        <v>1494</v>
      </c>
    </row>
    <row r="543" spans="1:18" ht="15" customHeight="1" x14ac:dyDescent="0.25">
      <c r="A543" t="str">
        <f>IFERROR(RANK(B543,$B:$B,1)+COUNTIF($B$1:B542,B543),"")</f>
        <v/>
      </c>
      <c r="B543" t="str">
        <f>IFERROR(SEARCH(#REF!,Table4[[#This Row],[Commodity Title]],1),"")</f>
        <v/>
      </c>
      <c r="C543" s="35">
        <v>42144507</v>
      </c>
      <c r="D543" s="33" t="s">
        <v>1495</v>
      </c>
      <c r="E543" s="33" t="s">
        <v>1496</v>
      </c>
      <c r="F543" s="33" t="s">
        <v>1497</v>
      </c>
      <c r="G543" s="33" t="s">
        <v>1736</v>
      </c>
      <c r="H543" s="33" t="s">
        <v>1737</v>
      </c>
      <c r="I543" s="33" t="s">
        <v>1738</v>
      </c>
      <c r="J543" s="33">
        <v>202534</v>
      </c>
      <c r="K543" s="33" t="s">
        <v>2590</v>
      </c>
      <c r="L543" s="33" t="s">
        <v>2591</v>
      </c>
      <c r="M543" s="33" t="s">
        <v>2592</v>
      </c>
      <c r="N543" s="44">
        <v>42144507</v>
      </c>
      <c r="O543" s="33" t="s">
        <v>2605</v>
      </c>
      <c r="P543" s="33" t="s">
        <v>2606</v>
      </c>
      <c r="Q543" s="34" t="s">
        <v>1494</v>
      </c>
      <c r="R543" s="34" t="s">
        <v>1494</v>
      </c>
    </row>
    <row r="544" spans="1:18" ht="15" customHeight="1" x14ac:dyDescent="0.25">
      <c r="A544" t="str">
        <f>IFERROR(RANK(B544,$B:$B,1)+COUNTIF($B$1:B543,B544),"")</f>
        <v/>
      </c>
      <c r="B544" t="str">
        <f>IFERROR(SEARCH(#REF!,Table4[[#This Row],[Commodity Title]],1),"")</f>
        <v/>
      </c>
      <c r="C544" s="33" t="s">
        <v>1494</v>
      </c>
      <c r="D544" s="33" t="s">
        <v>1495</v>
      </c>
      <c r="E544" s="33" t="s">
        <v>1496</v>
      </c>
      <c r="F544" s="33" t="s">
        <v>1497</v>
      </c>
      <c r="G544" s="33" t="s">
        <v>2607</v>
      </c>
      <c r="H544" s="33" t="s">
        <v>2608</v>
      </c>
      <c r="I544" s="33" t="s">
        <v>2609</v>
      </c>
      <c r="J544" s="33">
        <v>114971</v>
      </c>
      <c r="K544" s="33" t="s">
        <v>1494</v>
      </c>
      <c r="L544" s="33" t="s">
        <v>1494</v>
      </c>
      <c r="M544" s="33" t="s">
        <v>1494</v>
      </c>
      <c r="N544" s="44" t="s">
        <v>1494</v>
      </c>
      <c r="O544" s="33" t="s">
        <v>1494</v>
      </c>
      <c r="P544" s="33" t="s">
        <v>1494</v>
      </c>
      <c r="Q544" s="34" t="s">
        <v>1494</v>
      </c>
      <c r="R544" s="34" t="s">
        <v>1494</v>
      </c>
    </row>
    <row r="545" spans="1:18" ht="15" customHeight="1" x14ac:dyDescent="0.25">
      <c r="A545" t="str">
        <f>IFERROR(RANK(B545,$B:$B,1)+COUNTIF($B$1:B544,B545),"")</f>
        <v/>
      </c>
      <c r="B545" t="str">
        <f>IFERROR(SEARCH(#REF!,Table4[[#This Row],[Commodity Title]],1),"")</f>
        <v/>
      </c>
      <c r="C545" s="33" t="s">
        <v>1494</v>
      </c>
      <c r="D545" s="33" t="s">
        <v>1495</v>
      </c>
      <c r="E545" s="33" t="s">
        <v>1496</v>
      </c>
      <c r="F545" s="33" t="s">
        <v>1497</v>
      </c>
      <c r="G545" s="33" t="s">
        <v>2607</v>
      </c>
      <c r="H545" s="33" t="s">
        <v>2608</v>
      </c>
      <c r="I545" s="33" t="s">
        <v>2609</v>
      </c>
      <c r="J545" s="33">
        <v>114972</v>
      </c>
      <c r="K545" s="33" t="s">
        <v>2610</v>
      </c>
      <c r="L545" s="33" t="s">
        <v>2611</v>
      </c>
      <c r="M545" s="33" t="s">
        <v>2612</v>
      </c>
      <c r="N545" s="44" t="s">
        <v>1494</v>
      </c>
      <c r="O545" s="33" t="s">
        <v>1494</v>
      </c>
      <c r="P545" s="33" t="s">
        <v>1494</v>
      </c>
      <c r="Q545" s="34" t="s">
        <v>1494</v>
      </c>
      <c r="R545" s="34" t="s">
        <v>1494</v>
      </c>
    </row>
    <row r="546" spans="1:18" ht="15" customHeight="1" x14ac:dyDescent="0.25">
      <c r="A546" t="str">
        <f>IFERROR(RANK(B546,$B:$B,1)+COUNTIF($B$1:B545,B546),"")</f>
        <v/>
      </c>
      <c r="B546" t="str">
        <f>IFERROR(SEARCH(#REF!,Table4[[#This Row],[Commodity Title]],1),"")</f>
        <v/>
      </c>
      <c r="C546" s="35">
        <v>42151501</v>
      </c>
      <c r="D546" s="33" t="s">
        <v>1495</v>
      </c>
      <c r="E546" s="33" t="s">
        <v>1496</v>
      </c>
      <c r="F546" s="33" t="s">
        <v>1497</v>
      </c>
      <c r="G546" s="33" t="s">
        <v>2607</v>
      </c>
      <c r="H546" s="33" t="s">
        <v>2608</v>
      </c>
      <c r="I546" s="33" t="s">
        <v>2609</v>
      </c>
      <c r="J546" s="33">
        <v>114973</v>
      </c>
      <c r="K546" s="33" t="s">
        <v>2610</v>
      </c>
      <c r="L546" s="33" t="s">
        <v>2611</v>
      </c>
      <c r="M546" s="33" t="s">
        <v>2612</v>
      </c>
      <c r="N546" s="44">
        <v>42151501</v>
      </c>
      <c r="O546" s="33" t="s">
        <v>2613</v>
      </c>
      <c r="P546" s="33" t="s">
        <v>2614</v>
      </c>
      <c r="Q546" s="34" t="s">
        <v>1494</v>
      </c>
      <c r="R546" s="34" t="s">
        <v>1494</v>
      </c>
    </row>
    <row r="547" spans="1:18" ht="15" customHeight="1" x14ac:dyDescent="0.25">
      <c r="A547" t="str">
        <f>IFERROR(RANK(B547,$B:$B,1)+COUNTIF($B$1:B546,B547),"")</f>
        <v/>
      </c>
      <c r="B547" t="str">
        <f>IFERROR(SEARCH(#REF!,Table4[[#This Row],[Commodity Title]],1),"")</f>
        <v/>
      </c>
      <c r="C547" s="35">
        <v>42151502</v>
      </c>
      <c r="D547" s="33" t="s">
        <v>1495</v>
      </c>
      <c r="E547" s="33" t="s">
        <v>1496</v>
      </c>
      <c r="F547" s="33" t="s">
        <v>1497</v>
      </c>
      <c r="G547" s="33" t="s">
        <v>2607</v>
      </c>
      <c r="H547" s="33" t="s">
        <v>2608</v>
      </c>
      <c r="I547" s="33" t="s">
        <v>2609</v>
      </c>
      <c r="J547" s="33">
        <v>114974</v>
      </c>
      <c r="K547" s="33" t="s">
        <v>2610</v>
      </c>
      <c r="L547" s="33" t="s">
        <v>2611</v>
      </c>
      <c r="M547" s="33" t="s">
        <v>2612</v>
      </c>
      <c r="N547" s="44">
        <v>42151502</v>
      </c>
      <c r="O547" s="33" t="s">
        <v>2615</v>
      </c>
      <c r="P547" s="33" t="s">
        <v>2616</v>
      </c>
      <c r="Q547" s="34" t="s">
        <v>1494</v>
      </c>
      <c r="R547" s="34" t="s">
        <v>1494</v>
      </c>
    </row>
    <row r="548" spans="1:18" ht="15" customHeight="1" x14ac:dyDescent="0.25">
      <c r="A548" t="str">
        <f>IFERROR(RANK(B548,$B:$B,1)+COUNTIF($B$1:B547,B548),"")</f>
        <v/>
      </c>
      <c r="B548" t="str">
        <f>IFERROR(SEARCH(#REF!,Table4[[#This Row],[Commodity Title]],1),"")</f>
        <v/>
      </c>
      <c r="C548" s="35">
        <v>42151503</v>
      </c>
      <c r="D548" s="33" t="s">
        <v>1495</v>
      </c>
      <c r="E548" s="33" t="s">
        <v>1496</v>
      </c>
      <c r="F548" s="33" t="s">
        <v>1497</v>
      </c>
      <c r="G548" s="33" t="s">
        <v>2607</v>
      </c>
      <c r="H548" s="33" t="s">
        <v>2608</v>
      </c>
      <c r="I548" s="33" t="s">
        <v>2609</v>
      </c>
      <c r="J548" s="33">
        <v>114975</v>
      </c>
      <c r="K548" s="33" t="s">
        <v>2610</v>
      </c>
      <c r="L548" s="33" t="s">
        <v>2611</v>
      </c>
      <c r="M548" s="33" t="s">
        <v>2612</v>
      </c>
      <c r="N548" s="44">
        <v>42151503</v>
      </c>
      <c r="O548" s="33" t="s">
        <v>2617</v>
      </c>
      <c r="P548" s="33" t="s">
        <v>2618</v>
      </c>
      <c r="Q548" s="34" t="s">
        <v>1494</v>
      </c>
      <c r="R548" s="34" t="s">
        <v>1494</v>
      </c>
    </row>
    <row r="549" spans="1:18" ht="15" customHeight="1" x14ac:dyDescent="0.25">
      <c r="A549" t="str">
        <f>IFERROR(RANK(B549,$B:$B,1)+COUNTIF($B$1:B548,B549),"")</f>
        <v/>
      </c>
      <c r="B549" t="str">
        <f>IFERROR(SEARCH(#REF!,Table4[[#This Row],[Commodity Title]],1),"")</f>
        <v/>
      </c>
      <c r="C549" s="35">
        <v>42151504</v>
      </c>
      <c r="D549" s="33" t="s">
        <v>1495</v>
      </c>
      <c r="E549" s="33" t="s">
        <v>1496</v>
      </c>
      <c r="F549" s="33" t="s">
        <v>1497</v>
      </c>
      <c r="G549" s="33" t="s">
        <v>2607</v>
      </c>
      <c r="H549" s="33" t="s">
        <v>2608</v>
      </c>
      <c r="I549" s="33" t="s">
        <v>2609</v>
      </c>
      <c r="J549" s="33">
        <v>114976</v>
      </c>
      <c r="K549" s="33" t="s">
        <v>2610</v>
      </c>
      <c r="L549" s="33" t="s">
        <v>2611</v>
      </c>
      <c r="M549" s="33" t="s">
        <v>2612</v>
      </c>
      <c r="N549" s="44">
        <v>42151504</v>
      </c>
      <c r="O549" s="33" t="s">
        <v>2619</v>
      </c>
      <c r="P549" s="33" t="s">
        <v>2620</v>
      </c>
      <c r="Q549" s="34" t="s">
        <v>1494</v>
      </c>
      <c r="R549" s="34" t="s">
        <v>1494</v>
      </c>
    </row>
    <row r="550" spans="1:18" ht="15" customHeight="1" x14ac:dyDescent="0.25">
      <c r="A550" t="str">
        <f>IFERROR(RANK(B550,$B:$B,1)+COUNTIF($B$1:B549,B550),"")</f>
        <v/>
      </c>
      <c r="B550" t="str">
        <f>IFERROR(SEARCH(#REF!,Table4[[#This Row],[Commodity Title]],1),"")</f>
        <v/>
      </c>
      <c r="C550" s="35">
        <v>42151505</v>
      </c>
      <c r="D550" s="33" t="s">
        <v>1495</v>
      </c>
      <c r="E550" s="33" t="s">
        <v>1496</v>
      </c>
      <c r="F550" s="33" t="s">
        <v>1497</v>
      </c>
      <c r="G550" s="33" t="s">
        <v>2607</v>
      </c>
      <c r="H550" s="33" t="s">
        <v>2608</v>
      </c>
      <c r="I550" s="33" t="s">
        <v>2609</v>
      </c>
      <c r="J550" s="33">
        <v>114977</v>
      </c>
      <c r="K550" s="33" t="s">
        <v>2610</v>
      </c>
      <c r="L550" s="33" t="s">
        <v>2611</v>
      </c>
      <c r="M550" s="33" t="s">
        <v>2612</v>
      </c>
      <c r="N550" s="44">
        <v>42151505</v>
      </c>
      <c r="O550" s="33" t="s">
        <v>2621</v>
      </c>
      <c r="P550" s="33" t="s">
        <v>2622</v>
      </c>
      <c r="Q550" s="34" t="s">
        <v>1494</v>
      </c>
      <c r="R550" s="34" t="s">
        <v>1494</v>
      </c>
    </row>
    <row r="551" spans="1:18" ht="15" customHeight="1" x14ac:dyDescent="0.25">
      <c r="A551" t="str">
        <f>IFERROR(RANK(B551,$B:$B,1)+COUNTIF($B$1:B550,B551),"")</f>
        <v/>
      </c>
      <c r="B551" t="str">
        <f>IFERROR(SEARCH(#REF!,Table4[[#This Row],[Commodity Title]],1),"")</f>
        <v/>
      </c>
      <c r="C551" s="35">
        <v>42151506</v>
      </c>
      <c r="D551" s="33" t="s">
        <v>1495</v>
      </c>
      <c r="E551" s="33" t="s">
        <v>1496</v>
      </c>
      <c r="F551" s="33" t="s">
        <v>1497</v>
      </c>
      <c r="G551" s="33" t="s">
        <v>2607</v>
      </c>
      <c r="H551" s="33" t="s">
        <v>2608</v>
      </c>
      <c r="I551" s="33" t="s">
        <v>2609</v>
      </c>
      <c r="J551" s="33">
        <v>114978</v>
      </c>
      <c r="K551" s="33" t="s">
        <v>2610</v>
      </c>
      <c r="L551" s="33" t="s">
        <v>2611</v>
      </c>
      <c r="M551" s="33" t="s">
        <v>2612</v>
      </c>
      <c r="N551" s="44">
        <v>42151506</v>
      </c>
      <c r="O551" s="33" t="s">
        <v>2623</v>
      </c>
      <c r="P551" s="33" t="s">
        <v>2624</v>
      </c>
      <c r="Q551" s="34" t="s">
        <v>1494</v>
      </c>
      <c r="R551" s="34" t="s">
        <v>1494</v>
      </c>
    </row>
    <row r="552" spans="1:18" ht="15" customHeight="1" x14ac:dyDescent="0.25">
      <c r="A552" t="str">
        <f>IFERROR(RANK(B552,$B:$B,1)+COUNTIF($B$1:B551,B552),"")</f>
        <v/>
      </c>
      <c r="B552" t="str">
        <f>IFERROR(SEARCH(#REF!,Table4[[#This Row],[Commodity Title]],1),"")</f>
        <v/>
      </c>
      <c r="C552" s="35">
        <v>42151507</v>
      </c>
      <c r="D552" s="33" t="s">
        <v>1495</v>
      </c>
      <c r="E552" s="33" t="s">
        <v>1496</v>
      </c>
      <c r="F552" s="33" t="s">
        <v>1497</v>
      </c>
      <c r="G552" s="33" t="s">
        <v>2607</v>
      </c>
      <c r="H552" s="33" t="s">
        <v>2608</v>
      </c>
      <c r="I552" s="33" t="s">
        <v>2609</v>
      </c>
      <c r="J552" s="33">
        <v>142336</v>
      </c>
      <c r="K552" s="33" t="s">
        <v>2610</v>
      </c>
      <c r="L552" s="33" t="s">
        <v>2611</v>
      </c>
      <c r="M552" s="33" t="s">
        <v>2612</v>
      </c>
      <c r="N552" s="44">
        <v>42151507</v>
      </c>
      <c r="O552" s="33" t="s">
        <v>2625</v>
      </c>
      <c r="P552" s="33" t="s">
        <v>2626</v>
      </c>
      <c r="Q552" s="34" t="s">
        <v>1494</v>
      </c>
      <c r="R552" s="34" t="s">
        <v>1494</v>
      </c>
    </row>
    <row r="553" spans="1:18" ht="15" customHeight="1" x14ac:dyDescent="0.25">
      <c r="A553" t="str">
        <f>IFERROR(RANK(B553,$B:$B,1)+COUNTIF($B$1:B552,B553),"")</f>
        <v/>
      </c>
      <c r="B553" t="str">
        <f>IFERROR(SEARCH(#REF!,Table4[[#This Row],[Commodity Title]],1),"")</f>
        <v/>
      </c>
      <c r="C553" s="35">
        <v>42151508</v>
      </c>
      <c r="D553" s="33" t="s">
        <v>1495</v>
      </c>
      <c r="E553" s="33" t="s">
        <v>1496</v>
      </c>
      <c r="F553" s="33" t="s">
        <v>1497</v>
      </c>
      <c r="G553" s="33" t="s">
        <v>2607</v>
      </c>
      <c r="H553" s="33" t="s">
        <v>2608</v>
      </c>
      <c r="I553" s="33" t="s">
        <v>2609</v>
      </c>
      <c r="J553" s="33">
        <v>202535</v>
      </c>
      <c r="K553" s="33" t="s">
        <v>2610</v>
      </c>
      <c r="L553" s="33" t="s">
        <v>2611</v>
      </c>
      <c r="M553" s="33" t="s">
        <v>2612</v>
      </c>
      <c r="N553" s="44">
        <v>42151508</v>
      </c>
      <c r="O553" s="33" t="s">
        <v>2627</v>
      </c>
      <c r="P553" s="33" t="s">
        <v>2628</v>
      </c>
      <c r="Q553" s="34" t="s">
        <v>1494</v>
      </c>
      <c r="R553" s="34" t="s">
        <v>1494</v>
      </c>
    </row>
    <row r="554" spans="1:18" ht="15" customHeight="1" x14ac:dyDescent="0.25">
      <c r="A554" t="str">
        <f>IFERROR(RANK(B554,$B:$B,1)+COUNTIF($B$1:B553,B554),"")</f>
        <v/>
      </c>
      <c r="B554" t="str">
        <f>IFERROR(SEARCH(#REF!,Table4[[#This Row],[Commodity Title]],1),"")</f>
        <v/>
      </c>
      <c r="C554" s="35">
        <v>42151509</v>
      </c>
      <c r="D554" s="33" t="s">
        <v>1495</v>
      </c>
      <c r="E554" s="33" t="s">
        <v>1496</v>
      </c>
      <c r="F554" s="33" t="s">
        <v>1497</v>
      </c>
      <c r="G554" s="33" t="s">
        <v>2607</v>
      </c>
      <c r="H554" s="33" t="s">
        <v>2608</v>
      </c>
      <c r="I554" s="33" t="s">
        <v>2609</v>
      </c>
      <c r="J554" s="33">
        <v>202536</v>
      </c>
      <c r="K554" s="33" t="s">
        <v>2610</v>
      </c>
      <c r="L554" s="33" t="s">
        <v>2611</v>
      </c>
      <c r="M554" s="33" t="s">
        <v>2612</v>
      </c>
      <c r="N554" s="44">
        <v>42151509</v>
      </c>
      <c r="O554" s="33" t="s">
        <v>2629</v>
      </c>
      <c r="P554" s="33" t="s">
        <v>2630</v>
      </c>
      <c r="Q554" s="34" t="s">
        <v>1494</v>
      </c>
      <c r="R554" s="34" t="s">
        <v>1494</v>
      </c>
    </row>
    <row r="555" spans="1:18" ht="15" customHeight="1" x14ac:dyDescent="0.25">
      <c r="A555" t="str">
        <f>IFERROR(RANK(B555,$B:$B,1)+COUNTIF($B$1:B554,B555),"")</f>
        <v/>
      </c>
      <c r="B555" t="str">
        <f>IFERROR(SEARCH(#REF!,Table4[[#This Row],[Commodity Title]],1),"")</f>
        <v/>
      </c>
      <c r="C555" s="35">
        <v>42151510</v>
      </c>
      <c r="D555" s="33" t="s">
        <v>1495</v>
      </c>
      <c r="E555" s="33" t="s">
        <v>1496</v>
      </c>
      <c r="F555" s="33" t="s">
        <v>1497</v>
      </c>
      <c r="G555" s="33" t="s">
        <v>2607</v>
      </c>
      <c r="H555" s="33" t="s">
        <v>2608</v>
      </c>
      <c r="I555" s="33" t="s">
        <v>2609</v>
      </c>
      <c r="J555" s="33">
        <v>202537</v>
      </c>
      <c r="K555" s="33" t="s">
        <v>2610</v>
      </c>
      <c r="L555" s="33" t="s">
        <v>2611</v>
      </c>
      <c r="M555" s="33" t="s">
        <v>2612</v>
      </c>
      <c r="N555" s="44">
        <v>42151510</v>
      </c>
      <c r="O555" s="33" t="s">
        <v>2631</v>
      </c>
      <c r="P555" s="33" t="s">
        <v>2632</v>
      </c>
      <c r="Q555" s="34" t="s">
        <v>1494</v>
      </c>
      <c r="R555" s="34" t="s">
        <v>1494</v>
      </c>
    </row>
    <row r="556" spans="1:18" ht="15" customHeight="1" x14ac:dyDescent="0.25">
      <c r="A556" t="str">
        <f>IFERROR(RANK(B556,$B:$B,1)+COUNTIF($B$1:B555,B556),"")</f>
        <v/>
      </c>
      <c r="B556" t="str">
        <f>IFERROR(SEARCH(#REF!,Table4[[#This Row],[Commodity Title]],1),"")</f>
        <v/>
      </c>
      <c r="C556" s="35">
        <v>42151511</v>
      </c>
      <c r="D556" s="33" t="s">
        <v>1495</v>
      </c>
      <c r="E556" s="33" t="s">
        <v>1496</v>
      </c>
      <c r="F556" s="33" t="s">
        <v>1497</v>
      </c>
      <c r="G556" s="33" t="s">
        <v>2607</v>
      </c>
      <c r="H556" s="33" t="s">
        <v>2608</v>
      </c>
      <c r="I556" s="33" t="s">
        <v>2609</v>
      </c>
      <c r="J556" s="33">
        <v>202538</v>
      </c>
      <c r="K556" s="33" t="s">
        <v>2610</v>
      </c>
      <c r="L556" s="33" t="s">
        <v>2611</v>
      </c>
      <c r="M556" s="33" t="s">
        <v>2612</v>
      </c>
      <c r="N556" s="44">
        <v>42151511</v>
      </c>
      <c r="O556" s="33" t="s">
        <v>2633</v>
      </c>
      <c r="P556" s="33" t="s">
        <v>2634</v>
      </c>
      <c r="Q556" s="34" t="s">
        <v>1494</v>
      </c>
      <c r="R556" s="34" t="s">
        <v>1494</v>
      </c>
    </row>
    <row r="557" spans="1:18" ht="15" customHeight="1" x14ac:dyDescent="0.25">
      <c r="A557" t="str">
        <f>IFERROR(RANK(B557,$B:$B,1)+COUNTIF($B$1:B556,B557),"")</f>
        <v/>
      </c>
      <c r="B557" t="str">
        <f>IFERROR(SEARCH(#REF!,Table4[[#This Row],[Commodity Title]],1),"")</f>
        <v/>
      </c>
      <c r="C557" s="35">
        <v>42151512</v>
      </c>
      <c r="D557" s="33" t="s">
        <v>1495</v>
      </c>
      <c r="E557" s="33" t="s">
        <v>1496</v>
      </c>
      <c r="F557" s="33" t="s">
        <v>1497</v>
      </c>
      <c r="G557" s="33" t="s">
        <v>2607</v>
      </c>
      <c r="H557" s="33" t="s">
        <v>2608</v>
      </c>
      <c r="I557" s="33" t="s">
        <v>2609</v>
      </c>
      <c r="J557" s="33">
        <v>202539</v>
      </c>
      <c r="K557" s="33" t="s">
        <v>2610</v>
      </c>
      <c r="L557" s="33" t="s">
        <v>2611</v>
      </c>
      <c r="M557" s="33" t="s">
        <v>2612</v>
      </c>
      <c r="N557" s="44">
        <v>42151512</v>
      </c>
      <c r="O557" s="33" t="s">
        <v>2635</v>
      </c>
      <c r="P557" s="33" t="s">
        <v>2636</v>
      </c>
      <c r="Q557" s="34" t="s">
        <v>1494</v>
      </c>
      <c r="R557" s="34" t="s">
        <v>1494</v>
      </c>
    </row>
    <row r="558" spans="1:18" ht="15" customHeight="1" x14ac:dyDescent="0.25">
      <c r="A558" t="str">
        <f>IFERROR(RANK(B558,$B:$B,1)+COUNTIF($B$1:B557,B558),"")</f>
        <v/>
      </c>
      <c r="B558" t="str">
        <f>IFERROR(SEARCH(#REF!,Table4[[#This Row],[Commodity Title]],1),"")</f>
        <v/>
      </c>
      <c r="C558" s="33" t="s">
        <v>1494</v>
      </c>
      <c r="D558" s="33" t="s">
        <v>1495</v>
      </c>
      <c r="E558" s="33" t="s">
        <v>1496</v>
      </c>
      <c r="F558" s="33" t="s">
        <v>1497</v>
      </c>
      <c r="G558" s="33" t="s">
        <v>2607</v>
      </c>
      <c r="H558" s="33" t="s">
        <v>2608</v>
      </c>
      <c r="I558" s="33" t="s">
        <v>2609</v>
      </c>
      <c r="J558" s="33">
        <v>104528</v>
      </c>
      <c r="K558" s="33" t="s">
        <v>2637</v>
      </c>
      <c r="L558" s="33" t="s">
        <v>2638</v>
      </c>
      <c r="M558" s="33" t="s">
        <v>2639</v>
      </c>
      <c r="N558" s="44" t="s">
        <v>1494</v>
      </c>
      <c r="O558" s="33" t="s">
        <v>1494</v>
      </c>
      <c r="P558" s="33" t="s">
        <v>1494</v>
      </c>
      <c r="Q558" s="34" t="s">
        <v>1494</v>
      </c>
      <c r="R558" s="34" t="s">
        <v>1494</v>
      </c>
    </row>
    <row r="559" spans="1:18" ht="15" customHeight="1" x14ac:dyDescent="0.25">
      <c r="A559" t="str">
        <f>IFERROR(RANK(B559,$B:$B,1)+COUNTIF($B$1:B558,B559),"")</f>
        <v/>
      </c>
      <c r="B559" t="str">
        <f>IFERROR(SEARCH(#REF!,Table4[[#This Row],[Commodity Title]],1),"")</f>
        <v/>
      </c>
      <c r="C559" s="35">
        <v>42151603</v>
      </c>
      <c r="D559" s="33" t="s">
        <v>1495</v>
      </c>
      <c r="E559" s="33" t="s">
        <v>1496</v>
      </c>
      <c r="F559" s="33" t="s">
        <v>1497</v>
      </c>
      <c r="G559" s="33" t="s">
        <v>2607</v>
      </c>
      <c r="H559" s="33" t="s">
        <v>2608</v>
      </c>
      <c r="I559" s="33" t="s">
        <v>2609</v>
      </c>
      <c r="J559" s="33">
        <v>114982</v>
      </c>
      <c r="K559" s="33" t="s">
        <v>2637</v>
      </c>
      <c r="L559" s="33" t="s">
        <v>2638</v>
      </c>
      <c r="M559" s="33" t="s">
        <v>2639</v>
      </c>
      <c r="N559" s="44">
        <v>42151603</v>
      </c>
      <c r="O559" s="33" t="s">
        <v>2640</v>
      </c>
      <c r="P559" s="33" t="s">
        <v>2641</v>
      </c>
      <c r="Q559" s="34" t="s">
        <v>1494</v>
      </c>
      <c r="R559" s="34" t="s">
        <v>1494</v>
      </c>
    </row>
    <row r="560" spans="1:18" ht="15" customHeight="1" x14ac:dyDescent="0.25">
      <c r="A560" t="str">
        <f>IFERROR(RANK(B560,$B:$B,1)+COUNTIF($B$1:B559,B560),"")</f>
        <v/>
      </c>
      <c r="B560" t="str">
        <f>IFERROR(SEARCH(#REF!,Table4[[#This Row],[Commodity Title]],1),"")</f>
        <v/>
      </c>
      <c r="C560" s="35">
        <v>42151604</v>
      </c>
      <c r="D560" s="33" t="s">
        <v>1495</v>
      </c>
      <c r="E560" s="33" t="s">
        <v>1496</v>
      </c>
      <c r="F560" s="33" t="s">
        <v>1497</v>
      </c>
      <c r="G560" s="33" t="s">
        <v>2607</v>
      </c>
      <c r="H560" s="33" t="s">
        <v>2608</v>
      </c>
      <c r="I560" s="33" t="s">
        <v>2609</v>
      </c>
      <c r="J560" s="33">
        <v>114983</v>
      </c>
      <c r="K560" s="33" t="s">
        <v>2637</v>
      </c>
      <c r="L560" s="33" t="s">
        <v>2638</v>
      </c>
      <c r="M560" s="33" t="s">
        <v>2639</v>
      </c>
      <c r="N560" s="44">
        <v>42151604</v>
      </c>
      <c r="O560" s="33" t="s">
        <v>2642</v>
      </c>
      <c r="P560" s="33" t="s">
        <v>2643</v>
      </c>
      <c r="Q560" s="34" t="s">
        <v>1494</v>
      </c>
      <c r="R560" s="34" t="s">
        <v>1494</v>
      </c>
    </row>
    <row r="561" spans="1:18" ht="15" customHeight="1" x14ac:dyDescent="0.25">
      <c r="A561" t="str">
        <f>IFERROR(RANK(B561,$B:$B,1)+COUNTIF($B$1:B560,B561),"")</f>
        <v/>
      </c>
      <c r="B561" t="str">
        <f>IFERROR(SEARCH(#REF!,Table4[[#This Row],[Commodity Title]],1),"")</f>
        <v/>
      </c>
      <c r="C561" s="35">
        <v>42151605</v>
      </c>
      <c r="D561" s="33" t="s">
        <v>1495</v>
      </c>
      <c r="E561" s="33" t="s">
        <v>1496</v>
      </c>
      <c r="F561" s="33" t="s">
        <v>1497</v>
      </c>
      <c r="G561" s="33" t="s">
        <v>2607</v>
      </c>
      <c r="H561" s="33" t="s">
        <v>2608</v>
      </c>
      <c r="I561" s="33" t="s">
        <v>2609</v>
      </c>
      <c r="J561" s="33">
        <v>114984</v>
      </c>
      <c r="K561" s="33" t="s">
        <v>2637</v>
      </c>
      <c r="L561" s="33" t="s">
        <v>2638</v>
      </c>
      <c r="M561" s="33" t="s">
        <v>2639</v>
      </c>
      <c r="N561" s="44">
        <v>42151605</v>
      </c>
      <c r="O561" s="33" t="s">
        <v>2644</v>
      </c>
      <c r="P561" s="33" t="s">
        <v>2645</v>
      </c>
      <c r="Q561" s="34" t="s">
        <v>1494</v>
      </c>
      <c r="R561" s="34" t="s">
        <v>1494</v>
      </c>
    </row>
    <row r="562" spans="1:18" ht="15" customHeight="1" x14ac:dyDescent="0.25">
      <c r="A562" t="str">
        <f>IFERROR(RANK(B562,$B:$B,1)+COUNTIF($B$1:B561,B562),"")</f>
        <v/>
      </c>
      <c r="B562" t="str">
        <f>IFERROR(SEARCH(#REF!,Table4[[#This Row],[Commodity Title]],1),"")</f>
        <v/>
      </c>
      <c r="C562" s="35">
        <v>42151606</v>
      </c>
      <c r="D562" s="33" t="s">
        <v>1495</v>
      </c>
      <c r="E562" s="33" t="s">
        <v>1496</v>
      </c>
      <c r="F562" s="33" t="s">
        <v>1497</v>
      </c>
      <c r="G562" s="33" t="s">
        <v>2607</v>
      </c>
      <c r="H562" s="33" t="s">
        <v>2608</v>
      </c>
      <c r="I562" s="33" t="s">
        <v>2609</v>
      </c>
      <c r="J562" s="33">
        <v>114985</v>
      </c>
      <c r="K562" s="33" t="s">
        <v>2637</v>
      </c>
      <c r="L562" s="33" t="s">
        <v>2638</v>
      </c>
      <c r="M562" s="33" t="s">
        <v>2639</v>
      </c>
      <c r="N562" s="44">
        <v>42151606</v>
      </c>
      <c r="O562" s="33" t="s">
        <v>2646</v>
      </c>
      <c r="P562" s="33" t="s">
        <v>2647</v>
      </c>
      <c r="Q562" s="34" t="s">
        <v>1494</v>
      </c>
      <c r="R562" s="34" t="s">
        <v>1494</v>
      </c>
    </row>
    <row r="563" spans="1:18" ht="15" customHeight="1" x14ac:dyDescent="0.25">
      <c r="A563" t="str">
        <f>IFERROR(RANK(B563,$B:$B,1)+COUNTIF($B$1:B562,B563),"")</f>
        <v/>
      </c>
      <c r="B563" t="str">
        <f>IFERROR(SEARCH(#REF!,Table4[[#This Row],[Commodity Title]],1),"")</f>
        <v/>
      </c>
      <c r="C563" s="35">
        <v>42151610</v>
      </c>
      <c r="D563" s="33" t="s">
        <v>1495</v>
      </c>
      <c r="E563" s="33" t="s">
        <v>1496</v>
      </c>
      <c r="F563" s="33" t="s">
        <v>1497</v>
      </c>
      <c r="G563" s="33" t="s">
        <v>2607</v>
      </c>
      <c r="H563" s="33" t="s">
        <v>2608</v>
      </c>
      <c r="I563" s="33" t="s">
        <v>2609</v>
      </c>
      <c r="J563" s="33">
        <v>114989</v>
      </c>
      <c r="K563" s="33" t="s">
        <v>2637</v>
      </c>
      <c r="L563" s="33" t="s">
        <v>2638</v>
      </c>
      <c r="M563" s="33" t="s">
        <v>2639</v>
      </c>
      <c r="N563" s="44">
        <v>42151610</v>
      </c>
      <c r="O563" s="33" t="s">
        <v>2648</v>
      </c>
      <c r="P563" s="33" t="s">
        <v>2649</v>
      </c>
      <c r="Q563" s="34" t="s">
        <v>1494</v>
      </c>
      <c r="R563" s="34" t="s">
        <v>1494</v>
      </c>
    </row>
    <row r="564" spans="1:18" ht="15" customHeight="1" x14ac:dyDescent="0.25">
      <c r="A564" t="str">
        <f>IFERROR(RANK(B564,$B:$B,1)+COUNTIF($B$1:B563,B564),"")</f>
        <v/>
      </c>
      <c r="B564" t="str">
        <f>IFERROR(SEARCH(#REF!,Table4[[#This Row],[Commodity Title]],1),"")</f>
        <v/>
      </c>
      <c r="C564" s="35">
        <v>42151611</v>
      </c>
      <c r="D564" s="33" t="s">
        <v>1495</v>
      </c>
      <c r="E564" s="33" t="s">
        <v>1496</v>
      </c>
      <c r="F564" s="33" t="s">
        <v>1497</v>
      </c>
      <c r="G564" s="33" t="s">
        <v>2607</v>
      </c>
      <c r="H564" s="33" t="s">
        <v>2608</v>
      </c>
      <c r="I564" s="33" t="s">
        <v>2609</v>
      </c>
      <c r="J564" s="33">
        <v>114990</v>
      </c>
      <c r="K564" s="33" t="s">
        <v>2637</v>
      </c>
      <c r="L564" s="33" t="s">
        <v>2638</v>
      </c>
      <c r="M564" s="33" t="s">
        <v>2639</v>
      </c>
      <c r="N564" s="44">
        <v>42151611</v>
      </c>
      <c r="O564" s="33" t="s">
        <v>2650</v>
      </c>
      <c r="P564" s="33" t="s">
        <v>2651</v>
      </c>
      <c r="Q564" s="34" t="s">
        <v>1494</v>
      </c>
      <c r="R564" s="34" t="s">
        <v>1494</v>
      </c>
    </row>
    <row r="565" spans="1:18" ht="15" customHeight="1" x14ac:dyDescent="0.25">
      <c r="A565" t="str">
        <f>IFERROR(RANK(B565,$B:$B,1)+COUNTIF($B$1:B564,B565),"")</f>
        <v/>
      </c>
      <c r="B565" t="str">
        <f>IFERROR(SEARCH(#REF!,Table4[[#This Row],[Commodity Title]],1),"")</f>
        <v/>
      </c>
      <c r="C565" s="35">
        <v>42151612</v>
      </c>
      <c r="D565" s="33" t="s">
        <v>1495</v>
      </c>
      <c r="E565" s="33" t="s">
        <v>1496</v>
      </c>
      <c r="F565" s="33" t="s">
        <v>1497</v>
      </c>
      <c r="G565" s="33" t="s">
        <v>2607</v>
      </c>
      <c r="H565" s="33" t="s">
        <v>2608</v>
      </c>
      <c r="I565" s="33" t="s">
        <v>2609</v>
      </c>
      <c r="J565" s="33">
        <v>114991</v>
      </c>
      <c r="K565" s="33" t="s">
        <v>2637</v>
      </c>
      <c r="L565" s="33" t="s">
        <v>2638</v>
      </c>
      <c r="M565" s="33" t="s">
        <v>2639</v>
      </c>
      <c r="N565" s="44">
        <v>42151612</v>
      </c>
      <c r="O565" s="33" t="s">
        <v>2652</v>
      </c>
      <c r="P565" s="33" t="s">
        <v>2653</v>
      </c>
      <c r="Q565" s="34" t="s">
        <v>1494</v>
      </c>
      <c r="R565" s="34" t="s">
        <v>1494</v>
      </c>
    </row>
    <row r="566" spans="1:18" ht="15" customHeight="1" x14ac:dyDescent="0.25">
      <c r="A566" t="str">
        <f>IFERROR(RANK(B566,$B:$B,1)+COUNTIF($B$1:B565,B566),"")</f>
        <v/>
      </c>
      <c r="B566" t="str">
        <f>IFERROR(SEARCH(#REF!,Table4[[#This Row],[Commodity Title]],1),"")</f>
        <v/>
      </c>
      <c r="C566" s="35">
        <v>42151613</v>
      </c>
      <c r="D566" s="33" t="s">
        <v>1495</v>
      </c>
      <c r="E566" s="33" t="s">
        <v>1496</v>
      </c>
      <c r="F566" s="33" t="s">
        <v>1497</v>
      </c>
      <c r="G566" s="33" t="s">
        <v>2607</v>
      </c>
      <c r="H566" s="33" t="s">
        <v>2608</v>
      </c>
      <c r="I566" s="33" t="s">
        <v>2609</v>
      </c>
      <c r="J566" s="33">
        <v>114992</v>
      </c>
      <c r="K566" s="33" t="s">
        <v>2637</v>
      </c>
      <c r="L566" s="33" t="s">
        <v>2638</v>
      </c>
      <c r="M566" s="33" t="s">
        <v>2639</v>
      </c>
      <c r="N566" s="44">
        <v>42151613</v>
      </c>
      <c r="O566" s="33" t="s">
        <v>2654</v>
      </c>
      <c r="P566" s="33" t="s">
        <v>2655</v>
      </c>
      <c r="Q566" s="34" t="s">
        <v>1494</v>
      </c>
      <c r="R566" s="34" t="s">
        <v>1494</v>
      </c>
    </row>
    <row r="567" spans="1:18" ht="15" customHeight="1" x14ac:dyDescent="0.25">
      <c r="A567" t="str">
        <f>IFERROR(RANK(B567,$B:$B,1)+COUNTIF($B$1:B566,B567),"")</f>
        <v/>
      </c>
      <c r="B567" t="str">
        <f>IFERROR(SEARCH(#REF!,Table4[[#This Row],[Commodity Title]],1),"")</f>
        <v/>
      </c>
      <c r="C567" s="35">
        <v>42151614</v>
      </c>
      <c r="D567" s="33" t="s">
        <v>1495</v>
      </c>
      <c r="E567" s="33" t="s">
        <v>1496</v>
      </c>
      <c r="F567" s="33" t="s">
        <v>1497</v>
      </c>
      <c r="G567" s="33" t="s">
        <v>2607</v>
      </c>
      <c r="H567" s="33" t="s">
        <v>2608</v>
      </c>
      <c r="I567" s="33" t="s">
        <v>2609</v>
      </c>
      <c r="J567" s="33">
        <v>114993</v>
      </c>
      <c r="K567" s="33" t="s">
        <v>2637</v>
      </c>
      <c r="L567" s="33" t="s">
        <v>2638</v>
      </c>
      <c r="M567" s="33" t="s">
        <v>2639</v>
      </c>
      <c r="N567" s="44">
        <v>42151614</v>
      </c>
      <c r="O567" s="33" t="s">
        <v>2656</v>
      </c>
      <c r="P567" s="33" t="s">
        <v>2657</v>
      </c>
      <c r="Q567" s="34" t="s">
        <v>1494</v>
      </c>
      <c r="R567" s="34" t="s">
        <v>1494</v>
      </c>
    </row>
    <row r="568" spans="1:18" ht="15" customHeight="1" x14ac:dyDescent="0.25">
      <c r="A568" t="str">
        <f>IFERROR(RANK(B568,$B:$B,1)+COUNTIF($B$1:B567,B568),"")</f>
        <v/>
      </c>
      <c r="B568" t="str">
        <f>IFERROR(SEARCH(#REF!,Table4[[#This Row],[Commodity Title]],1),"")</f>
        <v/>
      </c>
      <c r="C568" s="35">
        <v>42151615</v>
      </c>
      <c r="D568" s="33" t="s">
        <v>1495</v>
      </c>
      <c r="E568" s="33" t="s">
        <v>1496</v>
      </c>
      <c r="F568" s="33" t="s">
        <v>1497</v>
      </c>
      <c r="G568" s="33" t="s">
        <v>2607</v>
      </c>
      <c r="H568" s="33" t="s">
        <v>2608</v>
      </c>
      <c r="I568" s="33" t="s">
        <v>2609</v>
      </c>
      <c r="J568" s="33">
        <v>104533</v>
      </c>
      <c r="K568" s="33" t="s">
        <v>2637</v>
      </c>
      <c r="L568" s="33" t="s">
        <v>2638</v>
      </c>
      <c r="M568" s="33" t="s">
        <v>2639</v>
      </c>
      <c r="N568" s="44">
        <v>42151615</v>
      </c>
      <c r="O568" s="33" t="s">
        <v>2658</v>
      </c>
      <c r="P568" s="33" t="s">
        <v>2659</v>
      </c>
      <c r="Q568" s="34" t="s">
        <v>1494</v>
      </c>
      <c r="R568" s="34" t="s">
        <v>1494</v>
      </c>
    </row>
    <row r="569" spans="1:18" ht="15" customHeight="1" x14ac:dyDescent="0.25">
      <c r="A569" t="str">
        <f>IFERROR(RANK(B569,$B:$B,1)+COUNTIF($B$1:B568,B569),"")</f>
        <v/>
      </c>
      <c r="B569" t="str">
        <f>IFERROR(SEARCH(#REF!,Table4[[#This Row],[Commodity Title]],1),"")</f>
        <v/>
      </c>
      <c r="C569" s="35">
        <v>42151616</v>
      </c>
      <c r="D569" s="33" t="s">
        <v>1495</v>
      </c>
      <c r="E569" s="33" t="s">
        <v>1496</v>
      </c>
      <c r="F569" s="33" t="s">
        <v>1497</v>
      </c>
      <c r="G569" s="33" t="s">
        <v>2607</v>
      </c>
      <c r="H569" s="33" t="s">
        <v>2608</v>
      </c>
      <c r="I569" s="33" t="s">
        <v>2609</v>
      </c>
      <c r="J569" s="33">
        <v>114995</v>
      </c>
      <c r="K569" s="33" t="s">
        <v>2637</v>
      </c>
      <c r="L569" s="33" t="s">
        <v>2638</v>
      </c>
      <c r="M569" s="33" t="s">
        <v>2639</v>
      </c>
      <c r="N569" s="44">
        <v>42151616</v>
      </c>
      <c r="O569" s="33" t="s">
        <v>2660</v>
      </c>
      <c r="P569" s="33" t="s">
        <v>2661</v>
      </c>
      <c r="Q569" s="34" t="s">
        <v>1494</v>
      </c>
      <c r="R569" s="34" t="s">
        <v>1494</v>
      </c>
    </row>
    <row r="570" spans="1:18" ht="15" customHeight="1" x14ac:dyDescent="0.25">
      <c r="A570" t="str">
        <f>IFERROR(RANK(B570,$B:$B,1)+COUNTIF($B$1:B569,B570),"")</f>
        <v/>
      </c>
      <c r="B570" t="str">
        <f>IFERROR(SEARCH(#REF!,Table4[[#This Row],[Commodity Title]],1),"")</f>
        <v/>
      </c>
      <c r="C570" s="35">
        <v>42151617</v>
      </c>
      <c r="D570" s="33" t="s">
        <v>1495</v>
      </c>
      <c r="E570" s="33" t="s">
        <v>1496</v>
      </c>
      <c r="F570" s="33" t="s">
        <v>1497</v>
      </c>
      <c r="G570" s="33" t="s">
        <v>2607</v>
      </c>
      <c r="H570" s="33" t="s">
        <v>2608</v>
      </c>
      <c r="I570" s="33" t="s">
        <v>2609</v>
      </c>
      <c r="J570" s="33">
        <v>114996</v>
      </c>
      <c r="K570" s="33" t="s">
        <v>2637</v>
      </c>
      <c r="L570" s="33" t="s">
        <v>2638</v>
      </c>
      <c r="M570" s="33" t="s">
        <v>2639</v>
      </c>
      <c r="N570" s="44">
        <v>42151617</v>
      </c>
      <c r="O570" s="33" t="s">
        <v>2662</v>
      </c>
      <c r="P570" s="33" t="s">
        <v>2663</v>
      </c>
      <c r="Q570" s="34" t="s">
        <v>1494</v>
      </c>
      <c r="R570" s="34" t="s">
        <v>1494</v>
      </c>
    </row>
    <row r="571" spans="1:18" ht="15" customHeight="1" x14ac:dyDescent="0.25">
      <c r="A571" t="str">
        <f>IFERROR(RANK(B571,$B:$B,1)+COUNTIF($B$1:B570,B571),"")</f>
        <v/>
      </c>
      <c r="B571" t="str">
        <f>IFERROR(SEARCH(#REF!,Table4[[#This Row],[Commodity Title]],1),"")</f>
        <v/>
      </c>
      <c r="C571" s="35">
        <v>42151618</v>
      </c>
      <c r="D571" s="33" t="s">
        <v>1495</v>
      </c>
      <c r="E571" s="33" t="s">
        <v>1496</v>
      </c>
      <c r="F571" s="33" t="s">
        <v>1497</v>
      </c>
      <c r="G571" s="33" t="s">
        <v>2607</v>
      </c>
      <c r="H571" s="33" t="s">
        <v>2608</v>
      </c>
      <c r="I571" s="33" t="s">
        <v>2609</v>
      </c>
      <c r="J571" s="33">
        <v>104540</v>
      </c>
      <c r="K571" s="33" t="s">
        <v>2637</v>
      </c>
      <c r="L571" s="33" t="s">
        <v>2638</v>
      </c>
      <c r="M571" s="33" t="s">
        <v>2639</v>
      </c>
      <c r="N571" s="44">
        <v>42151618</v>
      </c>
      <c r="O571" s="33" t="s">
        <v>2664</v>
      </c>
      <c r="P571" s="33" t="s">
        <v>2665</v>
      </c>
      <c r="Q571" s="34" t="s">
        <v>1494</v>
      </c>
      <c r="R571" s="34" t="s">
        <v>1494</v>
      </c>
    </row>
    <row r="572" spans="1:18" ht="15" customHeight="1" x14ac:dyDescent="0.25">
      <c r="A572" t="str">
        <f>IFERROR(RANK(B572,$B:$B,1)+COUNTIF($B$1:B571,B572),"")</f>
        <v/>
      </c>
      <c r="B572" t="str">
        <f>IFERROR(SEARCH(#REF!,Table4[[#This Row],[Commodity Title]],1),"")</f>
        <v/>
      </c>
      <c r="C572" s="35">
        <v>42151619</v>
      </c>
      <c r="D572" s="33" t="s">
        <v>1495</v>
      </c>
      <c r="E572" s="33" t="s">
        <v>1496</v>
      </c>
      <c r="F572" s="33" t="s">
        <v>1497</v>
      </c>
      <c r="G572" s="33" t="s">
        <v>2607</v>
      </c>
      <c r="H572" s="33" t="s">
        <v>2608</v>
      </c>
      <c r="I572" s="33" t="s">
        <v>2609</v>
      </c>
      <c r="J572" s="33">
        <v>104541</v>
      </c>
      <c r="K572" s="33" t="s">
        <v>2637</v>
      </c>
      <c r="L572" s="33" t="s">
        <v>2638</v>
      </c>
      <c r="M572" s="33" t="s">
        <v>2639</v>
      </c>
      <c r="N572" s="44">
        <v>42151619</v>
      </c>
      <c r="O572" s="33" t="s">
        <v>2666</v>
      </c>
      <c r="P572" s="33" t="s">
        <v>2667</v>
      </c>
      <c r="Q572" s="34" t="s">
        <v>1494</v>
      </c>
      <c r="R572" s="34" t="s">
        <v>1494</v>
      </c>
    </row>
    <row r="573" spans="1:18" ht="15" customHeight="1" x14ac:dyDescent="0.25">
      <c r="A573" t="str">
        <f>IFERROR(RANK(B573,$B:$B,1)+COUNTIF($B$1:B572,B573),"")</f>
        <v/>
      </c>
      <c r="B573" t="str">
        <f>IFERROR(SEARCH(#REF!,Table4[[#This Row],[Commodity Title]],1),"")</f>
        <v/>
      </c>
      <c r="C573" s="35">
        <v>42151620</v>
      </c>
      <c r="D573" s="33" t="s">
        <v>1495</v>
      </c>
      <c r="E573" s="33" t="s">
        <v>1496</v>
      </c>
      <c r="F573" s="33" t="s">
        <v>1497</v>
      </c>
      <c r="G573" s="33" t="s">
        <v>2607</v>
      </c>
      <c r="H573" s="33" t="s">
        <v>2608</v>
      </c>
      <c r="I573" s="33" t="s">
        <v>2609</v>
      </c>
      <c r="J573" s="33">
        <v>114999</v>
      </c>
      <c r="K573" s="33" t="s">
        <v>2637</v>
      </c>
      <c r="L573" s="33" t="s">
        <v>2638</v>
      </c>
      <c r="M573" s="33" t="s">
        <v>2639</v>
      </c>
      <c r="N573" s="44">
        <v>42151620</v>
      </c>
      <c r="O573" s="33" t="s">
        <v>2668</v>
      </c>
      <c r="P573" s="33" t="s">
        <v>2669</v>
      </c>
      <c r="Q573" s="34" t="s">
        <v>1494</v>
      </c>
      <c r="R573" s="34" t="s">
        <v>1494</v>
      </c>
    </row>
    <row r="574" spans="1:18" ht="15" customHeight="1" x14ac:dyDescent="0.25">
      <c r="A574" t="str">
        <f>IFERROR(RANK(B574,$B:$B,1)+COUNTIF($B$1:B573,B574),"")</f>
        <v/>
      </c>
      <c r="B574" t="str">
        <f>IFERROR(SEARCH(#REF!,Table4[[#This Row],[Commodity Title]],1),"")</f>
        <v/>
      </c>
      <c r="C574" s="35">
        <v>42151621</v>
      </c>
      <c r="D574" s="33" t="s">
        <v>1495</v>
      </c>
      <c r="E574" s="33" t="s">
        <v>1496</v>
      </c>
      <c r="F574" s="33" t="s">
        <v>1497</v>
      </c>
      <c r="G574" s="33" t="s">
        <v>2607</v>
      </c>
      <c r="H574" s="33" t="s">
        <v>2608</v>
      </c>
      <c r="I574" s="33" t="s">
        <v>2609</v>
      </c>
      <c r="J574" s="33">
        <v>115000</v>
      </c>
      <c r="K574" s="33" t="s">
        <v>2637</v>
      </c>
      <c r="L574" s="33" t="s">
        <v>2638</v>
      </c>
      <c r="M574" s="33" t="s">
        <v>2639</v>
      </c>
      <c r="N574" s="44">
        <v>42151621</v>
      </c>
      <c r="O574" s="33" t="s">
        <v>2670</v>
      </c>
      <c r="P574" s="33" t="s">
        <v>2671</v>
      </c>
      <c r="Q574" s="34" t="s">
        <v>1494</v>
      </c>
      <c r="R574" s="34" t="s">
        <v>1494</v>
      </c>
    </row>
    <row r="575" spans="1:18" ht="15" customHeight="1" x14ac:dyDescent="0.25">
      <c r="A575" t="str">
        <f>IFERROR(RANK(B575,$B:$B,1)+COUNTIF($B$1:B574,B575),"")</f>
        <v/>
      </c>
      <c r="B575" t="str">
        <f>IFERROR(SEARCH(#REF!,Table4[[#This Row],[Commodity Title]],1),"")</f>
        <v/>
      </c>
      <c r="C575" s="35">
        <v>42151623</v>
      </c>
      <c r="D575" s="33" t="s">
        <v>1495</v>
      </c>
      <c r="E575" s="33" t="s">
        <v>1496</v>
      </c>
      <c r="F575" s="33" t="s">
        <v>1497</v>
      </c>
      <c r="G575" s="33" t="s">
        <v>2607</v>
      </c>
      <c r="H575" s="33" t="s">
        <v>2608</v>
      </c>
      <c r="I575" s="33" t="s">
        <v>2609</v>
      </c>
      <c r="J575" s="33">
        <v>104545</v>
      </c>
      <c r="K575" s="33" t="s">
        <v>2637</v>
      </c>
      <c r="L575" s="33" t="s">
        <v>2638</v>
      </c>
      <c r="M575" s="33" t="s">
        <v>2639</v>
      </c>
      <c r="N575" s="44">
        <v>42151623</v>
      </c>
      <c r="O575" s="33" t="s">
        <v>2672</v>
      </c>
      <c r="P575" s="33" t="s">
        <v>2673</v>
      </c>
      <c r="Q575" s="34" t="s">
        <v>1494</v>
      </c>
      <c r="R575" s="34" t="s">
        <v>1494</v>
      </c>
    </row>
    <row r="576" spans="1:18" ht="15" customHeight="1" x14ac:dyDescent="0.25">
      <c r="A576" t="str">
        <f>IFERROR(RANK(B576,$B:$B,1)+COUNTIF($B$1:B575,B576),"")</f>
        <v/>
      </c>
      <c r="B576" t="str">
        <f>IFERROR(SEARCH(#REF!,Table4[[#This Row],[Commodity Title]],1),"")</f>
        <v/>
      </c>
      <c r="C576" s="35">
        <v>42151624</v>
      </c>
      <c r="D576" s="33" t="s">
        <v>1495</v>
      </c>
      <c r="E576" s="33" t="s">
        <v>1496</v>
      </c>
      <c r="F576" s="33" t="s">
        <v>1497</v>
      </c>
      <c r="G576" s="33" t="s">
        <v>2607</v>
      </c>
      <c r="H576" s="33" t="s">
        <v>2608</v>
      </c>
      <c r="I576" s="33" t="s">
        <v>2609</v>
      </c>
      <c r="J576" s="33">
        <v>104532</v>
      </c>
      <c r="K576" s="33" t="s">
        <v>2637</v>
      </c>
      <c r="L576" s="33" t="s">
        <v>2638</v>
      </c>
      <c r="M576" s="33" t="s">
        <v>2639</v>
      </c>
      <c r="N576" s="44">
        <v>42151624</v>
      </c>
      <c r="O576" s="33" t="s">
        <v>2674</v>
      </c>
      <c r="P576" s="33" t="s">
        <v>2675</v>
      </c>
      <c r="Q576" s="34" t="s">
        <v>1494</v>
      </c>
      <c r="R576" s="34" t="s">
        <v>1494</v>
      </c>
    </row>
    <row r="577" spans="1:18" ht="15" customHeight="1" x14ac:dyDescent="0.25">
      <c r="A577" t="str">
        <f>IFERROR(RANK(B577,$B:$B,1)+COUNTIF($B$1:B576,B577),"")</f>
        <v/>
      </c>
      <c r="B577" t="str">
        <f>IFERROR(SEARCH(#REF!,Table4[[#This Row],[Commodity Title]],1),"")</f>
        <v/>
      </c>
      <c r="C577" s="35">
        <v>42151625</v>
      </c>
      <c r="D577" s="33" t="s">
        <v>1495</v>
      </c>
      <c r="E577" s="33" t="s">
        <v>1496</v>
      </c>
      <c r="F577" s="33" t="s">
        <v>1497</v>
      </c>
      <c r="G577" s="33" t="s">
        <v>2607</v>
      </c>
      <c r="H577" s="33" t="s">
        <v>2608</v>
      </c>
      <c r="I577" s="33" t="s">
        <v>2609</v>
      </c>
      <c r="J577" s="33">
        <v>115004</v>
      </c>
      <c r="K577" s="33" t="s">
        <v>2637</v>
      </c>
      <c r="L577" s="33" t="s">
        <v>2638</v>
      </c>
      <c r="M577" s="33" t="s">
        <v>2639</v>
      </c>
      <c r="N577" s="44">
        <v>42151625</v>
      </c>
      <c r="O577" s="33" t="s">
        <v>2676</v>
      </c>
      <c r="P577" s="33" t="s">
        <v>2677</v>
      </c>
      <c r="Q577" s="34" t="s">
        <v>1494</v>
      </c>
      <c r="R577" s="34" t="s">
        <v>1494</v>
      </c>
    </row>
    <row r="578" spans="1:18" ht="15" customHeight="1" x14ac:dyDescent="0.25">
      <c r="A578" t="str">
        <f>IFERROR(RANK(B578,$B:$B,1)+COUNTIF($B$1:B577,B578),"")</f>
        <v/>
      </c>
      <c r="B578" t="str">
        <f>IFERROR(SEARCH(#REF!,Table4[[#This Row],[Commodity Title]],1),"")</f>
        <v/>
      </c>
      <c r="C578" s="35">
        <v>42151627</v>
      </c>
      <c r="D578" s="33" t="s">
        <v>1495</v>
      </c>
      <c r="E578" s="33" t="s">
        <v>1496</v>
      </c>
      <c r="F578" s="33" t="s">
        <v>1497</v>
      </c>
      <c r="G578" s="33" t="s">
        <v>2607</v>
      </c>
      <c r="H578" s="33" t="s">
        <v>2608</v>
      </c>
      <c r="I578" s="33" t="s">
        <v>2609</v>
      </c>
      <c r="J578" s="33">
        <v>104546</v>
      </c>
      <c r="K578" s="33" t="s">
        <v>2637</v>
      </c>
      <c r="L578" s="33" t="s">
        <v>2638</v>
      </c>
      <c r="M578" s="33" t="s">
        <v>2639</v>
      </c>
      <c r="N578" s="44">
        <v>42151627</v>
      </c>
      <c r="O578" s="33" t="s">
        <v>2678</v>
      </c>
      <c r="P578" s="33" t="s">
        <v>2679</v>
      </c>
      <c r="Q578" s="34" t="s">
        <v>1494</v>
      </c>
      <c r="R578" s="34" t="s">
        <v>1494</v>
      </c>
    </row>
    <row r="579" spans="1:18" ht="15" customHeight="1" x14ac:dyDescent="0.25">
      <c r="A579" t="str">
        <f>IFERROR(RANK(B579,$B:$B,1)+COUNTIF($B$1:B578,B579),"")</f>
        <v/>
      </c>
      <c r="B579" t="str">
        <f>IFERROR(SEARCH(#REF!,Table4[[#This Row],[Commodity Title]],1),"")</f>
        <v/>
      </c>
      <c r="C579" s="35">
        <v>42151628</v>
      </c>
      <c r="D579" s="33" t="s">
        <v>1495</v>
      </c>
      <c r="E579" s="33" t="s">
        <v>1496</v>
      </c>
      <c r="F579" s="33" t="s">
        <v>1497</v>
      </c>
      <c r="G579" s="33" t="s">
        <v>2607</v>
      </c>
      <c r="H579" s="33" t="s">
        <v>2608</v>
      </c>
      <c r="I579" s="33" t="s">
        <v>2609</v>
      </c>
      <c r="J579" s="33">
        <v>104529</v>
      </c>
      <c r="K579" s="33" t="s">
        <v>2637</v>
      </c>
      <c r="L579" s="33" t="s">
        <v>2638</v>
      </c>
      <c r="M579" s="33" t="s">
        <v>2639</v>
      </c>
      <c r="N579" s="44">
        <v>42151628</v>
      </c>
      <c r="O579" s="33" t="s">
        <v>2680</v>
      </c>
      <c r="P579" s="33" t="s">
        <v>2681</v>
      </c>
      <c r="Q579" s="34" t="s">
        <v>1494</v>
      </c>
      <c r="R579" s="34" t="s">
        <v>1494</v>
      </c>
    </row>
    <row r="580" spans="1:18" ht="15" customHeight="1" x14ac:dyDescent="0.25">
      <c r="A580" t="str">
        <f>IFERROR(RANK(B580,$B:$B,1)+COUNTIF($B$1:B579,B580),"")</f>
        <v/>
      </c>
      <c r="B580" t="str">
        <f>IFERROR(SEARCH(#REF!,Table4[[#This Row],[Commodity Title]],1),"")</f>
        <v/>
      </c>
      <c r="C580" s="35">
        <v>42151629</v>
      </c>
      <c r="D580" s="33" t="s">
        <v>1495</v>
      </c>
      <c r="E580" s="33" t="s">
        <v>1496</v>
      </c>
      <c r="F580" s="33" t="s">
        <v>1497</v>
      </c>
      <c r="G580" s="33" t="s">
        <v>2607</v>
      </c>
      <c r="H580" s="33" t="s">
        <v>2608</v>
      </c>
      <c r="I580" s="33" t="s">
        <v>2609</v>
      </c>
      <c r="J580" s="33">
        <v>115008</v>
      </c>
      <c r="K580" s="33" t="s">
        <v>2637</v>
      </c>
      <c r="L580" s="33" t="s">
        <v>2638</v>
      </c>
      <c r="M580" s="33" t="s">
        <v>2639</v>
      </c>
      <c r="N580" s="44">
        <v>42151629</v>
      </c>
      <c r="O580" s="33" t="s">
        <v>2682</v>
      </c>
      <c r="P580" s="33" t="s">
        <v>2683</v>
      </c>
      <c r="Q580" s="34" t="s">
        <v>1494</v>
      </c>
      <c r="R580" s="34" t="s">
        <v>1494</v>
      </c>
    </row>
    <row r="581" spans="1:18" ht="15" customHeight="1" x14ac:dyDescent="0.25">
      <c r="A581" t="str">
        <f>IFERROR(RANK(B581,$B:$B,1)+COUNTIF($B$1:B580,B581),"")</f>
        <v/>
      </c>
      <c r="B581" t="str">
        <f>IFERROR(SEARCH(#REF!,Table4[[#This Row],[Commodity Title]],1),"")</f>
        <v/>
      </c>
      <c r="C581" s="35">
        <v>42151630</v>
      </c>
      <c r="D581" s="33" t="s">
        <v>1495</v>
      </c>
      <c r="E581" s="33" t="s">
        <v>1496</v>
      </c>
      <c r="F581" s="33" t="s">
        <v>1497</v>
      </c>
      <c r="G581" s="33" t="s">
        <v>2607</v>
      </c>
      <c r="H581" s="33" t="s">
        <v>2608</v>
      </c>
      <c r="I581" s="33" t="s">
        <v>2609</v>
      </c>
      <c r="J581" s="33">
        <v>115009</v>
      </c>
      <c r="K581" s="33" t="s">
        <v>2637</v>
      </c>
      <c r="L581" s="33" t="s">
        <v>2638</v>
      </c>
      <c r="M581" s="33" t="s">
        <v>2639</v>
      </c>
      <c r="N581" s="44">
        <v>42151630</v>
      </c>
      <c r="O581" s="33" t="s">
        <v>2684</v>
      </c>
      <c r="P581" s="33" t="s">
        <v>2685</v>
      </c>
      <c r="Q581" s="34" t="s">
        <v>1494</v>
      </c>
      <c r="R581" s="34" t="s">
        <v>1494</v>
      </c>
    </row>
    <row r="582" spans="1:18" ht="15" customHeight="1" x14ac:dyDescent="0.25">
      <c r="A582" t="str">
        <f>IFERROR(RANK(B582,$B:$B,1)+COUNTIF($B$1:B581,B582),"")</f>
        <v/>
      </c>
      <c r="B582" t="str">
        <f>IFERROR(SEARCH(#REF!,Table4[[#This Row],[Commodity Title]],1),"")</f>
        <v/>
      </c>
      <c r="C582" s="35">
        <v>42151631</v>
      </c>
      <c r="D582" s="33" t="s">
        <v>1495</v>
      </c>
      <c r="E582" s="33" t="s">
        <v>1496</v>
      </c>
      <c r="F582" s="33" t="s">
        <v>1497</v>
      </c>
      <c r="G582" s="33" t="s">
        <v>2607</v>
      </c>
      <c r="H582" s="33" t="s">
        <v>2608</v>
      </c>
      <c r="I582" s="33" t="s">
        <v>2609</v>
      </c>
      <c r="J582" s="33">
        <v>104537</v>
      </c>
      <c r="K582" s="33" t="s">
        <v>2637</v>
      </c>
      <c r="L582" s="33" t="s">
        <v>2638</v>
      </c>
      <c r="M582" s="33" t="s">
        <v>2639</v>
      </c>
      <c r="N582" s="44">
        <v>42151631</v>
      </c>
      <c r="O582" s="33" t="s">
        <v>2686</v>
      </c>
      <c r="P582" s="33" t="s">
        <v>2687</v>
      </c>
      <c r="Q582" s="34" t="s">
        <v>1494</v>
      </c>
      <c r="R582" s="34" t="s">
        <v>1494</v>
      </c>
    </row>
    <row r="583" spans="1:18" ht="15" customHeight="1" x14ac:dyDescent="0.25">
      <c r="A583" t="str">
        <f>IFERROR(RANK(B583,$B:$B,1)+COUNTIF($B$1:B582,B583),"")</f>
        <v/>
      </c>
      <c r="B583" t="str">
        <f>IFERROR(SEARCH(#REF!,Table4[[#This Row],[Commodity Title]],1),"")</f>
        <v/>
      </c>
      <c r="C583" s="35">
        <v>42151632</v>
      </c>
      <c r="D583" s="33" t="s">
        <v>1495</v>
      </c>
      <c r="E583" s="33" t="s">
        <v>1496</v>
      </c>
      <c r="F583" s="33" t="s">
        <v>1497</v>
      </c>
      <c r="G583" s="33" t="s">
        <v>2607</v>
      </c>
      <c r="H583" s="33" t="s">
        <v>2608</v>
      </c>
      <c r="I583" s="33" t="s">
        <v>2609</v>
      </c>
      <c r="J583" s="33">
        <v>115011</v>
      </c>
      <c r="K583" s="33" t="s">
        <v>2637</v>
      </c>
      <c r="L583" s="33" t="s">
        <v>2638</v>
      </c>
      <c r="M583" s="33" t="s">
        <v>2639</v>
      </c>
      <c r="N583" s="44">
        <v>42151632</v>
      </c>
      <c r="O583" s="33" t="s">
        <v>2688</v>
      </c>
      <c r="P583" s="33" t="s">
        <v>2689</v>
      </c>
      <c r="Q583" s="34" t="s">
        <v>1494</v>
      </c>
      <c r="R583" s="34" t="s">
        <v>1494</v>
      </c>
    </row>
    <row r="584" spans="1:18" ht="15" customHeight="1" x14ac:dyDescent="0.25">
      <c r="A584" t="str">
        <f>IFERROR(RANK(B584,$B:$B,1)+COUNTIF($B$1:B583,B584),"")</f>
        <v/>
      </c>
      <c r="B584" t="str">
        <f>IFERROR(SEARCH(#REF!,Table4[[#This Row],[Commodity Title]],1),"")</f>
        <v/>
      </c>
      <c r="C584" s="35">
        <v>42151633</v>
      </c>
      <c r="D584" s="33" t="s">
        <v>1495</v>
      </c>
      <c r="E584" s="33" t="s">
        <v>1496</v>
      </c>
      <c r="F584" s="33" t="s">
        <v>1497</v>
      </c>
      <c r="G584" s="33" t="s">
        <v>2607</v>
      </c>
      <c r="H584" s="33" t="s">
        <v>2608</v>
      </c>
      <c r="I584" s="33" t="s">
        <v>2609</v>
      </c>
      <c r="J584" s="33">
        <v>115012</v>
      </c>
      <c r="K584" s="33" t="s">
        <v>2637</v>
      </c>
      <c r="L584" s="33" t="s">
        <v>2638</v>
      </c>
      <c r="M584" s="33" t="s">
        <v>2639</v>
      </c>
      <c r="N584" s="44">
        <v>42151633</v>
      </c>
      <c r="O584" s="33" t="s">
        <v>2690</v>
      </c>
      <c r="P584" s="33" t="s">
        <v>2691</v>
      </c>
      <c r="Q584" s="34" t="s">
        <v>1494</v>
      </c>
      <c r="R584" s="34" t="s">
        <v>1494</v>
      </c>
    </row>
    <row r="585" spans="1:18" ht="15" customHeight="1" x14ac:dyDescent="0.25">
      <c r="A585" t="str">
        <f>IFERROR(RANK(B585,$B:$B,1)+COUNTIF($B$1:B584,B585),"")</f>
        <v/>
      </c>
      <c r="B585" t="str">
        <f>IFERROR(SEARCH(#REF!,Table4[[#This Row],[Commodity Title]],1),"")</f>
        <v/>
      </c>
      <c r="C585" s="35">
        <v>42151634</v>
      </c>
      <c r="D585" s="33" t="s">
        <v>1495</v>
      </c>
      <c r="E585" s="33" t="s">
        <v>1496</v>
      </c>
      <c r="F585" s="33" t="s">
        <v>1497</v>
      </c>
      <c r="G585" s="33" t="s">
        <v>2607</v>
      </c>
      <c r="H585" s="33" t="s">
        <v>2608</v>
      </c>
      <c r="I585" s="33" t="s">
        <v>2609</v>
      </c>
      <c r="J585" s="33">
        <v>115013</v>
      </c>
      <c r="K585" s="33" t="s">
        <v>2637</v>
      </c>
      <c r="L585" s="33" t="s">
        <v>2638</v>
      </c>
      <c r="M585" s="33" t="s">
        <v>2639</v>
      </c>
      <c r="N585" s="44">
        <v>42151634</v>
      </c>
      <c r="O585" s="33" t="s">
        <v>2692</v>
      </c>
      <c r="P585" s="33" t="s">
        <v>2693</v>
      </c>
      <c r="Q585" s="34" t="s">
        <v>1494</v>
      </c>
      <c r="R585" s="34" t="s">
        <v>1494</v>
      </c>
    </row>
    <row r="586" spans="1:18" ht="15" customHeight="1" x14ac:dyDescent="0.25">
      <c r="A586" t="str">
        <f>IFERROR(RANK(B586,$B:$B,1)+COUNTIF($B$1:B585,B586),"")</f>
        <v/>
      </c>
      <c r="B586" t="str">
        <f>IFERROR(SEARCH(#REF!,Table4[[#This Row],[Commodity Title]],1),"")</f>
        <v/>
      </c>
      <c r="C586" s="35">
        <v>42151635</v>
      </c>
      <c r="D586" s="33" t="s">
        <v>1495</v>
      </c>
      <c r="E586" s="33" t="s">
        <v>1496</v>
      </c>
      <c r="F586" s="33" t="s">
        <v>1497</v>
      </c>
      <c r="G586" s="33" t="s">
        <v>2607</v>
      </c>
      <c r="H586" s="33" t="s">
        <v>2608</v>
      </c>
      <c r="I586" s="33" t="s">
        <v>2609</v>
      </c>
      <c r="J586" s="33">
        <v>115014</v>
      </c>
      <c r="K586" s="33" t="s">
        <v>2637</v>
      </c>
      <c r="L586" s="33" t="s">
        <v>2638</v>
      </c>
      <c r="M586" s="33" t="s">
        <v>2639</v>
      </c>
      <c r="N586" s="44">
        <v>42151635</v>
      </c>
      <c r="O586" s="33" t="s">
        <v>2694</v>
      </c>
      <c r="P586" s="33" t="s">
        <v>2695</v>
      </c>
      <c r="Q586" s="34" t="s">
        <v>1494</v>
      </c>
      <c r="R586" s="34" t="s">
        <v>1494</v>
      </c>
    </row>
    <row r="587" spans="1:18" ht="15" customHeight="1" x14ac:dyDescent="0.25">
      <c r="A587" t="str">
        <f>IFERROR(RANK(B587,$B:$B,1)+COUNTIF($B$1:B586,B587),"")</f>
        <v/>
      </c>
      <c r="B587" t="str">
        <f>IFERROR(SEARCH(#REF!,Table4[[#This Row],[Commodity Title]],1),"")</f>
        <v/>
      </c>
      <c r="C587" s="35">
        <v>42151636</v>
      </c>
      <c r="D587" s="33" t="s">
        <v>1495</v>
      </c>
      <c r="E587" s="33" t="s">
        <v>1496</v>
      </c>
      <c r="F587" s="33" t="s">
        <v>1497</v>
      </c>
      <c r="G587" s="33" t="s">
        <v>2607</v>
      </c>
      <c r="H587" s="33" t="s">
        <v>2608</v>
      </c>
      <c r="I587" s="33" t="s">
        <v>2609</v>
      </c>
      <c r="J587" s="33">
        <v>115015</v>
      </c>
      <c r="K587" s="33" t="s">
        <v>2637</v>
      </c>
      <c r="L587" s="33" t="s">
        <v>2638</v>
      </c>
      <c r="M587" s="33" t="s">
        <v>2639</v>
      </c>
      <c r="N587" s="44">
        <v>42151636</v>
      </c>
      <c r="O587" s="33" t="s">
        <v>2696</v>
      </c>
      <c r="P587" s="33" t="s">
        <v>2697</v>
      </c>
      <c r="Q587" s="34" t="s">
        <v>1494</v>
      </c>
      <c r="R587" s="34" t="s">
        <v>1494</v>
      </c>
    </row>
    <row r="588" spans="1:18" ht="15" customHeight="1" x14ac:dyDescent="0.25">
      <c r="A588" t="str">
        <f>IFERROR(RANK(B588,$B:$B,1)+COUNTIF($B$1:B587,B588),"")</f>
        <v/>
      </c>
      <c r="B588" t="str">
        <f>IFERROR(SEARCH(#REF!,Table4[[#This Row],[Commodity Title]],1),"")</f>
        <v/>
      </c>
      <c r="C588" s="35">
        <v>42151637</v>
      </c>
      <c r="D588" s="33" t="s">
        <v>1495</v>
      </c>
      <c r="E588" s="33" t="s">
        <v>1496</v>
      </c>
      <c r="F588" s="33" t="s">
        <v>1497</v>
      </c>
      <c r="G588" s="33" t="s">
        <v>2607</v>
      </c>
      <c r="H588" s="33" t="s">
        <v>2608</v>
      </c>
      <c r="I588" s="33" t="s">
        <v>2609</v>
      </c>
      <c r="J588" s="33">
        <v>104538</v>
      </c>
      <c r="K588" s="33" t="s">
        <v>2637</v>
      </c>
      <c r="L588" s="33" t="s">
        <v>2638</v>
      </c>
      <c r="M588" s="33" t="s">
        <v>2639</v>
      </c>
      <c r="N588" s="44">
        <v>42151637</v>
      </c>
      <c r="O588" s="33" t="s">
        <v>2698</v>
      </c>
      <c r="P588" s="33" t="s">
        <v>2699</v>
      </c>
      <c r="Q588" s="34" t="s">
        <v>1494</v>
      </c>
      <c r="R588" s="34" t="s">
        <v>1494</v>
      </c>
    </row>
    <row r="589" spans="1:18" ht="15" customHeight="1" x14ac:dyDescent="0.25">
      <c r="A589" t="str">
        <f>IFERROR(RANK(B589,$B:$B,1)+COUNTIF($B$1:B588,B589),"")</f>
        <v/>
      </c>
      <c r="B589" t="str">
        <f>IFERROR(SEARCH(#REF!,Table4[[#This Row],[Commodity Title]],1),"")</f>
        <v/>
      </c>
      <c r="C589" s="35">
        <v>42151638</v>
      </c>
      <c r="D589" s="33" t="s">
        <v>1495</v>
      </c>
      <c r="E589" s="33" t="s">
        <v>1496</v>
      </c>
      <c r="F589" s="33" t="s">
        <v>1497</v>
      </c>
      <c r="G589" s="33" t="s">
        <v>2607</v>
      </c>
      <c r="H589" s="33" t="s">
        <v>2608</v>
      </c>
      <c r="I589" s="33" t="s">
        <v>2609</v>
      </c>
      <c r="J589" s="33">
        <v>104544</v>
      </c>
      <c r="K589" s="33" t="s">
        <v>2637</v>
      </c>
      <c r="L589" s="33" t="s">
        <v>2638</v>
      </c>
      <c r="M589" s="33" t="s">
        <v>2639</v>
      </c>
      <c r="N589" s="44">
        <v>42151638</v>
      </c>
      <c r="O589" s="33" t="s">
        <v>2700</v>
      </c>
      <c r="P589" s="33" t="s">
        <v>2701</v>
      </c>
      <c r="Q589" s="34" t="s">
        <v>1494</v>
      </c>
      <c r="R589" s="34" t="s">
        <v>1494</v>
      </c>
    </row>
    <row r="590" spans="1:18" ht="15" customHeight="1" x14ac:dyDescent="0.25">
      <c r="A590" t="str">
        <f>IFERROR(RANK(B590,$B:$B,1)+COUNTIF($B$1:B589,B590),"")</f>
        <v/>
      </c>
      <c r="B590" t="str">
        <f>IFERROR(SEARCH(#REF!,Table4[[#This Row],[Commodity Title]],1),"")</f>
        <v/>
      </c>
      <c r="C590" s="35">
        <v>42151639</v>
      </c>
      <c r="D590" s="33" t="s">
        <v>1495</v>
      </c>
      <c r="E590" s="33" t="s">
        <v>1496</v>
      </c>
      <c r="F590" s="33" t="s">
        <v>1497</v>
      </c>
      <c r="G590" s="33" t="s">
        <v>2607</v>
      </c>
      <c r="H590" s="33" t="s">
        <v>2608</v>
      </c>
      <c r="I590" s="33" t="s">
        <v>2609</v>
      </c>
      <c r="J590" s="33">
        <v>104539</v>
      </c>
      <c r="K590" s="33" t="s">
        <v>2637</v>
      </c>
      <c r="L590" s="33" t="s">
        <v>2638</v>
      </c>
      <c r="M590" s="33" t="s">
        <v>2639</v>
      </c>
      <c r="N590" s="44">
        <v>42151639</v>
      </c>
      <c r="O590" s="33" t="s">
        <v>2702</v>
      </c>
      <c r="P590" s="33" t="s">
        <v>2703</v>
      </c>
      <c r="Q590" s="34" t="s">
        <v>1494</v>
      </c>
      <c r="R590" s="34" t="s">
        <v>1494</v>
      </c>
    </row>
    <row r="591" spans="1:18" ht="15" customHeight="1" x14ac:dyDescent="0.25">
      <c r="A591" t="str">
        <f>IFERROR(RANK(B591,$B:$B,1)+COUNTIF($B$1:B590,B591),"")</f>
        <v/>
      </c>
      <c r="B591" t="str">
        <f>IFERROR(SEARCH(#REF!,Table4[[#This Row],[Commodity Title]],1),"")</f>
        <v/>
      </c>
      <c r="C591" s="35">
        <v>42151640</v>
      </c>
      <c r="D591" s="33" t="s">
        <v>1495</v>
      </c>
      <c r="E591" s="33" t="s">
        <v>1496</v>
      </c>
      <c r="F591" s="33" t="s">
        <v>1497</v>
      </c>
      <c r="G591" s="33" t="s">
        <v>2607</v>
      </c>
      <c r="H591" s="33" t="s">
        <v>2608</v>
      </c>
      <c r="I591" s="33" t="s">
        <v>2609</v>
      </c>
      <c r="J591" s="33">
        <v>104543</v>
      </c>
      <c r="K591" s="33" t="s">
        <v>2637</v>
      </c>
      <c r="L591" s="33" t="s">
        <v>2638</v>
      </c>
      <c r="M591" s="33" t="s">
        <v>2639</v>
      </c>
      <c r="N591" s="44">
        <v>42151640</v>
      </c>
      <c r="O591" s="33" t="s">
        <v>2704</v>
      </c>
      <c r="P591" s="33" t="s">
        <v>2705</v>
      </c>
      <c r="Q591" s="34" t="s">
        <v>1494</v>
      </c>
      <c r="R591" s="34" t="s">
        <v>1494</v>
      </c>
    </row>
    <row r="592" spans="1:18" ht="15" customHeight="1" x14ac:dyDescent="0.25">
      <c r="A592" t="str">
        <f>IFERROR(RANK(B592,$B:$B,1)+COUNTIF($B$1:B591,B592),"")</f>
        <v/>
      </c>
      <c r="B592" t="str">
        <f>IFERROR(SEARCH(#REF!,Table4[[#This Row],[Commodity Title]],1),"")</f>
        <v/>
      </c>
      <c r="C592" s="35">
        <v>42151641</v>
      </c>
      <c r="D592" s="33" t="s">
        <v>1495</v>
      </c>
      <c r="E592" s="33" t="s">
        <v>1496</v>
      </c>
      <c r="F592" s="33" t="s">
        <v>1497</v>
      </c>
      <c r="G592" s="33" t="s">
        <v>2607</v>
      </c>
      <c r="H592" s="33" t="s">
        <v>2608</v>
      </c>
      <c r="I592" s="33" t="s">
        <v>2609</v>
      </c>
      <c r="J592" s="33">
        <v>115020</v>
      </c>
      <c r="K592" s="33" t="s">
        <v>2637</v>
      </c>
      <c r="L592" s="33" t="s">
        <v>2638</v>
      </c>
      <c r="M592" s="33" t="s">
        <v>2639</v>
      </c>
      <c r="N592" s="44">
        <v>42151641</v>
      </c>
      <c r="O592" s="33" t="s">
        <v>2706</v>
      </c>
      <c r="P592" s="33" t="s">
        <v>2707</v>
      </c>
      <c r="Q592" s="34" t="s">
        <v>1494</v>
      </c>
      <c r="R592" s="34" t="s">
        <v>1494</v>
      </c>
    </row>
    <row r="593" spans="1:18" ht="15" customHeight="1" x14ac:dyDescent="0.25">
      <c r="A593" t="str">
        <f>IFERROR(RANK(B593,$B:$B,1)+COUNTIF($B$1:B592,B593),"")</f>
        <v/>
      </c>
      <c r="B593" t="str">
        <f>IFERROR(SEARCH(#REF!,Table4[[#This Row],[Commodity Title]],1),"")</f>
        <v/>
      </c>
      <c r="C593" s="35">
        <v>42151642</v>
      </c>
      <c r="D593" s="33" t="s">
        <v>1495</v>
      </c>
      <c r="E593" s="33" t="s">
        <v>1496</v>
      </c>
      <c r="F593" s="33" t="s">
        <v>1497</v>
      </c>
      <c r="G593" s="33" t="s">
        <v>2607</v>
      </c>
      <c r="H593" s="33" t="s">
        <v>2608</v>
      </c>
      <c r="I593" s="33" t="s">
        <v>2609</v>
      </c>
      <c r="J593" s="33">
        <v>115021</v>
      </c>
      <c r="K593" s="33" t="s">
        <v>2637</v>
      </c>
      <c r="L593" s="33" t="s">
        <v>2638</v>
      </c>
      <c r="M593" s="33" t="s">
        <v>2639</v>
      </c>
      <c r="N593" s="44">
        <v>42151642</v>
      </c>
      <c r="O593" s="33" t="s">
        <v>2708</v>
      </c>
      <c r="P593" s="33" t="s">
        <v>2709</v>
      </c>
      <c r="Q593" s="34" t="s">
        <v>1494</v>
      </c>
      <c r="R593" s="34" t="s">
        <v>1494</v>
      </c>
    </row>
    <row r="594" spans="1:18" ht="15" customHeight="1" x14ac:dyDescent="0.25">
      <c r="A594" t="str">
        <f>IFERROR(RANK(B594,$B:$B,1)+COUNTIF($B$1:B593,B594),"")</f>
        <v/>
      </c>
      <c r="B594" t="str">
        <f>IFERROR(SEARCH(#REF!,Table4[[#This Row],[Commodity Title]],1),"")</f>
        <v/>
      </c>
      <c r="C594" s="35">
        <v>42151643</v>
      </c>
      <c r="D594" s="33" t="s">
        <v>1495</v>
      </c>
      <c r="E594" s="33" t="s">
        <v>1496</v>
      </c>
      <c r="F594" s="33" t="s">
        <v>1497</v>
      </c>
      <c r="G594" s="33" t="s">
        <v>2607</v>
      </c>
      <c r="H594" s="33" t="s">
        <v>2608</v>
      </c>
      <c r="I594" s="33" t="s">
        <v>2609</v>
      </c>
      <c r="J594" s="33">
        <v>115022</v>
      </c>
      <c r="K594" s="33" t="s">
        <v>2637</v>
      </c>
      <c r="L594" s="33" t="s">
        <v>2638</v>
      </c>
      <c r="M594" s="33" t="s">
        <v>2639</v>
      </c>
      <c r="N594" s="44">
        <v>42151643</v>
      </c>
      <c r="O594" s="33" t="s">
        <v>2710</v>
      </c>
      <c r="P594" s="33" t="s">
        <v>2711</v>
      </c>
      <c r="Q594" s="34" t="s">
        <v>1494</v>
      </c>
      <c r="R594" s="34" t="s">
        <v>1494</v>
      </c>
    </row>
    <row r="595" spans="1:18" ht="15" customHeight="1" x14ac:dyDescent="0.25">
      <c r="A595" t="str">
        <f>IFERROR(RANK(B595,$B:$B,1)+COUNTIF($B$1:B594,B595),"")</f>
        <v/>
      </c>
      <c r="B595" t="str">
        <f>IFERROR(SEARCH(#REF!,Table4[[#This Row],[Commodity Title]],1),"")</f>
        <v/>
      </c>
      <c r="C595" s="35">
        <v>42151644</v>
      </c>
      <c r="D595" s="33" t="s">
        <v>1495</v>
      </c>
      <c r="E595" s="33" t="s">
        <v>1496</v>
      </c>
      <c r="F595" s="33" t="s">
        <v>1497</v>
      </c>
      <c r="G595" s="33" t="s">
        <v>2607</v>
      </c>
      <c r="H595" s="33" t="s">
        <v>2608</v>
      </c>
      <c r="I595" s="33" t="s">
        <v>2609</v>
      </c>
      <c r="J595" s="33">
        <v>115023</v>
      </c>
      <c r="K595" s="33" t="s">
        <v>2637</v>
      </c>
      <c r="L595" s="33" t="s">
        <v>2638</v>
      </c>
      <c r="M595" s="33" t="s">
        <v>2639</v>
      </c>
      <c r="N595" s="44">
        <v>42151644</v>
      </c>
      <c r="O595" s="33" t="s">
        <v>2712</v>
      </c>
      <c r="P595" s="33" t="s">
        <v>2713</v>
      </c>
      <c r="Q595" s="34" t="s">
        <v>1494</v>
      </c>
      <c r="R595" s="34" t="s">
        <v>1494</v>
      </c>
    </row>
    <row r="596" spans="1:18" ht="15" customHeight="1" x14ac:dyDescent="0.25">
      <c r="A596" t="str">
        <f>IFERROR(RANK(B596,$B:$B,1)+COUNTIF($B$1:B595,B596),"")</f>
        <v/>
      </c>
      <c r="B596" t="str">
        <f>IFERROR(SEARCH(#REF!,Table4[[#This Row],[Commodity Title]],1),"")</f>
        <v/>
      </c>
      <c r="C596" s="35">
        <v>42151646</v>
      </c>
      <c r="D596" s="33" t="s">
        <v>1495</v>
      </c>
      <c r="E596" s="33" t="s">
        <v>1496</v>
      </c>
      <c r="F596" s="33" t="s">
        <v>1497</v>
      </c>
      <c r="G596" s="33" t="s">
        <v>2607</v>
      </c>
      <c r="H596" s="33" t="s">
        <v>2608</v>
      </c>
      <c r="I596" s="33" t="s">
        <v>2609</v>
      </c>
      <c r="J596" s="33">
        <v>115025</v>
      </c>
      <c r="K596" s="33" t="s">
        <v>2637</v>
      </c>
      <c r="L596" s="33" t="s">
        <v>2638</v>
      </c>
      <c r="M596" s="33" t="s">
        <v>2639</v>
      </c>
      <c r="N596" s="44">
        <v>42151646</v>
      </c>
      <c r="O596" s="33" t="s">
        <v>2714</v>
      </c>
      <c r="P596" s="33" t="s">
        <v>2715</v>
      </c>
      <c r="Q596" s="34" t="s">
        <v>1494</v>
      </c>
      <c r="R596" s="34" t="s">
        <v>1494</v>
      </c>
    </row>
    <row r="597" spans="1:18" ht="15" customHeight="1" x14ac:dyDescent="0.25">
      <c r="A597" t="str">
        <f>IFERROR(RANK(B597,$B:$B,1)+COUNTIF($B$1:B596,B597),"")</f>
        <v/>
      </c>
      <c r="B597" t="str">
        <f>IFERROR(SEARCH(#REF!,Table4[[#This Row],[Commodity Title]],1),"")</f>
        <v/>
      </c>
      <c r="C597" s="35">
        <v>42151647</v>
      </c>
      <c r="D597" s="33" t="s">
        <v>1495</v>
      </c>
      <c r="E597" s="33" t="s">
        <v>1496</v>
      </c>
      <c r="F597" s="33" t="s">
        <v>1497</v>
      </c>
      <c r="G597" s="33" t="s">
        <v>2607</v>
      </c>
      <c r="H597" s="33" t="s">
        <v>2608</v>
      </c>
      <c r="I597" s="33" t="s">
        <v>2609</v>
      </c>
      <c r="J597" s="33">
        <v>141986</v>
      </c>
      <c r="K597" s="33" t="s">
        <v>2637</v>
      </c>
      <c r="L597" s="33" t="s">
        <v>2638</v>
      </c>
      <c r="M597" s="33" t="s">
        <v>2639</v>
      </c>
      <c r="N597" s="44">
        <v>42151647</v>
      </c>
      <c r="O597" s="33" t="s">
        <v>2716</v>
      </c>
      <c r="P597" s="33" t="s">
        <v>2717</v>
      </c>
      <c r="Q597" s="34" t="s">
        <v>1494</v>
      </c>
      <c r="R597" s="34" t="s">
        <v>1494</v>
      </c>
    </row>
    <row r="598" spans="1:18" ht="15" customHeight="1" x14ac:dyDescent="0.25">
      <c r="A598" t="str">
        <f>IFERROR(RANK(B598,$B:$B,1)+COUNTIF($B$1:B597,B598),"")</f>
        <v/>
      </c>
      <c r="B598" t="str">
        <f>IFERROR(SEARCH(#REF!,Table4[[#This Row],[Commodity Title]],1),"")</f>
        <v/>
      </c>
      <c r="C598" s="35">
        <v>42151648</v>
      </c>
      <c r="D598" s="33" t="s">
        <v>1495</v>
      </c>
      <c r="E598" s="33" t="s">
        <v>1496</v>
      </c>
      <c r="F598" s="33" t="s">
        <v>1497</v>
      </c>
      <c r="G598" s="33" t="s">
        <v>2607</v>
      </c>
      <c r="H598" s="33" t="s">
        <v>2608</v>
      </c>
      <c r="I598" s="33" t="s">
        <v>2609</v>
      </c>
      <c r="J598" s="33">
        <v>142042</v>
      </c>
      <c r="K598" s="33" t="s">
        <v>2637</v>
      </c>
      <c r="L598" s="33" t="s">
        <v>2638</v>
      </c>
      <c r="M598" s="33" t="s">
        <v>2639</v>
      </c>
      <c r="N598" s="44">
        <v>42151648</v>
      </c>
      <c r="O598" s="33" t="s">
        <v>2718</v>
      </c>
      <c r="P598" s="33" t="s">
        <v>2719</v>
      </c>
      <c r="Q598" s="34" t="s">
        <v>1494</v>
      </c>
      <c r="R598" s="34" t="s">
        <v>1494</v>
      </c>
    </row>
    <row r="599" spans="1:18" ht="15" customHeight="1" x14ac:dyDescent="0.25">
      <c r="A599" t="str">
        <f>IFERROR(RANK(B599,$B:$B,1)+COUNTIF($B$1:B598,B599),"")</f>
        <v/>
      </c>
      <c r="B599" t="str">
        <f>IFERROR(SEARCH(#REF!,Table4[[#This Row],[Commodity Title]],1),"")</f>
        <v/>
      </c>
      <c r="C599" s="35">
        <v>42151650</v>
      </c>
      <c r="D599" s="33" t="s">
        <v>1495</v>
      </c>
      <c r="E599" s="33" t="s">
        <v>1496</v>
      </c>
      <c r="F599" s="33" t="s">
        <v>1497</v>
      </c>
      <c r="G599" s="33" t="s">
        <v>2607</v>
      </c>
      <c r="H599" s="33" t="s">
        <v>2608</v>
      </c>
      <c r="I599" s="33" t="s">
        <v>2609</v>
      </c>
      <c r="J599" s="33">
        <v>142045</v>
      </c>
      <c r="K599" s="33" t="s">
        <v>2637</v>
      </c>
      <c r="L599" s="33" t="s">
        <v>2638</v>
      </c>
      <c r="M599" s="33" t="s">
        <v>2639</v>
      </c>
      <c r="N599" s="44">
        <v>42151650</v>
      </c>
      <c r="O599" s="33" t="s">
        <v>2720</v>
      </c>
      <c r="P599" s="33" t="s">
        <v>2721</v>
      </c>
      <c r="Q599" s="34" t="s">
        <v>1494</v>
      </c>
      <c r="R599" s="34" t="s">
        <v>1494</v>
      </c>
    </row>
    <row r="600" spans="1:18" ht="15" customHeight="1" x14ac:dyDescent="0.25">
      <c r="A600" t="str">
        <f>IFERROR(RANK(B600,$B:$B,1)+COUNTIF($B$1:B599,B600),"")</f>
        <v/>
      </c>
      <c r="B600" t="str">
        <f>IFERROR(SEARCH(#REF!,Table4[[#This Row],[Commodity Title]],1),"")</f>
        <v/>
      </c>
      <c r="C600" s="35">
        <v>42151651</v>
      </c>
      <c r="D600" s="33" t="s">
        <v>1495</v>
      </c>
      <c r="E600" s="33" t="s">
        <v>1496</v>
      </c>
      <c r="F600" s="33" t="s">
        <v>1497</v>
      </c>
      <c r="G600" s="33" t="s">
        <v>2607</v>
      </c>
      <c r="H600" s="33" t="s">
        <v>2608</v>
      </c>
      <c r="I600" s="33" t="s">
        <v>2609</v>
      </c>
      <c r="J600" s="33">
        <v>142046</v>
      </c>
      <c r="K600" s="33" t="s">
        <v>2637</v>
      </c>
      <c r="L600" s="33" t="s">
        <v>2638</v>
      </c>
      <c r="M600" s="33" t="s">
        <v>2639</v>
      </c>
      <c r="N600" s="44">
        <v>42151651</v>
      </c>
      <c r="O600" s="33" t="s">
        <v>2722</v>
      </c>
      <c r="P600" s="33" t="s">
        <v>2723</v>
      </c>
      <c r="Q600" s="34" t="s">
        <v>1494</v>
      </c>
      <c r="R600" s="34" t="s">
        <v>1494</v>
      </c>
    </row>
    <row r="601" spans="1:18" ht="15" customHeight="1" x14ac:dyDescent="0.25">
      <c r="A601" t="str">
        <f>IFERROR(RANK(B601,$B:$B,1)+COUNTIF($B$1:B600,B601),"")</f>
        <v/>
      </c>
      <c r="B601" t="str">
        <f>IFERROR(SEARCH(#REF!,Table4[[#This Row],[Commodity Title]],1),"")</f>
        <v/>
      </c>
      <c r="C601" s="35">
        <v>42151652</v>
      </c>
      <c r="D601" s="33" t="s">
        <v>1495</v>
      </c>
      <c r="E601" s="33" t="s">
        <v>1496</v>
      </c>
      <c r="F601" s="33" t="s">
        <v>1497</v>
      </c>
      <c r="G601" s="33" t="s">
        <v>2607</v>
      </c>
      <c r="H601" s="33" t="s">
        <v>2608</v>
      </c>
      <c r="I601" s="33" t="s">
        <v>2609</v>
      </c>
      <c r="J601" s="33">
        <v>142337</v>
      </c>
      <c r="K601" s="33" t="s">
        <v>2637</v>
      </c>
      <c r="L601" s="33" t="s">
        <v>2638</v>
      </c>
      <c r="M601" s="33" t="s">
        <v>2639</v>
      </c>
      <c r="N601" s="44">
        <v>42151652</v>
      </c>
      <c r="O601" s="33" t="s">
        <v>2724</v>
      </c>
      <c r="P601" s="33" t="s">
        <v>2725</v>
      </c>
      <c r="Q601" s="34" t="s">
        <v>1494</v>
      </c>
      <c r="R601" s="34" t="s">
        <v>1494</v>
      </c>
    </row>
    <row r="602" spans="1:18" ht="15" customHeight="1" x14ac:dyDescent="0.25">
      <c r="A602" t="str">
        <f>IFERROR(RANK(B602,$B:$B,1)+COUNTIF($B$1:B601,B602),"")</f>
        <v/>
      </c>
      <c r="B602" t="str">
        <f>IFERROR(SEARCH(#REF!,Table4[[#This Row],[Commodity Title]],1),"")</f>
        <v/>
      </c>
      <c r="C602" s="35">
        <v>42151653</v>
      </c>
      <c r="D602" s="33" t="s">
        <v>1495</v>
      </c>
      <c r="E602" s="33" t="s">
        <v>1496</v>
      </c>
      <c r="F602" s="33" t="s">
        <v>1497</v>
      </c>
      <c r="G602" s="33" t="s">
        <v>2607</v>
      </c>
      <c r="H602" s="33" t="s">
        <v>2608</v>
      </c>
      <c r="I602" s="33" t="s">
        <v>2609</v>
      </c>
      <c r="J602" s="33">
        <v>142338</v>
      </c>
      <c r="K602" s="33" t="s">
        <v>2637</v>
      </c>
      <c r="L602" s="33" t="s">
        <v>2638</v>
      </c>
      <c r="M602" s="33" t="s">
        <v>2639</v>
      </c>
      <c r="N602" s="44">
        <v>42151653</v>
      </c>
      <c r="O602" s="33" t="s">
        <v>2726</v>
      </c>
      <c r="P602" s="33" t="s">
        <v>2727</v>
      </c>
      <c r="Q602" s="34" t="s">
        <v>1494</v>
      </c>
      <c r="R602" s="34" t="s">
        <v>1494</v>
      </c>
    </row>
    <row r="603" spans="1:18" ht="15" customHeight="1" x14ac:dyDescent="0.25">
      <c r="A603" t="str">
        <f>IFERROR(RANK(B603,$B:$B,1)+COUNTIF($B$1:B602,B603),"")</f>
        <v/>
      </c>
      <c r="B603" t="str">
        <f>IFERROR(SEARCH(#REF!,Table4[[#This Row],[Commodity Title]],1),"")</f>
        <v/>
      </c>
      <c r="C603" s="35">
        <v>42151654</v>
      </c>
      <c r="D603" s="33" t="s">
        <v>1495</v>
      </c>
      <c r="E603" s="33" t="s">
        <v>1496</v>
      </c>
      <c r="F603" s="33" t="s">
        <v>1497</v>
      </c>
      <c r="G603" s="33" t="s">
        <v>2607</v>
      </c>
      <c r="H603" s="33" t="s">
        <v>2608</v>
      </c>
      <c r="I603" s="33" t="s">
        <v>2609</v>
      </c>
      <c r="J603" s="33">
        <v>142339</v>
      </c>
      <c r="K603" s="33" t="s">
        <v>2637</v>
      </c>
      <c r="L603" s="33" t="s">
        <v>2638</v>
      </c>
      <c r="M603" s="33" t="s">
        <v>2639</v>
      </c>
      <c r="N603" s="44">
        <v>42151654</v>
      </c>
      <c r="O603" s="33" t="s">
        <v>2728</v>
      </c>
      <c r="P603" s="33" t="s">
        <v>2729</v>
      </c>
      <c r="Q603" s="34" t="s">
        <v>1494</v>
      </c>
      <c r="R603" s="34" t="s">
        <v>1494</v>
      </c>
    </row>
    <row r="604" spans="1:18" ht="15" customHeight="1" x14ac:dyDescent="0.25">
      <c r="A604" t="str">
        <f>IFERROR(RANK(B604,$B:$B,1)+COUNTIF($B$1:B603,B604),"")</f>
        <v/>
      </c>
      <c r="B604" t="str">
        <f>IFERROR(SEARCH(#REF!,Table4[[#This Row],[Commodity Title]],1),"")</f>
        <v/>
      </c>
      <c r="C604" s="35">
        <v>42151655</v>
      </c>
      <c r="D604" s="33" t="s">
        <v>1495</v>
      </c>
      <c r="E604" s="33" t="s">
        <v>1496</v>
      </c>
      <c r="F604" s="33" t="s">
        <v>1497</v>
      </c>
      <c r="G604" s="33" t="s">
        <v>2607</v>
      </c>
      <c r="H604" s="33" t="s">
        <v>2608</v>
      </c>
      <c r="I604" s="33" t="s">
        <v>2609</v>
      </c>
      <c r="J604" s="33">
        <v>142340</v>
      </c>
      <c r="K604" s="33" t="s">
        <v>2637</v>
      </c>
      <c r="L604" s="33" t="s">
        <v>2638</v>
      </c>
      <c r="M604" s="33" t="s">
        <v>2639</v>
      </c>
      <c r="N604" s="44">
        <v>42151655</v>
      </c>
      <c r="O604" s="33" t="s">
        <v>2730</v>
      </c>
      <c r="P604" s="33" t="s">
        <v>2731</v>
      </c>
      <c r="Q604" s="34" t="s">
        <v>1494</v>
      </c>
      <c r="R604" s="34" t="s">
        <v>1494</v>
      </c>
    </row>
    <row r="605" spans="1:18" ht="15" customHeight="1" x14ac:dyDescent="0.25">
      <c r="A605" t="str">
        <f>IFERROR(RANK(B605,$B:$B,1)+COUNTIF($B$1:B604,B605),"")</f>
        <v/>
      </c>
      <c r="B605" t="str">
        <f>IFERROR(SEARCH(#REF!,Table4[[#This Row],[Commodity Title]],1),"")</f>
        <v/>
      </c>
      <c r="C605" s="35">
        <v>42151656</v>
      </c>
      <c r="D605" s="33" t="s">
        <v>1495</v>
      </c>
      <c r="E605" s="33" t="s">
        <v>1496</v>
      </c>
      <c r="F605" s="33" t="s">
        <v>1497</v>
      </c>
      <c r="G605" s="33" t="s">
        <v>2607</v>
      </c>
      <c r="H605" s="33" t="s">
        <v>2608</v>
      </c>
      <c r="I605" s="33" t="s">
        <v>2609</v>
      </c>
      <c r="J605" s="33">
        <v>142341</v>
      </c>
      <c r="K605" s="33" t="s">
        <v>2637</v>
      </c>
      <c r="L605" s="33" t="s">
        <v>2638</v>
      </c>
      <c r="M605" s="33" t="s">
        <v>2639</v>
      </c>
      <c r="N605" s="44">
        <v>42151656</v>
      </c>
      <c r="O605" s="33" t="s">
        <v>2732</v>
      </c>
      <c r="P605" s="33" t="s">
        <v>2733</v>
      </c>
      <c r="Q605" s="34" t="s">
        <v>1494</v>
      </c>
      <c r="R605" s="34" t="s">
        <v>1494</v>
      </c>
    </row>
    <row r="606" spans="1:18" ht="15" customHeight="1" x14ac:dyDescent="0.25">
      <c r="A606" t="str">
        <f>IFERROR(RANK(B606,$B:$B,1)+COUNTIF($B$1:B605,B606),"")</f>
        <v/>
      </c>
      <c r="B606" t="str">
        <f>IFERROR(SEARCH(#REF!,Table4[[#This Row],[Commodity Title]],1),"")</f>
        <v/>
      </c>
      <c r="C606" s="35">
        <v>42151658</v>
      </c>
      <c r="D606" s="33" t="s">
        <v>1495</v>
      </c>
      <c r="E606" s="33" t="s">
        <v>1496</v>
      </c>
      <c r="F606" s="33" t="s">
        <v>1497</v>
      </c>
      <c r="G606" s="33" t="s">
        <v>2607</v>
      </c>
      <c r="H606" s="33" t="s">
        <v>2608</v>
      </c>
      <c r="I606" s="33" t="s">
        <v>2609</v>
      </c>
      <c r="J606" s="33">
        <v>142343</v>
      </c>
      <c r="K606" s="33" t="s">
        <v>2637</v>
      </c>
      <c r="L606" s="33" t="s">
        <v>2638</v>
      </c>
      <c r="M606" s="33" t="s">
        <v>2639</v>
      </c>
      <c r="N606" s="44">
        <v>42151658</v>
      </c>
      <c r="O606" s="33" t="s">
        <v>2734</v>
      </c>
      <c r="P606" s="33" t="s">
        <v>2735</v>
      </c>
      <c r="Q606" s="34" t="s">
        <v>1494</v>
      </c>
      <c r="R606" s="34" t="s">
        <v>1494</v>
      </c>
    </row>
    <row r="607" spans="1:18" ht="15" customHeight="1" x14ac:dyDescent="0.25">
      <c r="A607" t="str">
        <f>IFERROR(RANK(B607,$B:$B,1)+COUNTIF($B$1:B606,B607),"")</f>
        <v/>
      </c>
      <c r="B607" t="str">
        <f>IFERROR(SEARCH(#REF!,Table4[[#This Row],[Commodity Title]],1),"")</f>
        <v/>
      </c>
      <c r="C607" s="35">
        <v>42151660</v>
      </c>
      <c r="D607" s="33" t="s">
        <v>1495</v>
      </c>
      <c r="E607" s="33" t="s">
        <v>1496</v>
      </c>
      <c r="F607" s="33" t="s">
        <v>1497</v>
      </c>
      <c r="G607" s="33" t="s">
        <v>2607</v>
      </c>
      <c r="H607" s="33" t="s">
        <v>2608</v>
      </c>
      <c r="I607" s="33" t="s">
        <v>2609</v>
      </c>
      <c r="J607" s="33">
        <v>142345</v>
      </c>
      <c r="K607" s="33" t="s">
        <v>2637</v>
      </c>
      <c r="L607" s="33" t="s">
        <v>2638</v>
      </c>
      <c r="M607" s="33" t="s">
        <v>2639</v>
      </c>
      <c r="N607" s="44">
        <v>42151660</v>
      </c>
      <c r="O607" s="33" t="s">
        <v>2736</v>
      </c>
      <c r="P607" s="33" t="s">
        <v>2737</v>
      </c>
      <c r="Q607" s="34" t="s">
        <v>1494</v>
      </c>
      <c r="R607" s="34" t="s">
        <v>1494</v>
      </c>
    </row>
    <row r="608" spans="1:18" ht="15" customHeight="1" x14ac:dyDescent="0.25">
      <c r="A608" t="str">
        <f>IFERROR(RANK(B608,$B:$B,1)+COUNTIF($B$1:B607,B608),"")</f>
        <v/>
      </c>
      <c r="B608" t="str">
        <f>IFERROR(SEARCH(#REF!,Table4[[#This Row],[Commodity Title]],1),"")</f>
        <v/>
      </c>
      <c r="C608" s="35">
        <v>42151661</v>
      </c>
      <c r="D608" s="33" t="s">
        <v>1495</v>
      </c>
      <c r="E608" s="33" t="s">
        <v>1496</v>
      </c>
      <c r="F608" s="33" t="s">
        <v>1497</v>
      </c>
      <c r="G608" s="33" t="s">
        <v>2607</v>
      </c>
      <c r="H608" s="33" t="s">
        <v>2608</v>
      </c>
      <c r="I608" s="33" t="s">
        <v>2609</v>
      </c>
      <c r="J608" s="33">
        <v>142346</v>
      </c>
      <c r="K608" s="33" t="s">
        <v>2637</v>
      </c>
      <c r="L608" s="33" t="s">
        <v>2638</v>
      </c>
      <c r="M608" s="33" t="s">
        <v>2639</v>
      </c>
      <c r="N608" s="44">
        <v>42151661</v>
      </c>
      <c r="O608" s="33" t="s">
        <v>2738</v>
      </c>
      <c r="P608" s="33" t="s">
        <v>2739</v>
      </c>
      <c r="Q608" s="34" t="s">
        <v>1494</v>
      </c>
      <c r="R608" s="34" t="s">
        <v>1494</v>
      </c>
    </row>
    <row r="609" spans="1:18" ht="15" customHeight="1" x14ac:dyDescent="0.25">
      <c r="A609" t="str">
        <f>IFERROR(RANK(B609,$B:$B,1)+COUNTIF($B$1:B608,B609),"")</f>
        <v/>
      </c>
      <c r="B609" t="str">
        <f>IFERROR(SEARCH(#REF!,Table4[[#This Row],[Commodity Title]],1),"")</f>
        <v/>
      </c>
      <c r="C609" s="35">
        <v>42151665</v>
      </c>
      <c r="D609" s="33" t="s">
        <v>1495</v>
      </c>
      <c r="E609" s="33" t="s">
        <v>1496</v>
      </c>
      <c r="F609" s="33" t="s">
        <v>1497</v>
      </c>
      <c r="G609" s="33" t="s">
        <v>2607</v>
      </c>
      <c r="H609" s="33" t="s">
        <v>2608</v>
      </c>
      <c r="I609" s="33" t="s">
        <v>2609</v>
      </c>
      <c r="J609" s="33">
        <v>142350</v>
      </c>
      <c r="K609" s="33" t="s">
        <v>2637</v>
      </c>
      <c r="L609" s="33" t="s">
        <v>2638</v>
      </c>
      <c r="M609" s="33" t="s">
        <v>2639</v>
      </c>
      <c r="N609" s="44">
        <v>42151665</v>
      </c>
      <c r="O609" s="33" t="s">
        <v>2740</v>
      </c>
      <c r="P609" s="33" t="s">
        <v>2741</v>
      </c>
      <c r="Q609" s="34" t="s">
        <v>1494</v>
      </c>
      <c r="R609" s="34" t="s">
        <v>1494</v>
      </c>
    </row>
    <row r="610" spans="1:18" ht="15" customHeight="1" x14ac:dyDescent="0.25">
      <c r="A610" t="str">
        <f>IFERROR(RANK(B610,$B:$B,1)+COUNTIF($B$1:B609,B610),"")</f>
        <v/>
      </c>
      <c r="B610" t="str">
        <f>IFERROR(SEARCH(#REF!,Table4[[#This Row],[Commodity Title]],1),"")</f>
        <v/>
      </c>
      <c r="C610" s="35">
        <v>42151669</v>
      </c>
      <c r="D610" s="33" t="s">
        <v>1495</v>
      </c>
      <c r="E610" s="33" t="s">
        <v>1496</v>
      </c>
      <c r="F610" s="33" t="s">
        <v>1497</v>
      </c>
      <c r="G610" s="33" t="s">
        <v>2607</v>
      </c>
      <c r="H610" s="33" t="s">
        <v>2608</v>
      </c>
      <c r="I610" s="33" t="s">
        <v>2609</v>
      </c>
      <c r="J610" s="33">
        <v>142354</v>
      </c>
      <c r="K610" s="33" t="s">
        <v>2637</v>
      </c>
      <c r="L610" s="33" t="s">
        <v>2638</v>
      </c>
      <c r="M610" s="33" t="s">
        <v>2639</v>
      </c>
      <c r="N610" s="44">
        <v>42151669</v>
      </c>
      <c r="O610" s="33" t="s">
        <v>2742</v>
      </c>
      <c r="P610" s="33" t="s">
        <v>2743</v>
      </c>
      <c r="Q610" s="34" t="s">
        <v>1494</v>
      </c>
      <c r="R610" s="34" t="s">
        <v>1494</v>
      </c>
    </row>
    <row r="611" spans="1:18" ht="15" customHeight="1" x14ac:dyDescent="0.25">
      <c r="A611" t="str">
        <f>IFERROR(RANK(B611,$B:$B,1)+COUNTIF($B$1:B610,B611),"")</f>
        <v/>
      </c>
      <c r="B611" t="str">
        <f>IFERROR(SEARCH(#REF!,Table4[[#This Row],[Commodity Title]],1),"")</f>
        <v/>
      </c>
      <c r="C611" s="35">
        <v>42151670</v>
      </c>
      <c r="D611" s="33" t="s">
        <v>1495</v>
      </c>
      <c r="E611" s="33" t="s">
        <v>1496</v>
      </c>
      <c r="F611" s="33" t="s">
        <v>1497</v>
      </c>
      <c r="G611" s="33" t="s">
        <v>2607</v>
      </c>
      <c r="H611" s="33" t="s">
        <v>2608</v>
      </c>
      <c r="I611" s="33" t="s">
        <v>2609</v>
      </c>
      <c r="J611" s="33">
        <v>142355</v>
      </c>
      <c r="K611" s="33" t="s">
        <v>2637</v>
      </c>
      <c r="L611" s="33" t="s">
        <v>2638</v>
      </c>
      <c r="M611" s="33" t="s">
        <v>2639</v>
      </c>
      <c r="N611" s="44">
        <v>42151670</v>
      </c>
      <c r="O611" s="33" t="s">
        <v>2744</v>
      </c>
      <c r="P611" s="33" t="s">
        <v>2745</v>
      </c>
      <c r="Q611" s="34" t="s">
        <v>1494</v>
      </c>
      <c r="R611" s="34" t="s">
        <v>1494</v>
      </c>
    </row>
    <row r="612" spans="1:18" ht="15" customHeight="1" x14ac:dyDescent="0.25">
      <c r="A612" t="str">
        <f>IFERROR(RANK(B612,$B:$B,1)+COUNTIF($B$1:B611,B612),"")</f>
        <v/>
      </c>
      <c r="B612" t="str">
        <f>IFERROR(SEARCH(#REF!,Table4[[#This Row],[Commodity Title]],1),"")</f>
        <v/>
      </c>
      <c r="C612" s="35">
        <v>42151672</v>
      </c>
      <c r="D612" s="33" t="s">
        <v>1495</v>
      </c>
      <c r="E612" s="33" t="s">
        <v>1496</v>
      </c>
      <c r="F612" s="33" t="s">
        <v>1497</v>
      </c>
      <c r="G612" s="33" t="s">
        <v>2607</v>
      </c>
      <c r="H612" s="33" t="s">
        <v>2608</v>
      </c>
      <c r="I612" s="33" t="s">
        <v>2609</v>
      </c>
      <c r="J612" s="33">
        <v>142357</v>
      </c>
      <c r="K612" s="33" t="s">
        <v>2637</v>
      </c>
      <c r="L612" s="33" t="s">
        <v>2638</v>
      </c>
      <c r="M612" s="33" t="s">
        <v>2639</v>
      </c>
      <c r="N612" s="44">
        <v>42151672</v>
      </c>
      <c r="O612" s="33" t="s">
        <v>2746</v>
      </c>
      <c r="P612" s="33" t="s">
        <v>2747</v>
      </c>
      <c r="Q612" s="34" t="s">
        <v>1494</v>
      </c>
      <c r="R612" s="34" t="s">
        <v>1494</v>
      </c>
    </row>
    <row r="613" spans="1:18" ht="15" customHeight="1" x14ac:dyDescent="0.25">
      <c r="A613" t="str">
        <f>IFERROR(RANK(B613,$B:$B,1)+COUNTIF($B$1:B612,B613),"")</f>
        <v/>
      </c>
      <c r="B613" t="str">
        <f>IFERROR(SEARCH(#REF!,Table4[[#This Row],[Commodity Title]],1),"")</f>
        <v/>
      </c>
      <c r="C613" s="35">
        <v>42151673</v>
      </c>
      <c r="D613" s="33" t="s">
        <v>1495</v>
      </c>
      <c r="E613" s="33" t="s">
        <v>1496</v>
      </c>
      <c r="F613" s="33" t="s">
        <v>1497</v>
      </c>
      <c r="G613" s="33" t="s">
        <v>2607</v>
      </c>
      <c r="H613" s="33" t="s">
        <v>2608</v>
      </c>
      <c r="I613" s="33" t="s">
        <v>2609</v>
      </c>
      <c r="J613" s="33">
        <v>142358</v>
      </c>
      <c r="K613" s="33" t="s">
        <v>2637</v>
      </c>
      <c r="L613" s="33" t="s">
        <v>2638</v>
      </c>
      <c r="M613" s="33" t="s">
        <v>2639</v>
      </c>
      <c r="N613" s="44">
        <v>42151673</v>
      </c>
      <c r="O613" s="33" t="s">
        <v>2748</v>
      </c>
      <c r="P613" s="33" t="s">
        <v>2749</v>
      </c>
      <c r="Q613" s="34" t="s">
        <v>1494</v>
      </c>
      <c r="R613" s="34" t="s">
        <v>1494</v>
      </c>
    </row>
    <row r="614" spans="1:18" ht="15" customHeight="1" x14ac:dyDescent="0.25">
      <c r="A614" t="str">
        <f>IFERROR(RANK(B614,$B:$B,1)+COUNTIF($B$1:B613,B614),"")</f>
        <v/>
      </c>
      <c r="B614" t="str">
        <f>IFERROR(SEARCH(#REF!,Table4[[#This Row],[Commodity Title]],1),"")</f>
        <v/>
      </c>
      <c r="C614" s="35">
        <v>42151676</v>
      </c>
      <c r="D614" s="33" t="s">
        <v>1495</v>
      </c>
      <c r="E614" s="33" t="s">
        <v>1496</v>
      </c>
      <c r="F614" s="33" t="s">
        <v>1497</v>
      </c>
      <c r="G614" s="33" t="s">
        <v>2607</v>
      </c>
      <c r="H614" s="33" t="s">
        <v>2608</v>
      </c>
      <c r="I614" s="33" t="s">
        <v>2609</v>
      </c>
      <c r="J614" s="33">
        <v>142361</v>
      </c>
      <c r="K614" s="33" t="s">
        <v>2637</v>
      </c>
      <c r="L614" s="33" t="s">
        <v>2638</v>
      </c>
      <c r="M614" s="33" t="s">
        <v>2639</v>
      </c>
      <c r="N614" s="44">
        <v>42151676</v>
      </c>
      <c r="O614" s="33" t="s">
        <v>2750</v>
      </c>
      <c r="P614" s="33" t="s">
        <v>2751</v>
      </c>
      <c r="Q614" s="34" t="s">
        <v>1494</v>
      </c>
      <c r="R614" s="34" t="s">
        <v>1494</v>
      </c>
    </row>
    <row r="615" spans="1:18" ht="15" customHeight="1" x14ac:dyDescent="0.25">
      <c r="A615" t="str">
        <f>IFERROR(RANK(B615,$B:$B,1)+COUNTIF($B$1:B614,B615),"")</f>
        <v/>
      </c>
      <c r="B615" t="str">
        <f>IFERROR(SEARCH(#REF!,Table4[[#This Row],[Commodity Title]],1),"")</f>
        <v/>
      </c>
      <c r="C615" s="35">
        <v>42151682</v>
      </c>
      <c r="D615" s="33" t="s">
        <v>1495</v>
      </c>
      <c r="E615" s="33" t="s">
        <v>1496</v>
      </c>
      <c r="F615" s="33" t="s">
        <v>1497</v>
      </c>
      <c r="G615" s="33" t="s">
        <v>2607</v>
      </c>
      <c r="H615" s="33" t="s">
        <v>2608</v>
      </c>
      <c r="I615" s="33" t="s">
        <v>2609</v>
      </c>
      <c r="J615" s="33">
        <v>174324</v>
      </c>
      <c r="K615" s="33" t="s">
        <v>2637</v>
      </c>
      <c r="L615" s="33" t="s">
        <v>2638</v>
      </c>
      <c r="M615" s="33" t="s">
        <v>2639</v>
      </c>
      <c r="N615" s="44">
        <v>42151682</v>
      </c>
      <c r="O615" s="33" t="s">
        <v>2752</v>
      </c>
      <c r="P615" s="33" t="s">
        <v>2753</v>
      </c>
      <c r="Q615" s="34" t="s">
        <v>1494</v>
      </c>
      <c r="R615" s="34" t="s">
        <v>1494</v>
      </c>
    </row>
    <row r="616" spans="1:18" ht="15" customHeight="1" x14ac:dyDescent="0.25">
      <c r="A616" t="str">
        <f>IFERROR(RANK(B616,$B:$B,1)+COUNTIF($B$1:B615,B616),"")</f>
        <v/>
      </c>
      <c r="B616" t="str">
        <f>IFERROR(SEARCH(#REF!,Table4[[#This Row],[Commodity Title]],1),"")</f>
        <v/>
      </c>
      <c r="C616" s="35">
        <v>42151683</v>
      </c>
      <c r="D616" s="33" t="s">
        <v>1495</v>
      </c>
      <c r="E616" s="33" t="s">
        <v>1496</v>
      </c>
      <c r="F616" s="33" t="s">
        <v>1497</v>
      </c>
      <c r="G616" s="33" t="s">
        <v>2607</v>
      </c>
      <c r="H616" s="33" t="s">
        <v>2608</v>
      </c>
      <c r="I616" s="33" t="s">
        <v>2609</v>
      </c>
      <c r="J616" s="33">
        <v>174326</v>
      </c>
      <c r="K616" s="33" t="s">
        <v>2637</v>
      </c>
      <c r="L616" s="33" t="s">
        <v>2638</v>
      </c>
      <c r="M616" s="33" t="s">
        <v>2639</v>
      </c>
      <c r="N616" s="44">
        <v>42151683</v>
      </c>
      <c r="O616" s="33" t="s">
        <v>2754</v>
      </c>
      <c r="P616" s="33" t="s">
        <v>2755</v>
      </c>
      <c r="Q616" s="34" t="s">
        <v>1494</v>
      </c>
      <c r="R616" s="34" t="s">
        <v>1494</v>
      </c>
    </row>
    <row r="617" spans="1:18" ht="15" customHeight="1" x14ac:dyDescent="0.25">
      <c r="A617" t="str">
        <f>IFERROR(RANK(B617,$B:$B,1)+COUNTIF($B$1:B616,B617),"")</f>
        <v/>
      </c>
      <c r="B617" t="str">
        <f>IFERROR(SEARCH(#REF!,Table4[[#This Row],[Commodity Title]],1),"")</f>
        <v/>
      </c>
      <c r="C617" s="35">
        <v>42151684</v>
      </c>
      <c r="D617" s="33" t="s">
        <v>1495</v>
      </c>
      <c r="E617" s="33" t="s">
        <v>1496</v>
      </c>
      <c r="F617" s="33" t="s">
        <v>1497</v>
      </c>
      <c r="G617" s="33" t="s">
        <v>2607</v>
      </c>
      <c r="H617" s="33" t="s">
        <v>2608</v>
      </c>
      <c r="I617" s="33" t="s">
        <v>2609</v>
      </c>
      <c r="J617" s="33">
        <v>202540</v>
      </c>
      <c r="K617" s="33" t="s">
        <v>2637</v>
      </c>
      <c r="L617" s="33" t="s">
        <v>2638</v>
      </c>
      <c r="M617" s="33" t="s">
        <v>2639</v>
      </c>
      <c r="N617" s="44">
        <v>42151684</v>
      </c>
      <c r="O617" s="33" t="s">
        <v>2756</v>
      </c>
      <c r="P617" s="33" t="s">
        <v>2757</v>
      </c>
      <c r="Q617" s="34" t="s">
        <v>1494</v>
      </c>
      <c r="R617" s="34" t="s">
        <v>1494</v>
      </c>
    </row>
    <row r="618" spans="1:18" ht="15" customHeight="1" x14ac:dyDescent="0.25">
      <c r="A618" t="str">
        <f>IFERROR(RANK(B618,$B:$B,1)+COUNTIF($B$1:B617,B618),"")</f>
        <v/>
      </c>
      <c r="B618" t="str">
        <f>IFERROR(SEARCH(#REF!,Table4[[#This Row],[Commodity Title]],1),"")</f>
        <v/>
      </c>
      <c r="C618" s="35">
        <v>42151685</v>
      </c>
      <c r="D618" s="33" t="s">
        <v>1495</v>
      </c>
      <c r="E618" s="33" t="s">
        <v>1496</v>
      </c>
      <c r="F618" s="33" t="s">
        <v>1497</v>
      </c>
      <c r="G618" s="33" t="s">
        <v>2607</v>
      </c>
      <c r="H618" s="33" t="s">
        <v>2608</v>
      </c>
      <c r="I618" s="33" t="s">
        <v>2609</v>
      </c>
      <c r="J618" s="33">
        <v>202541</v>
      </c>
      <c r="K618" s="33" t="s">
        <v>2637</v>
      </c>
      <c r="L618" s="33" t="s">
        <v>2638</v>
      </c>
      <c r="M618" s="33" t="s">
        <v>2639</v>
      </c>
      <c r="N618" s="44">
        <v>42151685</v>
      </c>
      <c r="O618" s="33" t="s">
        <v>2758</v>
      </c>
      <c r="P618" s="33" t="s">
        <v>2759</v>
      </c>
      <c r="Q618" s="34" t="s">
        <v>1494</v>
      </c>
      <c r="R618" s="34" t="s">
        <v>1494</v>
      </c>
    </row>
    <row r="619" spans="1:18" ht="15" customHeight="1" x14ac:dyDescent="0.25">
      <c r="A619" t="str">
        <f>IFERROR(RANK(B619,$B:$B,1)+COUNTIF($B$1:B618,B619),"")</f>
        <v/>
      </c>
      <c r="B619" t="str">
        <f>IFERROR(SEARCH(#REF!,Table4[[#This Row],[Commodity Title]],1),"")</f>
        <v/>
      </c>
      <c r="C619" s="35">
        <v>42151686</v>
      </c>
      <c r="D619" s="33" t="s">
        <v>1495</v>
      </c>
      <c r="E619" s="33" t="s">
        <v>1496</v>
      </c>
      <c r="F619" s="33" t="s">
        <v>1497</v>
      </c>
      <c r="G619" s="33" t="s">
        <v>2607</v>
      </c>
      <c r="H619" s="33" t="s">
        <v>2608</v>
      </c>
      <c r="I619" s="33" t="s">
        <v>2609</v>
      </c>
      <c r="J619" s="33">
        <v>202542</v>
      </c>
      <c r="K619" s="33" t="s">
        <v>2637</v>
      </c>
      <c r="L619" s="33" t="s">
        <v>2638</v>
      </c>
      <c r="M619" s="33" t="s">
        <v>2639</v>
      </c>
      <c r="N619" s="44">
        <v>42151686</v>
      </c>
      <c r="O619" s="33" t="s">
        <v>2760</v>
      </c>
      <c r="P619" s="33" t="s">
        <v>2761</v>
      </c>
      <c r="Q619" s="34" t="s">
        <v>1494</v>
      </c>
      <c r="R619" s="34" t="s">
        <v>1494</v>
      </c>
    </row>
    <row r="620" spans="1:18" ht="15" customHeight="1" x14ac:dyDescent="0.25">
      <c r="A620" t="str">
        <f>IFERROR(RANK(B620,$B:$B,1)+COUNTIF($B$1:B619,B620),"")</f>
        <v/>
      </c>
      <c r="B620" t="str">
        <f>IFERROR(SEARCH(#REF!,Table4[[#This Row],[Commodity Title]],1),"")</f>
        <v/>
      </c>
      <c r="C620" s="35">
        <v>42151687</v>
      </c>
      <c r="D620" s="33" t="s">
        <v>1495</v>
      </c>
      <c r="E620" s="33" t="s">
        <v>1496</v>
      </c>
      <c r="F620" s="33" t="s">
        <v>1497</v>
      </c>
      <c r="G620" s="33" t="s">
        <v>2607</v>
      </c>
      <c r="H620" s="33" t="s">
        <v>2608</v>
      </c>
      <c r="I620" s="33" t="s">
        <v>2609</v>
      </c>
      <c r="J620" s="33">
        <v>202543</v>
      </c>
      <c r="K620" s="33" t="s">
        <v>2637</v>
      </c>
      <c r="L620" s="33" t="s">
        <v>2638</v>
      </c>
      <c r="M620" s="33" t="s">
        <v>2639</v>
      </c>
      <c r="N620" s="44">
        <v>42151687</v>
      </c>
      <c r="O620" s="33" t="s">
        <v>2762</v>
      </c>
      <c r="P620" s="33" t="s">
        <v>2763</v>
      </c>
      <c r="Q620" s="34" t="s">
        <v>1494</v>
      </c>
      <c r="R620" s="34" t="s">
        <v>1494</v>
      </c>
    </row>
    <row r="621" spans="1:18" ht="15" customHeight="1" x14ac:dyDescent="0.25">
      <c r="A621" t="str">
        <f>IFERROR(RANK(B621,$B:$B,1)+COUNTIF($B$1:B620,B621),"")</f>
        <v/>
      </c>
      <c r="B621" t="str">
        <f>IFERROR(SEARCH(#REF!,Table4[[#This Row],[Commodity Title]],1),"")</f>
        <v/>
      </c>
      <c r="C621" s="35">
        <v>42151688</v>
      </c>
      <c r="D621" s="33" t="s">
        <v>1495</v>
      </c>
      <c r="E621" s="33" t="s">
        <v>1496</v>
      </c>
      <c r="F621" s="33" t="s">
        <v>1497</v>
      </c>
      <c r="G621" s="33" t="s">
        <v>2607</v>
      </c>
      <c r="H621" s="33" t="s">
        <v>2608</v>
      </c>
      <c r="I621" s="33" t="s">
        <v>2609</v>
      </c>
      <c r="J621" s="33">
        <v>202544</v>
      </c>
      <c r="K621" s="33" t="s">
        <v>2637</v>
      </c>
      <c r="L621" s="33" t="s">
        <v>2638</v>
      </c>
      <c r="M621" s="33" t="s">
        <v>2639</v>
      </c>
      <c r="N621" s="44">
        <v>42151688</v>
      </c>
      <c r="O621" s="33" t="s">
        <v>2764</v>
      </c>
      <c r="P621" s="33" t="s">
        <v>2765</v>
      </c>
      <c r="Q621" s="34" t="s">
        <v>1494</v>
      </c>
      <c r="R621" s="34" t="s">
        <v>1494</v>
      </c>
    </row>
    <row r="622" spans="1:18" ht="15" customHeight="1" x14ac:dyDescent="0.25">
      <c r="A622" t="str">
        <f>IFERROR(RANK(B622,$B:$B,1)+COUNTIF($B$1:B621,B622),"")</f>
        <v/>
      </c>
      <c r="B622" t="str">
        <f>IFERROR(SEARCH(#REF!,Table4[[#This Row],[Commodity Title]],1),"")</f>
        <v/>
      </c>
      <c r="C622" s="35">
        <v>42151689</v>
      </c>
      <c r="D622" s="33" t="s">
        <v>1495</v>
      </c>
      <c r="E622" s="33" t="s">
        <v>1496</v>
      </c>
      <c r="F622" s="33" t="s">
        <v>1497</v>
      </c>
      <c r="G622" s="33" t="s">
        <v>2607</v>
      </c>
      <c r="H622" s="33" t="s">
        <v>2608</v>
      </c>
      <c r="I622" s="33" t="s">
        <v>2609</v>
      </c>
      <c r="J622" s="33">
        <v>202545</v>
      </c>
      <c r="K622" s="33" t="s">
        <v>2637</v>
      </c>
      <c r="L622" s="33" t="s">
        <v>2638</v>
      </c>
      <c r="M622" s="33" t="s">
        <v>2639</v>
      </c>
      <c r="N622" s="44">
        <v>42151689</v>
      </c>
      <c r="O622" s="33" t="s">
        <v>2766</v>
      </c>
      <c r="P622" s="33" t="s">
        <v>2767</v>
      </c>
      <c r="Q622" s="34" t="s">
        <v>1494</v>
      </c>
      <c r="R622" s="34" t="s">
        <v>1494</v>
      </c>
    </row>
    <row r="623" spans="1:18" ht="15" customHeight="1" x14ac:dyDescent="0.25">
      <c r="A623" t="str">
        <f>IFERROR(RANK(B623,$B:$B,1)+COUNTIF($B$1:B622,B623),"")</f>
        <v/>
      </c>
      <c r="B623" t="str">
        <f>IFERROR(SEARCH(#REF!,Table4[[#This Row],[Commodity Title]],1),"")</f>
        <v/>
      </c>
      <c r="C623" s="35">
        <v>42151690</v>
      </c>
      <c r="D623" s="33" t="s">
        <v>1495</v>
      </c>
      <c r="E623" s="33" t="s">
        <v>1496</v>
      </c>
      <c r="F623" s="33" t="s">
        <v>1497</v>
      </c>
      <c r="G623" s="33" t="s">
        <v>2607</v>
      </c>
      <c r="H623" s="33" t="s">
        <v>2608</v>
      </c>
      <c r="I623" s="33" t="s">
        <v>2609</v>
      </c>
      <c r="J623" s="33">
        <v>202546</v>
      </c>
      <c r="K623" s="33" t="s">
        <v>2637</v>
      </c>
      <c r="L623" s="33" t="s">
        <v>2638</v>
      </c>
      <c r="M623" s="33" t="s">
        <v>2639</v>
      </c>
      <c r="N623" s="44">
        <v>42151690</v>
      </c>
      <c r="O623" s="33" t="s">
        <v>2768</v>
      </c>
      <c r="P623" s="33" t="s">
        <v>2769</v>
      </c>
      <c r="Q623" s="34" t="s">
        <v>1494</v>
      </c>
      <c r="R623" s="34" t="s">
        <v>1494</v>
      </c>
    </row>
    <row r="624" spans="1:18" ht="15" customHeight="1" x14ac:dyDescent="0.25">
      <c r="A624" t="str">
        <f>IFERROR(RANK(B624,$B:$B,1)+COUNTIF($B$1:B623,B624),"")</f>
        <v/>
      </c>
      <c r="B624" t="str">
        <f>IFERROR(SEARCH(#REF!,Table4[[#This Row],[Commodity Title]],1),"")</f>
        <v/>
      </c>
      <c r="C624" s="35">
        <v>42151691</v>
      </c>
      <c r="D624" s="33" t="s">
        <v>1495</v>
      </c>
      <c r="E624" s="33" t="s">
        <v>1496</v>
      </c>
      <c r="F624" s="33" t="s">
        <v>1497</v>
      </c>
      <c r="G624" s="33" t="s">
        <v>2607</v>
      </c>
      <c r="H624" s="33" t="s">
        <v>2608</v>
      </c>
      <c r="I624" s="33" t="s">
        <v>2609</v>
      </c>
      <c r="J624" s="33">
        <v>202547</v>
      </c>
      <c r="K624" s="33" t="s">
        <v>2637</v>
      </c>
      <c r="L624" s="33" t="s">
        <v>2638</v>
      </c>
      <c r="M624" s="33" t="s">
        <v>2639</v>
      </c>
      <c r="N624" s="44">
        <v>42151691</v>
      </c>
      <c r="O624" s="33" t="s">
        <v>2770</v>
      </c>
      <c r="P624" s="33" t="s">
        <v>2771</v>
      </c>
      <c r="Q624" s="34" t="s">
        <v>1494</v>
      </c>
      <c r="R624" s="34" t="s">
        <v>1494</v>
      </c>
    </row>
    <row r="625" spans="1:18" ht="15" customHeight="1" x14ac:dyDescent="0.25">
      <c r="A625" t="str">
        <f>IFERROR(RANK(B625,$B:$B,1)+COUNTIF($B$1:B624,B625),"")</f>
        <v/>
      </c>
      <c r="B625" t="str">
        <f>IFERROR(SEARCH(#REF!,Table4[[#This Row],[Commodity Title]],1),"")</f>
        <v/>
      </c>
      <c r="C625" s="35">
        <v>42151692</v>
      </c>
      <c r="D625" s="33" t="s">
        <v>1495</v>
      </c>
      <c r="E625" s="33" t="s">
        <v>1496</v>
      </c>
      <c r="F625" s="33" t="s">
        <v>1497</v>
      </c>
      <c r="G625" s="33" t="s">
        <v>2607</v>
      </c>
      <c r="H625" s="33" t="s">
        <v>2608</v>
      </c>
      <c r="I625" s="33" t="s">
        <v>2609</v>
      </c>
      <c r="J625" s="33">
        <v>202548</v>
      </c>
      <c r="K625" s="33" t="s">
        <v>2637</v>
      </c>
      <c r="L625" s="33" t="s">
        <v>2638</v>
      </c>
      <c r="M625" s="33" t="s">
        <v>2639</v>
      </c>
      <c r="N625" s="44">
        <v>42151692</v>
      </c>
      <c r="O625" s="33" t="s">
        <v>2772</v>
      </c>
      <c r="P625" s="33" t="s">
        <v>2773</v>
      </c>
      <c r="Q625" s="34" t="s">
        <v>1494</v>
      </c>
      <c r="R625" s="34" t="s">
        <v>1494</v>
      </c>
    </row>
    <row r="626" spans="1:18" ht="15" customHeight="1" x14ac:dyDescent="0.25">
      <c r="A626" t="str">
        <f>IFERROR(RANK(B626,$B:$B,1)+COUNTIF($B$1:B625,B626),"")</f>
        <v/>
      </c>
      <c r="B626" t="str">
        <f>IFERROR(SEARCH(#REF!,Table4[[#This Row],[Commodity Title]],1),"")</f>
        <v/>
      </c>
      <c r="C626" s="35">
        <v>42151693</v>
      </c>
      <c r="D626" s="33" t="s">
        <v>1495</v>
      </c>
      <c r="E626" s="33" t="s">
        <v>1496</v>
      </c>
      <c r="F626" s="33" t="s">
        <v>1497</v>
      </c>
      <c r="G626" s="33" t="s">
        <v>2607</v>
      </c>
      <c r="H626" s="33" t="s">
        <v>2608</v>
      </c>
      <c r="I626" s="33" t="s">
        <v>2609</v>
      </c>
      <c r="J626" s="33">
        <v>202549</v>
      </c>
      <c r="K626" s="33" t="s">
        <v>2637</v>
      </c>
      <c r="L626" s="33" t="s">
        <v>2638</v>
      </c>
      <c r="M626" s="33" t="s">
        <v>2639</v>
      </c>
      <c r="N626" s="44">
        <v>42151693</v>
      </c>
      <c r="O626" s="33" t="s">
        <v>2774</v>
      </c>
      <c r="P626" s="33" t="s">
        <v>2775</v>
      </c>
      <c r="Q626" s="34" t="s">
        <v>1494</v>
      </c>
      <c r="R626" s="34" t="s">
        <v>1494</v>
      </c>
    </row>
    <row r="627" spans="1:18" ht="15" customHeight="1" x14ac:dyDescent="0.25">
      <c r="A627" t="str">
        <f>IFERROR(RANK(B627,$B:$B,1)+COUNTIF($B$1:B626,B627),"")</f>
        <v/>
      </c>
      <c r="B627" t="str">
        <f>IFERROR(SEARCH(#REF!,Table4[[#This Row],[Commodity Title]],1),"")</f>
        <v/>
      </c>
      <c r="C627" s="35">
        <v>42151694</v>
      </c>
      <c r="D627" s="33" t="s">
        <v>1495</v>
      </c>
      <c r="E627" s="33" t="s">
        <v>1496</v>
      </c>
      <c r="F627" s="33" t="s">
        <v>1497</v>
      </c>
      <c r="G627" s="33" t="s">
        <v>2607</v>
      </c>
      <c r="H627" s="33" t="s">
        <v>2608</v>
      </c>
      <c r="I627" s="33" t="s">
        <v>2609</v>
      </c>
      <c r="J627" s="33">
        <v>202550</v>
      </c>
      <c r="K627" s="33" t="s">
        <v>2637</v>
      </c>
      <c r="L627" s="33" t="s">
        <v>2638</v>
      </c>
      <c r="M627" s="33" t="s">
        <v>2639</v>
      </c>
      <c r="N627" s="44">
        <v>42151694</v>
      </c>
      <c r="O627" s="33" t="s">
        <v>2776</v>
      </c>
      <c r="P627" s="33" t="s">
        <v>2777</v>
      </c>
      <c r="Q627" s="34" t="s">
        <v>1494</v>
      </c>
      <c r="R627" s="34" t="s">
        <v>1494</v>
      </c>
    </row>
    <row r="628" spans="1:18" ht="15" customHeight="1" x14ac:dyDescent="0.25">
      <c r="A628" t="str">
        <f>IFERROR(RANK(B628,$B:$B,1)+COUNTIF($B$1:B627,B628),"")</f>
        <v/>
      </c>
      <c r="B628" t="str">
        <f>IFERROR(SEARCH(#REF!,Table4[[#This Row],[Commodity Title]],1),"")</f>
        <v/>
      </c>
      <c r="C628" s="35">
        <v>42151695</v>
      </c>
      <c r="D628" s="33" t="s">
        <v>1495</v>
      </c>
      <c r="E628" s="33" t="s">
        <v>1496</v>
      </c>
      <c r="F628" s="33" t="s">
        <v>1497</v>
      </c>
      <c r="G628" s="33" t="s">
        <v>2607</v>
      </c>
      <c r="H628" s="33" t="s">
        <v>2608</v>
      </c>
      <c r="I628" s="33" t="s">
        <v>2609</v>
      </c>
      <c r="J628" s="33">
        <v>202551</v>
      </c>
      <c r="K628" s="33" t="s">
        <v>2637</v>
      </c>
      <c r="L628" s="33" t="s">
        <v>2638</v>
      </c>
      <c r="M628" s="33" t="s">
        <v>2639</v>
      </c>
      <c r="N628" s="44">
        <v>42151695</v>
      </c>
      <c r="O628" s="33" t="s">
        <v>2778</v>
      </c>
      <c r="P628" s="33" t="s">
        <v>2779</v>
      </c>
      <c r="Q628" s="34" t="s">
        <v>1494</v>
      </c>
      <c r="R628" s="34" t="s">
        <v>1494</v>
      </c>
    </row>
    <row r="629" spans="1:18" ht="15" customHeight="1" x14ac:dyDescent="0.25">
      <c r="A629" t="str">
        <f>IFERROR(RANK(B629,$B:$B,1)+COUNTIF($B$1:B628,B629),"")</f>
        <v/>
      </c>
      <c r="B629" t="str">
        <f>IFERROR(SEARCH(#REF!,Table4[[#This Row],[Commodity Title]],1),"")</f>
        <v/>
      </c>
      <c r="C629" s="35">
        <v>42151696</v>
      </c>
      <c r="D629" s="33" t="s">
        <v>1495</v>
      </c>
      <c r="E629" s="33" t="s">
        <v>1496</v>
      </c>
      <c r="F629" s="33" t="s">
        <v>1497</v>
      </c>
      <c r="G629" s="33" t="s">
        <v>2607</v>
      </c>
      <c r="H629" s="33" t="s">
        <v>2608</v>
      </c>
      <c r="I629" s="33" t="s">
        <v>2609</v>
      </c>
      <c r="J629" s="33">
        <v>202552</v>
      </c>
      <c r="K629" s="33" t="s">
        <v>2637</v>
      </c>
      <c r="L629" s="33" t="s">
        <v>2638</v>
      </c>
      <c r="M629" s="33" t="s">
        <v>2639</v>
      </c>
      <c r="N629" s="44">
        <v>42151696</v>
      </c>
      <c r="O629" s="33" t="s">
        <v>2780</v>
      </c>
      <c r="P629" s="33" t="s">
        <v>2781</v>
      </c>
      <c r="Q629" s="34" t="s">
        <v>1494</v>
      </c>
      <c r="R629" s="34" t="s">
        <v>1494</v>
      </c>
    </row>
    <row r="630" spans="1:18" ht="15" customHeight="1" x14ac:dyDescent="0.25">
      <c r="A630" t="str">
        <f>IFERROR(RANK(B630,$B:$B,1)+COUNTIF($B$1:B629,B630),"")</f>
        <v/>
      </c>
      <c r="B630" t="str">
        <f>IFERROR(SEARCH(#REF!,Table4[[#This Row],[Commodity Title]],1),"")</f>
        <v/>
      </c>
      <c r="C630" s="35">
        <v>42151697</v>
      </c>
      <c r="D630" s="33" t="s">
        <v>1495</v>
      </c>
      <c r="E630" s="33" t="s">
        <v>1496</v>
      </c>
      <c r="F630" s="33" t="s">
        <v>1497</v>
      </c>
      <c r="G630" s="33" t="s">
        <v>2607</v>
      </c>
      <c r="H630" s="33" t="s">
        <v>2608</v>
      </c>
      <c r="I630" s="33" t="s">
        <v>2609</v>
      </c>
      <c r="J630" s="33">
        <v>208412</v>
      </c>
      <c r="K630" s="33" t="s">
        <v>2637</v>
      </c>
      <c r="L630" s="33" t="s">
        <v>2638</v>
      </c>
      <c r="M630" s="33" t="s">
        <v>2639</v>
      </c>
      <c r="N630" s="44">
        <v>42151697</v>
      </c>
      <c r="O630" s="33" t="s">
        <v>2782</v>
      </c>
      <c r="P630" s="33" t="s">
        <v>2783</v>
      </c>
      <c r="Q630" s="34" t="s">
        <v>1494</v>
      </c>
      <c r="R630" s="34" t="s">
        <v>1494</v>
      </c>
    </row>
    <row r="631" spans="1:18" ht="15" customHeight="1" x14ac:dyDescent="0.25">
      <c r="A631" t="str">
        <f>IFERROR(RANK(B631,$B:$B,1)+COUNTIF($B$1:B630,B631),"")</f>
        <v/>
      </c>
      <c r="B631" t="str">
        <f>IFERROR(SEARCH(#REF!,Table4[[#This Row],[Commodity Title]],1),"")</f>
        <v/>
      </c>
      <c r="C631" s="33" t="s">
        <v>1494</v>
      </c>
      <c r="D631" s="33" t="s">
        <v>1495</v>
      </c>
      <c r="E631" s="33" t="s">
        <v>1496</v>
      </c>
      <c r="F631" s="33" t="s">
        <v>1497</v>
      </c>
      <c r="G631" s="33" t="s">
        <v>2607</v>
      </c>
      <c r="H631" s="33" t="s">
        <v>2608</v>
      </c>
      <c r="I631" s="33" t="s">
        <v>2609</v>
      </c>
      <c r="J631" s="33">
        <v>115026</v>
      </c>
      <c r="K631" s="33" t="s">
        <v>2784</v>
      </c>
      <c r="L631" s="33" t="s">
        <v>2785</v>
      </c>
      <c r="M631" s="33" t="s">
        <v>2786</v>
      </c>
      <c r="N631" s="44" t="s">
        <v>1494</v>
      </c>
      <c r="O631" s="33" t="s">
        <v>1494</v>
      </c>
      <c r="P631" s="33" t="s">
        <v>1494</v>
      </c>
      <c r="Q631" s="34" t="s">
        <v>1494</v>
      </c>
      <c r="R631" s="34" t="s">
        <v>1494</v>
      </c>
    </row>
    <row r="632" spans="1:18" ht="15" customHeight="1" x14ac:dyDescent="0.25">
      <c r="A632" t="str">
        <f>IFERROR(RANK(B632,$B:$B,1)+COUNTIF($B$1:B631,B632),"")</f>
        <v/>
      </c>
      <c r="B632" t="str">
        <f>IFERROR(SEARCH(#REF!,Table4[[#This Row],[Commodity Title]],1),"")</f>
        <v/>
      </c>
      <c r="C632" s="35">
        <v>42151701</v>
      </c>
      <c r="D632" s="33" t="s">
        <v>1495</v>
      </c>
      <c r="E632" s="33" t="s">
        <v>1496</v>
      </c>
      <c r="F632" s="33" t="s">
        <v>1497</v>
      </c>
      <c r="G632" s="33" t="s">
        <v>2607</v>
      </c>
      <c r="H632" s="33" t="s">
        <v>2608</v>
      </c>
      <c r="I632" s="33" t="s">
        <v>2609</v>
      </c>
      <c r="J632" s="33">
        <v>115027</v>
      </c>
      <c r="K632" s="33" t="s">
        <v>2784</v>
      </c>
      <c r="L632" s="33" t="s">
        <v>2785</v>
      </c>
      <c r="M632" s="33" t="s">
        <v>2786</v>
      </c>
      <c r="N632" s="44">
        <v>42151701</v>
      </c>
      <c r="O632" s="33" t="s">
        <v>2787</v>
      </c>
      <c r="P632" s="33" t="s">
        <v>2788</v>
      </c>
      <c r="Q632" s="34" t="s">
        <v>1494</v>
      </c>
      <c r="R632" s="34" t="s">
        <v>1494</v>
      </c>
    </row>
    <row r="633" spans="1:18" ht="15" customHeight="1" x14ac:dyDescent="0.25">
      <c r="A633" t="str">
        <f>IFERROR(RANK(B633,$B:$B,1)+COUNTIF($B$1:B632,B633),"")</f>
        <v/>
      </c>
      <c r="B633" t="str">
        <f>IFERROR(SEARCH(#REF!,Table4[[#This Row],[Commodity Title]],1),"")</f>
        <v/>
      </c>
      <c r="C633" s="35">
        <v>42151702</v>
      </c>
      <c r="D633" s="33" t="s">
        <v>1495</v>
      </c>
      <c r="E633" s="33" t="s">
        <v>1496</v>
      </c>
      <c r="F633" s="33" t="s">
        <v>1497</v>
      </c>
      <c r="G633" s="33" t="s">
        <v>2607</v>
      </c>
      <c r="H633" s="33" t="s">
        <v>2608</v>
      </c>
      <c r="I633" s="33" t="s">
        <v>2609</v>
      </c>
      <c r="J633" s="33">
        <v>115028</v>
      </c>
      <c r="K633" s="33" t="s">
        <v>2784</v>
      </c>
      <c r="L633" s="33" t="s">
        <v>2785</v>
      </c>
      <c r="M633" s="33" t="s">
        <v>2786</v>
      </c>
      <c r="N633" s="44">
        <v>42151702</v>
      </c>
      <c r="O633" s="33" t="s">
        <v>2789</v>
      </c>
      <c r="P633" s="33" t="s">
        <v>2790</v>
      </c>
      <c r="Q633" s="34" t="s">
        <v>1494</v>
      </c>
      <c r="R633" s="34" t="s">
        <v>1494</v>
      </c>
    </row>
    <row r="634" spans="1:18" ht="15" customHeight="1" x14ac:dyDescent="0.25">
      <c r="A634" t="str">
        <f>IFERROR(RANK(B634,$B:$B,1)+COUNTIF($B$1:B633,B634),"")</f>
        <v/>
      </c>
      <c r="B634" t="str">
        <f>IFERROR(SEARCH(#REF!,Table4[[#This Row],[Commodity Title]],1),"")</f>
        <v/>
      </c>
      <c r="C634" s="35">
        <v>42151703</v>
      </c>
      <c r="D634" s="33" t="s">
        <v>1495</v>
      </c>
      <c r="E634" s="33" t="s">
        <v>1496</v>
      </c>
      <c r="F634" s="33" t="s">
        <v>1497</v>
      </c>
      <c r="G634" s="33" t="s">
        <v>2607</v>
      </c>
      <c r="H634" s="33" t="s">
        <v>2608</v>
      </c>
      <c r="I634" s="33" t="s">
        <v>2609</v>
      </c>
      <c r="J634" s="33">
        <v>142041</v>
      </c>
      <c r="K634" s="33" t="s">
        <v>2784</v>
      </c>
      <c r="L634" s="33" t="s">
        <v>2785</v>
      </c>
      <c r="M634" s="33" t="s">
        <v>2786</v>
      </c>
      <c r="N634" s="44">
        <v>42151703</v>
      </c>
      <c r="O634" s="33" t="s">
        <v>2791</v>
      </c>
      <c r="P634" s="33" t="s">
        <v>2792</v>
      </c>
      <c r="Q634" s="34" t="s">
        <v>1494</v>
      </c>
      <c r="R634" s="34" t="s">
        <v>1494</v>
      </c>
    </row>
    <row r="635" spans="1:18" ht="15" customHeight="1" x14ac:dyDescent="0.25">
      <c r="A635" t="str">
        <f>IFERROR(RANK(B635,$B:$B,1)+COUNTIF($B$1:B634,B635),"")</f>
        <v/>
      </c>
      <c r="B635" t="str">
        <f>IFERROR(SEARCH(#REF!,Table4[[#This Row],[Commodity Title]],1),"")</f>
        <v/>
      </c>
      <c r="C635" s="35">
        <v>42151704</v>
      </c>
      <c r="D635" s="33" t="s">
        <v>1495</v>
      </c>
      <c r="E635" s="33" t="s">
        <v>1496</v>
      </c>
      <c r="F635" s="33" t="s">
        <v>1497</v>
      </c>
      <c r="G635" s="33" t="s">
        <v>2607</v>
      </c>
      <c r="H635" s="33" t="s">
        <v>2608</v>
      </c>
      <c r="I635" s="33" t="s">
        <v>2609</v>
      </c>
      <c r="J635" s="33">
        <v>142367</v>
      </c>
      <c r="K635" s="33" t="s">
        <v>2784</v>
      </c>
      <c r="L635" s="33" t="s">
        <v>2785</v>
      </c>
      <c r="M635" s="33" t="s">
        <v>2786</v>
      </c>
      <c r="N635" s="44">
        <v>42151704</v>
      </c>
      <c r="O635" s="33" t="s">
        <v>2793</v>
      </c>
      <c r="P635" s="33" t="s">
        <v>2794</v>
      </c>
      <c r="Q635" s="34" t="s">
        <v>1494</v>
      </c>
      <c r="R635" s="34" t="s">
        <v>1494</v>
      </c>
    </row>
    <row r="636" spans="1:18" ht="15" customHeight="1" x14ac:dyDescent="0.25">
      <c r="A636" t="str">
        <f>IFERROR(RANK(B636,$B:$B,1)+COUNTIF($B$1:B635,B636),"")</f>
        <v/>
      </c>
      <c r="B636" t="str">
        <f>IFERROR(SEARCH(#REF!,Table4[[#This Row],[Commodity Title]],1),"")</f>
        <v/>
      </c>
      <c r="C636" s="35">
        <v>42151705</v>
      </c>
      <c r="D636" s="33" t="s">
        <v>1495</v>
      </c>
      <c r="E636" s="33" t="s">
        <v>1496</v>
      </c>
      <c r="F636" s="33" t="s">
        <v>1497</v>
      </c>
      <c r="G636" s="33" t="s">
        <v>2607</v>
      </c>
      <c r="H636" s="33" t="s">
        <v>2608</v>
      </c>
      <c r="I636" s="33" t="s">
        <v>2609</v>
      </c>
      <c r="J636" s="33">
        <v>142368</v>
      </c>
      <c r="K636" s="33" t="s">
        <v>2784</v>
      </c>
      <c r="L636" s="33" t="s">
        <v>2785</v>
      </c>
      <c r="M636" s="33" t="s">
        <v>2786</v>
      </c>
      <c r="N636" s="44">
        <v>42151705</v>
      </c>
      <c r="O636" s="33" t="s">
        <v>2795</v>
      </c>
      <c r="P636" s="33" t="s">
        <v>2796</v>
      </c>
      <c r="Q636" s="34" t="s">
        <v>1494</v>
      </c>
      <c r="R636" s="34" t="s">
        <v>1494</v>
      </c>
    </row>
    <row r="637" spans="1:18" ht="15" customHeight="1" x14ac:dyDescent="0.25">
      <c r="A637" t="str">
        <f>IFERROR(RANK(B637,$B:$B,1)+COUNTIF($B$1:B636,B637),"")</f>
        <v/>
      </c>
      <c r="B637" t="str">
        <f>IFERROR(SEARCH(#REF!,Table4[[#This Row],[Commodity Title]],1),"")</f>
        <v/>
      </c>
      <c r="C637" s="35">
        <v>42151706</v>
      </c>
      <c r="D637" s="33" t="s">
        <v>1495</v>
      </c>
      <c r="E637" s="33" t="s">
        <v>1496</v>
      </c>
      <c r="F637" s="33" t="s">
        <v>1497</v>
      </c>
      <c r="G637" s="33" t="s">
        <v>2607</v>
      </c>
      <c r="H637" s="33" t="s">
        <v>2608</v>
      </c>
      <c r="I637" s="33" t="s">
        <v>2609</v>
      </c>
      <c r="J637" s="33">
        <v>202553</v>
      </c>
      <c r="K637" s="33" t="s">
        <v>2784</v>
      </c>
      <c r="L637" s="33" t="s">
        <v>2785</v>
      </c>
      <c r="M637" s="33" t="s">
        <v>2786</v>
      </c>
      <c r="N637" s="44">
        <v>42151706</v>
      </c>
      <c r="O637" s="33" t="s">
        <v>2797</v>
      </c>
      <c r="P637" s="33" t="s">
        <v>2798</v>
      </c>
      <c r="Q637" s="34" t="s">
        <v>1494</v>
      </c>
      <c r="R637" s="34" t="s">
        <v>1494</v>
      </c>
    </row>
    <row r="638" spans="1:18" ht="15" customHeight="1" x14ac:dyDescent="0.25">
      <c r="A638" t="str">
        <f>IFERROR(RANK(B638,$B:$B,1)+COUNTIF($B$1:B637,B638),"")</f>
        <v/>
      </c>
      <c r="B638" t="str">
        <f>IFERROR(SEARCH(#REF!,Table4[[#This Row],[Commodity Title]],1),"")</f>
        <v/>
      </c>
      <c r="C638" s="35">
        <v>42151707</v>
      </c>
      <c r="D638" s="33" t="s">
        <v>1495</v>
      </c>
      <c r="E638" s="33" t="s">
        <v>1496</v>
      </c>
      <c r="F638" s="33" t="s">
        <v>1497</v>
      </c>
      <c r="G638" s="33" t="s">
        <v>2607</v>
      </c>
      <c r="H638" s="33" t="s">
        <v>2608</v>
      </c>
      <c r="I638" s="33" t="s">
        <v>2609</v>
      </c>
      <c r="J638" s="33">
        <v>202554</v>
      </c>
      <c r="K638" s="33" t="s">
        <v>2784</v>
      </c>
      <c r="L638" s="33" t="s">
        <v>2785</v>
      </c>
      <c r="M638" s="33" t="s">
        <v>2786</v>
      </c>
      <c r="N638" s="44">
        <v>42151707</v>
      </c>
      <c r="O638" s="33" t="s">
        <v>2799</v>
      </c>
      <c r="P638" s="33" t="s">
        <v>2800</v>
      </c>
      <c r="Q638" s="34" t="s">
        <v>1494</v>
      </c>
      <c r="R638" s="34" t="s">
        <v>1494</v>
      </c>
    </row>
    <row r="639" spans="1:18" ht="15" customHeight="1" x14ac:dyDescent="0.25">
      <c r="A639" t="str">
        <f>IFERROR(RANK(B639,$B:$B,1)+COUNTIF($B$1:B638,B639),"")</f>
        <v/>
      </c>
      <c r="B639" t="str">
        <f>IFERROR(SEARCH(#REF!,Table4[[#This Row],[Commodity Title]],1),"")</f>
        <v/>
      </c>
      <c r="C639" s="35">
        <v>42151708</v>
      </c>
      <c r="D639" s="33" t="s">
        <v>1495</v>
      </c>
      <c r="E639" s="33" t="s">
        <v>1496</v>
      </c>
      <c r="F639" s="33" t="s">
        <v>1497</v>
      </c>
      <c r="G639" s="33" t="s">
        <v>2607</v>
      </c>
      <c r="H639" s="33" t="s">
        <v>2608</v>
      </c>
      <c r="I639" s="33" t="s">
        <v>2609</v>
      </c>
      <c r="J639" s="33">
        <v>202555</v>
      </c>
      <c r="K639" s="33" t="s">
        <v>2784</v>
      </c>
      <c r="L639" s="33" t="s">
        <v>2785</v>
      </c>
      <c r="M639" s="33" t="s">
        <v>2786</v>
      </c>
      <c r="N639" s="44">
        <v>42151708</v>
      </c>
      <c r="O639" s="33" t="s">
        <v>2801</v>
      </c>
      <c r="P639" s="33" t="s">
        <v>2802</v>
      </c>
      <c r="Q639" s="34" t="s">
        <v>1494</v>
      </c>
      <c r="R639" s="34" t="s">
        <v>1494</v>
      </c>
    </row>
    <row r="640" spans="1:18" ht="15" customHeight="1" x14ac:dyDescent="0.25">
      <c r="A640" t="str">
        <f>IFERROR(RANK(B640,$B:$B,1)+COUNTIF($B$1:B639,B640),"")</f>
        <v/>
      </c>
      <c r="B640" t="str">
        <f>IFERROR(SEARCH(#REF!,Table4[[#This Row],[Commodity Title]],1),"")</f>
        <v/>
      </c>
      <c r="C640" s="35">
        <v>42151709</v>
      </c>
      <c r="D640" s="33" t="s">
        <v>1495</v>
      </c>
      <c r="E640" s="33" t="s">
        <v>1496</v>
      </c>
      <c r="F640" s="33" t="s">
        <v>1497</v>
      </c>
      <c r="G640" s="33" t="s">
        <v>2607</v>
      </c>
      <c r="H640" s="33" t="s">
        <v>2608</v>
      </c>
      <c r="I640" s="33" t="s">
        <v>2609</v>
      </c>
      <c r="J640" s="33">
        <v>202556</v>
      </c>
      <c r="K640" s="33" t="s">
        <v>2784</v>
      </c>
      <c r="L640" s="33" t="s">
        <v>2785</v>
      </c>
      <c r="M640" s="33" t="s">
        <v>2786</v>
      </c>
      <c r="N640" s="44">
        <v>42151709</v>
      </c>
      <c r="O640" s="33" t="s">
        <v>2803</v>
      </c>
      <c r="P640" s="33" t="s">
        <v>2804</v>
      </c>
      <c r="Q640" s="34" t="s">
        <v>1494</v>
      </c>
      <c r="R640" s="34" t="s">
        <v>1494</v>
      </c>
    </row>
    <row r="641" spans="1:18" ht="15" customHeight="1" x14ac:dyDescent="0.25">
      <c r="A641" t="str">
        <f>IFERROR(RANK(B641,$B:$B,1)+COUNTIF($B$1:B640,B641),"")</f>
        <v/>
      </c>
      <c r="B641" t="str">
        <f>IFERROR(SEARCH(#REF!,Table4[[#This Row],[Commodity Title]],1),"")</f>
        <v/>
      </c>
      <c r="C641" s="33" t="s">
        <v>1494</v>
      </c>
      <c r="D641" s="33" t="s">
        <v>1495</v>
      </c>
      <c r="E641" s="33" t="s">
        <v>1496</v>
      </c>
      <c r="F641" s="33" t="s">
        <v>1497</v>
      </c>
      <c r="G641" s="33" t="s">
        <v>2607</v>
      </c>
      <c r="H641" s="33" t="s">
        <v>2608</v>
      </c>
      <c r="I641" s="33" t="s">
        <v>2609</v>
      </c>
      <c r="J641" s="33">
        <v>115029</v>
      </c>
      <c r="K641" s="33" t="s">
        <v>2805</v>
      </c>
      <c r="L641" s="33" t="s">
        <v>2806</v>
      </c>
      <c r="M641" s="33" t="s">
        <v>2807</v>
      </c>
      <c r="N641" s="44" t="s">
        <v>1494</v>
      </c>
      <c r="O641" s="33" t="s">
        <v>1494</v>
      </c>
      <c r="P641" s="33" t="s">
        <v>1494</v>
      </c>
      <c r="Q641" s="34" t="s">
        <v>1494</v>
      </c>
      <c r="R641" s="34" t="s">
        <v>1494</v>
      </c>
    </row>
    <row r="642" spans="1:18" ht="15" customHeight="1" x14ac:dyDescent="0.25">
      <c r="A642" t="str">
        <f>IFERROR(RANK(B642,$B:$B,1)+COUNTIF($B$1:B641,B642),"")</f>
        <v/>
      </c>
      <c r="B642" t="str">
        <f>IFERROR(SEARCH(#REF!,Table4[[#This Row],[Commodity Title]],1),"")</f>
        <v/>
      </c>
      <c r="C642" s="35">
        <v>42151802</v>
      </c>
      <c r="D642" s="33" t="s">
        <v>1495</v>
      </c>
      <c r="E642" s="33" t="s">
        <v>1496</v>
      </c>
      <c r="F642" s="33" t="s">
        <v>1497</v>
      </c>
      <c r="G642" s="33" t="s">
        <v>2607</v>
      </c>
      <c r="H642" s="33" t="s">
        <v>2608</v>
      </c>
      <c r="I642" s="33" t="s">
        <v>2609</v>
      </c>
      <c r="J642" s="33">
        <v>115031</v>
      </c>
      <c r="K642" s="33" t="s">
        <v>2805</v>
      </c>
      <c r="L642" s="33" t="s">
        <v>2806</v>
      </c>
      <c r="M642" s="33" t="s">
        <v>2807</v>
      </c>
      <c r="N642" s="44">
        <v>42151802</v>
      </c>
      <c r="O642" s="33" t="s">
        <v>2808</v>
      </c>
      <c r="P642" s="33" t="s">
        <v>2809</v>
      </c>
      <c r="Q642" s="34" t="s">
        <v>1494</v>
      </c>
      <c r="R642" s="34" t="s">
        <v>1494</v>
      </c>
    </row>
    <row r="643" spans="1:18" ht="15" customHeight="1" x14ac:dyDescent="0.25">
      <c r="A643" t="str">
        <f>IFERROR(RANK(B643,$B:$B,1)+COUNTIF($B$1:B642,B643),"")</f>
        <v/>
      </c>
      <c r="B643" t="str">
        <f>IFERROR(SEARCH(#REF!,Table4[[#This Row],[Commodity Title]],1),"")</f>
        <v/>
      </c>
      <c r="C643" s="35">
        <v>42151803</v>
      </c>
      <c r="D643" s="33" t="s">
        <v>1495</v>
      </c>
      <c r="E643" s="33" t="s">
        <v>1496</v>
      </c>
      <c r="F643" s="33" t="s">
        <v>1497</v>
      </c>
      <c r="G643" s="33" t="s">
        <v>2607</v>
      </c>
      <c r="H643" s="33" t="s">
        <v>2608</v>
      </c>
      <c r="I643" s="33" t="s">
        <v>2609</v>
      </c>
      <c r="J643" s="33">
        <v>115032</v>
      </c>
      <c r="K643" s="33" t="s">
        <v>2805</v>
      </c>
      <c r="L643" s="33" t="s">
        <v>2806</v>
      </c>
      <c r="M643" s="33" t="s">
        <v>2807</v>
      </c>
      <c r="N643" s="44">
        <v>42151803</v>
      </c>
      <c r="O643" s="33" t="s">
        <v>2810</v>
      </c>
      <c r="P643" s="33" t="s">
        <v>2811</v>
      </c>
      <c r="Q643" s="34" t="s">
        <v>1494</v>
      </c>
      <c r="R643" s="34" t="s">
        <v>1494</v>
      </c>
    </row>
    <row r="644" spans="1:18" ht="15" customHeight="1" x14ac:dyDescent="0.25">
      <c r="A644" t="str">
        <f>IFERROR(RANK(B644,$B:$B,1)+COUNTIF($B$1:B643,B644),"")</f>
        <v/>
      </c>
      <c r="B644" t="str">
        <f>IFERROR(SEARCH(#REF!,Table4[[#This Row],[Commodity Title]],1),"")</f>
        <v/>
      </c>
      <c r="C644" s="35">
        <v>42151804</v>
      </c>
      <c r="D644" s="33" t="s">
        <v>1495</v>
      </c>
      <c r="E644" s="33" t="s">
        <v>1496</v>
      </c>
      <c r="F644" s="33" t="s">
        <v>1497</v>
      </c>
      <c r="G644" s="33" t="s">
        <v>2607</v>
      </c>
      <c r="H644" s="33" t="s">
        <v>2608</v>
      </c>
      <c r="I644" s="33" t="s">
        <v>2609</v>
      </c>
      <c r="J644" s="33">
        <v>115033</v>
      </c>
      <c r="K644" s="33" t="s">
        <v>2805</v>
      </c>
      <c r="L644" s="33" t="s">
        <v>2806</v>
      </c>
      <c r="M644" s="33" t="s">
        <v>2807</v>
      </c>
      <c r="N644" s="44">
        <v>42151804</v>
      </c>
      <c r="O644" s="33" t="s">
        <v>2812</v>
      </c>
      <c r="P644" s="33" t="s">
        <v>2813</v>
      </c>
      <c r="Q644" s="34" t="s">
        <v>1494</v>
      </c>
      <c r="R644" s="34" t="s">
        <v>1494</v>
      </c>
    </row>
    <row r="645" spans="1:18" ht="15" customHeight="1" x14ac:dyDescent="0.25">
      <c r="A645" t="str">
        <f>IFERROR(RANK(B645,$B:$B,1)+COUNTIF($B$1:B644,B645),"")</f>
        <v/>
      </c>
      <c r="B645" t="str">
        <f>IFERROR(SEARCH(#REF!,Table4[[#This Row],[Commodity Title]],1),"")</f>
        <v/>
      </c>
      <c r="C645" s="35">
        <v>42151805</v>
      </c>
      <c r="D645" s="33" t="s">
        <v>1495</v>
      </c>
      <c r="E645" s="33" t="s">
        <v>1496</v>
      </c>
      <c r="F645" s="33" t="s">
        <v>1497</v>
      </c>
      <c r="G645" s="33" t="s">
        <v>2607</v>
      </c>
      <c r="H645" s="33" t="s">
        <v>2608</v>
      </c>
      <c r="I645" s="33" t="s">
        <v>2609</v>
      </c>
      <c r="J645" s="33">
        <v>115034</v>
      </c>
      <c r="K645" s="33" t="s">
        <v>2805</v>
      </c>
      <c r="L645" s="33" t="s">
        <v>2806</v>
      </c>
      <c r="M645" s="33" t="s">
        <v>2807</v>
      </c>
      <c r="N645" s="44">
        <v>42151805</v>
      </c>
      <c r="O645" s="33" t="s">
        <v>2814</v>
      </c>
      <c r="P645" s="33" t="s">
        <v>2815</v>
      </c>
      <c r="Q645" s="34" t="s">
        <v>1494</v>
      </c>
      <c r="R645" s="34" t="s">
        <v>1494</v>
      </c>
    </row>
    <row r="646" spans="1:18" ht="15" customHeight="1" x14ac:dyDescent="0.25">
      <c r="A646" t="str">
        <f>IFERROR(RANK(B646,$B:$B,1)+COUNTIF($B$1:B645,B646),"")</f>
        <v/>
      </c>
      <c r="B646" t="str">
        <f>IFERROR(SEARCH(#REF!,Table4[[#This Row],[Commodity Title]],1),"")</f>
        <v/>
      </c>
      <c r="C646" s="35">
        <v>42151806</v>
      </c>
      <c r="D646" s="33" t="s">
        <v>1495</v>
      </c>
      <c r="E646" s="33" t="s">
        <v>1496</v>
      </c>
      <c r="F646" s="33" t="s">
        <v>1497</v>
      </c>
      <c r="G646" s="33" t="s">
        <v>2607</v>
      </c>
      <c r="H646" s="33" t="s">
        <v>2608</v>
      </c>
      <c r="I646" s="33" t="s">
        <v>2609</v>
      </c>
      <c r="J646" s="33">
        <v>115035</v>
      </c>
      <c r="K646" s="33" t="s">
        <v>2805</v>
      </c>
      <c r="L646" s="33" t="s">
        <v>2806</v>
      </c>
      <c r="M646" s="33" t="s">
        <v>2807</v>
      </c>
      <c r="N646" s="44">
        <v>42151806</v>
      </c>
      <c r="O646" s="33" t="s">
        <v>2816</v>
      </c>
      <c r="P646" s="33" t="s">
        <v>2817</v>
      </c>
      <c r="Q646" s="34" t="s">
        <v>1494</v>
      </c>
      <c r="R646" s="34" t="s">
        <v>1494</v>
      </c>
    </row>
    <row r="647" spans="1:18" ht="15" customHeight="1" x14ac:dyDescent="0.25">
      <c r="A647" t="str">
        <f>IFERROR(RANK(B647,$B:$B,1)+COUNTIF($B$1:B646,B647),"")</f>
        <v/>
      </c>
      <c r="B647" t="str">
        <f>IFERROR(SEARCH(#REF!,Table4[[#This Row],[Commodity Title]],1),"")</f>
        <v/>
      </c>
      <c r="C647" s="35">
        <v>42151807</v>
      </c>
      <c r="D647" s="33" t="s">
        <v>1495</v>
      </c>
      <c r="E647" s="33" t="s">
        <v>1496</v>
      </c>
      <c r="F647" s="33" t="s">
        <v>1497</v>
      </c>
      <c r="G647" s="33" t="s">
        <v>2607</v>
      </c>
      <c r="H647" s="33" t="s">
        <v>2608</v>
      </c>
      <c r="I647" s="33" t="s">
        <v>2609</v>
      </c>
      <c r="J647" s="33">
        <v>142369</v>
      </c>
      <c r="K647" s="33" t="s">
        <v>2805</v>
      </c>
      <c r="L647" s="33" t="s">
        <v>2806</v>
      </c>
      <c r="M647" s="33" t="s">
        <v>2807</v>
      </c>
      <c r="N647" s="44">
        <v>42151807</v>
      </c>
      <c r="O647" s="33" t="s">
        <v>2818</v>
      </c>
      <c r="P647" s="33" t="s">
        <v>2819</v>
      </c>
      <c r="Q647" s="34" t="s">
        <v>1494</v>
      </c>
      <c r="R647" s="34" t="s">
        <v>1494</v>
      </c>
    </row>
    <row r="648" spans="1:18" ht="15" customHeight="1" x14ac:dyDescent="0.25">
      <c r="A648" t="str">
        <f>IFERROR(RANK(B648,$B:$B,1)+COUNTIF($B$1:B647,B648),"")</f>
        <v/>
      </c>
      <c r="B648" t="str">
        <f>IFERROR(SEARCH(#REF!,Table4[[#This Row],[Commodity Title]],1),"")</f>
        <v/>
      </c>
      <c r="C648" s="35">
        <v>42151808</v>
      </c>
      <c r="D648" s="33" t="s">
        <v>1495</v>
      </c>
      <c r="E648" s="33" t="s">
        <v>1496</v>
      </c>
      <c r="F648" s="33" t="s">
        <v>1497</v>
      </c>
      <c r="G648" s="33" t="s">
        <v>2607</v>
      </c>
      <c r="H648" s="33" t="s">
        <v>2608</v>
      </c>
      <c r="I648" s="33" t="s">
        <v>2609</v>
      </c>
      <c r="J648" s="33">
        <v>142370</v>
      </c>
      <c r="K648" s="33" t="s">
        <v>2805</v>
      </c>
      <c r="L648" s="33" t="s">
        <v>2806</v>
      </c>
      <c r="M648" s="33" t="s">
        <v>2807</v>
      </c>
      <c r="N648" s="44">
        <v>42151808</v>
      </c>
      <c r="O648" s="33" t="s">
        <v>2820</v>
      </c>
      <c r="P648" s="33" t="s">
        <v>2821</v>
      </c>
      <c r="Q648" s="34" t="s">
        <v>1494</v>
      </c>
      <c r="R648" s="34" t="s">
        <v>1494</v>
      </c>
    </row>
    <row r="649" spans="1:18" ht="15" customHeight="1" x14ac:dyDescent="0.25">
      <c r="A649" t="str">
        <f>IFERROR(RANK(B649,$B:$B,1)+COUNTIF($B$1:B648,B649),"")</f>
        <v/>
      </c>
      <c r="B649" t="str">
        <f>IFERROR(SEARCH(#REF!,Table4[[#This Row],[Commodity Title]],1),"")</f>
        <v/>
      </c>
      <c r="C649" s="35">
        <v>42151809</v>
      </c>
      <c r="D649" s="33" t="s">
        <v>1495</v>
      </c>
      <c r="E649" s="33" t="s">
        <v>1496</v>
      </c>
      <c r="F649" s="33" t="s">
        <v>1497</v>
      </c>
      <c r="G649" s="33" t="s">
        <v>2607</v>
      </c>
      <c r="H649" s="33" t="s">
        <v>2608</v>
      </c>
      <c r="I649" s="33" t="s">
        <v>2609</v>
      </c>
      <c r="J649" s="33">
        <v>142371</v>
      </c>
      <c r="K649" s="33" t="s">
        <v>2805</v>
      </c>
      <c r="L649" s="33" t="s">
        <v>2806</v>
      </c>
      <c r="M649" s="33" t="s">
        <v>2807</v>
      </c>
      <c r="N649" s="44">
        <v>42151809</v>
      </c>
      <c r="O649" s="33" t="s">
        <v>2822</v>
      </c>
      <c r="P649" s="33" t="s">
        <v>2823</v>
      </c>
      <c r="Q649" s="34" t="s">
        <v>1494</v>
      </c>
      <c r="R649" s="34" t="s">
        <v>1494</v>
      </c>
    </row>
    <row r="650" spans="1:18" ht="15" customHeight="1" x14ac:dyDescent="0.25">
      <c r="A650" t="str">
        <f>IFERROR(RANK(B650,$B:$B,1)+COUNTIF($B$1:B649,B650),"")</f>
        <v/>
      </c>
      <c r="B650" t="str">
        <f>IFERROR(SEARCH(#REF!,Table4[[#This Row],[Commodity Title]],1),"")</f>
        <v/>
      </c>
      <c r="C650" s="35">
        <v>42151810</v>
      </c>
      <c r="D650" s="33" t="s">
        <v>1495</v>
      </c>
      <c r="E650" s="33" t="s">
        <v>1496</v>
      </c>
      <c r="F650" s="33" t="s">
        <v>1497</v>
      </c>
      <c r="G650" s="33" t="s">
        <v>2607</v>
      </c>
      <c r="H650" s="33" t="s">
        <v>2608</v>
      </c>
      <c r="I650" s="33" t="s">
        <v>2609</v>
      </c>
      <c r="J650" s="33">
        <v>142372</v>
      </c>
      <c r="K650" s="33" t="s">
        <v>2805</v>
      </c>
      <c r="L650" s="33" t="s">
        <v>2806</v>
      </c>
      <c r="M650" s="33" t="s">
        <v>2807</v>
      </c>
      <c r="N650" s="44">
        <v>42151810</v>
      </c>
      <c r="O650" s="33" t="s">
        <v>2824</v>
      </c>
      <c r="P650" s="33" t="s">
        <v>2825</v>
      </c>
      <c r="Q650" s="34" t="s">
        <v>1494</v>
      </c>
      <c r="R650" s="34" t="s">
        <v>1494</v>
      </c>
    </row>
    <row r="651" spans="1:18" ht="15" customHeight="1" x14ac:dyDescent="0.25">
      <c r="A651" t="str">
        <f>IFERROR(RANK(B651,$B:$B,1)+COUNTIF($B$1:B650,B651),"")</f>
        <v/>
      </c>
      <c r="B651" t="str">
        <f>IFERROR(SEARCH(#REF!,Table4[[#This Row],[Commodity Title]],1),"")</f>
        <v/>
      </c>
      <c r="C651" s="35">
        <v>42151811</v>
      </c>
      <c r="D651" s="33" t="s">
        <v>1495</v>
      </c>
      <c r="E651" s="33" t="s">
        <v>1496</v>
      </c>
      <c r="F651" s="33" t="s">
        <v>1497</v>
      </c>
      <c r="G651" s="33" t="s">
        <v>2607</v>
      </c>
      <c r="H651" s="33" t="s">
        <v>2608</v>
      </c>
      <c r="I651" s="33" t="s">
        <v>2609</v>
      </c>
      <c r="J651" s="33">
        <v>142373</v>
      </c>
      <c r="K651" s="33" t="s">
        <v>2805</v>
      </c>
      <c r="L651" s="33" t="s">
        <v>2806</v>
      </c>
      <c r="M651" s="33" t="s">
        <v>2807</v>
      </c>
      <c r="N651" s="44">
        <v>42151811</v>
      </c>
      <c r="O651" s="33" t="s">
        <v>2826</v>
      </c>
      <c r="P651" s="33" t="s">
        <v>2827</v>
      </c>
      <c r="Q651" s="34" t="s">
        <v>1494</v>
      </c>
      <c r="R651" s="34" t="s">
        <v>1494</v>
      </c>
    </row>
    <row r="652" spans="1:18" ht="15" customHeight="1" x14ac:dyDescent="0.25">
      <c r="A652" t="str">
        <f>IFERROR(RANK(B652,$B:$B,1)+COUNTIF($B$1:B651,B652),"")</f>
        <v/>
      </c>
      <c r="B652" t="str">
        <f>IFERROR(SEARCH(#REF!,Table4[[#This Row],[Commodity Title]],1),"")</f>
        <v/>
      </c>
      <c r="C652" s="35">
        <v>42151812</v>
      </c>
      <c r="D652" s="33" t="s">
        <v>1495</v>
      </c>
      <c r="E652" s="33" t="s">
        <v>1496</v>
      </c>
      <c r="F652" s="33" t="s">
        <v>1497</v>
      </c>
      <c r="G652" s="33" t="s">
        <v>2607</v>
      </c>
      <c r="H652" s="33" t="s">
        <v>2608</v>
      </c>
      <c r="I652" s="33" t="s">
        <v>2609</v>
      </c>
      <c r="J652" s="33">
        <v>142374</v>
      </c>
      <c r="K652" s="33" t="s">
        <v>2805</v>
      </c>
      <c r="L652" s="33" t="s">
        <v>2806</v>
      </c>
      <c r="M652" s="33" t="s">
        <v>2807</v>
      </c>
      <c r="N652" s="44">
        <v>42151812</v>
      </c>
      <c r="O652" s="33" t="s">
        <v>2828</v>
      </c>
      <c r="P652" s="33" t="s">
        <v>2829</v>
      </c>
      <c r="Q652" s="34" t="s">
        <v>1494</v>
      </c>
      <c r="R652" s="34" t="s">
        <v>1494</v>
      </c>
    </row>
    <row r="653" spans="1:18" ht="15" customHeight="1" x14ac:dyDescent="0.25">
      <c r="A653" t="str">
        <f>IFERROR(RANK(B653,$B:$B,1)+COUNTIF($B$1:B652,B653),"")</f>
        <v/>
      </c>
      <c r="B653" t="str">
        <f>IFERROR(SEARCH(#REF!,Table4[[#This Row],[Commodity Title]],1),"")</f>
        <v/>
      </c>
      <c r="C653" s="35">
        <v>42151813</v>
      </c>
      <c r="D653" s="33" t="s">
        <v>1495</v>
      </c>
      <c r="E653" s="33" t="s">
        <v>1496</v>
      </c>
      <c r="F653" s="33" t="s">
        <v>1497</v>
      </c>
      <c r="G653" s="33" t="s">
        <v>2607</v>
      </c>
      <c r="H653" s="33" t="s">
        <v>2608</v>
      </c>
      <c r="I653" s="33" t="s">
        <v>2609</v>
      </c>
      <c r="J653" s="33">
        <v>142375</v>
      </c>
      <c r="K653" s="33" t="s">
        <v>2805</v>
      </c>
      <c r="L653" s="33" t="s">
        <v>2806</v>
      </c>
      <c r="M653" s="33" t="s">
        <v>2807</v>
      </c>
      <c r="N653" s="44">
        <v>42151813</v>
      </c>
      <c r="O653" s="33" t="s">
        <v>2830</v>
      </c>
      <c r="P653" s="33" t="s">
        <v>2831</v>
      </c>
      <c r="Q653" s="34" t="s">
        <v>1494</v>
      </c>
      <c r="R653" s="34" t="s">
        <v>1494</v>
      </c>
    </row>
    <row r="654" spans="1:18" ht="15" customHeight="1" x14ac:dyDescent="0.25">
      <c r="A654" t="str">
        <f>IFERROR(RANK(B654,$B:$B,1)+COUNTIF($B$1:B653,B654),"")</f>
        <v/>
      </c>
      <c r="B654" t="str">
        <f>IFERROR(SEARCH(#REF!,Table4[[#This Row],[Commodity Title]],1),"")</f>
        <v/>
      </c>
      <c r="C654" s="35">
        <v>42151814</v>
      </c>
      <c r="D654" s="33" t="s">
        <v>1495</v>
      </c>
      <c r="E654" s="33" t="s">
        <v>1496</v>
      </c>
      <c r="F654" s="33" t="s">
        <v>1497</v>
      </c>
      <c r="G654" s="33" t="s">
        <v>2607</v>
      </c>
      <c r="H654" s="33" t="s">
        <v>2608</v>
      </c>
      <c r="I654" s="33" t="s">
        <v>2609</v>
      </c>
      <c r="J654" s="33">
        <v>142376</v>
      </c>
      <c r="K654" s="33" t="s">
        <v>2805</v>
      </c>
      <c r="L654" s="33" t="s">
        <v>2806</v>
      </c>
      <c r="M654" s="33" t="s">
        <v>2807</v>
      </c>
      <c r="N654" s="44">
        <v>42151814</v>
      </c>
      <c r="O654" s="33" t="s">
        <v>2832</v>
      </c>
      <c r="P654" s="33" t="s">
        <v>2833</v>
      </c>
      <c r="Q654" s="34" t="s">
        <v>1494</v>
      </c>
      <c r="R654" s="34" t="s">
        <v>1494</v>
      </c>
    </row>
    <row r="655" spans="1:18" ht="15" customHeight="1" x14ac:dyDescent="0.25">
      <c r="A655" t="str">
        <f>IFERROR(RANK(B655,$B:$B,1)+COUNTIF($B$1:B654,B655),"")</f>
        <v/>
      </c>
      <c r="B655" t="str">
        <f>IFERROR(SEARCH(#REF!,Table4[[#This Row],[Commodity Title]],1),"")</f>
        <v/>
      </c>
      <c r="C655" s="35">
        <v>42151815</v>
      </c>
      <c r="D655" s="33" t="s">
        <v>1495</v>
      </c>
      <c r="E655" s="33" t="s">
        <v>1496</v>
      </c>
      <c r="F655" s="33" t="s">
        <v>1497</v>
      </c>
      <c r="G655" s="33" t="s">
        <v>2607</v>
      </c>
      <c r="H655" s="33" t="s">
        <v>2608</v>
      </c>
      <c r="I655" s="33" t="s">
        <v>2609</v>
      </c>
      <c r="J655" s="33">
        <v>142377</v>
      </c>
      <c r="K655" s="33" t="s">
        <v>2805</v>
      </c>
      <c r="L655" s="33" t="s">
        <v>2806</v>
      </c>
      <c r="M655" s="33" t="s">
        <v>2807</v>
      </c>
      <c r="N655" s="44">
        <v>42151815</v>
      </c>
      <c r="O655" s="33" t="s">
        <v>2834</v>
      </c>
      <c r="P655" s="33" t="s">
        <v>2835</v>
      </c>
      <c r="Q655" s="34" t="s">
        <v>1494</v>
      </c>
      <c r="R655" s="34" t="s">
        <v>1494</v>
      </c>
    </row>
    <row r="656" spans="1:18" ht="15" customHeight="1" x14ac:dyDescent="0.25">
      <c r="A656" t="str">
        <f>IFERROR(RANK(B656,$B:$B,1)+COUNTIF($B$1:B655,B656),"")</f>
        <v/>
      </c>
      <c r="B656" t="str">
        <f>IFERROR(SEARCH(#REF!,Table4[[#This Row],[Commodity Title]],1),"")</f>
        <v/>
      </c>
      <c r="C656" s="35">
        <v>42151817</v>
      </c>
      <c r="D656" s="33" t="s">
        <v>1495</v>
      </c>
      <c r="E656" s="33" t="s">
        <v>1496</v>
      </c>
      <c r="F656" s="33" t="s">
        <v>1497</v>
      </c>
      <c r="G656" s="33" t="s">
        <v>2607</v>
      </c>
      <c r="H656" s="33" t="s">
        <v>2608</v>
      </c>
      <c r="I656" s="33" t="s">
        <v>2609</v>
      </c>
      <c r="J656" s="33">
        <v>202557</v>
      </c>
      <c r="K656" s="33" t="s">
        <v>2805</v>
      </c>
      <c r="L656" s="33" t="s">
        <v>2806</v>
      </c>
      <c r="M656" s="33" t="s">
        <v>2807</v>
      </c>
      <c r="N656" s="44">
        <v>42151817</v>
      </c>
      <c r="O656" s="33" t="s">
        <v>2836</v>
      </c>
      <c r="P656" s="33" t="s">
        <v>2837</v>
      </c>
      <c r="Q656" s="34" t="s">
        <v>1494</v>
      </c>
      <c r="R656" s="34" t="s">
        <v>1494</v>
      </c>
    </row>
    <row r="657" spans="1:18" ht="15" customHeight="1" x14ac:dyDescent="0.25">
      <c r="A657" t="str">
        <f>IFERROR(RANK(B657,$B:$B,1)+COUNTIF($B$1:B656,B657),"")</f>
        <v/>
      </c>
      <c r="B657" t="str">
        <f>IFERROR(SEARCH(#REF!,Table4[[#This Row],[Commodity Title]],1),"")</f>
        <v/>
      </c>
      <c r="C657" s="35">
        <v>42151818</v>
      </c>
      <c r="D657" s="33" t="s">
        <v>1495</v>
      </c>
      <c r="E657" s="33" t="s">
        <v>1496</v>
      </c>
      <c r="F657" s="33" t="s">
        <v>1497</v>
      </c>
      <c r="G657" s="33" t="s">
        <v>2607</v>
      </c>
      <c r="H657" s="33" t="s">
        <v>2608</v>
      </c>
      <c r="I657" s="33" t="s">
        <v>2609</v>
      </c>
      <c r="J657" s="33">
        <v>202558</v>
      </c>
      <c r="K657" s="33" t="s">
        <v>2805</v>
      </c>
      <c r="L657" s="33" t="s">
        <v>2806</v>
      </c>
      <c r="M657" s="33" t="s">
        <v>2807</v>
      </c>
      <c r="N657" s="44">
        <v>42151818</v>
      </c>
      <c r="O657" s="33" t="s">
        <v>2838</v>
      </c>
      <c r="P657" s="33" t="s">
        <v>2839</v>
      </c>
      <c r="Q657" s="34" t="s">
        <v>1494</v>
      </c>
      <c r="R657" s="34" t="s">
        <v>1494</v>
      </c>
    </row>
    <row r="658" spans="1:18" ht="15" customHeight="1" x14ac:dyDescent="0.25">
      <c r="A658" t="str">
        <f>IFERROR(RANK(B658,$B:$B,1)+COUNTIF($B$1:B657,B658),"")</f>
        <v/>
      </c>
      <c r="B658" t="str">
        <f>IFERROR(SEARCH(#REF!,Table4[[#This Row],[Commodity Title]],1),"")</f>
        <v/>
      </c>
      <c r="C658" s="33" t="s">
        <v>1494</v>
      </c>
      <c r="D658" s="33" t="s">
        <v>1495</v>
      </c>
      <c r="E658" s="33" t="s">
        <v>1496</v>
      </c>
      <c r="F658" s="33" t="s">
        <v>1497</v>
      </c>
      <c r="G658" s="33" t="s">
        <v>2607</v>
      </c>
      <c r="H658" s="33" t="s">
        <v>2608</v>
      </c>
      <c r="I658" s="33" t="s">
        <v>2609</v>
      </c>
      <c r="J658" s="33">
        <v>115036</v>
      </c>
      <c r="K658" s="33" t="s">
        <v>2840</v>
      </c>
      <c r="L658" s="33" t="s">
        <v>2841</v>
      </c>
      <c r="M658" s="33" t="s">
        <v>2842</v>
      </c>
      <c r="N658" s="44" t="s">
        <v>1494</v>
      </c>
      <c r="O658" s="33" t="s">
        <v>1494</v>
      </c>
      <c r="P658" s="33" t="s">
        <v>1494</v>
      </c>
      <c r="Q658" s="34" t="s">
        <v>1494</v>
      </c>
      <c r="R658" s="34" t="s">
        <v>1494</v>
      </c>
    </row>
    <row r="659" spans="1:18" ht="15" customHeight="1" x14ac:dyDescent="0.25">
      <c r="A659" t="str">
        <f>IFERROR(RANK(B659,$B:$B,1)+COUNTIF($B$1:B658,B659),"")</f>
        <v/>
      </c>
      <c r="B659" t="str">
        <f>IFERROR(SEARCH(#REF!,Table4[[#This Row],[Commodity Title]],1),"")</f>
        <v/>
      </c>
      <c r="C659" s="35">
        <v>42151901</v>
      </c>
      <c r="D659" s="33" t="s">
        <v>1495</v>
      </c>
      <c r="E659" s="33" t="s">
        <v>1496</v>
      </c>
      <c r="F659" s="33" t="s">
        <v>1497</v>
      </c>
      <c r="G659" s="33" t="s">
        <v>2607</v>
      </c>
      <c r="H659" s="33" t="s">
        <v>2608</v>
      </c>
      <c r="I659" s="33" t="s">
        <v>2609</v>
      </c>
      <c r="J659" s="33">
        <v>115037</v>
      </c>
      <c r="K659" s="33" t="s">
        <v>2840</v>
      </c>
      <c r="L659" s="33" t="s">
        <v>2841</v>
      </c>
      <c r="M659" s="33" t="s">
        <v>2842</v>
      </c>
      <c r="N659" s="44">
        <v>42151901</v>
      </c>
      <c r="O659" s="33" t="s">
        <v>2843</v>
      </c>
      <c r="P659" s="33" t="s">
        <v>2844</v>
      </c>
      <c r="Q659" s="34" t="s">
        <v>1494</v>
      </c>
      <c r="R659" s="34" t="s">
        <v>1494</v>
      </c>
    </row>
    <row r="660" spans="1:18" ht="15" customHeight="1" x14ac:dyDescent="0.25">
      <c r="A660" t="str">
        <f>IFERROR(RANK(B660,$B:$B,1)+COUNTIF($B$1:B659,B660),"")</f>
        <v/>
      </c>
      <c r="B660" t="str">
        <f>IFERROR(SEARCH(#REF!,Table4[[#This Row],[Commodity Title]],1),"")</f>
        <v/>
      </c>
      <c r="C660" s="35">
        <v>42151902</v>
      </c>
      <c r="D660" s="33" t="s">
        <v>1495</v>
      </c>
      <c r="E660" s="33" t="s">
        <v>1496</v>
      </c>
      <c r="F660" s="33" t="s">
        <v>1497</v>
      </c>
      <c r="G660" s="33" t="s">
        <v>2607</v>
      </c>
      <c r="H660" s="33" t="s">
        <v>2608</v>
      </c>
      <c r="I660" s="33" t="s">
        <v>2609</v>
      </c>
      <c r="J660" s="33">
        <v>115038</v>
      </c>
      <c r="K660" s="33" t="s">
        <v>2840</v>
      </c>
      <c r="L660" s="33" t="s">
        <v>2841</v>
      </c>
      <c r="M660" s="33" t="s">
        <v>2842</v>
      </c>
      <c r="N660" s="44">
        <v>42151902</v>
      </c>
      <c r="O660" s="33" t="s">
        <v>2845</v>
      </c>
      <c r="P660" s="33" t="s">
        <v>2846</v>
      </c>
      <c r="Q660" s="34" t="s">
        <v>1494</v>
      </c>
      <c r="R660" s="34" t="s">
        <v>1494</v>
      </c>
    </row>
    <row r="661" spans="1:18" ht="15" customHeight="1" x14ac:dyDescent="0.25">
      <c r="A661" t="str">
        <f>IFERROR(RANK(B661,$B:$B,1)+COUNTIF($B$1:B660,B661),"")</f>
        <v/>
      </c>
      <c r="B661" t="str">
        <f>IFERROR(SEARCH(#REF!,Table4[[#This Row],[Commodity Title]],1),"")</f>
        <v/>
      </c>
      <c r="C661" s="35">
        <v>42151903</v>
      </c>
      <c r="D661" s="33" t="s">
        <v>1495</v>
      </c>
      <c r="E661" s="33" t="s">
        <v>1496</v>
      </c>
      <c r="F661" s="33" t="s">
        <v>1497</v>
      </c>
      <c r="G661" s="33" t="s">
        <v>2607</v>
      </c>
      <c r="H661" s="33" t="s">
        <v>2608</v>
      </c>
      <c r="I661" s="33" t="s">
        <v>2609</v>
      </c>
      <c r="J661" s="33">
        <v>115039</v>
      </c>
      <c r="K661" s="33" t="s">
        <v>2840</v>
      </c>
      <c r="L661" s="33" t="s">
        <v>2841</v>
      </c>
      <c r="M661" s="33" t="s">
        <v>2842</v>
      </c>
      <c r="N661" s="44">
        <v>42151903</v>
      </c>
      <c r="O661" s="33" t="s">
        <v>2847</v>
      </c>
      <c r="P661" s="33" t="s">
        <v>2848</v>
      </c>
      <c r="Q661" s="34" t="s">
        <v>1494</v>
      </c>
      <c r="R661" s="34" t="s">
        <v>1494</v>
      </c>
    </row>
    <row r="662" spans="1:18" ht="15" customHeight="1" x14ac:dyDescent="0.25">
      <c r="A662" t="str">
        <f>IFERROR(RANK(B662,$B:$B,1)+COUNTIF($B$1:B661,B662),"")</f>
        <v/>
      </c>
      <c r="B662" t="str">
        <f>IFERROR(SEARCH(#REF!,Table4[[#This Row],[Commodity Title]],1),"")</f>
        <v/>
      </c>
      <c r="C662" s="35">
        <v>42151904</v>
      </c>
      <c r="D662" s="33" t="s">
        <v>1495</v>
      </c>
      <c r="E662" s="33" t="s">
        <v>1496</v>
      </c>
      <c r="F662" s="33" t="s">
        <v>1497</v>
      </c>
      <c r="G662" s="33" t="s">
        <v>2607</v>
      </c>
      <c r="H662" s="33" t="s">
        <v>2608</v>
      </c>
      <c r="I662" s="33" t="s">
        <v>2609</v>
      </c>
      <c r="J662" s="33">
        <v>115040</v>
      </c>
      <c r="K662" s="33" t="s">
        <v>2840</v>
      </c>
      <c r="L662" s="33" t="s">
        <v>2841</v>
      </c>
      <c r="M662" s="33" t="s">
        <v>2842</v>
      </c>
      <c r="N662" s="44">
        <v>42151904</v>
      </c>
      <c r="O662" s="33" t="s">
        <v>2849</v>
      </c>
      <c r="P662" s="33" t="s">
        <v>2850</v>
      </c>
      <c r="Q662" s="34" t="s">
        <v>1494</v>
      </c>
      <c r="R662" s="34" t="s">
        <v>1494</v>
      </c>
    </row>
    <row r="663" spans="1:18" ht="15" customHeight="1" x14ac:dyDescent="0.25">
      <c r="A663" t="str">
        <f>IFERROR(RANK(B663,$B:$B,1)+COUNTIF($B$1:B662,B663),"")</f>
        <v/>
      </c>
      <c r="B663" t="str">
        <f>IFERROR(SEARCH(#REF!,Table4[[#This Row],[Commodity Title]],1),"")</f>
        <v/>
      </c>
      <c r="C663" s="35">
        <v>42151905</v>
      </c>
      <c r="D663" s="33" t="s">
        <v>1495</v>
      </c>
      <c r="E663" s="33" t="s">
        <v>1496</v>
      </c>
      <c r="F663" s="33" t="s">
        <v>1497</v>
      </c>
      <c r="G663" s="33" t="s">
        <v>2607</v>
      </c>
      <c r="H663" s="33" t="s">
        <v>2608</v>
      </c>
      <c r="I663" s="33" t="s">
        <v>2609</v>
      </c>
      <c r="J663" s="33">
        <v>115041</v>
      </c>
      <c r="K663" s="33" t="s">
        <v>2840</v>
      </c>
      <c r="L663" s="33" t="s">
        <v>2841</v>
      </c>
      <c r="M663" s="33" t="s">
        <v>2842</v>
      </c>
      <c r="N663" s="44">
        <v>42151905</v>
      </c>
      <c r="O663" s="33" t="s">
        <v>2851</v>
      </c>
      <c r="P663" s="33" t="s">
        <v>2852</v>
      </c>
      <c r="Q663" s="34" t="s">
        <v>1494</v>
      </c>
      <c r="R663" s="34" t="s">
        <v>1494</v>
      </c>
    </row>
    <row r="664" spans="1:18" ht="15" customHeight="1" x14ac:dyDescent="0.25">
      <c r="A664" t="str">
        <f>IFERROR(RANK(B664,$B:$B,1)+COUNTIF($B$1:B663,B664),"")</f>
        <v/>
      </c>
      <c r="B664" t="str">
        <f>IFERROR(SEARCH(#REF!,Table4[[#This Row],[Commodity Title]],1),"")</f>
        <v/>
      </c>
      <c r="C664" s="35">
        <v>42151906</v>
      </c>
      <c r="D664" s="33" t="s">
        <v>1495</v>
      </c>
      <c r="E664" s="33" t="s">
        <v>1496</v>
      </c>
      <c r="F664" s="33" t="s">
        <v>1497</v>
      </c>
      <c r="G664" s="33" t="s">
        <v>2607</v>
      </c>
      <c r="H664" s="33" t="s">
        <v>2608</v>
      </c>
      <c r="I664" s="33" t="s">
        <v>2609</v>
      </c>
      <c r="J664" s="33">
        <v>115042</v>
      </c>
      <c r="K664" s="33" t="s">
        <v>2840</v>
      </c>
      <c r="L664" s="33" t="s">
        <v>2841</v>
      </c>
      <c r="M664" s="33" t="s">
        <v>2842</v>
      </c>
      <c r="N664" s="44">
        <v>42151906</v>
      </c>
      <c r="O664" s="33" t="s">
        <v>2853</v>
      </c>
      <c r="P664" s="33" t="s">
        <v>2854</v>
      </c>
      <c r="Q664" s="34" t="s">
        <v>1494</v>
      </c>
      <c r="R664" s="34" t="s">
        <v>1494</v>
      </c>
    </row>
    <row r="665" spans="1:18" ht="15" customHeight="1" x14ac:dyDescent="0.25">
      <c r="A665" t="str">
        <f>IFERROR(RANK(B665,$B:$B,1)+COUNTIF($B$1:B664,B665),"")</f>
        <v/>
      </c>
      <c r="B665" t="str">
        <f>IFERROR(SEARCH(#REF!,Table4[[#This Row],[Commodity Title]],1),"")</f>
        <v/>
      </c>
      <c r="C665" s="35">
        <v>42151907</v>
      </c>
      <c r="D665" s="33" t="s">
        <v>1495</v>
      </c>
      <c r="E665" s="33" t="s">
        <v>1496</v>
      </c>
      <c r="F665" s="33" t="s">
        <v>1497</v>
      </c>
      <c r="G665" s="33" t="s">
        <v>2607</v>
      </c>
      <c r="H665" s="33" t="s">
        <v>2608</v>
      </c>
      <c r="I665" s="33" t="s">
        <v>2609</v>
      </c>
      <c r="J665" s="33">
        <v>142379</v>
      </c>
      <c r="K665" s="33" t="s">
        <v>2840</v>
      </c>
      <c r="L665" s="33" t="s">
        <v>2841</v>
      </c>
      <c r="M665" s="33" t="s">
        <v>2842</v>
      </c>
      <c r="N665" s="44">
        <v>42151907</v>
      </c>
      <c r="O665" s="33" t="s">
        <v>2855</v>
      </c>
      <c r="P665" s="33" t="s">
        <v>2856</v>
      </c>
      <c r="Q665" s="34" t="s">
        <v>1494</v>
      </c>
      <c r="R665" s="34" t="s">
        <v>1494</v>
      </c>
    </row>
    <row r="666" spans="1:18" ht="15" customHeight="1" x14ac:dyDescent="0.25">
      <c r="A666" t="str">
        <f>IFERROR(RANK(B666,$B:$B,1)+COUNTIF($B$1:B665,B666),"")</f>
        <v/>
      </c>
      <c r="B666" t="str">
        <f>IFERROR(SEARCH(#REF!,Table4[[#This Row],[Commodity Title]],1),"")</f>
        <v/>
      </c>
      <c r="C666" s="35">
        <v>42151908</v>
      </c>
      <c r="D666" s="33" t="s">
        <v>1495</v>
      </c>
      <c r="E666" s="33" t="s">
        <v>1496</v>
      </c>
      <c r="F666" s="33" t="s">
        <v>1497</v>
      </c>
      <c r="G666" s="33" t="s">
        <v>2607</v>
      </c>
      <c r="H666" s="33" t="s">
        <v>2608</v>
      </c>
      <c r="I666" s="33" t="s">
        <v>2609</v>
      </c>
      <c r="J666" s="33">
        <v>142380</v>
      </c>
      <c r="K666" s="33" t="s">
        <v>2840</v>
      </c>
      <c r="L666" s="33" t="s">
        <v>2841</v>
      </c>
      <c r="M666" s="33" t="s">
        <v>2842</v>
      </c>
      <c r="N666" s="44">
        <v>42151908</v>
      </c>
      <c r="O666" s="33" t="s">
        <v>2857</v>
      </c>
      <c r="P666" s="33" t="s">
        <v>2858</v>
      </c>
      <c r="Q666" s="34" t="s">
        <v>1494</v>
      </c>
      <c r="R666" s="34" t="s">
        <v>1494</v>
      </c>
    </row>
    <row r="667" spans="1:18" ht="15" customHeight="1" x14ac:dyDescent="0.25">
      <c r="A667" t="str">
        <f>IFERROR(RANK(B667,$B:$B,1)+COUNTIF($B$1:B666,B667),"")</f>
        <v/>
      </c>
      <c r="B667" t="str">
        <f>IFERROR(SEARCH(#REF!,Table4[[#This Row],[Commodity Title]],1),"")</f>
        <v/>
      </c>
      <c r="C667" s="35">
        <v>42151909</v>
      </c>
      <c r="D667" s="33" t="s">
        <v>1495</v>
      </c>
      <c r="E667" s="33" t="s">
        <v>1496</v>
      </c>
      <c r="F667" s="33" t="s">
        <v>1497</v>
      </c>
      <c r="G667" s="33" t="s">
        <v>2607</v>
      </c>
      <c r="H667" s="33" t="s">
        <v>2608</v>
      </c>
      <c r="I667" s="33" t="s">
        <v>2609</v>
      </c>
      <c r="J667" s="33">
        <v>142381</v>
      </c>
      <c r="K667" s="33" t="s">
        <v>2840</v>
      </c>
      <c r="L667" s="33" t="s">
        <v>2841</v>
      </c>
      <c r="M667" s="33" t="s">
        <v>2842</v>
      </c>
      <c r="N667" s="44">
        <v>42151909</v>
      </c>
      <c r="O667" s="33" t="s">
        <v>2859</v>
      </c>
      <c r="P667" s="33" t="s">
        <v>2860</v>
      </c>
      <c r="Q667" s="34" t="s">
        <v>1494</v>
      </c>
      <c r="R667" s="34" t="s">
        <v>1494</v>
      </c>
    </row>
    <row r="668" spans="1:18" ht="15" customHeight="1" x14ac:dyDescent="0.25">
      <c r="A668" t="str">
        <f>IFERROR(RANK(B668,$B:$B,1)+COUNTIF($B$1:B667,B668),"")</f>
        <v/>
      </c>
      <c r="B668" t="str">
        <f>IFERROR(SEARCH(#REF!,Table4[[#This Row],[Commodity Title]],1),"")</f>
        <v/>
      </c>
      <c r="C668" s="35">
        <v>42151910</v>
      </c>
      <c r="D668" s="33" t="s">
        <v>1495</v>
      </c>
      <c r="E668" s="33" t="s">
        <v>1496</v>
      </c>
      <c r="F668" s="33" t="s">
        <v>1497</v>
      </c>
      <c r="G668" s="33" t="s">
        <v>2607</v>
      </c>
      <c r="H668" s="33" t="s">
        <v>2608</v>
      </c>
      <c r="I668" s="33" t="s">
        <v>2609</v>
      </c>
      <c r="J668" s="33">
        <v>142382</v>
      </c>
      <c r="K668" s="33" t="s">
        <v>2840</v>
      </c>
      <c r="L668" s="33" t="s">
        <v>2841</v>
      </c>
      <c r="M668" s="33" t="s">
        <v>2842</v>
      </c>
      <c r="N668" s="44">
        <v>42151910</v>
      </c>
      <c r="O668" s="33" t="s">
        <v>2861</v>
      </c>
      <c r="P668" s="33" t="s">
        <v>2862</v>
      </c>
      <c r="Q668" s="34" t="s">
        <v>1494</v>
      </c>
      <c r="R668" s="34" t="s">
        <v>1494</v>
      </c>
    </row>
    <row r="669" spans="1:18" ht="15" customHeight="1" x14ac:dyDescent="0.25">
      <c r="A669" t="str">
        <f>IFERROR(RANK(B669,$B:$B,1)+COUNTIF($B$1:B668,B669),"")</f>
        <v/>
      </c>
      <c r="B669" t="str">
        <f>IFERROR(SEARCH(#REF!,Table4[[#This Row],[Commodity Title]],1),"")</f>
        <v/>
      </c>
      <c r="C669" s="35">
        <v>42151911</v>
      </c>
      <c r="D669" s="33" t="s">
        <v>1495</v>
      </c>
      <c r="E669" s="33" t="s">
        <v>1496</v>
      </c>
      <c r="F669" s="33" t="s">
        <v>1497</v>
      </c>
      <c r="G669" s="33" t="s">
        <v>2607</v>
      </c>
      <c r="H669" s="33" t="s">
        <v>2608</v>
      </c>
      <c r="I669" s="33" t="s">
        <v>2609</v>
      </c>
      <c r="J669" s="33">
        <v>142383</v>
      </c>
      <c r="K669" s="33" t="s">
        <v>2840</v>
      </c>
      <c r="L669" s="33" t="s">
        <v>2841</v>
      </c>
      <c r="M669" s="33" t="s">
        <v>2842</v>
      </c>
      <c r="N669" s="44">
        <v>42151911</v>
      </c>
      <c r="O669" s="33" t="s">
        <v>2863</v>
      </c>
      <c r="P669" s="33" t="s">
        <v>2864</v>
      </c>
      <c r="Q669" s="34" t="s">
        <v>1494</v>
      </c>
      <c r="R669" s="34" t="s">
        <v>1494</v>
      </c>
    </row>
    <row r="670" spans="1:18" ht="15" customHeight="1" x14ac:dyDescent="0.25">
      <c r="A670" t="str">
        <f>IFERROR(RANK(B670,$B:$B,1)+COUNTIF($B$1:B669,B670),"")</f>
        <v/>
      </c>
      <c r="B670" t="str">
        <f>IFERROR(SEARCH(#REF!,Table4[[#This Row],[Commodity Title]],1),"")</f>
        <v/>
      </c>
      <c r="C670" s="35">
        <v>42151912</v>
      </c>
      <c r="D670" s="33" t="s">
        <v>1495</v>
      </c>
      <c r="E670" s="33" t="s">
        <v>1496</v>
      </c>
      <c r="F670" s="33" t="s">
        <v>1497</v>
      </c>
      <c r="G670" s="33" t="s">
        <v>2607</v>
      </c>
      <c r="H670" s="33" t="s">
        <v>2608</v>
      </c>
      <c r="I670" s="33" t="s">
        <v>2609</v>
      </c>
      <c r="J670" s="33">
        <v>142384</v>
      </c>
      <c r="K670" s="33" t="s">
        <v>2840</v>
      </c>
      <c r="L670" s="33" t="s">
        <v>2841</v>
      </c>
      <c r="M670" s="33" t="s">
        <v>2842</v>
      </c>
      <c r="N670" s="44">
        <v>42151912</v>
      </c>
      <c r="O670" s="33" t="s">
        <v>2865</v>
      </c>
      <c r="P670" s="33" t="s">
        <v>2866</v>
      </c>
      <c r="Q670" s="34" t="s">
        <v>1494</v>
      </c>
      <c r="R670" s="34" t="s">
        <v>1494</v>
      </c>
    </row>
    <row r="671" spans="1:18" ht="15" customHeight="1" x14ac:dyDescent="0.25">
      <c r="A671" t="str">
        <f>IFERROR(RANK(B671,$B:$B,1)+COUNTIF($B$1:B670,B671),"")</f>
        <v/>
      </c>
      <c r="B671" t="str">
        <f>IFERROR(SEARCH(#REF!,Table4[[#This Row],[Commodity Title]],1),"")</f>
        <v/>
      </c>
      <c r="C671" s="35">
        <v>42151913</v>
      </c>
      <c r="D671" s="33" t="s">
        <v>1495</v>
      </c>
      <c r="E671" s="33" t="s">
        <v>1496</v>
      </c>
      <c r="F671" s="33" t="s">
        <v>1497</v>
      </c>
      <c r="G671" s="33" t="s">
        <v>2607</v>
      </c>
      <c r="H671" s="33" t="s">
        <v>2608</v>
      </c>
      <c r="I671" s="33" t="s">
        <v>2609</v>
      </c>
      <c r="J671" s="33">
        <v>202559</v>
      </c>
      <c r="K671" s="33" t="s">
        <v>2840</v>
      </c>
      <c r="L671" s="33" t="s">
        <v>2841</v>
      </c>
      <c r="M671" s="33" t="s">
        <v>2842</v>
      </c>
      <c r="N671" s="44">
        <v>42151913</v>
      </c>
      <c r="O671" s="33" t="s">
        <v>2867</v>
      </c>
      <c r="P671" s="33" t="s">
        <v>2868</v>
      </c>
      <c r="Q671" s="34" t="s">
        <v>1494</v>
      </c>
      <c r="R671" s="34" t="s">
        <v>1494</v>
      </c>
    </row>
    <row r="672" spans="1:18" ht="15" customHeight="1" x14ac:dyDescent="0.25">
      <c r="A672" t="str">
        <f>IFERROR(RANK(B672,$B:$B,1)+COUNTIF($B$1:B671,B672),"")</f>
        <v/>
      </c>
      <c r="B672" t="str">
        <f>IFERROR(SEARCH(#REF!,Table4[[#This Row],[Commodity Title]],1),"")</f>
        <v/>
      </c>
      <c r="C672" s="35">
        <v>42151914</v>
      </c>
      <c r="D672" s="33" t="s">
        <v>1495</v>
      </c>
      <c r="E672" s="33" t="s">
        <v>1496</v>
      </c>
      <c r="F672" s="33" t="s">
        <v>1497</v>
      </c>
      <c r="G672" s="33" t="s">
        <v>2607</v>
      </c>
      <c r="H672" s="33" t="s">
        <v>2608</v>
      </c>
      <c r="I672" s="33" t="s">
        <v>2609</v>
      </c>
      <c r="J672" s="33">
        <v>202560</v>
      </c>
      <c r="K672" s="33" t="s">
        <v>2840</v>
      </c>
      <c r="L672" s="33" t="s">
        <v>2841</v>
      </c>
      <c r="M672" s="33" t="s">
        <v>2842</v>
      </c>
      <c r="N672" s="44">
        <v>42151914</v>
      </c>
      <c r="O672" s="33" t="s">
        <v>2869</v>
      </c>
      <c r="P672" s="33" t="s">
        <v>2870</v>
      </c>
      <c r="Q672" s="34" t="s">
        <v>1494</v>
      </c>
      <c r="R672" s="34" t="s">
        <v>1494</v>
      </c>
    </row>
    <row r="673" spans="1:18" ht="15" customHeight="1" x14ac:dyDescent="0.25">
      <c r="A673" t="str">
        <f>IFERROR(RANK(B673,$B:$B,1)+COUNTIF($B$1:B672,B673),"")</f>
        <v/>
      </c>
      <c r="B673" t="str">
        <f>IFERROR(SEARCH(#REF!,Table4[[#This Row],[Commodity Title]],1),"")</f>
        <v/>
      </c>
      <c r="C673" s="33" t="s">
        <v>1494</v>
      </c>
      <c r="D673" s="33" t="s">
        <v>1495</v>
      </c>
      <c r="E673" s="33" t="s">
        <v>1496</v>
      </c>
      <c r="F673" s="33" t="s">
        <v>1497</v>
      </c>
      <c r="G673" s="33" t="s">
        <v>2607</v>
      </c>
      <c r="H673" s="33" t="s">
        <v>2608</v>
      </c>
      <c r="I673" s="33" t="s">
        <v>2609</v>
      </c>
      <c r="J673" s="33">
        <v>115043</v>
      </c>
      <c r="K673" s="33" t="s">
        <v>2871</v>
      </c>
      <c r="L673" s="33" t="s">
        <v>2872</v>
      </c>
      <c r="M673" s="33" t="s">
        <v>2873</v>
      </c>
      <c r="N673" s="44" t="s">
        <v>1494</v>
      </c>
      <c r="O673" s="33" t="s">
        <v>1494</v>
      </c>
      <c r="P673" s="33" t="s">
        <v>1494</v>
      </c>
      <c r="Q673" s="34" t="s">
        <v>1494</v>
      </c>
      <c r="R673" s="34" t="s">
        <v>1494</v>
      </c>
    </row>
    <row r="674" spans="1:18" ht="15" customHeight="1" x14ac:dyDescent="0.25">
      <c r="A674" t="str">
        <f>IFERROR(RANK(B674,$B:$B,1)+COUNTIF($B$1:B673,B674),"")</f>
        <v/>
      </c>
      <c r="B674" t="str">
        <f>IFERROR(SEARCH(#REF!,Table4[[#This Row],[Commodity Title]],1),"")</f>
        <v/>
      </c>
      <c r="C674" s="35">
        <v>42152001</v>
      </c>
      <c r="D674" s="33" t="s">
        <v>1495</v>
      </c>
      <c r="E674" s="33" t="s">
        <v>1496</v>
      </c>
      <c r="F674" s="33" t="s">
        <v>1497</v>
      </c>
      <c r="G674" s="33" t="s">
        <v>2607</v>
      </c>
      <c r="H674" s="33" t="s">
        <v>2608</v>
      </c>
      <c r="I674" s="33" t="s">
        <v>2609</v>
      </c>
      <c r="J674" s="33">
        <v>115044</v>
      </c>
      <c r="K674" s="33" t="s">
        <v>2871</v>
      </c>
      <c r="L674" s="33" t="s">
        <v>2872</v>
      </c>
      <c r="M674" s="33" t="s">
        <v>2873</v>
      </c>
      <c r="N674" s="44">
        <v>42152001</v>
      </c>
      <c r="O674" s="33" t="s">
        <v>2874</v>
      </c>
      <c r="P674" s="33" t="s">
        <v>2875</v>
      </c>
      <c r="Q674" s="34" t="s">
        <v>1494</v>
      </c>
      <c r="R674" s="34" t="s">
        <v>1494</v>
      </c>
    </row>
    <row r="675" spans="1:18" ht="15" customHeight="1" x14ac:dyDescent="0.25">
      <c r="A675" t="str">
        <f>IFERROR(RANK(B675,$B:$B,1)+COUNTIF($B$1:B674,B675),"")</f>
        <v/>
      </c>
      <c r="B675" t="str">
        <f>IFERROR(SEARCH(#REF!,Table4[[#This Row],[Commodity Title]],1),"")</f>
        <v/>
      </c>
      <c r="C675" s="35">
        <v>42152002</v>
      </c>
      <c r="D675" s="33" t="s">
        <v>1495</v>
      </c>
      <c r="E675" s="33" t="s">
        <v>1496</v>
      </c>
      <c r="F675" s="33" t="s">
        <v>1497</v>
      </c>
      <c r="G675" s="33" t="s">
        <v>2607</v>
      </c>
      <c r="H675" s="33" t="s">
        <v>2608</v>
      </c>
      <c r="I675" s="33" t="s">
        <v>2609</v>
      </c>
      <c r="J675" s="33">
        <v>115045</v>
      </c>
      <c r="K675" s="33" t="s">
        <v>2871</v>
      </c>
      <c r="L675" s="33" t="s">
        <v>2872</v>
      </c>
      <c r="M675" s="33" t="s">
        <v>2873</v>
      </c>
      <c r="N675" s="44">
        <v>42152002</v>
      </c>
      <c r="O675" s="33" t="s">
        <v>2876</v>
      </c>
      <c r="P675" s="33" t="s">
        <v>2877</v>
      </c>
      <c r="Q675" s="34" t="s">
        <v>1494</v>
      </c>
      <c r="R675" s="34" t="s">
        <v>1494</v>
      </c>
    </row>
    <row r="676" spans="1:18" ht="15" customHeight="1" x14ac:dyDescent="0.25">
      <c r="A676" t="str">
        <f>IFERROR(RANK(B676,$B:$B,1)+COUNTIF($B$1:B675,B676),"")</f>
        <v/>
      </c>
      <c r="B676" t="str">
        <f>IFERROR(SEARCH(#REF!,Table4[[#This Row],[Commodity Title]],1),"")</f>
        <v/>
      </c>
      <c r="C676" s="35">
        <v>42152003</v>
      </c>
      <c r="D676" s="33" t="s">
        <v>1495</v>
      </c>
      <c r="E676" s="33" t="s">
        <v>1496</v>
      </c>
      <c r="F676" s="33" t="s">
        <v>1497</v>
      </c>
      <c r="G676" s="33" t="s">
        <v>2607</v>
      </c>
      <c r="H676" s="33" t="s">
        <v>2608</v>
      </c>
      <c r="I676" s="33" t="s">
        <v>2609</v>
      </c>
      <c r="J676" s="33">
        <v>115046</v>
      </c>
      <c r="K676" s="33" t="s">
        <v>2871</v>
      </c>
      <c r="L676" s="33" t="s">
        <v>2872</v>
      </c>
      <c r="M676" s="33" t="s">
        <v>2873</v>
      </c>
      <c r="N676" s="44">
        <v>42152003</v>
      </c>
      <c r="O676" s="33" t="s">
        <v>2878</v>
      </c>
      <c r="P676" s="33" t="s">
        <v>2879</v>
      </c>
      <c r="Q676" s="34" t="s">
        <v>1494</v>
      </c>
      <c r="R676" s="34" t="s">
        <v>1494</v>
      </c>
    </row>
    <row r="677" spans="1:18" ht="15" customHeight="1" x14ac:dyDescent="0.25">
      <c r="A677" t="str">
        <f>IFERROR(RANK(B677,$B:$B,1)+COUNTIF($B$1:B676,B677),"")</f>
        <v/>
      </c>
      <c r="B677" t="str">
        <f>IFERROR(SEARCH(#REF!,Table4[[#This Row],[Commodity Title]],1),"")</f>
        <v/>
      </c>
      <c r="C677" s="35">
        <v>42152004</v>
      </c>
      <c r="D677" s="33" t="s">
        <v>1495</v>
      </c>
      <c r="E677" s="33" t="s">
        <v>1496</v>
      </c>
      <c r="F677" s="33" t="s">
        <v>1497</v>
      </c>
      <c r="G677" s="33" t="s">
        <v>2607</v>
      </c>
      <c r="H677" s="33" t="s">
        <v>2608</v>
      </c>
      <c r="I677" s="33" t="s">
        <v>2609</v>
      </c>
      <c r="J677" s="33">
        <v>115047</v>
      </c>
      <c r="K677" s="33" t="s">
        <v>2871</v>
      </c>
      <c r="L677" s="33" t="s">
        <v>2872</v>
      </c>
      <c r="M677" s="33" t="s">
        <v>2873</v>
      </c>
      <c r="N677" s="44">
        <v>42152004</v>
      </c>
      <c r="O677" s="33" t="s">
        <v>2880</v>
      </c>
      <c r="P677" s="33" t="s">
        <v>2881</v>
      </c>
      <c r="Q677" s="34" t="s">
        <v>1494</v>
      </c>
      <c r="R677" s="34" t="s">
        <v>1494</v>
      </c>
    </row>
    <row r="678" spans="1:18" ht="15" customHeight="1" x14ac:dyDescent="0.25">
      <c r="A678" t="str">
        <f>IFERROR(RANK(B678,$B:$B,1)+COUNTIF($B$1:B677,B678),"")</f>
        <v/>
      </c>
      <c r="B678" t="str">
        <f>IFERROR(SEARCH(#REF!,Table4[[#This Row],[Commodity Title]],1),"")</f>
        <v/>
      </c>
      <c r="C678" s="35">
        <v>42152005</v>
      </c>
      <c r="D678" s="33" t="s">
        <v>1495</v>
      </c>
      <c r="E678" s="33" t="s">
        <v>1496</v>
      </c>
      <c r="F678" s="33" t="s">
        <v>1497</v>
      </c>
      <c r="G678" s="33" t="s">
        <v>2607</v>
      </c>
      <c r="H678" s="33" t="s">
        <v>2608</v>
      </c>
      <c r="I678" s="33" t="s">
        <v>2609</v>
      </c>
      <c r="J678" s="33">
        <v>115048</v>
      </c>
      <c r="K678" s="33" t="s">
        <v>2871</v>
      </c>
      <c r="L678" s="33" t="s">
        <v>2872</v>
      </c>
      <c r="M678" s="33" t="s">
        <v>2873</v>
      </c>
      <c r="N678" s="44">
        <v>42152005</v>
      </c>
      <c r="O678" s="33" t="s">
        <v>2882</v>
      </c>
      <c r="P678" s="33" t="s">
        <v>2883</v>
      </c>
      <c r="Q678" s="34" t="s">
        <v>1494</v>
      </c>
      <c r="R678" s="34" t="s">
        <v>1494</v>
      </c>
    </row>
    <row r="679" spans="1:18" ht="15" customHeight="1" x14ac:dyDescent="0.25">
      <c r="A679" t="str">
        <f>IFERROR(RANK(B679,$B:$B,1)+COUNTIF($B$1:B678,B679),"")</f>
        <v/>
      </c>
      <c r="B679" t="str">
        <f>IFERROR(SEARCH(#REF!,Table4[[#This Row],[Commodity Title]],1),"")</f>
        <v/>
      </c>
      <c r="C679" s="35">
        <v>42152006</v>
      </c>
      <c r="D679" s="33" t="s">
        <v>1495</v>
      </c>
      <c r="E679" s="33" t="s">
        <v>1496</v>
      </c>
      <c r="F679" s="33" t="s">
        <v>1497</v>
      </c>
      <c r="G679" s="33" t="s">
        <v>2607</v>
      </c>
      <c r="H679" s="33" t="s">
        <v>2608</v>
      </c>
      <c r="I679" s="33" t="s">
        <v>2609</v>
      </c>
      <c r="J679" s="33">
        <v>115049</v>
      </c>
      <c r="K679" s="33" t="s">
        <v>2871</v>
      </c>
      <c r="L679" s="33" t="s">
        <v>2872</v>
      </c>
      <c r="M679" s="33" t="s">
        <v>2873</v>
      </c>
      <c r="N679" s="44">
        <v>42152006</v>
      </c>
      <c r="O679" s="33" t="s">
        <v>2884</v>
      </c>
      <c r="P679" s="33" t="s">
        <v>2885</v>
      </c>
      <c r="Q679" s="34" t="s">
        <v>1494</v>
      </c>
      <c r="R679" s="34" t="s">
        <v>1494</v>
      </c>
    </row>
    <row r="680" spans="1:18" ht="15" customHeight="1" x14ac:dyDescent="0.25">
      <c r="A680" t="str">
        <f>IFERROR(RANK(B680,$B:$B,1)+COUNTIF($B$1:B679,B680),"")</f>
        <v/>
      </c>
      <c r="B680" t="str">
        <f>IFERROR(SEARCH(#REF!,Table4[[#This Row],[Commodity Title]],1),"")</f>
        <v/>
      </c>
      <c r="C680" s="35">
        <v>42152007</v>
      </c>
      <c r="D680" s="33" t="s">
        <v>1495</v>
      </c>
      <c r="E680" s="33" t="s">
        <v>1496</v>
      </c>
      <c r="F680" s="33" t="s">
        <v>1497</v>
      </c>
      <c r="G680" s="33" t="s">
        <v>2607</v>
      </c>
      <c r="H680" s="33" t="s">
        <v>2608</v>
      </c>
      <c r="I680" s="33" t="s">
        <v>2609</v>
      </c>
      <c r="J680" s="33">
        <v>115050</v>
      </c>
      <c r="K680" s="33" t="s">
        <v>2871</v>
      </c>
      <c r="L680" s="33" t="s">
        <v>2872</v>
      </c>
      <c r="M680" s="33" t="s">
        <v>2873</v>
      </c>
      <c r="N680" s="44">
        <v>42152007</v>
      </c>
      <c r="O680" s="33" t="s">
        <v>2886</v>
      </c>
      <c r="P680" s="33" t="s">
        <v>2887</v>
      </c>
      <c r="Q680" s="34" t="s">
        <v>1494</v>
      </c>
      <c r="R680" s="34" t="s">
        <v>1494</v>
      </c>
    </row>
    <row r="681" spans="1:18" ht="15" customHeight="1" x14ac:dyDescent="0.25">
      <c r="A681" t="str">
        <f>IFERROR(RANK(B681,$B:$B,1)+COUNTIF($B$1:B680,B681),"")</f>
        <v/>
      </c>
      <c r="B681" t="str">
        <f>IFERROR(SEARCH(#REF!,Table4[[#This Row],[Commodity Title]],1),"")</f>
        <v/>
      </c>
      <c r="C681" s="35">
        <v>42152008</v>
      </c>
      <c r="D681" s="33" t="s">
        <v>1495</v>
      </c>
      <c r="E681" s="33" t="s">
        <v>1496</v>
      </c>
      <c r="F681" s="33" t="s">
        <v>1497</v>
      </c>
      <c r="G681" s="33" t="s">
        <v>2607</v>
      </c>
      <c r="H681" s="33" t="s">
        <v>2608</v>
      </c>
      <c r="I681" s="33" t="s">
        <v>2609</v>
      </c>
      <c r="J681" s="33">
        <v>104333</v>
      </c>
      <c r="K681" s="33" t="s">
        <v>2871</v>
      </c>
      <c r="L681" s="33" t="s">
        <v>2872</v>
      </c>
      <c r="M681" s="33" t="s">
        <v>2873</v>
      </c>
      <c r="N681" s="44">
        <v>42152008</v>
      </c>
      <c r="O681" s="33" t="s">
        <v>2888</v>
      </c>
      <c r="P681" s="33" t="s">
        <v>2889</v>
      </c>
      <c r="Q681" s="34" t="s">
        <v>1494</v>
      </c>
      <c r="R681" s="34" t="s">
        <v>1494</v>
      </c>
    </row>
    <row r="682" spans="1:18" ht="15" customHeight="1" x14ac:dyDescent="0.25">
      <c r="A682" t="str">
        <f>IFERROR(RANK(B682,$B:$B,1)+COUNTIF($B$1:B681,B682),"")</f>
        <v/>
      </c>
      <c r="B682" t="str">
        <f>IFERROR(SEARCH(#REF!,Table4[[#This Row],[Commodity Title]],1),"")</f>
        <v/>
      </c>
      <c r="C682" s="35">
        <v>42152009</v>
      </c>
      <c r="D682" s="33" t="s">
        <v>1495</v>
      </c>
      <c r="E682" s="33" t="s">
        <v>1496</v>
      </c>
      <c r="F682" s="33" t="s">
        <v>1497</v>
      </c>
      <c r="G682" s="33" t="s">
        <v>2607</v>
      </c>
      <c r="H682" s="33" t="s">
        <v>2608</v>
      </c>
      <c r="I682" s="33" t="s">
        <v>2609</v>
      </c>
      <c r="J682" s="33">
        <v>115052</v>
      </c>
      <c r="K682" s="33" t="s">
        <v>2871</v>
      </c>
      <c r="L682" s="33" t="s">
        <v>2872</v>
      </c>
      <c r="M682" s="33" t="s">
        <v>2873</v>
      </c>
      <c r="N682" s="44">
        <v>42152009</v>
      </c>
      <c r="O682" s="33" t="s">
        <v>2890</v>
      </c>
      <c r="P682" s="33" t="s">
        <v>2891</v>
      </c>
      <c r="Q682" s="34" t="s">
        <v>1494</v>
      </c>
      <c r="R682" s="34" t="s">
        <v>1494</v>
      </c>
    </row>
    <row r="683" spans="1:18" ht="15" customHeight="1" x14ac:dyDescent="0.25">
      <c r="A683" t="str">
        <f>IFERROR(RANK(B683,$B:$B,1)+COUNTIF($B$1:B682,B683),"")</f>
        <v/>
      </c>
      <c r="B683" t="str">
        <f>IFERROR(SEARCH(#REF!,Table4[[#This Row],[Commodity Title]],1),"")</f>
        <v/>
      </c>
      <c r="C683" s="35">
        <v>42152010</v>
      </c>
      <c r="D683" s="33" t="s">
        <v>1495</v>
      </c>
      <c r="E683" s="33" t="s">
        <v>1496</v>
      </c>
      <c r="F683" s="33" t="s">
        <v>1497</v>
      </c>
      <c r="G683" s="33" t="s">
        <v>2607</v>
      </c>
      <c r="H683" s="33" t="s">
        <v>2608</v>
      </c>
      <c r="I683" s="33" t="s">
        <v>2609</v>
      </c>
      <c r="J683" s="33">
        <v>115053</v>
      </c>
      <c r="K683" s="33" t="s">
        <v>2871</v>
      </c>
      <c r="L683" s="33" t="s">
        <v>2872</v>
      </c>
      <c r="M683" s="33" t="s">
        <v>2873</v>
      </c>
      <c r="N683" s="44">
        <v>42152010</v>
      </c>
      <c r="O683" s="33" t="s">
        <v>2892</v>
      </c>
      <c r="P683" s="33" t="s">
        <v>2893</v>
      </c>
      <c r="Q683" s="34" t="s">
        <v>1494</v>
      </c>
      <c r="R683" s="34" t="s">
        <v>1494</v>
      </c>
    </row>
    <row r="684" spans="1:18" ht="15" customHeight="1" x14ac:dyDescent="0.25">
      <c r="A684" t="str">
        <f>IFERROR(RANK(B684,$B:$B,1)+COUNTIF($B$1:B683,B684),"")</f>
        <v/>
      </c>
      <c r="B684" t="str">
        <f>IFERROR(SEARCH(#REF!,Table4[[#This Row],[Commodity Title]],1),"")</f>
        <v/>
      </c>
      <c r="C684" s="35">
        <v>42152011</v>
      </c>
      <c r="D684" s="33" t="s">
        <v>1495</v>
      </c>
      <c r="E684" s="33" t="s">
        <v>1496</v>
      </c>
      <c r="F684" s="33" t="s">
        <v>1497</v>
      </c>
      <c r="G684" s="33" t="s">
        <v>2607</v>
      </c>
      <c r="H684" s="33" t="s">
        <v>2608</v>
      </c>
      <c r="I684" s="33" t="s">
        <v>2609</v>
      </c>
      <c r="J684" s="33">
        <v>142385</v>
      </c>
      <c r="K684" s="33" t="s">
        <v>2871</v>
      </c>
      <c r="L684" s="33" t="s">
        <v>2872</v>
      </c>
      <c r="M684" s="33" t="s">
        <v>2873</v>
      </c>
      <c r="N684" s="44">
        <v>42152011</v>
      </c>
      <c r="O684" s="33" t="s">
        <v>2894</v>
      </c>
      <c r="P684" s="33" t="s">
        <v>2895</v>
      </c>
      <c r="Q684" s="34" t="s">
        <v>1494</v>
      </c>
      <c r="R684" s="34" t="s">
        <v>1494</v>
      </c>
    </row>
    <row r="685" spans="1:18" ht="15" customHeight="1" x14ac:dyDescent="0.25">
      <c r="A685" t="str">
        <f>IFERROR(RANK(B685,$B:$B,1)+COUNTIF($B$1:B684,B685),"")</f>
        <v/>
      </c>
      <c r="B685" t="str">
        <f>IFERROR(SEARCH(#REF!,Table4[[#This Row],[Commodity Title]],1),"")</f>
        <v/>
      </c>
      <c r="C685" s="35">
        <v>42152012</v>
      </c>
      <c r="D685" s="33" t="s">
        <v>1495</v>
      </c>
      <c r="E685" s="33" t="s">
        <v>1496</v>
      </c>
      <c r="F685" s="33" t="s">
        <v>1497</v>
      </c>
      <c r="G685" s="33" t="s">
        <v>2607</v>
      </c>
      <c r="H685" s="33" t="s">
        <v>2608</v>
      </c>
      <c r="I685" s="33" t="s">
        <v>2609</v>
      </c>
      <c r="J685" s="33">
        <v>142386</v>
      </c>
      <c r="K685" s="33" t="s">
        <v>2871</v>
      </c>
      <c r="L685" s="33" t="s">
        <v>2872</v>
      </c>
      <c r="M685" s="33" t="s">
        <v>2873</v>
      </c>
      <c r="N685" s="44">
        <v>42152012</v>
      </c>
      <c r="O685" s="33" t="s">
        <v>2896</v>
      </c>
      <c r="P685" s="33" t="s">
        <v>2897</v>
      </c>
      <c r="Q685" s="34" t="s">
        <v>1494</v>
      </c>
      <c r="R685" s="34" t="s">
        <v>1494</v>
      </c>
    </row>
    <row r="686" spans="1:18" ht="15" customHeight="1" x14ac:dyDescent="0.25">
      <c r="A686" t="str">
        <f>IFERROR(RANK(B686,$B:$B,1)+COUNTIF($B$1:B685,B686),"")</f>
        <v/>
      </c>
      <c r="B686" t="str">
        <f>IFERROR(SEARCH(#REF!,Table4[[#This Row],[Commodity Title]],1),"")</f>
        <v/>
      </c>
      <c r="C686" s="35">
        <v>42152013</v>
      </c>
      <c r="D686" s="33" t="s">
        <v>1495</v>
      </c>
      <c r="E686" s="33" t="s">
        <v>1496</v>
      </c>
      <c r="F686" s="33" t="s">
        <v>1497</v>
      </c>
      <c r="G686" s="33" t="s">
        <v>2607</v>
      </c>
      <c r="H686" s="33" t="s">
        <v>2608</v>
      </c>
      <c r="I686" s="33" t="s">
        <v>2609</v>
      </c>
      <c r="J686" s="33">
        <v>142387</v>
      </c>
      <c r="K686" s="33" t="s">
        <v>2871</v>
      </c>
      <c r="L686" s="33" t="s">
        <v>2872</v>
      </c>
      <c r="M686" s="33" t="s">
        <v>2873</v>
      </c>
      <c r="N686" s="44">
        <v>42152013</v>
      </c>
      <c r="O686" s="33" t="s">
        <v>2898</v>
      </c>
      <c r="P686" s="33" t="s">
        <v>2899</v>
      </c>
      <c r="Q686" s="34" t="s">
        <v>1494</v>
      </c>
      <c r="R686" s="34" t="s">
        <v>1494</v>
      </c>
    </row>
    <row r="687" spans="1:18" ht="15" customHeight="1" x14ac:dyDescent="0.25">
      <c r="A687" t="str">
        <f>IFERROR(RANK(B687,$B:$B,1)+COUNTIF($B$1:B686,B687),"")</f>
        <v/>
      </c>
      <c r="B687" t="str">
        <f>IFERROR(SEARCH(#REF!,Table4[[#This Row],[Commodity Title]],1),"")</f>
        <v/>
      </c>
      <c r="C687" s="35">
        <v>42152014</v>
      </c>
      <c r="D687" s="33" t="s">
        <v>1495</v>
      </c>
      <c r="E687" s="33" t="s">
        <v>1496</v>
      </c>
      <c r="F687" s="33" t="s">
        <v>1497</v>
      </c>
      <c r="G687" s="33" t="s">
        <v>2607</v>
      </c>
      <c r="H687" s="33" t="s">
        <v>2608</v>
      </c>
      <c r="I687" s="33" t="s">
        <v>2609</v>
      </c>
      <c r="J687" s="33">
        <v>143846</v>
      </c>
      <c r="K687" s="33" t="s">
        <v>2871</v>
      </c>
      <c r="L687" s="33" t="s">
        <v>2872</v>
      </c>
      <c r="M687" s="33" t="s">
        <v>2873</v>
      </c>
      <c r="N687" s="44">
        <v>42152014</v>
      </c>
      <c r="O687" s="33" t="s">
        <v>2900</v>
      </c>
      <c r="P687" s="33" t="s">
        <v>2901</v>
      </c>
      <c r="Q687" s="34" t="s">
        <v>1494</v>
      </c>
      <c r="R687" s="34" t="s">
        <v>1494</v>
      </c>
    </row>
    <row r="688" spans="1:18" ht="15" customHeight="1" x14ac:dyDescent="0.25">
      <c r="A688" t="str">
        <f>IFERROR(RANK(B688,$B:$B,1)+COUNTIF($B$1:B687,B688),"")</f>
        <v/>
      </c>
      <c r="B688" t="str">
        <f>IFERROR(SEARCH(#REF!,Table4[[#This Row],[Commodity Title]],1),"")</f>
        <v/>
      </c>
      <c r="C688" s="35">
        <v>42152015</v>
      </c>
      <c r="D688" s="33" t="s">
        <v>1495</v>
      </c>
      <c r="E688" s="33" t="s">
        <v>1496</v>
      </c>
      <c r="F688" s="33" t="s">
        <v>1497</v>
      </c>
      <c r="G688" s="33" t="s">
        <v>2607</v>
      </c>
      <c r="H688" s="33" t="s">
        <v>2608</v>
      </c>
      <c r="I688" s="33" t="s">
        <v>2609</v>
      </c>
      <c r="J688" s="33">
        <v>202561</v>
      </c>
      <c r="K688" s="33" t="s">
        <v>2871</v>
      </c>
      <c r="L688" s="33" t="s">
        <v>2872</v>
      </c>
      <c r="M688" s="33" t="s">
        <v>2873</v>
      </c>
      <c r="N688" s="44">
        <v>42152015</v>
      </c>
      <c r="O688" s="33" t="s">
        <v>2902</v>
      </c>
      <c r="P688" s="33" t="s">
        <v>2903</v>
      </c>
      <c r="Q688" s="34" t="s">
        <v>1494</v>
      </c>
      <c r="R688" s="34" t="s">
        <v>1494</v>
      </c>
    </row>
    <row r="689" spans="1:18" ht="15" customHeight="1" x14ac:dyDescent="0.25">
      <c r="A689" t="str">
        <f>IFERROR(RANK(B689,$B:$B,1)+COUNTIF($B$1:B688,B689),"")</f>
        <v/>
      </c>
      <c r="B689" t="str">
        <f>IFERROR(SEARCH(#REF!,Table4[[#This Row],[Commodity Title]],1),"")</f>
        <v/>
      </c>
      <c r="C689" s="35">
        <v>42152016</v>
      </c>
      <c r="D689" s="33" t="s">
        <v>1495</v>
      </c>
      <c r="E689" s="33" t="s">
        <v>1496</v>
      </c>
      <c r="F689" s="33" t="s">
        <v>1497</v>
      </c>
      <c r="G689" s="33" t="s">
        <v>2607</v>
      </c>
      <c r="H689" s="33" t="s">
        <v>2608</v>
      </c>
      <c r="I689" s="33" t="s">
        <v>2609</v>
      </c>
      <c r="J689" s="33">
        <v>202562</v>
      </c>
      <c r="K689" s="33" t="s">
        <v>2871</v>
      </c>
      <c r="L689" s="33" t="s">
        <v>2872</v>
      </c>
      <c r="M689" s="33" t="s">
        <v>2873</v>
      </c>
      <c r="N689" s="44">
        <v>42152016</v>
      </c>
      <c r="O689" s="33" t="s">
        <v>2904</v>
      </c>
      <c r="P689" s="33" t="s">
        <v>2905</v>
      </c>
      <c r="Q689" s="34" t="s">
        <v>1494</v>
      </c>
      <c r="R689" s="34" t="s">
        <v>1494</v>
      </c>
    </row>
    <row r="690" spans="1:18" ht="15" customHeight="1" x14ac:dyDescent="0.25">
      <c r="A690" t="str">
        <f>IFERROR(RANK(B690,$B:$B,1)+COUNTIF($B$1:B689,B690),"")</f>
        <v/>
      </c>
      <c r="B690" t="str">
        <f>IFERROR(SEARCH(#REF!,Table4[[#This Row],[Commodity Title]],1),"")</f>
        <v/>
      </c>
      <c r="C690" s="35">
        <v>42152017</v>
      </c>
      <c r="D690" s="33" t="s">
        <v>1495</v>
      </c>
      <c r="E690" s="33" t="s">
        <v>1496</v>
      </c>
      <c r="F690" s="33" t="s">
        <v>1497</v>
      </c>
      <c r="G690" s="33" t="s">
        <v>2607</v>
      </c>
      <c r="H690" s="33" t="s">
        <v>2608</v>
      </c>
      <c r="I690" s="33" t="s">
        <v>2609</v>
      </c>
      <c r="J690" s="33">
        <v>202563</v>
      </c>
      <c r="K690" s="33" t="s">
        <v>2871</v>
      </c>
      <c r="L690" s="33" t="s">
        <v>2872</v>
      </c>
      <c r="M690" s="33" t="s">
        <v>2873</v>
      </c>
      <c r="N690" s="44">
        <v>42152017</v>
      </c>
      <c r="O690" s="33" t="s">
        <v>2906</v>
      </c>
      <c r="P690" s="33" t="s">
        <v>2907</v>
      </c>
      <c r="Q690" s="34" t="s">
        <v>1494</v>
      </c>
      <c r="R690" s="34" t="s">
        <v>1494</v>
      </c>
    </row>
    <row r="691" spans="1:18" ht="15" customHeight="1" x14ac:dyDescent="0.25">
      <c r="A691" t="str">
        <f>IFERROR(RANK(B691,$B:$B,1)+COUNTIF($B$1:B690,B691),"")</f>
        <v/>
      </c>
      <c r="B691" t="str">
        <f>IFERROR(SEARCH(#REF!,Table4[[#This Row],[Commodity Title]],1),"")</f>
        <v/>
      </c>
      <c r="C691" s="35">
        <v>42152018</v>
      </c>
      <c r="D691" s="33" t="s">
        <v>1495</v>
      </c>
      <c r="E691" s="33" t="s">
        <v>1496</v>
      </c>
      <c r="F691" s="33" t="s">
        <v>1497</v>
      </c>
      <c r="G691" s="33" t="s">
        <v>2607</v>
      </c>
      <c r="H691" s="33" t="s">
        <v>2608</v>
      </c>
      <c r="I691" s="33" t="s">
        <v>2609</v>
      </c>
      <c r="J691" s="33">
        <v>174349</v>
      </c>
      <c r="K691" s="33" t="s">
        <v>2871</v>
      </c>
      <c r="L691" s="33" t="s">
        <v>2872</v>
      </c>
      <c r="M691" s="33" t="s">
        <v>2873</v>
      </c>
      <c r="N691" s="44">
        <v>42152018</v>
      </c>
      <c r="O691" s="33" t="s">
        <v>2908</v>
      </c>
      <c r="P691" s="33" t="s">
        <v>2909</v>
      </c>
      <c r="Q691" s="34" t="s">
        <v>1494</v>
      </c>
      <c r="R691" s="34" t="s">
        <v>1494</v>
      </c>
    </row>
    <row r="692" spans="1:18" ht="15" customHeight="1" x14ac:dyDescent="0.25">
      <c r="A692" t="str">
        <f>IFERROR(RANK(B692,$B:$B,1)+COUNTIF($B$1:B691,B692),"")</f>
        <v/>
      </c>
      <c r="B692" t="str">
        <f>IFERROR(SEARCH(#REF!,Table4[[#This Row],[Commodity Title]],1),"")</f>
        <v/>
      </c>
      <c r="C692" s="33" t="s">
        <v>1494</v>
      </c>
      <c r="D692" s="33" t="s">
        <v>1495</v>
      </c>
      <c r="E692" s="33" t="s">
        <v>1496</v>
      </c>
      <c r="F692" s="33" t="s">
        <v>1497</v>
      </c>
      <c r="G692" s="33" t="s">
        <v>2607</v>
      </c>
      <c r="H692" s="33" t="s">
        <v>2608</v>
      </c>
      <c r="I692" s="33" t="s">
        <v>2609</v>
      </c>
      <c r="J692" s="33">
        <v>115054</v>
      </c>
      <c r="K692" s="33" t="s">
        <v>2910</v>
      </c>
      <c r="L692" s="33" t="s">
        <v>2911</v>
      </c>
      <c r="M692" s="33" t="s">
        <v>2912</v>
      </c>
      <c r="N692" s="44" t="s">
        <v>1494</v>
      </c>
      <c r="O692" s="33" t="s">
        <v>1494</v>
      </c>
      <c r="P692" s="33" t="s">
        <v>1494</v>
      </c>
      <c r="Q692" s="34" t="s">
        <v>1494</v>
      </c>
      <c r="R692" s="34" t="s">
        <v>1494</v>
      </c>
    </row>
    <row r="693" spans="1:18" ht="15" customHeight="1" x14ac:dyDescent="0.25">
      <c r="A693" t="str">
        <f>IFERROR(RANK(B693,$B:$B,1)+COUNTIF($B$1:B692,B693),"")</f>
        <v/>
      </c>
      <c r="B693" t="str">
        <f>IFERROR(SEARCH(#REF!,Table4[[#This Row],[Commodity Title]],1),"")</f>
        <v/>
      </c>
      <c r="C693" s="35">
        <v>42152101</v>
      </c>
      <c r="D693" s="33" t="s">
        <v>1495</v>
      </c>
      <c r="E693" s="33" t="s">
        <v>1496</v>
      </c>
      <c r="F693" s="33" t="s">
        <v>1497</v>
      </c>
      <c r="G693" s="33" t="s">
        <v>2607</v>
      </c>
      <c r="H693" s="33" t="s">
        <v>2608</v>
      </c>
      <c r="I693" s="33" t="s">
        <v>2609</v>
      </c>
      <c r="J693" s="33">
        <v>115055</v>
      </c>
      <c r="K693" s="33" t="s">
        <v>2910</v>
      </c>
      <c r="L693" s="33" t="s">
        <v>2911</v>
      </c>
      <c r="M693" s="33" t="s">
        <v>2912</v>
      </c>
      <c r="N693" s="44">
        <v>42152101</v>
      </c>
      <c r="O693" s="33" t="s">
        <v>2913</v>
      </c>
      <c r="P693" s="33" t="s">
        <v>2914</v>
      </c>
      <c r="Q693" s="34" t="s">
        <v>1494</v>
      </c>
      <c r="R693" s="34" t="s">
        <v>1494</v>
      </c>
    </row>
    <row r="694" spans="1:18" ht="15" customHeight="1" x14ac:dyDescent="0.25">
      <c r="A694" t="str">
        <f>IFERROR(RANK(B694,$B:$B,1)+COUNTIF($B$1:B693,B694),"")</f>
        <v/>
      </c>
      <c r="B694" t="str">
        <f>IFERROR(SEARCH(#REF!,Table4[[#This Row],[Commodity Title]],1),"")</f>
        <v/>
      </c>
      <c r="C694" s="35">
        <v>42152102</v>
      </c>
      <c r="D694" s="33" t="s">
        <v>1495</v>
      </c>
      <c r="E694" s="33" t="s">
        <v>1496</v>
      </c>
      <c r="F694" s="33" t="s">
        <v>1497</v>
      </c>
      <c r="G694" s="33" t="s">
        <v>2607</v>
      </c>
      <c r="H694" s="33" t="s">
        <v>2608</v>
      </c>
      <c r="I694" s="33" t="s">
        <v>2609</v>
      </c>
      <c r="J694" s="33">
        <v>104534</v>
      </c>
      <c r="K694" s="33" t="s">
        <v>2910</v>
      </c>
      <c r="L694" s="33" t="s">
        <v>2911</v>
      </c>
      <c r="M694" s="33" t="s">
        <v>2912</v>
      </c>
      <c r="N694" s="44">
        <v>42152102</v>
      </c>
      <c r="O694" s="33" t="s">
        <v>2915</v>
      </c>
      <c r="P694" s="33" t="s">
        <v>2916</v>
      </c>
      <c r="Q694" s="34" t="s">
        <v>1494</v>
      </c>
      <c r="R694" s="34" t="s">
        <v>1494</v>
      </c>
    </row>
    <row r="695" spans="1:18" ht="15" customHeight="1" x14ac:dyDescent="0.25">
      <c r="A695" t="str">
        <f>IFERROR(RANK(B695,$B:$B,1)+COUNTIF($B$1:B694,B695),"")</f>
        <v/>
      </c>
      <c r="B695" t="str">
        <f>IFERROR(SEARCH(#REF!,Table4[[#This Row],[Commodity Title]],1),"")</f>
        <v/>
      </c>
      <c r="C695" s="35">
        <v>42152103</v>
      </c>
      <c r="D695" s="33" t="s">
        <v>1495</v>
      </c>
      <c r="E695" s="33" t="s">
        <v>1496</v>
      </c>
      <c r="F695" s="33" t="s">
        <v>1497</v>
      </c>
      <c r="G695" s="33" t="s">
        <v>2607</v>
      </c>
      <c r="H695" s="33" t="s">
        <v>2608</v>
      </c>
      <c r="I695" s="33" t="s">
        <v>2609</v>
      </c>
      <c r="J695" s="33">
        <v>115057</v>
      </c>
      <c r="K695" s="33" t="s">
        <v>2910</v>
      </c>
      <c r="L695" s="33" t="s">
        <v>2911</v>
      </c>
      <c r="M695" s="33" t="s">
        <v>2912</v>
      </c>
      <c r="N695" s="44">
        <v>42152103</v>
      </c>
      <c r="O695" s="33" t="s">
        <v>2917</v>
      </c>
      <c r="P695" s="33" t="s">
        <v>2918</v>
      </c>
      <c r="Q695" s="34" t="s">
        <v>1494</v>
      </c>
      <c r="R695" s="34" t="s">
        <v>1494</v>
      </c>
    </row>
    <row r="696" spans="1:18" ht="15" customHeight="1" x14ac:dyDescent="0.25">
      <c r="A696" t="str">
        <f>IFERROR(RANK(B696,$B:$B,1)+COUNTIF($B$1:B695,B696),"")</f>
        <v/>
      </c>
      <c r="B696" t="str">
        <f>IFERROR(SEARCH(#REF!,Table4[[#This Row],[Commodity Title]],1),"")</f>
        <v/>
      </c>
      <c r="C696" s="35">
        <v>42152104</v>
      </c>
      <c r="D696" s="33" t="s">
        <v>1495</v>
      </c>
      <c r="E696" s="33" t="s">
        <v>1496</v>
      </c>
      <c r="F696" s="33" t="s">
        <v>1497</v>
      </c>
      <c r="G696" s="33" t="s">
        <v>2607</v>
      </c>
      <c r="H696" s="33" t="s">
        <v>2608</v>
      </c>
      <c r="I696" s="33" t="s">
        <v>2609</v>
      </c>
      <c r="J696" s="33">
        <v>115058</v>
      </c>
      <c r="K696" s="33" t="s">
        <v>2910</v>
      </c>
      <c r="L696" s="33" t="s">
        <v>2911</v>
      </c>
      <c r="M696" s="33" t="s">
        <v>2912</v>
      </c>
      <c r="N696" s="44">
        <v>42152104</v>
      </c>
      <c r="O696" s="33" t="s">
        <v>2919</v>
      </c>
      <c r="P696" s="33" t="s">
        <v>2920</v>
      </c>
      <c r="Q696" s="34" t="s">
        <v>1494</v>
      </c>
      <c r="R696" s="34" t="s">
        <v>1494</v>
      </c>
    </row>
    <row r="697" spans="1:18" ht="15" customHeight="1" x14ac:dyDescent="0.25">
      <c r="A697" t="str">
        <f>IFERROR(RANK(B697,$B:$B,1)+COUNTIF($B$1:B696,B697),"")</f>
        <v/>
      </c>
      <c r="B697" t="str">
        <f>IFERROR(SEARCH(#REF!,Table4[[#This Row],[Commodity Title]],1),"")</f>
        <v/>
      </c>
      <c r="C697" s="35">
        <v>42152105</v>
      </c>
      <c r="D697" s="33" t="s">
        <v>1495</v>
      </c>
      <c r="E697" s="33" t="s">
        <v>1496</v>
      </c>
      <c r="F697" s="33" t="s">
        <v>1497</v>
      </c>
      <c r="G697" s="33" t="s">
        <v>2607</v>
      </c>
      <c r="H697" s="33" t="s">
        <v>2608</v>
      </c>
      <c r="I697" s="33" t="s">
        <v>2609</v>
      </c>
      <c r="J697" s="33">
        <v>104548</v>
      </c>
      <c r="K697" s="33" t="s">
        <v>2910</v>
      </c>
      <c r="L697" s="33" t="s">
        <v>2911</v>
      </c>
      <c r="M697" s="33" t="s">
        <v>2912</v>
      </c>
      <c r="N697" s="44">
        <v>42152105</v>
      </c>
      <c r="O697" s="33" t="s">
        <v>2921</v>
      </c>
      <c r="P697" s="33" t="s">
        <v>2922</v>
      </c>
      <c r="Q697" s="34" t="s">
        <v>1494</v>
      </c>
      <c r="R697" s="34" t="s">
        <v>1494</v>
      </c>
    </row>
    <row r="698" spans="1:18" ht="15" customHeight="1" x14ac:dyDescent="0.25">
      <c r="A698" t="str">
        <f>IFERROR(RANK(B698,$B:$B,1)+COUNTIF($B$1:B697,B698),"")</f>
        <v/>
      </c>
      <c r="B698" t="str">
        <f>IFERROR(SEARCH(#REF!,Table4[[#This Row],[Commodity Title]],1),"")</f>
        <v/>
      </c>
      <c r="C698" s="35">
        <v>42152106</v>
      </c>
      <c r="D698" s="33" t="s">
        <v>1495</v>
      </c>
      <c r="E698" s="33" t="s">
        <v>1496</v>
      </c>
      <c r="F698" s="33" t="s">
        <v>1497</v>
      </c>
      <c r="G698" s="33" t="s">
        <v>2607</v>
      </c>
      <c r="H698" s="33" t="s">
        <v>2608</v>
      </c>
      <c r="I698" s="33" t="s">
        <v>2609</v>
      </c>
      <c r="J698" s="33">
        <v>115060</v>
      </c>
      <c r="K698" s="33" t="s">
        <v>2910</v>
      </c>
      <c r="L698" s="33" t="s">
        <v>2911</v>
      </c>
      <c r="M698" s="33" t="s">
        <v>2912</v>
      </c>
      <c r="N698" s="44">
        <v>42152106</v>
      </c>
      <c r="O698" s="33" t="s">
        <v>2923</v>
      </c>
      <c r="P698" s="33" t="s">
        <v>2924</v>
      </c>
      <c r="Q698" s="34" t="s">
        <v>1494</v>
      </c>
      <c r="R698" s="34" t="s">
        <v>1494</v>
      </c>
    </row>
    <row r="699" spans="1:18" ht="15" customHeight="1" x14ac:dyDescent="0.25">
      <c r="A699" t="str">
        <f>IFERROR(RANK(B699,$B:$B,1)+COUNTIF($B$1:B698,B699),"")</f>
        <v/>
      </c>
      <c r="B699" t="str">
        <f>IFERROR(SEARCH(#REF!,Table4[[#This Row],[Commodity Title]],1),"")</f>
        <v/>
      </c>
      <c r="C699" s="35">
        <v>42152107</v>
      </c>
      <c r="D699" s="33" t="s">
        <v>1495</v>
      </c>
      <c r="E699" s="33" t="s">
        <v>1496</v>
      </c>
      <c r="F699" s="33" t="s">
        <v>1497</v>
      </c>
      <c r="G699" s="33" t="s">
        <v>2607</v>
      </c>
      <c r="H699" s="33" t="s">
        <v>2608</v>
      </c>
      <c r="I699" s="33" t="s">
        <v>2609</v>
      </c>
      <c r="J699" s="33">
        <v>115061</v>
      </c>
      <c r="K699" s="33" t="s">
        <v>2910</v>
      </c>
      <c r="L699" s="33" t="s">
        <v>2911</v>
      </c>
      <c r="M699" s="33" t="s">
        <v>2912</v>
      </c>
      <c r="N699" s="44">
        <v>42152107</v>
      </c>
      <c r="O699" s="33" t="s">
        <v>2925</v>
      </c>
      <c r="P699" s="33" t="s">
        <v>2926</v>
      </c>
      <c r="Q699" s="34" t="s">
        <v>1494</v>
      </c>
      <c r="R699" s="34" t="s">
        <v>1494</v>
      </c>
    </row>
    <row r="700" spans="1:18" ht="15" customHeight="1" x14ac:dyDescent="0.25">
      <c r="A700" t="str">
        <f>IFERROR(RANK(B700,$B:$B,1)+COUNTIF($B$1:B699,B700),"")</f>
        <v/>
      </c>
      <c r="B700" t="str">
        <f>IFERROR(SEARCH(#REF!,Table4[[#This Row],[Commodity Title]],1),"")</f>
        <v/>
      </c>
      <c r="C700" s="35">
        <v>42152108</v>
      </c>
      <c r="D700" s="33" t="s">
        <v>1495</v>
      </c>
      <c r="E700" s="33" t="s">
        <v>1496</v>
      </c>
      <c r="F700" s="33" t="s">
        <v>1497</v>
      </c>
      <c r="G700" s="33" t="s">
        <v>2607</v>
      </c>
      <c r="H700" s="33" t="s">
        <v>2608</v>
      </c>
      <c r="I700" s="33" t="s">
        <v>2609</v>
      </c>
      <c r="J700" s="33">
        <v>142388</v>
      </c>
      <c r="K700" s="33" t="s">
        <v>2910</v>
      </c>
      <c r="L700" s="33" t="s">
        <v>2911</v>
      </c>
      <c r="M700" s="33" t="s">
        <v>2912</v>
      </c>
      <c r="N700" s="44">
        <v>42152108</v>
      </c>
      <c r="O700" s="33" t="s">
        <v>2927</v>
      </c>
      <c r="P700" s="33" t="s">
        <v>2928</v>
      </c>
      <c r="Q700" s="34" t="s">
        <v>1494</v>
      </c>
      <c r="R700" s="34" t="s">
        <v>1494</v>
      </c>
    </row>
    <row r="701" spans="1:18" ht="15" customHeight="1" x14ac:dyDescent="0.25">
      <c r="A701" t="str">
        <f>IFERROR(RANK(B701,$B:$B,1)+COUNTIF($B$1:B700,B701),"")</f>
        <v/>
      </c>
      <c r="B701" t="str">
        <f>IFERROR(SEARCH(#REF!,Table4[[#This Row],[Commodity Title]],1),"")</f>
        <v/>
      </c>
      <c r="C701" s="35">
        <v>42152109</v>
      </c>
      <c r="D701" s="33" t="s">
        <v>1495</v>
      </c>
      <c r="E701" s="33" t="s">
        <v>1496</v>
      </c>
      <c r="F701" s="33" t="s">
        <v>1497</v>
      </c>
      <c r="G701" s="33" t="s">
        <v>2607</v>
      </c>
      <c r="H701" s="33" t="s">
        <v>2608</v>
      </c>
      <c r="I701" s="33" t="s">
        <v>2609</v>
      </c>
      <c r="J701" s="33">
        <v>142389</v>
      </c>
      <c r="K701" s="33" t="s">
        <v>2910</v>
      </c>
      <c r="L701" s="33" t="s">
        <v>2911</v>
      </c>
      <c r="M701" s="33" t="s">
        <v>2912</v>
      </c>
      <c r="N701" s="44">
        <v>42152109</v>
      </c>
      <c r="O701" s="33" t="s">
        <v>2929</v>
      </c>
      <c r="P701" s="33" t="s">
        <v>2930</v>
      </c>
      <c r="Q701" s="34" t="s">
        <v>1494</v>
      </c>
      <c r="R701" s="34" t="s">
        <v>1494</v>
      </c>
    </row>
    <row r="702" spans="1:18" ht="15" customHeight="1" x14ac:dyDescent="0.25">
      <c r="A702" t="str">
        <f>IFERROR(RANK(B702,$B:$B,1)+COUNTIF($B$1:B701,B702),"")</f>
        <v/>
      </c>
      <c r="B702" t="str">
        <f>IFERROR(SEARCH(#REF!,Table4[[#This Row],[Commodity Title]],1),"")</f>
        <v/>
      </c>
      <c r="C702" s="35">
        <v>42152110</v>
      </c>
      <c r="D702" s="33" t="s">
        <v>1495</v>
      </c>
      <c r="E702" s="33" t="s">
        <v>1496</v>
      </c>
      <c r="F702" s="33" t="s">
        <v>1497</v>
      </c>
      <c r="G702" s="33" t="s">
        <v>2607</v>
      </c>
      <c r="H702" s="33" t="s">
        <v>2608</v>
      </c>
      <c r="I702" s="33" t="s">
        <v>2609</v>
      </c>
      <c r="J702" s="33">
        <v>142390</v>
      </c>
      <c r="K702" s="33" t="s">
        <v>2910</v>
      </c>
      <c r="L702" s="33" t="s">
        <v>2911</v>
      </c>
      <c r="M702" s="33" t="s">
        <v>2912</v>
      </c>
      <c r="N702" s="44">
        <v>42152110</v>
      </c>
      <c r="O702" s="33" t="s">
        <v>2931</v>
      </c>
      <c r="P702" s="33" t="s">
        <v>2932</v>
      </c>
      <c r="Q702" s="34" t="s">
        <v>1494</v>
      </c>
      <c r="R702" s="34" t="s">
        <v>1494</v>
      </c>
    </row>
    <row r="703" spans="1:18" ht="15" customHeight="1" x14ac:dyDescent="0.25">
      <c r="A703" t="str">
        <f>IFERROR(RANK(B703,$B:$B,1)+COUNTIF($B$1:B702,B703),"")</f>
        <v/>
      </c>
      <c r="B703" t="str">
        <f>IFERROR(SEARCH(#REF!,Table4[[#This Row],[Commodity Title]],1),"")</f>
        <v/>
      </c>
      <c r="C703" s="35">
        <v>42152111</v>
      </c>
      <c r="D703" s="33" t="s">
        <v>1495</v>
      </c>
      <c r="E703" s="33" t="s">
        <v>1496</v>
      </c>
      <c r="F703" s="33" t="s">
        <v>1497</v>
      </c>
      <c r="G703" s="33" t="s">
        <v>2607</v>
      </c>
      <c r="H703" s="33" t="s">
        <v>2608</v>
      </c>
      <c r="I703" s="33" t="s">
        <v>2609</v>
      </c>
      <c r="J703" s="33">
        <v>142391</v>
      </c>
      <c r="K703" s="33" t="s">
        <v>2910</v>
      </c>
      <c r="L703" s="33" t="s">
        <v>2911</v>
      </c>
      <c r="M703" s="33" t="s">
        <v>2912</v>
      </c>
      <c r="N703" s="44">
        <v>42152111</v>
      </c>
      <c r="O703" s="33" t="s">
        <v>2933</v>
      </c>
      <c r="P703" s="33" t="s">
        <v>2934</v>
      </c>
      <c r="Q703" s="34" t="s">
        <v>1494</v>
      </c>
      <c r="R703" s="34" t="s">
        <v>1494</v>
      </c>
    </row>
    <row r="704" spans="1:18" ht="15" customHeight="1" x14ac:dyDescent="0.25">
      <c r="A704" t="str">
        <f>IFERROR(RANK(B704,$B:$B,1)+COUNTIF($B$1:B703,B704),"")</f>
        <v/>
      </c>
      <c r="B704" t="str">
        <f>IFERROR(SEARCH(#REF!,Table4[[#This Row],[Commodity Title]],1),"")</f>
        <v/>
      </c>
      <c r="C704" s="35">
        <v>42152112</v>
      </c>
      <c r="D704" s="33" t="s">
        <v>1495</v>
      </c>
      <c r="E704" s="33" t="s">
        <v>1496</v>
      </c>
      <c r="F704" s="33" t="s">
        <v>1497</v>
      </c>
      <c r="G704" s="33" t="s">
        <v>2607</v>
      </c>
      <c r="H704" s="33" t="s">
        <v>2608</v>
      </c>
      <c r="I704" s="33" t="s">
        <v>2609</v>
      </c>
      <c r="J704" s="33">
        <v>142392</v>
      </c>
      <c r="K704" s="33" t="s">
        <v>2910</v>
      </c>
      <c r="L704" s="33" t="s">
        <v>2911</v>
      </c>
      <c r="M704" s="33" t="s">
        <v>2912</v>
      </c>
      <c r="N704" s="44">
        <v>42152112</v>
      </c>
      <c r="O704" s="33" t="s">
        <v>2935</v>
      </c>
      <c r="P704" s="33" t="s">
        <v>2936</v>
      </c>
      <c r="Q704" s="34" t="s">
        <v>1494</v>
      </c>
      <c r="R704" s="34" t="s">
        <v>1494</v>
      </c>
    </row>
    <row r="705" spans="1:18" ht="15" customHeight="1" x14ac:dyDescent="0.25">
      <c r="A705" t="str">
        <f>IFERROR(RANK(B705,$B:$B,1)+COUNTIF($B$1:B704,B705),"")</f>
        <v/>
      </c>
      <c r="B705" t="str">
        <f>IFERROR(SEARCH(#REF!,Table4[[#This Row],[Commodity Title]],1),"")</f>
        <v/>
      </c>
      <c r="C705" s="35">
        <v>42152113</v>
      </c>
      <c r="D705" s="33" t="s">
        <v>1495</v>
      </c>
      <c r="E705" s="33" t="s">
        <v>1496</v>
      </c>
      <c r="F705" s="33" t="s">
        <v>1497</v>
      </c>
      <c r="G705" s="33" t="s">
        <v>2607</v>
      </c>
      <c r="H705" s="33" t="s">
        <v>2608</v>
      </c>
      <c r="I705" s="33" t="s">
        <v>2609</v>
      </c>
      <c r="J705" s="33">
        <v>142393</v>
      </c>
      <c r="K705" s="33" t="s">
        <v>2910</v>
      </c>
      <c r="L705" s="33" t="s">
        <v>2911</v>
      </c>
      <c r="M705" s="33" t="s">
        <v>2912</v>
      </c>
      <c r="N705" s="44">
        <v>42152113</v>
      </c>
      <c r="O705" s="33" t="s">
        <v>2937</v>
      </c>
      <c r="P705" s="33" t="s">
        <v>2938</v>
      </c>
      <c r="Q705" s="34" t="s">
        <v>1494</v>
      </c>
      <c r="R705" s="34" t="s">
        <v>1494</v>
      </c>
    </row>
    <row r="706" spans="1:18" ht="15" customHeight="1" x14ac:dyDescent="0.25">
      <c r="A706" t="str">
        <f>IFERROR(RANK(B706,$B:$B,1)+COUNTIF($B$1:B705,B706),"")</f>
        <v/>
      </c>
      <c r="B706" t="str">
        <f>IFERROR(SEARCH(#REF!,Table4[[#This Row],[Commodity Title]],1),"")</f>
        <v/>
      </c>
      <c r="C706" s="35">
        <v>42152114</v>
      </c>
      <c r="D706" s="33" t="s">
        <v>1495</v>
      </c>
      <c r="E706" s="33" t="s">
        <v>1496</v>
      </c>
      <c r="F706" s="33" t="s">
        <v>1497</v>
      </c>
      <c r="G706" s="33" t="s">
        <v>2607</v>
      </c>
      <c r="H706" s="33" t="s">
        <v>2608</v>
      </c>
      <c r="I706" s="33" t="s">
        <v>2609</v>
      </c>
      <c r="J706" s="33">
        <v>142394</v>
      </c>
      <c r="K706" s="33" t="s">
        <v>2910</v>
      </c>
      <c r="L706" s="33" t="s">
        <v>2911</v>
      </c>
      <c r="M706" s="33" t="s">
        <v>2912</v>
      </c>
      <c r="N706" s="44">
        <v>42152114</v>
      </c>
      <c r="O706" s="33" t="s">
        <v>2939</v>
      </c>
      <c r="P706" s="33" t="s">
        <v>2940</v>
      </c>
      <c r="Q706" s="34" t="s">
        <v>1494</v>
      </c>
      <c r="R706" s="34" t="s">
        <v>1494</v>
      </c>
    </row>
    <row r="707" spans="1:18" ht="15" customHeight="1" x14ac:dyDescent="0.25">
      <c r="A707" t="str">
        <f>IFERROR(RANK(B707,$B:$B,1)+COUNTIF($B$1:B706,B707),"")</f>
        <v/>
      </c>
      <c r="B707" t="str">
        <f>IFERROR(SEARCH(#REF!,Table4[[#This Row],[Commodity Title]],1),"")</f>
        <v/>
      </c>
      <c r="C707" s="35">
        <v>42152115</v>
      </c>
      <c r="D707" s="33" t="s">
        <v>1495</v>
      </c>
      <c r="E707" s="33" t="s">
        <v>1496</v>
      </c>
      <c r="F707" s="33" t="s">
        <v>1497</v>
      </c>
      <c r="G707" s="33" t="s">
        <v>2607</v>
      </c>
      <c r="H707" s="33" t="s">
        <v>2608</v>
      </c>
      <c r="I707" s="33" t="s">
        <v>2609</v>
      </c>
      <c r="J707" s="33">
        <v>142395</v>
      </c>
      <c r="K707" s="33" t="s">
        <v>2910</v>
      </c>
      <c r="L707" s="33" t="s">
        <v>2911</v>
      </c>
      <c r="M707" s="33" t="s">
        <v>2912</v>
      </c>
      <c r="N707" s="44">
        <v>42152115</v>
      </c>
      <c r="O707" s="33" t="s">
        <v>2941</v>
      </c>
      <c r="P707" s="33" t="s">
        <v>2942</v>
      </c>
      <c r="Q707" s="34" t="s">
        <v>1494</v>
      </c>
      <c r="R707" s="34" t="s">
        <v>1494</v>
      </c>
    </row>
    <row r="708" spans="1:18" ht="15" customHeight="1" x14ac:dyDescent="0.25">
      <c r="A708" t="str">
        <f>IFERROR(RANK(B708,$B:$B,1)+COUNTIF($B$1:B707,B708),"")</f>
        <v/>
      </c>
      <c r="B708" t="str">
        <f>IFERROR(SEARCH(#REF!,Table4[[#This Row],[Commodity Title]],1),"")</f>
        <v/>
      </c>
      <c r="C708" s="35">
        <v>42152116</v>
      </c>
      <c r="D708" s="33" t="s">
        <v>1495</v>
      </c>
      <c r="E708" s="33" t="s">
        <v>1496</v>
      </c>
      <c r="F708" s="33" t="s">
        <v>1497</v>
      </c>
      <c r="G708" s="33" t="s">
        <v>2607</v>
      </c>
      <c r="H708" s="33" t="s">
        <v>2608</v>
      </c>
      <c r="I708" s="33" t="s">
        <v>2609</v>
      </c>
      <c r="J708" s="33">
        <v>202564</v>
      </c>
      <c r="K708" s="33" t="s">
        <v>2910</v>
      </c>
      <c r="L708" s="33" t="s">
        <v>2911</v>
      </c>
      <c r="M708" s="33" t="s">
        <v>2912</v>
      </c>
      <c r="N708" s="44">
        <v>42152116</v>
      </c>
      <c r="O708" s="33" t="s">
        <v>2943</v>
      </c>
      <c r="P708" s="33" t="s">
        <v>2944</v>
      </c>
      <c r="Q708" s="34" t="s">
        <v>1494</v>
      </c>
      <c r="R708" s="34" t="s">
        <v>1494</v>
      </c>
    </row>
    <row r="709" spans="1:18" ht="15" customHeight="1" x14ac:dyDescent="0.25">
      <c r="A709" t="str">
        <f>IFERROR(RANK(B709,$B:$B,1)+COUNTIF($B$1:B708,B709),"")</f>
        <v/>
      </c>
      <c r="B709" t="str">
        <f>IFERROR(SEARCH(#REF!,Table4[[#This Row],[Commodity Title]],1),"")</f>
        <v/>
      </c>
      <c r="C709" s="35">
        <v>42152117</v>
      </c>
      <c r="D709" s="33" t="s">
        <v>1495</v>
      </c>
      <c r="E709" s="33" t="s">
        <v>1496</v>
      </c>
      <c r="F709" s="33" t="s">
        <v>1497</v>
      </c>
      <c r="G709" s="33" t="s">
        <v>2607</v>
      </c>
      <c r="H709" s="33" t="s">
        <v>2608</v>
      </c>
      <c r="I709" s="33" t="s">
        <v>2609</v>
      </c>
      <c r="J709" s="33">
        <v>202565</v>
      </c>
      <c r="K709" s="33" t="s">
        <v>2910</v>
      </c>
      <c r="L709" s="33" t="s">
        <v>2911</v>
      </c>
      <c r="M709" s="33" t="s">
        <v>2912</v>
      </c>
      <c r="N709" s="44">
        <v>42152117</v>
      </c>
      <c r="O709" s="33" t="s">
        <v>2945</v>
      </c>
      <c r="P709" s="33" t="s">
        <v>2946</v>
      </c>
      <c r="Q709" s="34" t="s">
        <v>1494</v>
      </c>
      <c r="R709" s="34" t="s">
        <v>1494</v>
      </c>
    </row>
    <row r="710" spans="1:18" ht="15" customHeight="1" x14ac:dyDescent="0.25">
      <c r="A710" t="str">
        <f>IFERROR(RANK(B710,$B:$B,1)+COUNTIF($B$1:B709,B710),"")</f>
        <v/>
      </c>
      <c r="B710" t="str">
        <f>IFERROR(SEARCH(#REF!,Table4[[#This Row],[Commodity Title]],1),"")</f>
        <v/>
      </c>
      <c r="C710" s="35">
        <v>42152118</v>
      </c>
      <c r="D710" s="33" t="s">
        <v>1495</v>
      </c>
      <c r="E710" s="33" t="s">
        <v>1496</v>
      </c>
      <c r="F710" s="33" t="s">
        <v>1497</v>
      </c>
      <c r="G710" s="33" t="s">
        <v>2607</v>
      </c>
      <c r="H710" s="33" t="s">
        <v>2608</v>
      </c>
      <c r="I710" s="33" t="s">
        <v>2609</v>
      </c>
      <c r="J710" s="33">
        <v>202566</v>
      </c>
      <c r="K710" s="33" t="s">
        <v>2910</v>
      </c>
      <c r="L710" s="33" t="s">
        <v>2911</v>
      </c>
      <c r="M710" s="33" t="s">
        <v>2912</v>
      </c>
      <c r="N710" s="44">
        <v>42152118</v>
      </c>
      <c r="O710" s="33" t="s">
        <v>2947</v>
      </c>
      <c r="P710" s="33" t="s">
        <v>2948</v>
      </c>
      <c r="Q710" s="34" t="s">
        <v>1494</v>
      </c>
      <c r="R710" s="34" t="s">
        <v>1494</v>
      </c>
    </row>
    <row r="711" spans="1:18" ht="15" customHeight="1" x14ac:dyDescent="0.25">
      <c r="A711" t="str">
        <f>IFERROR(RANK(B711,$B:$B,1)+COUNTIF($B$1:B710,B711),"")</f>
        <v/>
      </c>
      <c r="B711" t="str">
        <f>IFERROR(SEARCH(#REF!,Table4[[#This Row],[Commodity Title]],1),"")</f>
        <v/>
      </c>
      <c r="C711" s="35">
        <v>42152119</v>
      </c>
      <c r="D711" s="33" t="s">
        <v>1495</v>
      </c>
      <c r="E711" s="33" t="s">
        <v>1496</v>
      </c>
      <c r="F711" s="33" t="s">
        <v>1497</v>
      </c>
      <c r="G711" s="33" t="s">
        <v>2607</v>
      </c>
      <c r="H711" s="33" t="s">
        <v>2608</v>
      </c>
      <c r="I711" s="33" t="s">
        <v>2609</v>
      </c>
      <c r="J711" s="33">
        <v>202567</v>
      </c>
      <c r="K711" s="33" t="s">
        <v>2910</v>
      </c>
      <c r="L711" s="33" t="s">
        <v>2911</v>
      </c>
      <c r="M711" s="33" t="s">
        <v>2912</v>
      </c>
      <c r="N711" s="44">
        <v>42152119</v>
      </c>
      <c r="O711" s="33" t="s">
        <v>2949</v>
      </c>
      <c r="P711" s="33" t="s">
        <v>2950</v>
      </c>
      <c r="Q711" s="34" t="s">
        <v>1494</v>
      </c>
      <c r="R711" s="34" t="s">
        <v>1494</v>
      </c>
    </row>
    <row r="712" spans="1:18" ht="15" customHeight="1" x14ac:dyDescent="0.25">
      <c r="A712" t="str">
        <f>IFERROR(RANK(B712,$B:$B,1)+COUNTIF($B$1:B711,B712),"")</f>
        <v/>
      </c>
      <c r="B712" t="str">
        <f>IFERROR(SEARCH(#REF!,Table4[[#This Row],[Commodity Title]],1),"")</f>
        <v/>
      </c>
      <c r="C712" s="35">
        <v>42152120</v>
      </c>
      <c r="D712" s="33" t="s">
        <v>1495</v>
      </c>
      <c r="E712" s="33" t="s">
        <v>1496</v>
      </c>
      <c r="F712" s="33" t="s">
        <v>1497</v>
      </c>
      <c r="G712" s="33" t="s">
        <v>2607</v>
      </c>
      <c r="H712" s="33" t="s">
        <v>2608</v>
      </c>
      <c r="I712" s="33" t="s">
        <v>2609</v>
      </c>
      <c r="J712" s="33">
        <v>202568</v>
      </c>
      <c r="K712" s="33" t="s">
        <v>2910</v>
      </c>
      <c r="L712" s="33" t="s">
        <v>2911</v>
      </c>
      <c r="M712" s="33" t="s">
        <v>2912</v>
      </c>
      <c r="N712" s="44">
        <v>42152120</v>
      </c>
      <c r="O712" s="33" t="s">
        <v>2951</v>
      </c>
      <c r="P712" s="33" t="s">
        <v>2952</v>
      </c>
      <c r="Q712" s="34" t="s">
        <v>1494</v>
      </c>
      <c r="R712" s="34" t="s">
        <v>1494</v>
      </c>
    </row>
    <row r="713" spans="1:18" ht="15" customHeight="1" x14ac:dyDescent="0.25">
      <c r="A713" t="str">
        <f>IFERROR(RANK(B713,$B:$B,1)+COUNTIF($B$1:B712,B713),"")</f>
        <v/>
      </c>
      <c r="B713" t="str">
        <f>IFERROR(SEARCH(#REF!,Table4[[#This Row],[Commodity Title]],1),"")</f>
        <v/>
      </c>
      <c r="C713" s="33" t="s">
        <v>1494</v>
      </c>
      <c r="D713" s="33" t="s">
        <v>1495</v>
      </c>
      <c r="E713" s="33" t="s">
        <v>1496</v>
      </c>
      <c r="F713" s="33" t="s">
        <v>1497</v>
      </c>
      <c r="G713" s="33" t="s">
        <v>2607</v>
      </c>
      <c r="H713" s="33" t="s">
        <v>2608</v>
      </c>
      <c r="I713" s="33" t="s">
        <v>2609</v>
      </c>
      <c r="J713" s="33">
        <v>115062</v>
      </c>
      <c r="K713" s="33" t="s">
        <v>2953</v>
      </c>
      <c r="L713" s="33" t="s">
        <v>2954</v>
      </c>
      <c r="M713" s="33" t="s">
        <v>2955</v>
      </c>
      <c r="N713" s="44" t="s">
        <v>1494</v>
      </c>
      <c r="O713" s="33" t="s">
        <v>1494</v>
      </c>
      <c r="P713" s="33" t="s">
        <v>1494</v>
      </c>
      <c r="Q713" s="34" t="s">
        <v>1494</v>
      </c>
      <c r="R713" s="34" t="s">
        <v>1494</v>
      </c>
    </row>
    <row r="714" spans="1:18" ht="15" customHeight="1" x14ac:dyDescent="0.25">
      <c r="A714" t="str">
        <f>IFERROR(RANK(B714,$B:$B,1)+COUNTIF($B$1:B713,B714),"")</f>
        <v/>
      </c>
      <c r="B714" t="str">
        <f>IFERROR(SEARCH(#REF!,Table4[[#This Row],[Commodity Title]],1),"")</f>
        <v/>
      </c>
      <c r="C714" s="35">
        <v>42152201</v>
      </c>
      <c r="D714" s="33" t="s">
        <v>1495</v>
      </c>
      <c r="E714" s="33" t="s">
        <v>1496</v>
      </c>
      <c r="F714" s="33" t="s">
        <v>1497</v>
      </c>
      <c r="G714" s="33" t="s">
        <v>2607</v>
      </c>
      <c r="H714" s="33" t="s">
        <v>2608</v>
      </c>
      <c r="I714" s="33" t="s">
        <v>2609</v>
      </c>
      <c r="J714" s="33">
        <v>115063</v>
      </c>
      <c r="K714" s="33" t="s">
        <v>2953</v>
      </c>
      <c r="L714" s="33" t="s">
        <v>2954</v>
      </c>
      <c r="M714" s="33" t="s">
        <v>2955</v>
      </c>
      <c r="N714" s="44">
        <v>42152201</v>
      </c>
      <c r="O714" s="33" t="s">
        <v>2956</v>
      </c>
      <c r="P714" s="33" t="s">
        <v>2957</v>
      </c>
      <c r="Q714" s="34" t="s">
        <v>1494</v>
      </c>
      <c r="R714" s="34" t="s">
        <v>1494</v>
      </c>
    </row>
    <row r="715" spans="1:18" ht="15" customHeight="1" x14ac:dyDescent="0.25">
      <c r="A715" t="str">
        <f>IFERROR(RANK(B715,$B:$B,1)+COUNTIF($B$1:B714,B715),"")</f>
        <v/>
      </c>
      <c r="B715" t="str">
        <f>IFERROR(SEARCH(#REF!,Table4[[#This Row],[Commodity Title]],1),"")</f>
        <v/>
      </c>
      <c r="C715" s="35">
        <v>42152202</v>
      </c>
      <c r="D715" s="33" t="s">
        <v>1495</v>
      </c>
      <c r="E715" s="33" t="s">
        <v>1496</v>
      </c>
      <c r="F715" s="33" t="s">
        <v>1497</v>
      </c>
      <c r="G715" s="33" t="s">
        <v>2607</v>
      </c>
      <c r="H715" s="33" t="s">
        <v>2608</v>
      </c>
      <c r="I715" s="33" t="s">
        <v>2609</v>
      </c>
      <c r="J715" s="33">
        <v>115064</v>
      </c>
      <c r="K715" s="33" t="s">
        <v>2953</v>
      </c>
      <c r="L715" s="33" t="s">
        <v>2954</v>
      </c>
      <c r="M715" s="33" t="s">
        <v>2955</v>
      </c>
      <c r="N715" s="44">
        <v>42152202</v>
      </c>
      <c r="O715" s="33" t="s">
        <v>2958</v>
      </c>
      <c r="P715" s="33" t="s">
        <v>2959</v>
      </c>
      <c r="Q715" s="34" t="s">
        <v>1494</v>
      </c>
      <c r="R715" s="34" t="s">
        <v>1494</v>
      </c>
    </row>
    <row r="716" spans="1:18" ht="15" customHeight="1" x14ac:dyDescent="0.25">
      <c r="A716" t="str">
        <f>IFERROR(RANK(B716,$B:$B,1)+COUNTIF($B$1:B715,B716),"")</f>
        <v/>
      </c>
      <c r="B716" t="str">
        <f>IFERROR(SEARCH(#REF!,Table4[[#This Row],[Commodity Title]],1),"")</f>
        <v/>
      </c>
      <c r="C716" s="35">
        <v>42152203</v>
      </c>
      <c r="D716" s="33" t="s">
        <v>1495</v>
      </c>
      <c r="E716" s="33" t="s">
        <v>1496</v>
      </c>
      <c r="F716" s="33" t="s">
        <v>1497</v>
      </c>
      <c r="G716" s="33" t="s">
        <v>2607</v>
      </c>
      <c r="H716" s="33" t="s">
        <v>2608</v>
      </c>
      <c r="I716" s="33" t="s">
        <v>2609</v>
      </c>
      <c r="J716" s="33">
        <v>115065</v>
      </c>
      <c r="K716" s="33" t="s">
        <v>2953</v>
      </c>
      <c r="L716" s="33" t="s">
        <v>2954</v>
      </c>
      <c r="M716" s="33" t="s">
        <v>2955</v>
      </c>
      <c r="N716" s="44">
        <v>42152203</v>
      </c>
      <c r="O716" s="33" t="s">
        <v>2960</v>
      </c>
      <c r="P716" s="33" t="s">
        <v>2961</v>
      </c>
      <c r="Q716" s="34" t="s">
        <v>1494</v>
      </c>
      <c r="R716" s="34" t="s">
        <v>1494</v>
      </c>
    </row>
    <row r="717" spans="1:18" ht="15" customHeight="1" x14ac:dyDescent="0.25">
      <c r="A717" t="str">
        <f>IFERROR(RANK(B717,$B:$B,1)+COUNTIF($B$1:B716,B717),"")</f>
        <v/>
      </c>
      <c r="B717" t="str">
        <f>IFERROR(SEARCH(#REF!,Table4[[#This Row],[Commodity Title]],1),"")</f>
        <v/>
      </c>
      <c r="C717" s="35">
        <v>42152204</v>
      </c>
      <c r="D717" s="33" t="s">
        <v>1495</v>
      </c>
      <c r="E717" s="33" t="s">
        <v>1496</v>
      </c>
      <c r="F717" s="33" t="s">
        <v>1497</v>
      </c>
      <c r="G717" s="33" t="s">
        <v>2607</v>
      </c>
      <c r="H717" s="33" t="s">
        <v>2608</v>
      </c>
      <c r="I717" s="33" t="s">
        <v>2609</v>
      </c>
      <c r="J717" s="33">
        <v>115066</v>
      </c>
      <c r="K717" s="33" t="s">
        <v>2953</v>
      </c>
      <c r="L717" s="33" t="s">
        <v>2954</v>
      </c>
      <c r="M717" s="33" t="s">
        <v>2955</v>
      </c>
      <c r="N717" s="44">
        <v>42152204</v>
      </c>
      <c r="O717" s="33" t="s">
        <v>2962</v>
      </c>
      <c r="P717" s="33" t="s">
        <v>2963</v>
      </c>
      <c r="Q717" s="34" t="s">
        <v>1494</v>
      </c>
      <c r="R717" s="34" t="s">
        <v>1494</v>
      </c>
    </row>
    <row r="718" spans="1:18" ht="15" customHeight="1" x14ac:dyDescent="0.25">
      <c r="A718" t="str">
        <f>IFERROR(RANK(B718,$B:$B,1)+COUNTIF($B$1:B717,B718),"")</f>
        <v/>
      </c>
      <c r="B718" t="str">
        <f>IFERROR(SEARCH(#REF!,Table4[[#This Row],[Commodity Title]],1),"")</f>
        <v/>
      </c>
      <c r="C718" s="35">
        <v>42152205</v>
      </c>
      <c r="D718" s="33" t="s">
        <v>1495</v>
      </c>
      <c r="E718" s="33" t="s">
        <v>1496</v>
      </c>
      <c r="F718" s="33" t="s">
        <v>1497</v>
      </c>
      <c r="G718" s="33" t="s">
        <v>2607</v>
      </c>
      <c r="H718" s="33" t="s">
        <v>2608</v>
      </c>
      <c r="I718" s="33" t="s">
        <v>2609</v>
      </c>
      <c r="J718" s="33">
        <v>115067</v>
      </c>
      <c r="K718" s="33" t="s">
        <v>2953</v>
      </c>
      <c r="L718" s="33" t="s">
        <v>2954</v>
      </c>
      <c r="M718" s="33" t="s">
        <v>2955</v>
      </c>
      <c r="N718" s="44">
        <v>42152205</v>
      </c>
      <c r="O718" s="33" t="s">
        <v>2964</v>
      </c>
      <c r="P718" s="33" t="s">
        <v>2965</v>
      </c>
      <c r="Q718" s="34" t="s">
        <v>1494</v>
      </c>
      <c r="R718" s="34" t="s">
        <v>1494</v>
      </c>
    </row>
    <row r="719" spans="1:18" ht="15" customHeight="1" x14ac:dyDescent="0.25">
      <c r="A719" t="str">
        <f>IFERROR(RANK(B719,$B:$B,1)+COUNTIF($B$1:B718,B719),"")</f>
        <v/>
      </c>
      <c r="B719" t="str">
        <f>IFERROR(SEARCH(#REF!,Table4[[#This Row],[Commodity Title]],1),"")</f>
        <v/>
      </c>
      <c r="C719" s="35">
        <v>42152206</v>
      </c>
      <c r="D719" s="33" t="s">
        <v>1495</v>
      </c>
      <c r="E719" s="33" t="s">
        <v>1496</v>
      </c>
      <c r="F719" s="33" t="s">
        <v>1497</v>
      </c>
      <c r="G719" s="33" t="s">
        <v>2607</v>
      </c>
      <c r="H719" s="33" t="s">
        <v>2608</v>
      </c>
      <c r="I719" s="33" t="s">
        <v>2609</v>
      </c>
      <c r="J719" s="33">
        <v>115068</v>
      </c>
      <c r="K719" s="33" t="s">
        <v>2953</v>
      </c>
      <c r="L719" s="33" t="s">
        <v>2954</v>
      </c>
      <c r="M719" s="33" t="s">
        <v>2955</v>
      </c>
      <c r="N719" s="44">
        <v>42152206</v>
      </c>
      <c r="O719" s="33" t="s">
        <v>2966</v>
      </c>
      <c r="P719" s="33" t="s">
        <v>2967</v>
      </c>
      <c r="Q719" s="34" t="s">
        <v>1494</v>
      </c>
      <c r="R719" s="34" t="s">
        <v>1494</v>
      </c>
    </row>
    <row r="720" spans="1:18" ht="15" customHeight="1" x14ac:dyDescent="0.25">
      <c r="A720" t="str">
        <f>IFERROR(RANK(B720,$B:$B,1)+COUNTIF($B$1:B719,B720),"")</f>
        <v/>
      </c>
      <c r="B720" t="str">
        <f>IFERROR(SEARCH(#REF!,Table4[[#This Row],[Commodity Title]],1),"")</f>
        <v/>
      </c>
      <c r="C720" s="35">
        <v>42152207</v>
      </c>
      <c r="D720" s="33" t="s">
        <v>1495</v>
      </c>
      <c r="E720" s="33" t="s">
        <v>1496</v>
      </c>
      <c r="F720" s="33" t="s">
        <v>1497</v>
      </c>
      <c r="G720" s="33" t="s">
        <v>2607</v>
      </c>
      <c r="H720" s="33" t="s">
        <v>2608</v>
      </c>
      <c r="I720" s="33" t="s">
        <v>2609</v>
      </c>
      <c r="J720" s="33">
        <v>115069</v>
      </c>
      <c r="K720" s="33" t="s">
        <v>2953</v>
      </c>
      <c r="L720" s="33" t="s">
        <v>2954</v>
      </c>
      <c r="M720" s="33" t="s">
        <v>2955</v>
      </c>
      <c r="N720" s="44">
        <v>42152207</v>
      </c>
      <c r="O720" s="33" t="s">
        <v>2968</v>
      </c>
      <c r="P720" s="33" t="s">
        <v>2969</v>
      </c>
      <c r="Q720" s="34" t="s">
        <v>1494</v>
      </c>
      <c r="R720" s="34" t="s">
        <v>1494</v>
      </c>
    </row>
    <row r="721" spans="1:18" ht="15" customHeight="1" x14ac:dyDescent="0.25">
      <c r="A721" t="str">
        <f>IFERROR(RANK(B721,$B:$B,1)+COUNTIF($B$1:B720,B721),"")</f>
        <v/>
      </c>
      <c r="B721" t="str">
        <f>IFERROR(SEARCH(#REF!,Table4[[#This Row],[Commodity Title]],1),"")</f>
        <v/>
      </c>
      <c r="C721" s="35">
        <v>42152208</v>
      </c>
      <c r="D721" s="33" t="s">
        <v>1495</v>
      </c>
      <c r="E721" s="33" t="s">
        <v>1496</v>
      </c>
      <c r="F721" s="33" t="s">
        <v>1497</v>
      </c>
      <c r="G721" s="33" t="s">
        <v>2607</v>
      </c>
      <c r="H721" s="33" t="s">
        <v>2608</v>
      </c>
      <c r="I721" s="33" t="s">
        <v>2609</v>
      </c>
      <c r="J721" s="33">
        <v>115070</v>
      </c>
      <c r="K721" s="33" t="s">
        <v>2953</v>
      </c>
      <c r="L721" s="33" t="s">
        <v>2954</v>
      </c>
      <c r="M721" s="33" t="s">
        <v>2955</v>
      </c>
      <c r="N721" s="44">
        <v>42152208</v>
      </c>
      <c r="O721" s="33" t="s">
        <v>2970</v>
      </c>
      <c r="P721" s="33" t="s">
        <v>2971</v>
      </c>
      <c r="Q721" s="34" t="s">
        <v>1494</v>
      </c>
      <c r="R721" s="34" t="s">
        <v>1494</v>
      </c>
    </row>
    <row r="722" spans="1:18" ht="15" customHeight="1" x14ac:dyDescent="0.25">
      <c r="A722" t="str">
        <f>IFERROR(RANK(B722,$B:$B,1)+COUNTIF($B$1:B721,B722),"")</f>
        <v/>
      </c>
      <c r="B722" t="str">
        <f>IFERROR(SEARCH(#REF!,Table4[[#This Row],[Commodity Title]],1),"")</f>
        <v/>
      </c>
      <c r="C722" s="35">
        <v>42152209</v>
      </c>
      <c r="D722" s="33" t="s">
        <v>1495</v>
      </c>
      <c r="E722" s="33" t="s">
        <v>1496</v>
      </c>
      <c r="F722" s="33" t="s">
        <v>1497</v>
      </c>
      <c r="G722" s="33" t="s">
        <v>2607</v>
      </c>
      <c r="H722" s="33" t="s">
        <v>2608</v>
      </c>
      <c r="I722" s="33" t="s">
        <v>2609</v>
      </c>
      <c r="J722" s="33">
        <v>115071</v>
      </c>
      <c r="K722" s="33" t="s">
        <v>2953</v>
      </c>
      <c r="L722" s="33" t="s">
        <v>2954</v>
      </c>
      <c r="M722" s="33" t="s">
        <v>2955</v>
      </c>
      <c r="N722" s="44">
        <v>42152209</v>
      </c>
      <c r="O722" s="33" t="s">
        <v>2972</v>
      </c>
      <c r="P722" s="33" t="s">
        <v>2973</v>
      </c>
      <c r="Q722" s="34" t="s">
        <v>1494</v>
      </c>
      <c r="R722" s="34" t="s">
        <v>1494</v>
      </c>
    </row>
    <row r="723" spans="1:18" ht="15" customHeight="1" x14ac:dyDescent="0.25">
      <c r="A723" t="str">
        <f>IFERROR(RANK(B723,$B:$B,1)+COUNTIF($B$1:B722,B723),"")</f>
        <v/>
      </c>
      <c r="B723" t="str">
        <f>IFERROR(SEARCH(#REF!,Table4[[#This Row],[Commodity Title]],1),"")</f>
        <v/>
      </c>
      <c r="C723" s="35">
        <v>42152210</v>
      </c>
      <c r="D723" s="33" t="s">
        <v>1495</v>
      </c>
      <c r="E723" s="33" t="s">
        <v>1496</v>
      </c>
      <c r="F723" s="33" t="s">
        <v>1497</v>
      </c>
      <c r="G723" s="33" t="s">
        <v>2607</v>
      </c>
      <c r="H723" s="33" t="s">
        <v>2608</v>
      </c>
      <c r="I723" s="33" t="s">
        <v>2609</v>
      </c>
      <c r="J723" s="33">
        <v>115072</v>
      </c>
      <c r="K723" s="33" t="s">
        <v>2953</v>
      </c>
      <c r="L723" s="33" t="s">
        <v>2954</v>
      </c>
      <c r="M723" s="33" t="s">
        <v>2955</v>
      </c>
      <c r="N723" s="44">
        <v>42152210</v>
      </c>
      <c r="O723" s="33" t="s">
        <v>2974</v>
      </c>
      <c r="P723" s="33" t="s">
        <v>2975</v>
      </c>
      <c r="Q723" s="34" t="s">
        <v>1494</v>
      </c>
      <c r="R723" s="34" t="s">
        <v>1494</v>
      </c>
    </row>
    <row r="724" spans="1:18" ht="15" customHeight="1" x14ac:dyDescent="0.25">
      <c r="A724" t="str">
        <f>IFERROR(RANK(B724,$B:$B,1)+COUNTIF($B$1:B723,B724),"")</f>
        <v/>
      </c>
      <c r="B724" t="str">
        <f>IFERROR(SEARCH(#REF!,Table4[[#This Row],[Commodity Title]],1),"")</f>
        <v/>
      </c>
      <c r="C724" s="35">
        <v>42152211</v>
      </c>
      <c r="D724" s="33" t="s">
        <v>1495</v>
      </c>
      <c r="E724" s="33" t="s">
        <v>1496</v>
      </c>
      <c r="F724" s="33" t="s">
        <v>1497</v>
      </c>
      <c r="G724" s="33" t="s">
        <v>2607</v>
      </c>
      <c r="H724" s="33" t="s">
        <v>2608</v>
      </c>
      <c r="I724" s="33" t="s">
        <v>2609</v>
      </c>
      <c r="J724" s="33">
        <v>115073</v>
      </c>
      <c r="K724" s="33" t="s">
        <v>2953</v>
      </c>
      <c r="L724" s="33" t="s">
        <v>2954</v>
      </c>
      <c r="M724" s="33" t="s">
        <v>2955</v>
      </c>
      <c r="N724" s="44">
        <v>42152211</v>
      </c>
      <c r="O724" s="33" t="s">
        <v>2976</v>
      </c>
      <c r="P724" s="33" t="s">
        <v>2977</v>
      </c>
      <c r="Q724" s="34" t="s">
        <v>1494</v>
      </c>
      <c r="R724" s="34" t="s">
        <v>1494</v>
      </c>
    </row>
    <row r="725" spans="1:18" ht="15" customHeight="1" x14ac:dyDescent="0.25">
      <c r="A725" t="str">
        <f>IFERROR(RANK(B725,$B:$B,1)+COUNTIF($B$1:B724,B725),"")</f>
        <v/>
      </c>
      <c r="B725" t="str">
        <f>IFERROR(SEARCH(#REF!,Table4[[#This Row],[Commodity Title]],1),"")</f>
        <v/>
      </c>
      <c r="C725" s="35">
        <v>42152212</v>
      </c>
      <c r="D725" s="33" t="s">
        <v>1495</v>
      </c>
      <c r="E725" s="33" t="s">
        <v>1496</v>
      </c>
      <c r="F725" s="33" t="s">
        <v>1497</v>
      </c>
      <c r="G725" s="33" t="s">
        <v>2607</v>
      </c>
      <c r="H725" s="33" t="s">
        <v>2608</v>
      </c>
      <c r="I725" s="33" t="s">
        <v>2609</v>
      </c>
      <c r="J725" s="33">
        <v>115074</v>
      </c>
      <c r="K725" s="33" t="s">
        <v>2953</v>
      </c>
      <c r="L725" s="33" t="s">
        <v>2954</v>
      </c>
      <c r="M725" s="33" t="s">
        <v>2955</v>
      </c>
      <c r="N725" s="44">
        <v>42152212</v>
      </c>
      <c r="O725" s="33" t="s">
        <v>2978</v>
      </c>
      <c r="P725" s="33" t="s">
        <v>2979</v>
      </c>
      <c r="Q725" s="34" t="s">
        <v>1494</v>
      </c>
      <c r="R725" s="34" t="s">
        <v>1494</v>
      </c>
    </row>
    <row r="726" spans="1:18" ht="15" customHeight="1" x14ac:dyDescent="0.25">
      <c r="A726" t="str">
        <f>IFERROR(RANK(B726,$B:$B,1)+COUNTIF($B$1:B725,B726),"")</f>
        <v/>
      </c>
      <c r="B726" t="str">
        <f>IFERROR(SEARCH(#REF!,Table4[[#This Row],[Commodity Title]],1),"")</f>
        <v/>
      </c>
      <c r="C726" s="35">
        <v>42152213</v>
      </c>
      <c r="D726" s="33" t="s">
        <v>1495</v>
      </c>
      <c r="E726" s="33" t="s">
        <v>1496</v>
      </c>
      <c r="F726" s="33" t="s">
        <v>1497</v>
      </c>
      <c r="G726" s="33" t="s">
        <v>2607</v>
      </c>
      <c r="H726" s="33" t="s">
        <v>2608</v>
      </c>
      <c r="I726" s="33" t="s">
        <v>2609</v>
      </c>
      <c r="J726" s="33">
        <v>115075</v>
      </c>
      <c r="K726" s="33" t="s">
        <v>2953</v>
      </c>
      <c r="L726" s="33" t="s">
        <v>2954</v>
      </c>
      <c r="M726" s="33" t="s">
        <v>2955</v>
      </c>
      <c r="N726" s="44">
        <v>42152213</v>
      </c>
      <c r="O726" s="33" t="s">
        <v>2980</v>
      </c>
      <c r="P726" s="33" t="s">
        <v>2981</v>
      </c>
      <c r="Q726" s="34" t="s">
        <v>1494</v>
      </c>
      <c r="R726" s="34" t="s">
        <v>1494</v>
      </c>
    </row>
    <row r="727" spans="1:18" ht="15" customHeight="1" x14ac:dyDescent="0.25">
      <c r="A727" t="str">
        <f>IFERROR(RANK(B727,$B:$B,1)+COUNTIF($B$1:B726,B727),"")</f>
        <v/>
      </c>
      <c r="B727" t="str">
        <f>IFERROR(SEARCH(#REF!,Table4[[#This Row],[Commodity Title]],1),"")</f>
        <v/>
      </c>
      <c r="C727" s="35">
        <v>42152214</v>
      </c>
      <c r="D727" s="33" t="s">
        <v>1495</v>
      </c>
      <c r="E727" s="33" t="s">
        <v>1496</v>
      </c>
      <c r="F727" s="33" t="s">
        <v>1497</v>
      </c>
      <c r="G727" s="33" t="s">
        <v>2607</v>
      </c>
      <c r="H727" s="33" t="s">
        <v>2608</v>
      </c>
      <c r="I727" s="33" t="s">
        <v>2609</v>
      </c>
      <c r="J727" s="33">
        <v>115076</v>
      </c>
      <c r="K727" s="33" t="s">
        <v>2953</v>
      </c>
      <c r="L727" s="33" t="s">
        <v>2954</v>
      </c>
      <c r="M727" s="33" t="s">
        <v>2955</v>
      </c>
      <c r="N727" s="44">
        <v>42152214</v>
      </c>
      <c r="O727" s="33" t="s">
        <v>2982</v>
      </c>
      <c r="P727" s="33" t="s">
        <v>2983</v>
      </c>
      <c r="Q727" s="34" t="s">
        <v>1494</v>
      </c>
      <c r="R727" s="34" t="s">
        <v>1494</v>
      </c>
    </row>
    <row r="728" spans="1:18" ht="15" customHeight="1" x14ac:dyDescent="0.25">
      <c r="A728" t="str">
        <f>IFERROR(RANK(B728,$B:$B,1)+COUNTIF($B$1:B727,B728),"")</f>
        <v/>
      </c>
      <c r="B728" t="str">
        <f>IFERROR(SEARCH(#REF!,Table4[[#This Row],[Commodity Title]],1),"")</f>
        <v/>
      </c>
      <c r="C728" s="35">
        <v>42152215</v>
      </c>
      <c r="D728" s="33" t="s">
        <v>1495</v>
      </c>
      <c r="E728" s="33" t="s">
        <v>1496</v>
      </c>
      <c r="F728" s="33" t="s">
        <v>1497</v>
      </c>
      <c r="G728" s="33" t="s">
        <v>2607</v>
      </c>
      <c r="H728" s="33" t="s">
        <v>2608</v>
      </c>
      <c r="I728" s="33" t="s">
        <v>2609</v>
      </c>
      <c r="J728" s="33">
        <v>115077</v>
      </c>
      <c r="K728" s="33" t="s">
        <v>2953</v>
      </c>
      <c r="L728" s="33" t="s">
        <v>2954</v>
      </c>
      <c r="M728" s="33" t="s">
        <v>2955</v>
      </c>
      <c r="N728" s="44">
        <v>42152215</v>
      </c>
      <c r="O728" s="33" t="s">
        <v>2984</v>
      </c>
      <c r="P728" s="33" t="s">
        <v>2985</v>
      </c>
      <c r="Q728" s="34" t="s">
        <v>1494</v>
      </c>
      <c r="R728" s="34" t="s">
        <v>1494</v>
      </c>
    </row>
    <row r="729" spans="1:18" ht="15" customHeight="1" x14ac:dyDescent="0.25">
      <c r="A729" t="str">
        <f>IFERROR(RANK(B729,$B:$B,1)+COUNTIF($B$1:B728,B729),"")</f>
        <v/>
      </c>
      <c r="B729" t="str">
        <f>IFERROR(SEARCH(#REF!,Table4[[#This Row],[Commodity Title]],1),"")</f>
        <v/>
      </c>
      <c r="C729" s="35">
        <v>42152216</v>
      </c>
      <c r="D729" s="33" t="s">
        <v>1495</v>
      </c>
      <c r="E729" s="33" t="s">
        <v>1496</v>
      </c>
      <c r="F729" s="33" t="s">
        <v>1497</v>
      </c>
      <c r="G729" s="33" t="s">
        <v>2607</v>
      </c>
      <c r="H729" s="33" t="s">
        <v>2608</v>
      </c>
      <c r="I729" s="33" t="s">
        <v>2609</v>
      </c>
      <c r="J729" s="33">
        <v>115078</v>
      </c>
      <c r="K729" s="33" t="s">
        <v>2953</v>
      </c>
      <c r="L729" s="33" t="s">
        <v>2954</v>
      </c>
      <c r="M729" s="33" t="s">
        <v>2955</v>
      </c>
      <c r="N729" s="44">
        <v>42152216</v>
      </c>
      <c r="O729" s="33" t="s">
        <v>2986</v>
      </c>
      <c r="P729" s="33" t="s">
        <v>2987</v>
      </c>
      <c r="Q729" s="34" t="s">
        <v>1494</v>
      </c>
      <c r="R729" s="34" t="s">
        <v>1494</v>
      </c>
    </row>
    <row r="730" spans="1:18" ht="15" customHeight="1" x14ac:dyDescent="0.25">
      <c r="A730" t="str">
        <f>IFERROR(RANK(B730,$B:$B,1)+COUNTIF($B$1:B729,B730),"")</f>
        <v/>
      </c>
      <c r="B730" t="str">
        <f>IFERROR(SEARCH(#REF!,Table4[[#This Row],[Commodity Title]],1),"")</f>
        <v/>
      </c>
      <c r="C730" s="35">
        <v>42152217</v>
      </c>
      <c r="D730" s="33" t="s">
        <v>1495</v>
      </c>
      <c r="E730" s="33" t="s">
        <v>1496</v>
      </c>
      <c r="F730" s="33" t="s">
        <v>1497</v>
      </c>
      <c r="G730" s="33" t="s">
        <v>2607</v>
      </c>
      <c r="H730" s="33" t="s">
        <v>2608</v>
      </c>
      <c r="I730" s="33" t="s">
        <v>2609</v>
      </c>
      <c r="J730" s="33">
        <v>115079</v>
      </c>
      <c r="K730" s="33" t="s">
        <v>2953</v>
      </c>
      <c r="L730" s="33" t="s">
        <v>2954</v>
      </c>
      <c r="M730" s="33" t="s">
        <v>2955</v>
      </c>
      <c r="N730" s="44">
        <v>42152217</v>
      </c>
      <c r="O730" s="33" t="s">
        <v>2988</v>
      </c>
      <c r="P730" s="33" t="s">
        <v>2989</v>
      </c>
      <c r="Q730" s="34" t="s">
        <v>1494</v>
      </c>
      <c r="R730" s="34" t="s">
        <v>1494</v>
      </c>
    </row>
    <row r="731" spans="1:18" ht="15" customHeight="1" x14ac:dyDescent="0.25">
      <c r="A731" t="str">
        <f>IFERROR(RANK(B731,$B:$B,1)+COUNTIF($B$1:B730,B731),"")</f>
        <v/>
      </c>
      <c r="B731" t="str">
        <f>IFERROR(SEARCH(#REF!,Table4[[#This Row],[Commodity Title]],1),"")</f>
        <v/>
      </c>
      <c r="C731" s="35">
        <v>42152218</v>
      </c>
      <c r="D731" s="33" t="s">
        <v>1495</v>
      </c>
      <c r="E731" s="33" t="s">
        <v>1496</v>
      </c>
      <c r="F731" s="33" t="s">
        <v>1497</v>
      </c>
      <c r="G731" s="33" t="s">
        <v>2607</v>
      </c>
      <c r="H731" s="33" t="s">
        <v>2608</v>
      </c>
      <c r="I731" s="33" t="s">
        <v>2609</v>
      </c>
      <c r="J731" s="33">
        <v>115080</v>
      </c>
      <c r="K731" s="33" t="s">
        <v>2953</v>
      </c>
      <c r="L731" s="33" t="s">
        <v>2954</v>
      </c>
      <c r="M731" s="33" t="s">
        <v>2955</v>
      </c>
      <c r="N731" s="44">
        <v>42152218</v>
      </c>
      <c r="O731" s="33" t="s">
        <v>2990</v>
      </c>
      <c r="P731" s="33" t="s">
        <v>2991</v>
      </c>
      <c r="Q731" s="34" t="s">
        <v>1494</v>
      </c>
      <c r="R731" s="34" t="s">
        <v>1494</v>
      </c>
    </row>
    <row r="732" spans="1:18" ht="15" customHeight="1" x14ac:dyDescent="0.25">
      <c r="A732" t="str">
        <f>IFERROR(RANK(B732,$B:$B,1)+COUNTIF($B$1:B731,B732),"")</f>
        <v/>
      </c>
      <c r="B732" t="str">
        <f>IFERROR(SEARCH(#REF!,Table4[[#This Row],[Commodity Title]],1),"")</f>
        <v/>
      </c>
      <c r="C732" s="35">
        <v>42152219</v>
      </c>
      <c r="D732" s="33" t="s">
        <v>1495</v>
      </c>
      <c r="E732" s="33" t="s">
        <v>1496</v>
      </c>
      <c r="F732" s="33" t="s">
        <v>1497</v>
      </c>
      <c r="G732" s="33" t="s">
        <v>2607</v>
      </c>
      <c r="H732" s="33" t="s">
        <v>2608</v>
      </c>
      <c r="I732" s="33" t="s">
        <v>2609</v>
      </c>
      <c r="J732" s="33">
        <v>115081</v>
      </c>
      <c r="K732" s="33" t="s">
        <v>2953</v>
      </c>
      <c r="L732" s="33" t="s">
        <v>2954</v>
      </c>
      <c r="M732" s="33" t="s">
        <v>2955</v>
      </c>
      <c r="N732" s="44">
        <v>42152219</v>
      </c>
      <c r="O732" s="33" t="s">
        <v>2992</v>
      </c>
      <c r="P732" s="33" t="s">
        <v>2993</v>
      </c>
      <c r="Q732" s="34" t="s">
        <v>1494</v>
      </c>
      <c r="R732" s="34" t="s">
        <v>1494</v>
      </c>
    </row>
    <row r="733" spans="1:18" ht="15" customHeight="1" x14ac:dyDescent="0.25">
      <c r="A733" t="str">
        <f>IFERROR(RANK(B733,$B:$B,1)+COUNTIF($B$1:B732,B733),"")</f>
        <v/>
      </c>
      <c r="B733" t="str">
        <f>IFERROR(SEARCH(#REF!,Table4[[#This Row],[Commodity Title]],1),"")</f>
        <v/>
      </c>
      <c r="C733" s="35">
        <v>42152220</v>
      </c>
      <c r="D733" s="33" t="s">
        <v>1495</v>
      </c>
      <c r="E733" s="33" t="s">
        <v>1496</v>
      </c>
      <c r="F733" s="33" t="s">
        <v>1497</v>
      </c>
      <c r="G733" s="33" t="s">
        <v>2607</v>
      </c>
      <c r="H733" s="33" t="s">
        <v>2608</v>
      </c>
      <c r="I733" s="33" t="s">
        <v>2609</v>
      </c>
      <c r="J733" s="33">
        <v>115082</v>
      </c>
      <c r="K733" s="33" t="s">
        <v>2953</v>
      </c>
      <c r="L733" s="33" t="s">
        <v>2954</v>
      </c>
      <c r="M733" s="33" t="s">
        <v>2955</v>
      </c>
      <c r="N733" s="44">
        <v>42152220</v>
      </c>
      <c r="O733" s="33" t="s">
        <v>2994</v>
      </c>
      <c r="P733" s="33" t="s">
        <v>2995</v>
      </c>
      <c r="Q733" s="34" t="s">
        <v>1494</v>
      </c>
      <c r="R733" s="34" t="s">
        <v>1494</v>
      </c>
    </row>
    <row r="734" spans="1:18" ht="15" customHeight="1" x14ac:dyDescent="0.25">
      <c r="A734" t="str">
        <f>IFERROR(RANK(B734,$B:$B,1)+COUNTIF($B$1:B733,B734),"")</f>
        <v/>
      </c>
      <c r="B734" t="str">
        <f>IFERROR(SEARCH(#REF!,Table4[[#This Row],[Commodity Title]],1),"")</f>
        <v/>
      </c>
      <c r="C734" s="35">
        <v>42152221</v>
      </c>
      <c r="D734" s="33" t="s">
        <v>1495</v>
      </c>
      <c r="E734" s="33" t="s">
        <v>1496</v>
      </c>
      <c r="F734" s="33" t="s">
        <v>1497</v>
      </c>
      <c r="G734" s="33" t="s">
        <v>2607</v>
      </c>
      <c r="H734" s="33" t="s">
        <v>2608</v>
      </c>
      <c r="I734" s="33" t="s">
        <v>2609</v>
      </c>
      <c r="J734" s="33">
        <v>142396</v>
      </c>
      <c r="K734" s="33" t="s">
        <v>2953</v>
      </c>
      <c r="L734" s="33" t="s">
        <v>2954</v>
      </c>
      <c r="M734" s="33" t="s">
        <v>2955</v>
      </c>
      <c r="N734" s="44">
        <v>42152221</v>
      </c>
      <c r="O734" s="33" t="s">
        <v>2996</v>
      </c>
      <c r="P734" s="33" t="s">
        <v>2997</v>
      </c>
      <c r="Q734" s="34" t="s">
        <v>1494</v>
      </c>
      <c r="R734" s="34" t="s">
        <v>1494</v>
      </c>
    </row>
    <row r="735" spans="1:18" ht="15" customHeight="1" x14ac:dyDescent="0.25">
      <c r="A735" t="str">
        <f>IFERROR(RANK(B735,$B:$B,1)+COUNTIF($B$1:B734,B735),"")</f>
        <v/>
      </c>
      <c r="B735" t="str">
        <f>IFERROR(SEARCH(#REF!,Table4[[#This Row],[Commodity Title]],1),"")</f>
        <v/>
      </c>
      <c r="C735" s="35">
        <v>42152222</v>
      </c>
      <c r="D735" s="33" t="s">
        <v>1495</v>
      </c>
      <c r="E735" s="33" t="s">
        <v>1496</v>
      </c>
      <c r="F735" s="33" t="s">
        <v>1497</v>
      </c>
      <c r="G735" s="33" t="s">
        <v>2607</v>
      </c>
      <c r="H735" s="33" t="s">
        <v>2608</v>
      </c>
      <c r="I735" s="33" t="s">
        <v>2609</v>
      </c>
      <c r="J735" s="33">
        <v>142397</v>
      </c>
      <c r="K735" s="33" t="s">
        <v>2953</v>
      </c>
      <c r="L735" s="33" t="s">
        <v>2954</v>
      </c>
      <c r="M735" s="33" t="s">
        <v>2955</v>
      </c>
      <c r="N735" s="44">
        <v>42152222</v>
      </c>
      <c r="O735" s="33" t="s">
        <v>2998</v>
      </c>
      <c r="P735" s="33" t="s">
        <v>2999</v>
      </c>
      <c r="Q735" s="34" t="s">
        <v>1494</v>
      </c>
      <c r="R735" s="34" t="s">
        <v>1494</v>
      </c>
    </row>
    <row r="736" spans="1:18" ht="15" customHeight="1" x14ac:dyDescent="0.25">
      <c r="A736" t="str">
        <f>IFERROR(RANK(B736,$B:$B,1)+COUNTIF($B$1:B735,B736),"")</f>
        <v/>
      </c>
      <c r="B736" t="str">
        <f>IFERROR(SEARCH(#REF!,Table4[[#This Row],[Commodity Title]],1),"")</f>
        <v/>
      </c>
      <c r="C736" s="35">
        <v>42152223</v>
      </c>
      <c r="D736" s="33" t="s">
        <v>1495</v>
      </c>
      <c r="E736" s="33" t="s">
        <v>1496</v>
      </c>
      <c r="F736" s="33" t="s">
        <v>1497</v>
      </c>
      <c r="G736" s="33" t="s">
        <v>2607</v>
      </c>
      <c r="H736" s="33" t="s">
        <v>2608</v>
      </c>
      <c r="I736" s="33" t="s">
        <v>2609</v>
      </c>
      <c r="J736" s="33">
        <v>142398</v>
      </c>
      <c r="K736" s="33" t="s">
        <v>2953</v>
      </c>
      <c r="L736" s="33" t="s">
        <v>2954</v>
      </c>
      <c r="M736" s="33" t="s">
        <v>2955</v>
      </c>
      <c r="N736" s="44">
        <v>42152223</v>
      </c>
      <c r="O736" s="33" t="s">
        <v>3000</v>
      </c>
      <c r="P736" s="33" t="s">
        <v>3001</v>
      </c>
      <c r="Q736" s="34" t="s">
        <v>1494</v>
      </c>
      <c r="R736" s="34" t="s">
        <v>1494</v>
      </c>
    </row>
    <row r="737" spans="1:18" ht="15" customHeight="1" x14ac:dyDescent="0.25">
      <c r="A737" t="str">
        <f>IFERROR(RANK(B737,$B:$B,1)+COUNTIF($B$1:B736,B737),"")</f>
        <v/>
      </c>
      <c r="B737" t="str">
        <f>IFERROR(SEARCH(#REF!,Table4[[#This Row],[Commodity Title]],1),"")</f>
        <v/>
      </c>
      <c r="C737" s="35">
        <v>42152224</v>
      </c>
      <c r="D737" s="33" t="s">
        <v>1495</v>
      </c>
      <c r="E737" s="33" t="s">
        <v>1496</v>
      </c>
      <c r="F737" s="33" t="s">
        <v>1497</v>
      </c>
      <c r="G737" s="33" t="s">
        <v>2607</v>
      </c>
      <c r="H737" s="33" t="s">
        <v>2608</v>
      </c>
      <c r="I737" s="33" t="s">
        <v>2609</v>
      </c>
      <c r="J737" s="33">
        <v>142399</v>
      </c>
      <c r="K737" s="33" t="s">
        <v>2953</v>
      </c>
      <c r="L737" s="33" t="s">
        <v>2954</v>
      </c>
      <c r="M737" s="33" t="s">
        <v>2955</v>
      </c>
      <c r="N737" s="44">
        <v>42152224</v>
      </c>
      <c r="O737" s="33" t="s">
        <v>3002</v>
      </c>
      <c r="P737" s="33" t="s">
        <v>3003</v>
      </c>
      <c r="Q737" s="34" t="s">
        <v>1494</v>
      </c>
      <c r="R737" s="34" t="s">
        <v>1494</v>
      </c>
    </row>
    <row r="738" spans="1:18" ht="15" customHeight="1" x14ac:dyDescent="0.25">
      <c r="A738" t="str">
        <f>IFERROR(RANK(B738,$B:$B,1)+COUNTIF($B$1:B737,B738),"")</f>
        <v/>
      </c>
      <c r="B738" t="str">
        <f>IFERROR(SEARCH(#REF!,Table4[[#This Row],[Commodity Title]],1),"")</f>
        <v/>
      </c>
      <c r="C738" s="35">
        <v>42152225</v>
      </c>
      <c r="D738" s="33" t="s">
        <v>1495</v>
      </c>
      <c r="E738" s="33" t="s">
        <v>1496</v>
      </c>
      <c r="F738" s="33" t="s">
        <v>1497</v>
      </c>
      <c r="G738" s="33" t="s">
        <v>2607</v>
      </c>
      <c r="H738" s="33" t="s">
        <v>2608</v>
      </c>
      <c r="I738" s="33" t="s">
        <v>2609</v>
      </c>
      <c r="J738" s="33">
        <v>202569</v>
      </c>
      <c r="K738" s="33" t="s">
        <v>2953</v>
      </c>
      <c r="L738" s="33" t="s">
        <v>2954</v>
      </c>
      <c r="M738" s="33" t="s">
        <v>2955</v>
      </c>
      <c r="N738" s="44">
        <v>42152225</v>
      </c>
      <c r="O738" s="33" t="s">
        <v>3004</v>
      </c>
      <c r="P738" s="33" t="s">
        <v>3005</v>
      </c>
      <c r="Q738" s="34" t="s">
        <v>1494</v>
      </c>
      <c r="R738" s="34" t="s">
        <v>1494</v>
      </c>
    </row>
    <row r="739" spans="1:18" ht="15" customHeight="1" x14ac:dyDescent="0.25">
      <c r="A739" t="str">
        <f>IFERROR(RANK(B739,$B:$B,1)+COUNTIF($B$1:B738,B739),"")</f>
        <v/>
      </c>
      <c r="B739" t="str">
        <f>IFERROR(SEARCH(#REF!,Table4[[#This Row],[Commodity Title]],1),"")</f>
        <v/>
      </c>
      <c r="C739" s="35">
        <v>42152226</v>
      </c>
      <c r="D739" s="33" t="s">
        <v>1495</v>
      </c>
      <c r="E739" s="33" t="s">
        <v>1496</v>
      </c>
      <c r="F739" s="33" t="s">
        <v>1497</v>
      </c>
      <c r="G739" s="33" t="s">
        <v>2607</v>
      </c>
      <c r="H739" s="33" t="s">
        <v>2608</v>
      </c>
      <c r="I739" s="33" t="s">
        <v>2609</v>
      </c>
      <c r="J739" s="33">
        <v>202570</v>
      </c>
      <c r="K739" s="33" t="s">
        <v>2953</v>
      </c>
      <c r="L739" s="33" t="s">
        <v>2954</v>
      </c>
      <c r="M739" s="33" t="s">
        <v>2955</v>
      </c>
      <c r="N739" s="44">
        <v>42152226</v>
      </c>
      <c r="O739" s="33" t="s">
        <v>3006</v>
      </c>
      <c r="P739" s="33" t="s">
        <v>3007</v>
      </c>
      <c r="Q739" s="34" t="s">
        <v>1494</v>
      </c>
      <c r="R739" s="34" t="s">
        <v>1494</v>
      </c>
    </row>
    <row r="740" spans="1:18" ht="15" customHeight="1" x14ac:dyDescent="0.25">
      <c r="A740" t="str">
        <f>IFERROR(RANK(B740,$B:$B,1)+COUNTIF($B$1:B739,B740),"")</f>
        <v/>
      </c>
      <c r="B740" t="str">
        <f>IFERROR(SEARCH(#REF!,Table4[[#This Row],[Commodity Title]],1),"")</f>
        <v/>
      </c>
      <c r="C740" s="35">
        <v>42152227</v>
      </c>
      <c r="D740" s="33" t="s">
        <v>1495</v>
      </c>
      <c r="E740" s="33" t="s">
        <v>1496</v>
      </c>
      <c r="F740" s="33" t="s">
        <v>1497</v>
      </c>
      <c r="G740" s="33" t="s">
        <v>2607</v>
      </c>
      <c r="H740" s="33" t="s">
        <v>2608</v>
      </c>
      <c r="I740" s="33" t="s">
        <v>2609</v>
      </c>
      <c r="J740" s="33">
        <v>202571</v>
      </c>
      <c r="K740" s="33" t="s">
        <v>2953</v>
      </c>
      <c r="L740" s="33" t="s">
        <v>2954</v>
      </c>
      <c r="M740" s="33" t="s">
        <v>2955</v>
      </c>
      <c r="N740" s="44">
        <v>42152227</v>
      </c>
      <c r="O740" s="33" t="s">
        <v>3008</v>
      </c>
      <c r="P740" s="33" t="s">
        <v>3009</v>
      </c>
      <c r="Q740" s="34" t="s">
        <v>1494</v>
      </c>
      <c r="R740" s="34" t="s">
        <v>1494</v>
      </c>
    </row>
    <row r="741" spans="1:18" ht="15" customHeight="1" x14ac:dyDescent="0.25">
      <c r="A741" t="str">
        <f>IFERROR(RANK(B741,$B:$B,1)+COUNTIF($B$1:B740,B741),"")</f>
        <v/>
      </c>
      <c r="B741" t="str">
        <f>IFERROR(SEARCH(#REF!,Table4[[#This Row],[Commodity Title]],1),"")</f>
        <v/>
      </c>
      <c r="C741" s="35">
        <v>42152228</v>
      </c>
      <c r="D741" s="33" t="s">
        <v>1495</v>
      </c>
      <c r="E741" s="33" t="s">
        <v>1496</v>
      </c>
      <c r="F741" s="33" t="s">
        <v>1497</v>
      </c>
      <c r="G741" s="33" t="s">
        <v>2607</v>
      </c>
      <c r="H741" s="33" t="s">
        <v>2608</v>
      </c>
      <c r="I741" s="33" t="s">
        <v>2609</v>
      </c>
      <c r="J741" s="33">
        <v>202572</v>
      </c>
      <c r="K741" s="33" t="s">
        <v>2953</v>
      </c>
      <c r="L741" s="33" t="s">
        <v>2954</v>
      </c>
      <c r="M741" s="33" t="s">
        <v>2955</v>
      </c>
      <c r="N741" s="44">
        <v>42152228</v>
      </c>
      <c r="O741" s="33" t="s">
        <v>3010</v>
      </c>
      <c r="P741" s="33" t="s">
        <v>3011</v>
      </c>
      <c r="Q741" s="34" t="s">
        <v>1494</v>
      </c>
      <c r="R741" s="34" t="s">
        <v>1494</v>
      </c>
    </row>
    <row r="742" spans="1:18" ht="15" customHeight="1" x14ac:dyDescent="0.25">
      <c r="A742" t="str">
        <f>IFERROR(RANK(B742,$B:$B,1)+COUNTIF($B$1:B741,B742),"")</f>
        <v/>
      </c>
      <c r="B742" t="str">
        <f>IFERROR(SEARCH(#REF!,Table4[[#This Row],[Commodity Title]],1),"")</f>
        <v/>
      </c>
      <c r="C742" s="35">
        <v>42152229</v>
      </c>
      <c r="D742" s="33" t="s">
        <v>1495</v>
      </c>
      <c r="E742" s="33" t="s">
        <v>1496</v>
      </c>
      <c r="F742" s="33" t="s">
        <v>1497</v>
      </c>
      <c r="G742" s="33" t="s">
        <v>2607</v>
      </c>
      <c r="H742" s="33" t="s">
        <v>2608</v>
      </c>
      <c r="I742" s="33" t="s">
        <v>2609</v>
      </c>
      <c r="J742" s="33">
        <v>202573</v>
      </c>
      <c r="K742" s="33" t="s">
        <v>2953</v>
      </c>
      <c r="L742" s="33" t="s">
        <v>2954</v>
      </c>
      <c r="M742" s="33" t="s">
        <v>2955</v>
      </c>
      <c r="N742" s="44">
        <v>42152229</v>
      </c>
      <c r="O742" s="33" t="s">
        <v>3012</v>
      </c>
      <c r="P742" s="33" t="s">
        <v>3013</v>
      </c>
      <c r="Q742" s="34" t="s">
        <v>1494</v>
      </c>
      <c r="R742" s="34" t="s">
        <v>1494</v>
      </c>
    </row>
    <row r="743" spans="1:18" ht="15" customHeight="1" x14ac:dyDescent="0.25">
      <c r="A743" t="str">
        <f>IFERROR(RANK(B743,$B:$B,1)+COUNTIF($B$1:B742,B743),"")</f>
        <v/>
      </c>
      <c r="B743" t="str">
        <f>IFERROR(SEARCH(#REF!,Table4[[#This Row],[Commodity Title]],1),"")</f>
        <v/>
      </c>
      <c r="C743" s="35">
        <v>42152230</v>
      </c>
      <c r="D743" s="33" t="s">
        <v>1495</v>
      </c>
      <c r="E743" s="33" t="s">
        <v>1496</v>
      </c>
      <c r="F743" s="33" t="s">
        <v>1497</v>
      </c>
      <c r="G743" s="33" t="s">
        <v>2607</v>
      </c>
      <c r="H743" s="33" t="s">
        <v>2608</v>
      </c>
      <c r="I743" s="33" t="s">
        <v>2609</v>
      </c>
      <c r="J743" s="33">
        <v>202574</v>
      </c>
      <c r="K743" s="33" t="s">
        <v>2953</v>
      </c>
      <c r="L743" s="33" t="s">
        <v>2954</v>
      </c>
      <c r="M743" s="33" t="s">
        <v>2955</v>
      </c>
      <c r="N743" s="44">
        <v>42152230</v>
      </c>
      <c r="O743" s="33" t="s">
        <v>3014</v>
      </c>
      <c r="P743" s="33" t="s">
        <v>3015</v>
      </c>
      <c r="Q743" s="34" t="s">
        <v>1494</v>
      </c>
      <c r="R743" s="34" t="s">
        <v>1494</v>
      </c>
    </row>
    <row r="744" spans="1:18" ht="15" customHeight="1" x14ac:dyDescent="0.25">
      <c r="A744" t="str">
        <f>IFERROR(RANK(B744,$B:$B,1)+COUNTIF($B$1:B743,B744),"")</f>
        <v/>
      </c>
      <c r="B744" t="str">
        <f>IFERROR(SEARCH(#REF!,Table4[[#This Row],[Commodity Title]],1),"")</f>
        <v/>
      </c>
      <c r="C744" s="35">
        <v>42152231</v>
      </c>
      <c r="D744" s="33" t="s">
        <v>1495</v>
      </c>
      <c r="E744" s="33" t="s">
        <v>1496</v>
      </c>
      <c r="F744" s="33" t="s">
        <v>1497</v>
      </c>
      <c r="G744" s="33" t="s">
        <v>2607</v>
      </c>
      <c r="H744" s="33" t="s">
        <v>2608</v>
      </c>
      <c r="I744" s="33" t="s">
        <v>2609</v>
      </c>
      <c r="J744" s="33">
        <v>202575</v>
      </c>
      <c r="K744" s="33" t="s">
        <v>2953</v>
      </c>
      <c r="L744" s="33" t="s">
        <v>2954</v>
      </c>
      <c r="M744" s="33" t="s">
        <v>2955</v>
      </c>
      <c r="N744" s="44">
        <v>42152231</v>
      </c>
      <c r="O744" s="33" t="s">
        <v>3016</v>
      </c>
      <c r="P744" s="33" t="s">
        <v>3017</v>
      </c>
      <c r="Q744" s="34" t="s">
        <v>1494</v>
      </c>
      <c r="R744" s="34" t="s">
        <v>1494</v>
      </c>
    </row>
    <row r="745" spans="1:18" ht="15" customHeight="1" x14ac:dyDescent="0.25">
      <c r="A745" t="str">
        <f>IFERROR(RANK(B745,$B:$B,1)+COUNTIF($B$1:B744,B745),"")</f>
        <v/>
      </c>
      <c r="B745" t="str">
        <f>IFERROR(SEARCH(#REF!,Table4[[#This Row],[Commodity Title]],1),"")</f>
        <v/>
      </c>
      <c r="C745" s="35">
        <v>42152232</v>
      </c>
      <c r="D745" s="33" t="s">
        <v>1495</v>
      </c>
      <c r="E745" s="33" t="s">
        <v>1496</v>
      </c>
      <c r="F745" s="33" t="s">
        <v>1497</v>
      </c>
      <c r="G745" s="33" t="s">
        <v>2607</v>
      </c>
      <c r="H745" s="33" t="s">
        <v>2608</v>
      </c>
      <c r="I745" s="33" t="s">
        <v>2609</v>
      </c>
      <c r="J745" s="33">
        <v>202576</v>
      </c>
      <c r="K745" s="33" t="s">
        <v>2953</v>
      </c>
      <c r="L745" s="33" t="s">
        <v>2954</v>
      </c>
      <c r="M745" s="33" t="s">
        <v>2955</v>
      </c>
      <c r="N745" s="44">
        <v>42152232</v>
      </c>
      <c r="O745" s="33" t="s">
        <v>3018</v>
      </c>
      <c r="P745" s="33" t="s">
        <v>3019</v>
      </c>
      <c r="Q745" s="34" t="s">
        <v>1494</v>
      </c>
      <c r="R745" s="34" t="s">
        <v>1494</v>
      </c>
    </row>
    <row r="746" spans="1:18" ht="15" customHeight="1" x14ac:dyDescent="0.25">
      <c r="A746" t="str">
        <f>IFERROR(RANK(B746,$B:$B,1)+COUNTIF($B$1:B745,B746),"")</f>
        <v/>
      </c>
      <c r="B746" t="str">
        <f>IFERROR(SEARCH(#REF!,Table4[[#This Row],[Commodity Title]],1),"")</f>
        <v/>
      </c>
      <c r="C746" s="35">
        <v>42152233</v>
      </c>
      <c r="D746" s="33" t="s">
        <v>1495</v>
      </c>
      <c r="E746" s="33" t="s">
        <v>1496</v>
      </c>
      <c r="F746" s="33" t="s">
        <v>1497</v>
      </c>
      <c r="G746" s="33" t="s">
        <v>2607</v>
      </c>
      <c r="H746" s="33" t="s">
        <v>2608</v>
      </c>
      <c r="I746" s="33" t="s">
        <v>2609</v>
      </c>
      <c r="J746" s="33">
        <v>202577</v>
      </c>
      <c r="K746" s="33" t="s">
        <v>2953</v>
      </c>
      <c r="L746" s="33" t="s">
        <v>2954</v>
      </c>
      <c r="M746" s="33" t="s">
        <v>2955</v>
      </c>
      <c r="N746" s="44">
        <v>42152233</v>
      </c>
      <c r="O746" s="33" t="s">
        <v>3020</v>
      </c>
      <c r="P746" s="33" t="s">
        <v>3021</v>
      </c>
      <c r="Q746" s="34" t="s">
        <v>1494</v>
      </c>
      <c r="R746" s="34" t="s">
        <v>1494</v>
      </c>
    </row>
    <row r="747" spans="1:18" ht="15" customHeight="1" x14ac:dyDescent="0.25">
      <c r="A747" t="str">
        <f>IFERROR(RANK(B747,$B:$B,1)+COUNTIF($B$1:B746,B747),"")</f>
        <v/>
      </c>
      <c r="B747" t="str">
        <f>IFERROR(SEARCH(#REF!,Table4[[#This Row],[Commodity Title]],1),"")</f>
        <v/>
      </c>
      <c r="C747" s="35">
        <v>42152234</v>
      </c>
      <c r="D747" s="33" t="s">
        <v>1495</v>
      </c>
      <c r="E747" s="33" t="s">
        <v>1496</v>
      </c>
      <c r="F747" s="33" t="s">
        <v>1497</v>
      </c>
      <c r="G747" s="33" t="s">
        <v>2607</v>
      </c>
      <c r="H747" s="33" t="s">
        <v>2608</v>
      </c>
      <c r="I747" s="33" t="s">
        <v>2609</v>
      </c>
      <c r="J747" s="33">
        <v>202578</v>
      </c>
      <c r="K747" s="33" t="s">
        <v>2953</v>
      </c>
      <c r="L747" s="33" t="s">
        <v>2954</v>
      </c>
      <c r="M747" s="33" t="s">
        <v>2955</v>
      </c>
      <c r="N747" s="44">
        <v>42152234</v>
      </c>
      <c r="O747" s="33" t="s">
        <v>3022</v>
      </c>
      <c r="P747" s="33" t="s">
        <v>3023</v>
      </c>
      <c r="Q747" s="34" t="s">
        <v>1494</v>
      </c>
      <c r="R747" s="34" t="s">
        <v>1494</v>
      </c>
    </row>
    <row r="748" spans="1:18" ht="15" customHeight="1" x14ac:dyDescent="0.25">
      <c r="A748" t="str">
        <f>IFERROR(RANK(B748,$B:$B,1)+COUNTIF($B$1:B747,B748),"")</f>
        <v/>
      </c>
      <c r="B748" t="str">
        <f>IFERROR(SEARCH(#REF!,Table4[[#This Row],[Commodity Title]],1),"")</f>
        <v/>
      </c>
      <c r="C748" s="35">
        <v>42152235</v>
      </c>
      <c r="D748" s="33" t="s">
        <v>1495</v>
      </c>
      <c r="E748" s="33" t="s">
        <v>1496</v>
      </c>
      <c r="F748" s="33" t="s">
        <v>1497</v>
      </c>
      <c r="G748" s="33" t="s">
        <v>2607</v>
      </c>
      <c r="H748" s="33" t="s">
        <v>2608</v>
      </c>
      <c r="I748" s="33" t="s">
        <v>2609</v>
      </c>
      <c r="J748" s="33">
        <v>202579</v>
      </c>
      <c r="K748" s="33" t="s">
        <v>2953</v>
      </c>
      <c r="L748" s="33" t="s">
        <v>2954</v>
      </c>
      <c r="M748" s="33" t="s">
        <v>2955</v>
      </c>
      <c r="N748" s="44">
        <v>42152235</v>
      </c>
      <c r="O748" s="33" t="s">
        <v>3024</v>
      </c>
      <c r="P748" s="33" t="s">
        <v>3025</v>
      </c>
      <c r="Q748" s="34" t="s">
        <v>1494</v>
      </c>
      <c r="R748" s="34" t="s">
        <v>1494</v>
      </c>
    </row>
    <row r="749" spans="1:18" ht="15" customHeight="1" x14ac:dyDescent="0.25">
      <c r="A749" t="str">
        <f>IFERROR(RANK(B749,$B:$B,1)+COUNTIF($B$1:B748,B749),"")</f>
        <v/>
      </c>
      <c r="B749" t="str">
        <f>IFERROR(SEARCH(#REF!,Table4[[#This Row],[Commodity Title]],1),"")</f>
        <v/>
      </c>
      <c r="C749" s="35">
        <v>42152236</v>
      </c>
      <c r="D749" s="33" t="s">
        <v>1495</v>
      </c>
      <c r="E749" s="33" t="s">
        <v>1496</v>
      </c>
      <c r="F749" s="33" t="s">
        <v>1497</v>
      </c>
      <c r="G749" s="33" t="s">
        <v>2607</v>
      </c>
      <c r="H749" s="33" t="s">
        <v>2608</v>
      </c>
      <c r="I749" s="33" t="s">
        <v>2609</v>
      </c>
      <c r="J749" s="33">
        <v>202580</v>
      </c>
      <c r="K749" s="33" t="s">
        <v>2953</v>
      </c>
      <c r="L749" s="33" t="s">
        <v>2954</v>
      </c>
      <c r="M749" s="33" t="s">
        <v>2955</v>
      </c>
      <c r="N749" s="44">
        <v>42152236</v>
      </c>
      <c r="O749" s="33" t="s">
        <v>3026</v>
      </c>
      <c r="P749" s="33" t="s">
        <v>3027</v>
      </c>
      <c r="Q749" s="34" t="s">
        <v>1494</v>
      </c>
      <c r="R749" s="34" t="s">
        <v>1494</v>
      </c>
    </row>
    <row r="750" spans="1:18" ht="15" customHeight="1" x14ac:dyDescent="0.25">
      <c r="A750" t="str">
        <f>IFERROR(RANK(B750,$B:$B,1)+COUNTIF($B$1:B749,B750),"")</f>
        <v/>
      </c>
      <c r="B750" t="str">
        <f>IFERROR(SEARCH(#REF!,Table4[[#This Row],[Commodity Title]],1),"")</f>
        <v/>
      </c>
      <c r="C750" s="35">
        <v>42152237</v>
      </c>
      <c r="D750" s="33" t="s">
        <v>1495</v>
      </c>
      <c r="E750" s="33" t="s">
        <v>1496</v>
      </c>
      <c r="F750" s="33" t="s">
        <v>1497</v>
      </c>
      <c r="G750" s="33" t="s">
        <v>2607</v>
      </c>
      <c r="H750" s="33" t="s">
        <v>2608</v>
      </c>
      <c r="I750" s="33" t="s">
        <v>2609</v>
      </c>
      <c r="J750" s="33">
        <v>202581</v>
      </c>
      <c r="K750" s="33" t="s">
        <v>2953</v>
      </c>
      <c r="L750" s="33" t="s">
        <v>2954</v>
      </c>
      <c r="M750" s="33" t="s">
        <v>2955</v>
      </c>
      <c r="N750" s="44">
        <v>42152237</v>
      </c>
      <c r="O750" s="33" t="s">
        <v>3028</v>
      </c>
      <c r="P750" s="33" t="s">
        <v>3029</v>
      </c>
      <c r="Q750" s="34" t="s">
        <v>1494</v>
      </c>
      <c r="R750" s="34" t="s">
        <v>1494</v>
      </c>
    </row>
    <row r="751" spans="1:18" ht="15" customHeight="1" x14ac:dyDescent="0.25">
      <c r="A751" t="str">
        <f>IFERROR(RANK(B751,$B:$B,1)+COUNTIF($B$1:B750,B751),"")</f>
        <v/>
      </c>
      <c r="B751" t="str">
        <f>IFERROR(SEARCH(#REF!,Table4[[#This Row],[Commodity Title]],1),"")</f>
        <v/>
      </c>
      <c r="C751" s="35">
        <v>42152238</v>
      </c>
      <c r="D751" s="33" t="s">
        <v>1495</v>
      </c>
      <c r="E751" s="33" t="s">
        <v>1496</v>
      </c>
      <c r="F751" s="33" t="s">
        <v>1497</v>
      </c>
      <c r="G751" s="33" t="s">
        <v>2607</v>
      </c>
      <c r="H751" s="33" t="s">
        <v>2608</v>
      </c>
      <c r="I751" s="33" t="s">
        <v>2609</v>
      </c>
      <c r="J751" s="33">
        <v>202582</v>
      </c>
      <c r="K751" s="33" t="s">
        <v>2953</v>
      </c>
      <c r="L751" s="33" t="s">
        <v>2954</v>
      </c>
      <c r="M751" s="33" t="s">
        <v>2955</v>
      </c>
      <c r="N751" s="44">
        <v>42152238</v>
      </c>
      <c r="O751" s="33" t="s">
        <v>3030</v>
      </c>
      <c r="P751" s="33" t="s">
        <v>3031</v>
      </c>
      <c r="Q751" s="34" t="s">
        <v>1494</v>
      </c>
      <c r="R751" s="34" t="s">
        <v>1494</v>
      </c>
    </row>
    <row r="752" spans="1:18" ht="15" customHeight="1" x14ac:dyDescent="0.25">
      <c r="A752" t="str">
        <f>IFERROR(RANK(B752,$B:$B,1)+COUNTIF($B$1:B751,B752),"")</f>
        <v/>
      </c>
      <c r="B752" t="str">
        <f>IFERROR(SEARCH(#REF!,Table4[[#This Row],[Commodity Title]],1),"")</f>
        <v/>
      </c>
      <c r="C752" s="35">
        <v>42152239</v>
      </c>
      <c r="D752" s="33" t="s">
        <v>1495</v>
      </c>
      <c r="E752" s="33" t="s">
        <v>1496</v>
      </c>
      <c r="F752" s="33" t="s">
        <v>1497</v>
      </c>
      <c r="G752" s="33" t="s">
        <v>2607</v>
      </c>
      <c r="H752" s="33" t="s">
        <v>2608</v>
      </c>
      <c r="I752" s="33" t="s">
        <v>2609</v>
      </c>
      <c r="J752" s="33">
        <v>202583</v>
      </c>
      <c r="K752" s="33" t="s">
        <v>2953</v>
      </c>
      <c r="L752" s="33" t="s">
        <v>2954</v>
      </c>
      <c r="M752" s="33" t="s">
        <v>2955</v>
      </c>
      <c r="N752" s="44">
        <v>42152239</v>
      </c>
      <c r="O752" s="33" t="s">
        <v>3032</v>
      </c>
      <c r="P752" s="33" t="s">
        <v>3033</v>
      </c>
      <c r="Q752" s="34" t="s">
        <v>1494</v>
      </c>
      <c r="R752" s="34" t="s">
        <v>1494</v>
      </c>
    </row>
    <row r="753" spans="1:18" ht="15" customHeight="1" x14ac:dyDescent="0.25">
      <c r="A753" t="str">
        <f>IFERROR(RANK(B753,$B:$B,1)+COUNTIF($B$1:B752,B753),"")</f>
        <v/>
      </c>
      <c r="B753" t="str">
        <f>IFERROR(SEARCH(#REF!,Table4[[#This Row],[Commodity Title]],1),"")</f>
        <v/>
      </c>
      <c r="C753" s="35">
        <v>42152240</v>
      </c>
      <c r="D753" s="33" t="s">
        <v>1495</v>
      </c>
      <c r="E753" s="33" t="s">
        <v>1496</v>
      </c>
      <c r="F753" s="33" t="s">
        <v>1497</v>
      </c>
      <c r="G753" s="33" t="s">
        <v>2607</v>
      </c>
      <c r="H753" s="33" t="s">
        <v>2608</v>
      </c>
      <c r="I753" s="33" t="s">
        <v>2609</v>
      </c>
      <c r="J753" s="33">
        <v>202584</v>
      </c>
      <c r="K753" s="33" t="s">
        <v>2953</v>
      </c>
      <c r="L753" s="33" t="s">
        <v>2954</v>
      </c>
      <c r="M753" s="33" t="s">
        <v>2955</v>
      </c>
      <c r="N753" s="44">
        <v>42152240</v>
      </c>
      <c r="O753" s="33" t="s">
        <v>3034</v>
      </c>
      <c r="P753" s="33" t="s">
        <v>3035</v>
      </c>
      <c r="Q753" s="34" t="s">
        <v>1494</v>
      </c>
      <c r="R753" s="34" t="s">
        <v>1494</v>
      </c>
    </row>
    <row r="754" spans="1:18" ht="15" customHeight="1" x14ac:dyDescent="0.25">
      <c r="A754" t="str">
        <f>IFERROR(RANK(B754,$B:$B,1)+COUNTIF($B$1:B753,B754),"")</f>
        <v/>
      </c>
      <c r="B754" t="str">
        <f>IFERROR(SEARCH(#REF!,Table4[[#This Row],[Commodity Title]],1),"")</f>
        <v/>
      </c>
      <c r="C754" s="35">
        <v>42152241</v>
      </c>
      <c r="D754" s="33" t="s">
        <v>1495</v>
      </c>
      <c r="E754" s="33" t="s">
        <v>1496</v>
      </c>
      <c r="F754" s="33" t="s">
        <v>1497</v>
      </c>
      <c r="G754" s="33" t="s">
        <v>2607</v>
      </c>
      <c r="H754" s="33" t="s">
        <v>2608</v>
      </c>
      <c r="I754" s="33" t="s">
        <v>2609</v>
      </c>
      <c r="J754" s="33">
        <v>202585</v>
      </c>
      <c r="K754" s="33" t="s">
        <v>2953</v>
      </c>
      <c r="L754" s="33" t="s">
        <v>2954</v>
      </c>
      <c r="M754" s="33" t="s">
        <v>2955</v>
      </c>
      <c r="N754" s="44">
        <v>42152241</v>
      </c>
      <c r="O754" s="33" t="s">
        <v>3036</v>
      </c>
      <c r="P754" s="33" t="s">
        <v>3037</v>
      </c>
      <c r="Q754" s="34" t="s">
        <v>1494</v>
      </c>
      <c r="R754" s="34" t="s">
        <v>1494</v>
      </c>
    </row>
    <row r="755" spans="1:18" ht="15" customHeight="1" x14ac:dyDescent="0.25">
      <c r="A755" t="str">
        <f>IFERROR(RANK(B755,$B:$B,1)+COUNTIF($B$1:B754,B755),"")</f>
        <v/>
      </c>
      <c r="B755" t="str">
        <f>IFERROR(SEARCH(#REF!,Table4[[#This Row],[Commodity Title]],1),"")</f>
        <v/>
      </c>
      <c r="C755" s="35">
        <v>42152242</v>
      </c>
      <c r="D755" s="33" t="s">
        <v>1495</v>
      </c>
      <c r="E755" s="33" t="s">
        <v>1496</v>
      </c>
      <c r="F755" s="33" t="s">
        <v>1497</v>
      </c>
      <c r="G755" s="33" t="s">
        <v>2607</v>
      </c>
      <c r="H755" s="33" t="s">
        <v>2608</v>
      </c>
      <c r="I755" s="33" t="s">
        <v>2609</v>
      </c>
      <c r="J755" s="33">
        <v>202586</v>
      </c>
      <c r="K755" s="33" t="s">
        <v>2953</v>
      </c>
      <c r="L755" s="33" t="s">
        <v>2954</v>
      </c>
      <c r="M755" s="33" t="s">
        <v>2955</v>
      </c>
      <c r="N755" s="44">
        <v>42152242</v>
      </c>
      <c r="O755" s="33" t="s">
        <v>3038</v>
      </c>
      <c r="P755" s="33" t="s">
        <v>3039</v>
      </c>
      <c r="Q755" s="34" t="s">
        <v>1494</v>
      </c>
      <c r="R755" s="34" t="s">
        <v>1494</v>
      </c>
    </row>
    <row r="756" spans="1:18" ht="15" customHeight="1" x14ac:dyDescent="0.25">
      <c r="A756" t="str">
        <f>IFERROR(RANK(B756,$B:$B,1)+COUNTIF($B$1:B755,B756),"")</f>
        <v/>
      </c>
      <c r="B756" t="str">
        <f>IFERROR(SEARCH(#REF!,Table4[[#This Row],[Commodity Title]],1),"")</f>
        <v/>
      </c>
      <c r="C756" s="33" t="s">
        <v>1494</v>
      </c>
      <c r="D756" s="33" t="s">
        <v>1495</v>
      </c>
      <c r="E756" s="33" t="s">
        <v>1496</v>
      </c>
      <c r="F756" s="33" t="s">
        <v>1497</v>
      </c>
      <c r="G756" s="33" t="s">
        <v>2607</v>
      </c>
      <c r="H756" s="33" t="s">
        <v>2608</v>
      </c>
      <c r="I756" s="33" t="s">
        <v>2609</v>
      </c>
      <c r="J756" s="33">
        <v>115083</v>
      </c>
      <c r="K756" s="33" t="s">
        <v>3040</v>
      </c>
      <c r="L756" s="33" t="s">
        <v>3041</v>
      </c>
      <c r="M756" s="33" t="s">
        <v>3042</v>
      </c>
      <c r="N756" s="44" t="s">
        <v>1494</v>
      </c>
      <c r="O756" s="33" t="s">
        <v>1494</v>
      </c>
      <c r="P756" s="33" t="s">
        <v>1494</v>
      </c>
      <c r="Q756" s="34" t="s">
        <v>1494</v>
      </c>
      <c r="R756" s="34" t="s">
        <v>1494</v>
      </c>
    </row>
    <row r="757" spans="1:18" ht="15" customHeight="1" x14ac:dyDescent="0.25">
      <c r="A757" t="str">
        <f>IFERROR(RANK(B757,$B:$B,1)+COUNTIF($B$1:B756,B757),"")</f>
        <v/>
      </c>
      <c r="B757" t="str">
        <f>IFERROR(SEARCH(#REF!,Table4[[#This Row],[Commodity Title]],1),"")</f>
        <v/>
      </c>
      <c r="C757" s="35">
        <v>42152301</v>
      </c>
      <c r="D757" s="33" t="s">
        <v>1495</v>
      </c>
      <c r="E757" s="33" t="s">
        <v>1496</v>
      </c>
      <c r="F757" s="33" t="s">
        <v>1497</v>
      </c>
      <c r="G757" s="33" t="s">
        <v>2607</v>
      </c>
      <c r="H757" s="33" t="s">
        <v>2608</v>
      </c>
      <c r="I757" s="33" t="s">
        <v>2609</v>
      </c>
      <c r="J757" s="33">
        <v>115084</v>
      </c>
      <c r="K757" s="33" t="s">
        <v>3040</v>
      </c>
      <c r="L757" s="33" t="s">
        <v>3041</v>
      </c>
      <c r="M757" s="33" t="s">
        <v>3042</v>
      </c>
      <c r="N757" s="44">
        <v>42152301</v>
      </c>
      <c r="O757" s="33" t="s">
        <v>3043</v>
      </c>
      <c r="P757" s="33" t="s">
        <v>3044</v>
      </c>
      <c r="Q757" s="34" t="s">
        <v>1494</v>
      </c>
      <c r="R757" s="34" t="s">
        <v>1494</v>
      </c>
    </row>
    <row r="758" spans="1:18" ht="15" customHeight="1" x14ac:dyDescent="0.25">
      <c r="A758" t="str">
        <f>IFERROR(RANK(B758,$B:$B,1)+COUNTIF($B$1:B757,B758),"")</f>
        <v/>
      </c>
      <c r="B758" t="str">
        <f>IFERROR(SEARCH(#REF!,Table4[[#This Row],[Commodity Title]],1),"")</f>
        <v/>
      </c>
      <c r="C758" s="35">
        <v>42152302</v>
      </c>
      <c r="D758" s="33" t="s">
        <v>1495</v>
      </c>
      <c r="E758" s="33" t="s">
        <v>1496</v>
      </c>
      <c r="F758" s="33" t="s">
        <v>1497</v>
      </c>
      <c r="G758" s="33" t="s">
        <v>2607</v>
      </c>
      <c r="H758" s="33" t="s">
        <v>2608</v>
      </c>
      <c r="I758" s="33" t="s">
        <v>2609</v>
      </c>
      <c r="J758" s="33">
        <v>115085</v>
      </c>
      <c r="K758" s="33" t="s">
        <v>3040</v>
      </c>
      <c r="L758" s="33" t="s">
        <v>3041</v>
      </c>
      <c r="M758" s="33" t="s">
        <v>3042</v>
      </c>
      <c r="N758" s="44">
        <v>42152302</v>
      </c>
      <c r="O758" s="33" t="s">
        <v>3045</v>
      </c>
      <c r="P758" s="33" t="s">
        <v>3046</v>
      </c>
      <c r="Q758" s="34" t="s">
        <v>1494</v>
      </c>
      <c r="R758" s="34" t="s">
        <v>1494</v>
      </c>
    </row>
    <row r="759" spans="1:18" ht="15" customHeight="1" x14ac:dyDescent="0.25">
      <c r="A759" t="str">
        <f>IFERROR(RANK(B759,$B:$B,1)+COUNTIF($B$1:B758,B759),"")</f>
        <v/>
      </c>
      <c r="B759" t="str">
        <f>IFERROR(SEARCH(#REF!,Table4[[#This Row],[Commodity Title]],1),"")</f>
        <v/>
      </c>
      <c r="C759" s="35">
        <v>42152303</v>
      </c>
      <c r="D759" s="33" t="s">
        <v>1495</v>
      </c>
      <c r="E759" s="33" t="s">
        <v>1496</v>
      </c>
      <c r="F759" s="33" t="s">
        <v>1497</v>
      </c>
      <c r="G759" s="33" t="s">
        <v>2607</v>
      </c>
      <c r="H759" s="33" t="s">
        <v>2608</v>
      </c>
      <c r="I759" s="33" t="s">
        <v>2609</v>
      </c>
      <c r="J759" s="33">
        <v>115086</v>
      </c>
      <c r="K759" s="33" t="s">
        <v>3040</v>
      </c>
      <c r="L759" s="33" t="s">
        <v>3041</v>
      </c>
      <c r="M759" s="33" t="s">
        <v>3042</v>
      </c>
      <c r="N759" s="44">
        <v>42152303</v>
      </c>
      <c r="O759" s="33" t="s">
        <v>3047</v>
      </c>
      <c r="P759" s="33" t="s">
        <v>3048</v>
      </c>
      <c r="Q759" s="34" t="s">
        <v>1494</v>
      </c>
      <c r="R759" s="34" t="s">
        <v>1494</v>
      </c>
    </row>
    <row r="760" spans="1:18" ht="15" customHeight="1" x14ac:dyDescent="0.25">
      <c r="A760" t="str">
        <f>IFERROR(RANK(B760,$B:$B,1)+COUNTIF($B$1:B759,B760),"")</f>
        <v/>
      </c>
      <c r="B760" t="str">
        <f>IFERROR(SEARCH(#REF!,Table4[[#This Row],[Commodity Title]],1),"")</f>
        <v/>
      </c>
      <c r="C760" s="35">
        <v>42152304</v>
      </c>
      <c r="D760" s="33" t="s">
        <v>1495</v>
      </c>
      <c r="E760" s="33" t="s">
        <v>1496</v>
      </c>
      <c r="F760" s="33" t="s">
        <v>1497</v>
      </c>
      <c r="G760" s="33" t="s">
        <v>2607</v>
      </c>
      <c r="H760" s="33" t="s">
        <v>2608</v>
      </c>
      <c r="I760" s="33" t="s">
        <v>2609</v>
      </c>
      <c r="J760" s="33">
        <v>115087</v>
      </c>
      <c r="K760" s="33" t="s">
        <v>3040</v>
      </c>
      <c r="L760" s="33" t="s">
        <v>3041</v>
      </c>
      <c r="M760" s="33" t="s">
        <v>3042</v>
      </c>
      <c r="N760" s="44">
        <v>42152304</v>
      </c>
      <c r="O760" s="33" t="s">
        <v>3049</v>
      </c>
      <c r="P760" s="33" t="s">
        <v>3050</v>
      </c>
      <c r="Q760" s="34" t="s">
        <v>1494</v>
      </c>
      <c r="R760" s="34" t="s">
        <v>1494</v>
      </c>
    </row>
    <row r="761" spans="1:18" ht="15" customHeight="1" x14ac:dyDescent="0.25">
      <c r="A761" t="str">
        <f>IFERROR(RANK(B761,$B:$B,1)+COUNTIF($B$1:B760,B761),"")</f>
        <v/>
      </c>
      <c r="B761" t="str">
        <f>IFERROR(SEARCH(#REF!,Table4[[#This Row],[Commodity Title]],1),"")</f>
        <v/>
      </c>
      <c r="C761" s="35">
        <v>42152308</v>
      </c>
      <c r="D761" s="33" t="s">
        <v>1495</v>
      </c>
      <c r="E761" s="33" t="s">
        <v>1496</v>
      </c>
      <c r="F761" s="33" t="s">
        <v>1497</v>
      </c>
      <c r="G761" s="33" t="s">
        <v>2607</v>
      </c>
      <c r="H761" s="33" t="s">
        <v>2608</v>
      </c>
      <c r="I761" s="33" t="s">
        <v>2609</v>
      </c>
      <c r="J761" s="33">
        <v>202587</v>
      </c>
      <c r="K761" s="33" t="s">
        <v>3040</v>
      </c>
      <c r="L761" s="33" t="s">
        <v>3041</v>
      </c>
      <c r="M761" s="33" t="s">
        <v>3042</v>
      </c>
      <c r="N761" s="44">
        <v>42152308</v>
      </c>
      <c r="O761" s="33" t="s">
        <v>3051</v>
      </c>
      <c r="P761" s="33" t="s">
        <v>3052</v>
      </c>
      <c r="Q761" s="34" t="s">
        <v>1494</v>
      </c>
      <c r="R761" s="34" t="s">
        <v>1494</v>
      </c>
    </row>
    <row r="762" spans="1:18" ht="15" customHeight="1" x14ac:dyDescent="0.25">
      <c r="A762" t="str">
        <f>IFERROR(RANK(B762,$B:$B,1)+COUNTIF($B$1:B761,B762),"")</f>
        <v/>
      </c>
      <c r="B762" t="str">
        <f>IFERROR(SEARCH(#REF!,Table4[[#This Row],[Commodity Title]],1),"")</f>
        <v/>
      </c>
      <c r="C762" s="35">
        <v>42152309</v>
      </c>
      <c r="D762" s="33" t="s">
        <v>1495</v>
      </c>
      <c r="E762" s="33" t="s">
        <v>1496</v>
      </c>
      <c r="F762" s="33" t="s">
        <v>1497</v>
      </c>
      <c r="G762" s="33" t="s">
        <v>2607</v>
      </c>
      <c r="H762" s="33" t="s">
        <v>2608</v>
      </c>
      <c r="I762" s="33" t="s">
        <v>2609</v>
      </c>
      <c r="J762" s="33">
        <v>202588</v>
      </c>
      <c r="K762" s="33" t="s">
        <v>3040</v>
      </c>
      <c r="L762" s="33" t="s">
        <v>3041</v>
      </c>
      <c r="M762" s="33" t="s">
        <v>3042</v>
      </c>
      <c r="N762" s="44">
        <v>42152309</v>
      </c>
      <c r="O762" s="33" t="s">
        <v>3053</v>
      </c>
      <c r="P762" s="33" t="s">
        <v>3054</v>
      </c>
      <c r="Q762" s="34" t="s">
        <v>1494</v>
      </c>
      <c r="R762" s="34" t="s">
        <v>1494</v>
      </c>
    </row>
    <row r="763" spans="1:18" ht="15" customHeight="1" x14ac:dyDescent="0.25">
      <c r="A763" t="str">
        <f>IFERROR(RANK(B763,$B:$B,1)+COUNTIF($B$1:B762,B763),"")</f>
        <v/>
      </c>
      <c r="B763" t="str">
        <f>IFERROR(SEARCH(#REF!,Table4[[#This Row],[Commodity Title]],1),"")</f>
        <v/>
      </c>
      <c r="C763" s="35">
        <v>42152310</v>
      </c>
      <c r="D763" s="33" t="s">
        <v>1495</v>
      </c>
      <c r="E763" s="33" t="s">
        <v>1496</v>
      </c>
      <c r="F763" s="33" t="s">
        <v>1497</v>
      </c>
      <c r="G763" s="33" t="s">
        <v>2607</v>
      </c>
      <c r="H763" s="33" t="s">
        <v>2608</v>
      </c>
      <c r="I763" s="33" t="s">
        <v>2609</v>
      </c>
      <c r="J763" s="33">
        <v>202589</v>
      </c>
      <c r="K763" s="33" t="s">
        <v>3040</v>
      </c>
      <c r="L763" s="33" t="s">
        <v>3041</v>
      </c>
      <c r="M763" s="33" t="s">
        <v>3042</v>
      </c>
      <c r="N763" s="44">
        <v>42152310</v>
      </c>
      <c r="O763" s="33" t="s">
        <v>3055</v>
      </c>
      <c r="P763" s="33" t="s">
        <v>3056</v>
      </c>
      <c r="Q763" s="34" t="s">
        <v>1494</v>
      </c>
      <c r="R763" s="34" t="s">
        <v>1494</v>
      </c>
    </row>
    <row r="764" spans="1:18" ht="15" customHeight="1" x14ac:dyDescent="0.25">
      <c r="A764" t="str">
        <f>IFERROR(RANK(B764,$B:$B,1)+COUNTIF($B$1:B763,B764),"")</f>
        <v/>
      </c>
      <c r="B764" t="str">
        <f>IFERROR(SEARCH(#REF!,Table4[[#This Row],[Commodity Title]],1),"")</f>
        <v/>
      </c>
      <c r="C764" s="35">
        <v>42152311</v>
      </c>
      <c r="D764" s="33" t="s">
        <v>1495</v>
      </c>
      <c r="E764" s="33" t="s">
        <v>1496</v>
      </c>
      <c r="F764" s="33" t="s">
        <v>1497</v>
      </c>
      <c r="G764" s="33" t="s">
        <v>2607</v>
      </c>
      <c r="H764" s="33" t="s">
        <v>2608</v>
      </c>
      <c r="I764" s="33" t="s">
        <v>2609</v>
      </c>
      <c r="J764" s="33">
        <v>202590</v>
      </c>
      <c r="K764" s="33" t="s">
        <v>3040</v>
      </c>
      <c r="L764" s="33" t="s">
        <v>3041</v>
      </c>
      <c r="M764" s="33" t="s">
        <v>3042</v>
      </c>
      <c r="N764" s="44">
        <v>42152311</v>
      </c>
      <c r="O764" s="33" t="s">
        <v>3057</v>
      </c>
      <c r="P764" s="33" t="s">
        <v>3058</v>
      </c>
      <c r="Q764" s="34" t="s">
        <v>1494</v>
      </c>
      <c r="R764" s="34" t="s">
        <v>1494</v>
      </c>
    </row>
    <row r="765" spans="1:18" ht="15" customHeight="1" x14ac:dyDescent="0.25">
      <c r="A765" t="str">
        <f>IFERROR(RANK(B765,$B:$B,1)+COUNTIF($B$1:B764,B765),"")</f>
        <v/>
      </c>
      <c r="B765" t="str">
        <f>IFERROR(SEARCH(#REF!,Table4[[#This Row],[Commodity Title]],1),"")</f>
        <v/>
      </c>
      <c r="C765" s="33" t="s">
        <v>1494</v>
      </c>
      <c r="D765" s="33" t="s">
        <v>1495</v>
      </c>
      <c r="E765" s="33" t="s">
        <v>1496</v>
      </c>
      <c r="F765" s="33" t="s">
        <v>1497</v>
      </c>
      <c r="G765" s="33" t="s">
        <v>2607</v>
      </c>
      <c r="H765" s="33" t="s">
        <v>2608</v>
      </c>
      <c r="I765" s="33" t="s">
        <v>2609</v>
      </c>
      <c r="J765" s="33">
        <v>115088</v>
      </c>
      <c r="K765" s="33" t="s">
        <v>3059</v>
      </c>
      <c r="L765" s="33" t="s">
        <v>3060</v>
      </c>
      <c r="M765" s="33" t="s">
        <v>3061</v>
      </c>
      <c r="N765" s="44" t="s">
        <v>1494</v>
      </c>
      <c r="O765" s="33" t="s">
        <v>1494</v>
      </c>
      <c r="P765" s="33" t="s">
        <v>1494</v>
      </c>
      <c r="Q765" s="34" t="s">
        <v>1494</v>
      </c>
      <c r="R765" s="34" t="s">
        <v>1494</v>
      </c>
    </row>
    <row r="766" spans="1:18" ht="15" customHeight="1" x14ac:dyDescent="0.25">
      <c r="A766" t="str">
        <f>IFERROR(RANK(B766,$B:$B,1)+COUNTIF($B$1:B765,B766),"")</f>
        <v/>
      </c>
      <c r="B766" t="str">
        <f>IFERROR(SEARCH(#REF!,Table4[[#This Row],[Commodity Title]],1),"")</f>
        <v/>
      </c>
      <c r="C766" s="35">
        <v>42152402</v>
      </c>
      <c r="D766" s="33" t="s">
        <v>1495</v>
      </c>
      <c r="E766" s="33" t="s">
        <v>1496</v>
      </c>
      <c r="F766" s="33" t="s">
        <v>1497</v>
      </c>
      <c r="G766" s="33" t="s">
        <v>2607</v>
      </c>
      <c r="H766" s="33" t="s">
        <v>2608</v>
      </c>
      <c r="I766" s="33" t="s">
        <v>2609</v>
      </c>
      <c r="J766" s="33">
        <v>115090</v>
      </c>
      <c r="K766" s="33" t="s">
        <v>3059</v>
      </c>
      <c r="L766" s="33" t="s">
        <v>3060</v>
      </c>
      <c r="M766" s="33" t="s">
        <v>3061</v>
      </c>
      <c r="N766" s="44">
        <v>42152402</v>
      </c>
      <c r="O766" s="33" t="s">
        <v>3062</v>
      </c>
      <c r="P766" s="33" t="s">
        <v>3063</v>
      </c>
      <c r="Q766" s="34" t="s">
        <v>1494</v>
      </c>
      <c r="R766" s="34" t="s">
        <v>1494</v>
      </c>
    </row>
    <row r="767" spans="1:18" ht="15" customHeight="1" x14ac:dyDescent="0.25">
      <c r="A767" t="str">
        <f>IFERROR(RANK(B767,$B:$B,1)+COUNTIF($B$1:B766,B767),"")</f>
        <v/>
      </c>
      <c r="B767" t="str">
        <f>IFERROR(SEARCH(#REF!,Table4[[#This Row],[Commodity Title]],1),"")</f>
        <v/>
      </c>
      <c r="C767" s="35">
        <v>42152405</v>
      </c>
      <c r="D767" s="33" t="s">
        <v>1495</v>
      </c>
      <c r="E767" s="33" t="s">
        <v>1496</v>
      </c>
      <c r="F767" s="33" t="s">
        <v>1497</v>
      </c>
      <c r="G767" s="33" t="s">
        <v>2607</v>
      </c>
      <c r="H767" s="33" t="s">
        <v>2608</v>
      </c>
      <c r="I767" s="33" t="s">
        <v>2609</v>
      </c>
      <c r="J767" s="33">
        <v>115093</v>
      </c>
      <c r="K767" s="33" t="s">
        <v>3059</v>
      </c>
      <c r="L767" s="33" t="s">
        <v>3060</v>
      </c>
      <c r="M767" s="33" t="s">
        <v>3061</v>
      </c>
      <c r="N767" s="44">
        <v>42152405</v>
      </c>
      <c r="O767" s="33" t="s">
        <v>3064</v>
      </c>
      <c r="P767" s="33" t="s">
        <v>3065</v>
      </c>
      <c r="Q767" s="34" t="s">
        <v>1494</v>
      </c>
      <c r="R767" s="34" t="s">
        <v>1494</v>
      </c>
    </row>
    <row r="768" spans="1:18" ht="15" customHeight="1" x14ac:dyDescent="0.25">
      <c r="A768" t="str">
        <f>IFERROR(RANK(B768,$B:$B,1)+COUNTIF($B$1:B767,B768),"")</f>
        <v/>
      </c>
      <c r="B768" t="str">
        <f>IFERROR(SEARCH(#REF!,Table4[[#This Row],[Commodity Title]],1),"")</f>
        <v/>
      </c>
      <c r="C768" s="35">
        <v>42152412</v>
      </c>
      <c r="D768" s="33" t="s">
        <v>1495</v>
      </c>
      <c r="E768" s="33" t="s">
        <v>1496</v>
      </c>
      <c r="F768" s="33" t="s">
        <v>1497</v>
      </c>
      <c r="G768" s="33" t="s">
        <v>2607</v>
      </c>
      <c r="H768" s="33" t="s">
        <v>2608</v>
      </c>
      <c r="I768" s="33" t="s">
        <v>2609</v>
      </c>
      <c r="J768" s="33">
        <v>115100</v>
      </c>
      <c r="K768" s="33" t="s">
        <v>3059</v>
      </c>
      <c r="L768" s="33" t="s">
        <v>3060</v>
      </c>
      <c r="M768" s="33" t="s">
        <v>3061</v>
      </c>
      <c r="N768" s="44">
        <v>42152412</v>
      </c>
      <c r="O768" s="33" t="s">
        <v>3066</v>
      </c>
      <c r="P768" s="33" t="s">
        <v>3067</v>
      </c>
      <c r="Q768" s="34" t="s">
        <v>1494</v>
      </c>
      <c r="R768" s="34" t="s">
        <v>1494</v>
      </c>
    </row>
    <row r="769" spans="1:18" ht="15" customHeight="1" x14ac:dyDescent="0.25">
      <c r="A769" t="str">
        <f>IFERROR(RANK(B769,$B:$B,1)+COUNTIF($B$1:B768,B769),"")</f>
        <v/>
      </c>
      <c r="B769" t="str">
        <f>IFERROR(SEARCH(#REF!,Table4[[#This Row],[Commodity Title]],1),"")</f>
        <v/>
      </c>
      <c r="C769" s="35">
        <v>42152415</v>
      </c>
      <c r="D769" s="33" t="s">
        <v>1495</v>
      </c>
      <c r="E769" s="33" t="s">
        <v>1496</v>
      </c>
      <c r="F769" s="33" t="s">
        <v>1497</v>
      </c>
      <c r="G769" s="33" t="s">
        <v>2607</v>
      </c>
      <c r="H769" s="33" t="s">
        <v>2608</v>
      </c>
      <c r="I769" s="33" t="s">
        <v>2609</v>
      </c>
      <c r="J769" s="33">
        <v>115103</v>
      </c>
      <c r="K769" s="33" t="s">
        <v>3059</v>
      </c>
      <c r="L769" s="33" t="s">
        <v>3060</v>
      </c>
      <c r="M769" s="33" t="s">
        <v>3061</v>
      </c>
      <c r="N769" s="44">
        <v>42152415</v>
      </c>
      <c r="O769" s="33" t="s">
        <v>3068</v>
      </c>
      <c r="P769" s="33" t="s">
        <v>3069</v>
      </c>
      <c r="Q769" s="34" t="s">
        <v>1494</v>
      </c>
      <c r="R769" s="34" t="s">
        <v>1494</v>
      </c>
    </row>
    <row r="770" spans="1:18" ht="15" customHeight="1" x14ac:dyDescent="0.25">
      <c r="A770" t="str">
        <f>IFERROR(RANK(B770,$B:$B,1)+COUNTIF($B$1:B769,B770),"")</f>
        <v/>
      </c>
      <c r="B770" t="str">
        <f>IFERROR(SEARCH(#REF!,Table4[[#This Row],[Commodity Title]],1),"")</f>
        <v/>
      </c>
      <c r="C770" s="35">
        <v>42152418</v>
      </c>
      <c r="D770" s="33" t="s">
        <v>1495</v>
      </c>
      <c r="E770" s="33" t="s">
        <v>1496</v>
      </c>
      <c r="F770" s="33" t="s">
        <v>1497</v>
      </c>
      <c r="G770" s="33" t="s">
        <v>2607</v>
      </c>
      <c r="H770" s="33" t="s">
        <v>2608</v>
      </c>
      <c r="I770" s="33" t="s">
        <v>2609</v>
      </c>
      <c r="J770" s="33">
        <v>115106</v>
      </c>
      <c r="K770" s="33" t="s">
        <v>3059</v>
      </c>
      <c r="L770" s="33" t="s">
        <v>3060</v>
      </c>
      <c r="M770" s="33" t="s">
        <v>3061</v>
      </c>
      <c r="N770" s="44">
        <v>42152418</v>
      </c>
      <c r="O770" s="33" t="s">
        <v>3070</v>
      </c>
      <c r="P770" s="33" t="s">
        <v>3071</v>
      </c>
      <c r="Q770" s="34" t="s">
        <v>1494</v>
      </c>
      <c r="R770" s="34" t="s">
        <v>1494</v>
      </c>
    </row>
    <row r="771" spans="1:18" ht="15" customHeight="1" x14ac:dyDescent="0.25">
      <c r="A771" t="str">
        <f>IFERROR(RANK(B771,$B:$B,1)+COUNTIF($B$1:B770,B771),"")</f>
        <v/>
      </c>
      <c r="B771" t="str">
        <f>IFERROR(SEARCH(#REF!,Table4[[#This Row],[Commodity Title]],1),"")</f>
        <v/>
      </c>
      <c r="C771" s="35">
        <v>42152423</v>
      </c>
      <c r="D771" s="33" t="s">
        <v>1495</v>
      </c>
      <c r="E771" s="33" t="s">
        <v>1496</v>
      </c>
      <c r="F771" s="33" t="s">
        <v>1497</v>
      </c>
      <c r="G771" s="33" t="s">
        <v>2607</v>
      </c>
      <c r="H771" s="33" t="s">
        <v>2608</v>
      </c>
      <c r="I771" s="33" t="s">
        <v>2609</v>
      </c>
      <c r="J771" s="33">
        <v>115111</v>
      </c>
      <c r="K771" s="33" t="s">
        <v>3059</v>
      </c>
      <c r="L771" s="33" t="s">
        <v>3060</v>
      </c>
      <c r="M771" s="33" t="s">
        <v>3061</v>
      </c>
      <c r="N771" s="44">
        <v>42152423</v>
      </c>
      <c r="O771" s="33" t="s">
        <v>3072</v>
      </c>
      <c r="P771" s="33" t="s">
        <v>3073</v>
      </c>
      <c r="Q771" s="34" t="s">
        <v>1494</v>
      </c>
      <c r="R771" s="34" t="s">
        <v>1494</v>
      </c>
    </row>
    <row r="772" spans="1:18" ht="15" customHeight="1" x14ac:dyDescent="0.25">
      <c r="A772" t="str">
        <f>IFERROR(RANK(B772,$B:$B,1)+COUNTIF($B$1:B771,B772),"")</f>
        <v/>
      </c>
      <c r="B772" t="str">
        <f>IFERROR(SEARCH(#REF!,Table4[[#This Row],[Commodity Title]],1),"")</f>
        <v/>
      </c>
      <c r="C772" s="35">
        <v>42152424</v>
      </c>
      <c r="D772" s="33" t="s">
        <v>1495</v>
      </c>
      <c r="E772" s="33" t="s">
        <v>1496</v>
      </c>
      <c r="F772" s="33" t="s">
        <v>1497</v>
      </c>
      <c r="G772" s="33" t="s">
        <v>2607</v>
      </c>
      <c r="H772" s="33" t="s">
        <v>2608</v>
      </c>
      <c r="I772" s="33" t="s">
        <v>2609</v>
      </c>
      <c r="J772" s="33">
        <v>115112</v>
      </c>
      <c r="K772" s="33" t="s">
        <v>3059</v>
      </c>
      <c r="L772" s="33" t="s">
        <v>3060</v>
      </c>
      <c r="M772" s="33" t="s">
        <v>3061</v>
      </c>
      <c r="N772" s="44">
        <v>42152424</v>
      </c>
      <c r="O772" s="33" t="s">
        <v>3074</v>
      </c>
      <c r="P772" s="33" t="s">
        <v>3075</v>
      </c>
      <c r="Q772" s="34" t="s">
        <v>1494</v>
      </c>
      <c r="R772" s="34" t="s">
        <v>1494</v>
      </c>
    </row>
    <row r="773" spans="1:18" ht="15" customHeight="1" x14ac:dyDescent="0.25">
      <c r="A773" t="str">
        <f>IFERROR(RANK(B773,$B:$B,1)+COUNTIF($B$1:B772,B773),"")</f>
        <v/>
      </c>
      <c r="B773" t="str">
        <f>IFERROR(SEARCH(#REF!,Table4[[#This Row],[Commodity Title]],1),"")</f>
        <v/>
      </c>
      <c r="C773" s="35">
        <v>42152425</v>
      </c>
      <c r="D773" s="33" t="s">
        <v>1495</v>
      </c>
      <c r="E773" s="33" t="s">
        <v>1496</v>
      </c>
      <c r="F773" s="33" t="s">
        <v>1497</v>
      </c>
      <c r="G773" s="33" t="s">
        <v>2607</v>
      </c>
      <c r="H773" s="33" t="s">
        <v>2608</v>
      </c>
      <c r="I773" s="33" t="s">
        <v>2609</v>
      </c>
      <c r="J773" s="33">
        <v>115113</v>
      </c>
      <c r="K773" s="33" t="s">
        <v>3059</v>
      </c>
      <c r="L773" s="33" t="s">
        <v>3060</v>
      </c>
      <c r="M773" s="33" t="s">
        <v>3061</v>
      </c>
      <c r="N773" s="44">
        <v>42152425</v>
      </c>
      <c r="O773" s="33" t="s">
        <v>3076</v>
      </c>
      <c r="P773" s="33" t="s">
        <v>3077</v>
      </c>
      <c r="Q773" s="34" t="s">
        <v>1494</v>
      </c>
      <c r="R773" s="34" t="s">
        <v>1494</v>
      </c>
    </row>
    <row r="774" spans="1:18" ht="15" customHeight="1" x14ac:dyDescent="0.25">
      <c r="A774" t="str">
        <f>IFERROR(RANK(B774,$B:$B,1)+COUNTIF($B$1:B773,B774),"")</f>
        <v/>
      </c>
      <c r="B774" t="str">
        <f>IFERROR(SEARCH(#REF!,Table4[[#This Row],[Commodity Title]],1),"")</f>
        <v/>
      </c>
      <c r="C774" s="35">
        <v>42152434</v>
      </c>
      <c r="D774" s="33" t="s">
        <v>1495</v>
      </c>
      <c r="E774" s="33" t="s">
        <v>1496</v>
      </c>
      <c r="F774" s="33" t="s">
        <v>1497</v>
      </c>
      <c r="G774" s="33" t="s">
        <v>2607</v>
      </c>
      <c r="H774" s="33" t="s">
        <v>2608</v>
      </c>
      <c r="I774" s="33" t="s">
        <v>2609</v>
      </c>
      <c r="J774" s="33">
        <v>115122</v>
      </c>
      <c r="K774" s="33" t="s">
        <v>3059</v>
      </c>
      <c r="L774" s="33" t="s">
        <v>3060</v>
      </c>
      <c r="M774" s="33" t="s">
        <v>3061</v>
      </c>
      <c r="N774" s="44">
        <v>42152434</v>
      </c>
      <c r="O774" s="33" t="s">
        <v>3078</v>
      </c>
      <c r="P774" s="33" t="s">
        <v>3079</v>
      </c>
      <c r="Q774" s="34" t="s">
        <v>1494</v>
      </c>
      <c r="R774" s="34" t="s">
        <v>1494</v>
      </c>
    </row>
    <row r="775" spans="1:18" ht="15" customHeight="1" x14ac:dyDescent="0.25">
      <c r="A775" t="str">
        <f>IFERROR(RANK(B775,$B:$B,1)+COUNTIF($B$1:B774,B775),"")</f>
        <v/>
      </c>
      <c r="B775" t="str">
        <f>IFERROR(SEARCH(#REF!,Table4[[#This Row],[Commodity Title]],1),"")</f>
        <v/>
      </c>
      <c r="C775" s="35">
        <v>42152435</v>
      </c>
      <c r="D775" s="33" t="s">
        <v>1495</v>
      </c>
      <c r="E775" s="33" t="s">
        <v>1496</v>
      </c>
      <c r="F775" s="33" t="s">
        <v>1497</v>
      </c>
      <c r="G775" s="33" t="s">
        <v>2607</v>
      </c>
      <c r="H775" s="33" t="s">
        <v>2608</v>
      </c>
      <c r="I775" s="33" t="s">
        <v>2609</v>
      </c>
      <c r="J775" s="33">
        <v>115123</v>
      </c>
      <c r="K775" s="33" t="s">
        <v>3059</v>
      </c>
      <c r="L775" s="33" t="s">
        <v>3060</v>
      </c>
      <c r="M775" s="33" t="s">
        <v>3061</v>
      </c>
      <c r="N775" s="44">
        <v>42152435</v>
      </c>
      <c r="O775" s="33" t="s">
        <v>3080</v>
      </c>
      <c r="P775" s="33" t="s">
        <v>3081</v>
      </c>
      <c r="Q775" s="34" t="s">
        <v>1494</v>
      </c>
      <c r="R775" s="34" t="s">
        <v>1494</v>
      </c>
    </row>
    <row r="776" spans="1:18" ht="15" customHeight="1" x14ac:dyDescent="0.25">
      <c r="A776" t="str">
        <f>IFERROR(RANK(B776,$B:$B,1)+COUNTIF($B$1:B775,B776),"")</f>
        <v/>
      </c>
      <c r="B776" t="str">
        <f>IFERROR(SEARCH(#REF!,Table4[[#This Row],[Commodity Title]],1),"")</f>
        <v/>
      </c>
      <c r="C776" s="35">
        <v>42152438</v>
      </c>
      <c r="D776" s="33" t="s">
        <v>1495</v>
      </c>
      <c r="E776" s="33" t="s">
        <v>1496</v>
      </c>
      <c r="F776" s="33" t="s">
        <v>1497</v>
      </c>
      <c r="G776" s="33" t="s">
        <v>2607</v>
      </c>
      <c r="H776" s="33" t="s">
        <v>2608</v>
      </c>
      <c r="I776" s="33" t="s">
        <v>2609</v>
      </c>
      <c r="J776" s="33">
        <v>115126</v>
      </c>
      <c r="K776" s="33" t="s">
        <v>3059</v>
      </c>
      <c r="L776" s="33" t="s">
        <v>3060</v>
      </c>
      <c r="M776" s="33" t="s">
        <v>3061</v>
      </c>
      <c r="N776" s="44">
        <v>42152438</v>
      </c>
      <c r="O776" s="33" t="s">
        <v>3082</v>
      </c>
      <c r="P776" s="33" t="s">
        <v>3083</v>
      </c>
      <c r="Q776" s="34" t="s">
        <v>1494</v>
      </c>
      <c r="R776" s="34" t="s">
        <v>1494</v>
      </c>
    </row>
    <row r="777" spans="1:18" ht="15" customHeight="1" x14ac:dyDescent="0.25">
      <c r="A777" t="str">
        <f>IFERROR(RANK(B777,$B:$B,1)+COUNTIF($B$1:B776,B777),"")</f>
        <v/>
      </c>
      <c r="B777" t="str">
        <f>IFERROR(SEARCH(#REF!,Table4[[#This Row],[Commodity Title]],1),"")</f>
        <v/>
      </c>
      <c r="C777" s="35">
        <v>42152444</v>
      </c>
      <c r="D777" s="33" t="s">
        <v>1495</v>
      </c>
      <c r="E777" s="33" t="s">
        <v>1496</v>
      </c>
      <c r="F777" s="33" t="s">
        <v>1497</v>
      </c>
      <c r="G777" s="33" t="s">
        <v>2607</v>
      </c>
      <c r="H777" s="33" t="s">
        <v>2608</v>
      </c>
      <c r="I777" s="33" t="s">
        <v>2609</v>
      </c>
      <c r="J777" s="33">
        <v>142047</v>
      </c>
      <c r="K777" s="33" t="s">
        <v>3059</v>
      </c>
      <c r="L777" s="33" t="s">
        <v>3060</v>
      </c>
      <c r="M777" s="33" t="s">
        <v>3061</v>
      </c>
      <c r="N777" s="44">
        <v>42152444</v>
      </c>
      <c r="O777" s="33" t="s">
        <v>3084</v>
      </c>
      <c r="P777" s="33" t="s">
        <v>3085</v>
      </c>
      <c r="Q777" s="34" t="s">
        <v>1494</v>
      </c>
      <c r="R777" s="34" t="s">
        <v>1494</v>
      </c>
    </row>
    <row r="778" spans="1:18" ht="15" customHeight="1" x14ac:dyDescent="0.25">
      <c r="A778" t="str">
        <f>IFERROR(RANK(B778,$B:$B,1)+COUNTIF($B$1:B777,B778),"")</f>
        <v/>
      </c>
      <c r="B778" t="str">
        <f>IFERROR(SEARCH(#REF!,Table4[[#This Row],[Commodity Title]],1),"")</f>
        <v/>
      </c>
      <c r="C778" s="35">
        <v>42152445</v>
      </c>
      <c r="D778" s="33" t="s">
        <v>1495</v>
      </c>
      <c r="E778" s="33" t="s">
        <v>1496</v>
      </c>
      <c r="F778" s="33" t="s">
        <v>1497</v>
      </c>
      <c r="G778" s="33" t="s">
        <v>2607</v>
      </c>
      <c r="H778" s="33" t="s">
        <v>2608</v>
      </c>
      <c r="I778" s="33" t="s">
        <v>2609</v>
      </c>
      <c r="J778" s="33">
        <v>142403</v>
      </c>
      <c r="K778" s="33" t="s">
        <v>3059</v>
      </c>
      <c r="L778" s="33" t="s">
        <v>3060</v>
      </c>
      <c r="M778" s="33" t="s">
        <v>3061</v>
      </c>
      <c r="N778" s="44">
        <v>42152445</v>
      </c>
      <c r="O778" s="33" t="s">
        <v>3086</v>
      </c>
      <c r="P778" s="33" t="s">
        <v>3087</v>
      </c>
      <c r="Q778" s="34" t="s">
        <v>1494</v>
      </c>
      <c r="R778" s="34" t="s">
        <v>1494</v>
      </c>
    </row>
    <row r="779" spans="1:18" ht="15" customHeight="1" x14ac:dyDescent="0.25">
      <c r="A779" t="str">
        <f>IFERROR(RANK(B779,$B:$B,1)+COUNTIF($B$1:B778,B779),"")</f>
        <v/>
      </c>
      <c r="B779" t="str">
        <f>IFERROR(SEARCH(#REF!,Table4[[#This Row],[Commodity Title]],1),"")</f>
        <v/>
      </c>
      <c r="C779" s="35">
        <v>42152446</v>
      </c>
      <c r="D779" s="33" t="s">
        <v>1495</v>
      </c>
      <c r="E779" s="33" t="s">
        <v>1496</v>
      </c>
      <c r="F779" s="33" t="s">
        <v>1497</v>
      </c>
      <c r="G779" s="33" t="s">
        <v>2607</v>
      </c>
      <c r="H779" s="33" t="s">
        <v>2608</v>
      </c>
      <c r="I779" s="33" t="s">
        <v>2609</v>
      </c>
      <c r="J779" s="33">
        <v>142404</v>
      </c>
      <c r="K779" s="33" t="s">
        <v>3059</v>
      </c>
      <c r="L779" s="33" t="s">
        <v>3060</v>
      </c>
      <c r="M779" s="33" t="s">
        <v>3061</v>
      </c>
      <c r="N779" s="44">
        <v>42152446</v>
      </c>
      <c r="O779" s="33" t="s">
        <v>3088</v>
      </c>
      <c r="P779" s="33" t="s">
        <v>3089</v>
      </c>
      <c r="Q779" s="34" t="s">
        <v>1494</v>
      </c>
      <c r="R779" s="34" t="s">
        <v>1494</v>
      </c>
    </row>
    <row r="780" spans="1:18" ht="15" customHeight="1" x14ac:dyDescent="0.25">
      <c r="A780" t="str">
        <f>IFERROR(RANK(B780,$B:$B,1)+COUNTIF($B$1:B779,B780),"")</f>
        <v/>
      </c>
      <c r="B780" t="str">
        <f>IFERROR(SEARCH(#REF!,Table4[[#This Row],[Commodity Title]],1),"")</f>
        <v/>
      </c>
      <c r="C780" s="35">
        <v>42152447</v>
      </c>
      <c r="D780" s="33" t="s">
        <v>1495</v>
      </c>
      <c r="E780" s="33" t="s">
        <v>1496</v>
      </c>
      <c r="F780" s="33" t="s">
        <v>1497</v>
      </c>
      <c r="G780" s="33" t="s">
        <v>2607</v>
      </c>
      <c r="H780" s="33" t="s">
        <v>2608</v>
      </c>
      <c r="I780" s="33" t="s">
        <v>2609</v>
      </c>
      <c r="J780" s="33">
        <v>142405</v>
      </c>
      <c r="K780" s="33" t="s">
        <v>3059</v>
      </c>
      <c r="L780" s="33" t="s">
        <v>3060</v>
      </c>
      <c r="M780" s="33" t="s">
        <v>3061</v>
      </c>
      <c r="N780" s="44">
        <v>42152447</v>
      </c>
      <c r="O780" s="33" t="s">
        <v>3090</v>
      </c>
      <c r="P780" s="33" t="s">
        <v>3091</v>
      </c>
      <c r="Q780" s="34" t="s">
        <v>1494</v>
      </c>
      <c r="R780" s="34" t="s">
        <v>1494</v>
      </c>
    </row>
    <row r="781" spans="1:18" ht="15" customHeight="1" x14ac:dyDescent="0.25">
      <c r="A781" t="str">
        <f>IFERROR(RANK(B781,$B:$B,1)+COUNTIF($B$1:B780,B781),"")</f>
        <v/>
      </c>
      <c r="B781" t="str">
        <f>IFERROR(SEARCH(#REF!,Table4[[#This Row],[Commodity Title]],1),"")</f>
        <v/>
      </c>
      <c r="C781" s="35">
        <v>42152449</v>
      </c>
      <c r="D781" s="33" t="s">
        <v>1495</v>
      </c>
      <c r="E781" s="33" t="s">
        <v>1496</v>
      </c>
      <c r="F781" s="33" t="s">
        <v>1497</v>
      </c>
      <c r="G781" s="33" t="s">
        <v>2607</v>
      </c>
      <c r="H781" s="33" t="s">
        <v>2608</v>
      </c>
      <c r="I781" s="33" t="s">
        <v>2609</v>
      </c>
      <c r="J781" s="33">
        <v>142407</v>
      </c>
      <c r="K781" s="33" t="s">
        <v>3059</v>
      </c>
      <c r="L781" s="33" t="s">
        <v>3060</v>
      </c>
      <c r="M781" s="33" t="s">
        <v>3061</v>
      </c>
      <c r="N781" s="44">
        <v>42152449</v>
      </c>
      <c r="O781" s="33" t="s">
        <v>3092</v>
      </c>
      <c r="P781" s="33" t="s">
        <v>3093</v>
      </c>
      <c r="Q781" s="34" t="s">
        <v>1494</v>
      </c>
      <c r="R781" s="34" t="s">
        <v>1494</v>
      </c>
    </row>
    <row r="782" spans="1:18" ht="15" customHeight="1" x14ac:dyDescent="0.25">
      <c r="A782" t="str">
        <f>IFERROR(RANK(B782,$B:$B,1)+COUNTIF($B$1:B781,B782),"")</f>
        <v/>
      </c>
      <c r="B782" t="str">
        <f>IFERROR(SEARCH(#REF!,Table4[[#This Row],[Commodity Title]],1),"")</f>
        <v/>
      </c>
      <c r="C782" s="35">
        <v>42152451</v>
      </c>
      <c r="D782" s="33" t="s">
        <v>1495</v>
      </c>
      <c r="E782" s="33" t="s">
        <v>1496</v>
      </c>
      <c r="F782" s="33" t="s">
        <v>1497</v>
      </c>
      <c r="G782" s="33" t="s">
        <v>2607</v>
      </c>
      <c r="H782" s="33" t="s">
        <v>2608</v>
      </c>
      <c r="I782" s="33" t="s">
        <v>2609</v>
      </c>
      <c r="J782" s="33">
        <v>142409</v>
      </c>
      <c r="K782" s="33" t="s">
        <v>3059</v>
      </c>
      <c r="L782" s="33" t="s">
        <v>3060</v>
      </c>
      <c r="M782" s="33" t="s">
        <v>3061</v>
      </c>
      <c r="N782" s="44">
        <v>42152451</v>
      </c>
      <c r="O782" s="33" t="s">
        <v>3094</v>
      </c>
      <c r="P782" s="33" t="s">
        <v>3095</v>
      </c>
      <c r="Q782" s="34" t="s">
        <v>1494</v>
      </c>
      <c r="R782" s="34" t="s">
        <v>1494</v>
      </c>
    </row>
    <row r="783" spans="1:18" ht="15" customHeight="1" x14ac:dyDescent="0.25">
      <c r="A783" t="str">
        <f>IFERROR(RANK(B783,$B:$B,1)+COUNTIF($B$1:B782,B783),"")</f>
        <v/>
      </c>
      <c r="B783" t="str">
        <f>IFERROR(SEARCH(#REF!,Table4[[#This Row],[Commodity Title]],1),"")</f>
        <v/>
      </c>
      <c r="C783" s="35">
        <v>42152452</v>
      </c>
      <c r="D783" s="33" t="s">
        <v>1495</v>
      </c>
      <c r="E783" s="33" t="s">
        <v>1496</v>
      </c>
      <c r="F783" s="33" t="s">
        <v>1497</v>
      </c>
      <c r="G783" s="33" t="s">
        <v>2607</v>
      </c>
      <c r="H783" s="33" t="s">
        <v>2608</v>
      </c>
      <c r="I783" s="33" t="s">
        <v>2609</v>
      </c>
      <c r="J783" s="33">
        <v>142410</v>
      </c>
      <c r="K783" s="33" t="s">
        <v>3059</v>
      </c>
      <c r="L783" s="33" t="s">
        <v>3060</v>
      </c>
      <c r="M783" s="33" t="s">
        <v>3061</v>
      </c>
      <c r="N783" s="44">
        <v>42152452</v>
      </c>
      <c r="O783" s="33" t="s">
        <v>3096</v>
      </c>
      <c r="P783" s="33" t="s">
        <v>3097</v>
      </c>
      <c r="Q783" s="34" t="s">
        <v>1494</v>
      </c>
      <c r="R783" s="34" t="s">
        <v>1494</v>
      </c>
    </row>
    <row r="784" spans="1:18" ht="15" customHeight="1" x14ac:dyDescent="0.25">
      <c r="A784" t="str">
        <f>IFERROR(RANK(B784,$B:$B,1)+COUNTIF($B$1:B783,B784),"")</f>
        <v/>
      </c>
      <c r="B784" t="str">
        <f>IFERROR(SEARCH(#REF!,Table4[[#This Row],[Commodity Title]],1),"")</f>
        <v/>
      </c>
      <c r="C784" s="35">
        <v>42152453</v>
      </c>
      <c r="D784" s="33" t="s">
        <v>1495</v>
      </c>
      <c r="E784" s="33" t="s">
        <v>1496</v>
      </c>
      <c r="F784" s="33" t="s">
        <v>1497</v>
      </c>
      <c r="G784" s="33" t="s">
        <v>2607</v>
      </c>
      <c r="H784" s="33" t="s">
        <v>2608</v>
      </c>
      <c r="I784" s="33" t="s">
        <v>2609</v>
      </c>
      <c r="J784" s="33">
        <v>142411</v>
      </c>
      <c r="K784" s="33" t="s">
        <v>3059</v>
      </c>
      <c r="L784" s="33" t="s">
        <v>3060</v>
      </c>
      <c r="M784" s="33" t="s">
        <v>3061</v>
      </c>
      <c r="N784" s="44">
        <v>42152453</v>
      </c>
      <c r="O784" s="33" t="s">
        <v>3098</v>
      </c>
      <c r="P784" s="33" t="s">
        <v>3099</v>
      </c>
      <c r="Q784" s="34" t="s">
        <v>1494</v>
      </c>
      <c r="R784" s="34" t="s">
        <v>1494</v>
      </c>
    </row>
    <row r="785" spans="1:18" ht="15" customHeight="1" x14ac:dyDescent="0.25">
      <c r="A785" t="str">
        <f>IFERROR(RANK(B785,$B:$B,1)+COUNTIF($B$1:B784,B785),"")</f>
        <v/>
      </c>
      <c r="B785" t="str">
        <f>IFERROR(SEARCH(#REF!,Table4[[#This Row],[Commodity Title]],1),"")</f>
        <v/>
      </c>
      <c r="C785" s="35">
        <v>42152454</v>
      </c>
      <c r="D785" s="33" t="s">
        <v>1495</v>
      </c>
      <c r="E785" s="33" t="s">
        <v>1496</v>
      </c>
      <c r="F785" s="33" t="s">
        <v>1497</v>
      </c>
      <c r="G785" s="33" t="s">
        <v>2607</v>
      </c>
      <c r="H785" s="33" t="s">
        <v>2608</v>
      </c>
      <c r="I785" s="33" t="s">
        <v>2609</v>
      </c>
      <c r="J785" s="33">
        <v>142412</v>
      </c>
      <c r="K785" s="33" t="s">
        <v>3059</v>
      </c>
      <c r="L785" s="33" t="s">
        <v>3060</v>
      </c>
      <c r="M785" s="33" t="s">
        <v>3061</v>
      </c>
      <c r="N785" s="44">
        <v>42152454</v>
      </c>
      <c r="O785" s="33" t="s">
        <v>3100</v>
      </c>
      <c r="P785" s="33" t="s">
        <v>3101</v>
      </c>
      <c r="Q785" s="34" t="s">
        <v>1494</v>
      </c>
      <c r="R785" s="34" t="s">
        <v>1494</v>
      </c>
    </row>
    <row r="786" spans="1:18" ht="15" customHeight="1" x14ac:dyDescent="0.25">
      <c r="A786" t="str">
        <f>IFERROR(RANK(B786,$B:$B,1)+COUNTIF($B$1:B785,B786),"")</f>
        <v/>
      </c>
      <c r="B786" t="str">
        <f>IFERROR(SEARCH(#REF!,Table4[[#This Row],[Commodity Title]],1),"")</f>
        <v/>
      </c>
      <c r="C786" s="35">
        <v>42152456</v>
      </c>
      <c r="D786" s="33" t="s">
        <v>1495</v>
      </c>
      <c r="E786" s="33" t="s">
        <v>1496</v>
      </c>
      <c r="F786" s="33" t="s">
        <v>1497</v>
      </c>
      <c r="G786" s="33" t="s">
        <v>2607</v>
      </c>
      <c r="H786" s="33" t="s">
        <v>2608</v>
      </c>
      <c r="I786" s="33" t="s">
        <v>2609</v>
      </c>
      <c r="J786" s="33">
        <v>142414</v>
      </c>
      <c r="K786" s="33" t="s">
        <v>3059</v>
      </c>
      <c r="L786" s="33" t="s">
        <v>3060</v>
      </c>
      <c r="M786" s="33" t="s">
        <v>3061</v>
      </c>
      <c r="N786" s="44">
        <v>42152456</v>
      </c>
      <c r="O786" s="33" t="s">
        <v>3102</v>
      </c>
      <c r="P786" s="33" t="s">
        <v>3103</v>
      </c>
      <c r="Q786" s="34" t="s">
        <v>1494</v>
      </c>
      <c r="R786" s="34" t="s">
        <v>1494</v>
      </c>
    </row>
    <row r="787" spans="1:18" ht="15" customHeight="1" x14ac:dyDescent="0.25">
      <c r="A787" t="str">
        <f>IFERROR(RANK(B787,$B:$B,1)+COUNTIF($B$1:B786,B787),"")</f>
        <v/>
      </c>
      <c r="B787" t="str">
        <f>IFERROR(SEARCH(#REF!,Table4[[#This Row],[Commodity Title]],1),"")</f>
        <v/>
      </c>
      <c r="C787" s="35">
        <v>42152457</v>
      </c>
      <c r="D787" s="33" t="s">
        <v>1495</v>
      </c>
      <c r="E787" s="33" t="s">
        <v>1496</v>
      </c>
      <c r="F787" s="33" t="s">
        <v>1497</v>
      </c>
      <c r="G787" s="33" t="s">
        <v>2607</v>
      </c>
      <c r="H787" s="33" t="s">
        <v>2608</v>
      </c>
      <c r="I787" s="33" t="s">
        <v>2609</v>
      </c>
      <c r="J787" s="33">
        <v>142415</v>
      </c>
      <c r="K787" s="33" t="s">
        <v>3059</v>
      </c>
      <c r="L787" s="33" t="s">
        <v>3060</v>
      </c>
      <c r="M787" s="33" t="s">
        <v>3061</v>
      </c>
      <c r="N787" s="44">
        <v>42152457</v>
      </c>
      <c r="O787" s="33" t="s">
        <v>3104</v>
      </c>
      <c r="P787" s="33" t="s">
        <v>3105</v>
      </c>
      <c r="Q787" s="34" t="s">
        <v>1494</v>
      </c>
      <c r="R787" s="34" t="s">
        <v>1494</v>
      </c>
    </row>
    <row r="788" spans="1:18" ht="15" customHeight="1" x14ac:dyDescent="0.25">
      <c r="A788" t="str">
        <f>IFERROR(RANK(B788,$B:$B,1)+COUNTIF($B$1:B787,B788),"")</f>
        <v/>
      </c>
      <c r="B788" t="str">
        <f>IFERROR(SEARCH(#REF!,Table4[[#This Row],[Commodity Title]],1),"")</f>
        <v/>
      </c>
      <c r="C788" s="35">
        <v>42152458</v>
      </c>
      <c r="D788" s="33" t="s">
        <v>1495</v>
      </c>
      <c r="E788" s="33" t="s">
        <v>1496</v>
      </c>
      <c r="F788" s="33" t="s">
        <v>1497</v>
      </c>
      <c r="G788" s="33" t="s">
        <v>2607</v>
      </c>
      <c r="H788" s="33" t="s">
        <v>2608</v>
      </c>
      <c r="I788" s="33" t="s">
        <v>2609</v>
      </c>
      <c r="J788" s="33">
        <v>142416</v>
      </c>
      <c r="K788" s="33" t="s">
        <v>3059</v>
      </c>
      <c r="L788" s="33" t="s">
        <v>3060</v>
      </c>
      <c r="M788" s="33" t="s">
        <v>3061</v>
      </c>
      <c r="N788" s="44">
        <v>42152458</v>
      </c>
      <c r="O788" s="33" t="s">
        <v>3106</v>
      </c>
      <c r="P788" s="33" t="s">
        <v>3107</v>
      </c>
      <c r="Q788" s="34" t="s">
        <v>1494</v>
      </c>
      <c r="R788" s="34" t="s">
        <v>1494</v>
      </c>
    </row>
    <row r="789" spans="1:18" ht="15" customHeight="1" x14ac:dyDescent="0.25">
      <c r="A789" t="str">
        <f>IFERROR(RANK(B789,$B:$B,1)+COUNTIF($B$1:B788,B789),"")</f>
        <v/>
      </c>
      <c r="B789" t="str">
        <f>IFERROR(SEARCH(#REF!,Table4[[#This Row],[Commodity Title]],1),"")</f>
        <v/>
      </c>
      <c r="C789" s="35">
        <v>42152460</v>
      </c>
      <c r="D789" s="33" t="s">
        <v>1495</v>
      </c>
      <c r="E789" s="33" t="s">
        <v>1496</v>
      </c>
      <c r="F789" s="33" t="s">
        <v>1497</v>
      </c>
      <c r="G789" s="33" t="s">
        <v>2607</v>
      </c>
      <c r="H789" s="33" t="s">
        <v>2608</v>
      </c>
      <c r="I789" s="33" t="s">
        <v>2609</v>
      </c>
      <c r="J789" s="33">
        <v>142418</v>
      </c>
      <c r="K789" s="33" t="s">
        <v>3059</v>
      </c>
      <c r="L789" s="33" t="s">
        <v>3060</v>
      </c>
      <c r="M789" s="33" t="s">
        <v>3061</v>
      </c>
      <c r="N789" s="44">
        <v>42152460</v>
      </c>
      <c r="O789" s="33" t="s">
        <v>3108</v>
      </c>
      <c r="P789" s="33" t="s">
        <v>3109</v>
      </c>
      <c r="Q789" s="34" t="s">
        <v>1494</v>
      </c>
      <c r="R789" s="34" t="s">
        <v>1494</v>
      </c>
    </row>
    <row r="790" spans="1:18" ht="15" customHeight="1" x14ac:dyDescent="0.25">
      <c r="A790" t="str">
        <f>IFERROR(RANK(B790,$B:$B,1)+COUNTIF($B$1:B789,B790),"")</f>
        <v/>
      </c>
      <c r="B790" t="str">
        <f>IFERROR(SEARCH(#REF!,Table4[[#This Row],[Commodity Title]],1),"")</f>
        <v/>
      </c>
      <c r="C790" s="35">
        <v>42152461</v>
      </c>
      <c r="D790" s="33" t="s">
        <v>1495</v>
      </c>
      <c r="E790" s="33" t="s">
        <v>1496</v>
      </c>
      <c r="F790" s="33" t="s">
        <v>1497</v>
      </c>
      <c r="G790" s="33" t="s">
        <v>2607</v>
      </c>
      <c r="H790" s="33" t="s">
        <v>2608</v>
      </c>
      <c r="I790" s="33" t="s">
        <v>2609</v>
      </c>
      <c r="J790" s="33">
        <v>142419</v>
      </c>
      <c r="K790" s="33" t="s">
        <v>3059</v>
      </c>
      <c r="L790" s="33" t="s">
        <v>3060</v>
      </c>
      <c r="M790" s="33" t="s">
        <v>3061</v>
      </c>
      <c r="N790" s="44">
        <v>42152461</v>
      </c>
      <c r="O790" s="33" t="s">
        <v>3110</v>
      </c>
      <c r="P790" s="33" t="s">
        <v>3111</v>
      </c>
      <c r="Q790" s="34" t="s">
        <v>1494</v>
      </c>
      <c r="R790" s="34" t="s">
        <v>1494</v>
      </c>
    </row>
    <row r="791" spans="1:18" ht="15" customHeight="1" x14ac:dyDescent="0.25">
      <c r="A791" t="str">
        <f>IFERROR(RANK(B791,$B:$B,1)+COUNTIF($B$1:B790,B791),"")</f>
        <v/>
      </c>
      <c r="B791" t="str">
        <f>IFERROR(SEARCH(#REF!,Table4[[#This Row],[Commodity Title]],1),"")</f>
        <v/>
      </c>
      <c r="C791" s="35">
        <v>42152462</v>
      </c>
      <c r="D791" s="33" t="s">
        <v>1495</v>
      </c>
      <c r="E791" s="33" t="s">
        <v>1496</v>
      </c>
      <c r="F791" s="33" t="s">
        <v>1497</v>
      </c>
      <c r="G791" s="33" t="s">
        <v>2607</v>
      </c>
      <c r="H791" s="33" t="s">
        <v>2608</v>
      </c>
      <c r="I791" s="33" t="s">
        <v>2609</v>
      </c>
      <c r="J791" s="33">
        <v>142420</v>
      </c>
      <c r="K791" s="33" t="s">
        <v>3059</v>
      </c>
      <c r="L791" s="33" t="s">
        <v>3060</v>
      </c>
      <c r="M791" s="33" t="s">
        <v>3061</v>
      </c>
      <c r="N791" s="44">
        <v>42152462</v>
      </c>
      <c r="O791" s="33" t="s">
        <v>3112</v>
      </c>
      <c r="P791" s="33" t="s">
        <v>3113</v>
      </c>
      <c r="Q791" s="34" t="s">
        <v>1494</v>
      </c>
      <c r="R791" s="34" t="s">
        <v>1494</v>
      </c>
    </row>
    <row r="792" spans="1:18" ht="15" customHeight="1" x14ac:dyDescent="0.25">
      <c r="A792" t="str">
        <f>IFERROR(RANK(B792,$B:$B,1)+COUNTIF($B$1:B791,B792),"")</f>
        <v/>
      </c>
      <c r="B792" t="str">
        <f>IFERROR(SEARCH(#REF!,Table4[[#This Row],[Commodity Title]],1),"")</f>
        <v/>
      </c>
      <c r="C792" s="35">
        <v>42152463</v>
      </c>
      <c r="D792" s="33" t="s">
        <v>1495</v>
      </c>
      <c r="E792" s="33" t="s">
        <v>1496</v>
      </c>
      <c r="F792" s="33" t="s">
        <v>1497</v>
      </c>
      <c r="G792" s="33" t="s">
        <v>2607</v>
      </c>
      <c r="H792" s="33" t="s">
        <v>2608</v>
      </c>
      <c r="I792" s="33" t="s">
        <v>2609</v>
      </c>
      <c r="J792" s="33">
        <v>142421</v>
      </c>
      <c r="K792" s="33" t="s">
        <v>3059</v>
      </c>
      <c r="L792" s="33" t="s">
        <v>3060</v>
      </c>
      <c r="M792" s="33" t="s">
        <v>3061</v>
      </c>
      <c r="N792" s="44">
        <v>42152463</v>
      </c>
      <c r="O792" s="33" t="s">
        <v>3114</v>
      </c>
      <c r="P792" s="33" t="s">
        <v>3115</v>
      </c>
      <c r="Q792" s="34" t="s">
        <v>1494</v>
      </c>
      <c r="R792" s="34" t="s">
        <v>1494</v>
      </c>
    </row>
    <row r="793" spans="1:18" ht="15" customHeight="1" x14ac:dyDescent="0.25">
      <c r="A793" t="str">
        <f>IFERROR(RANK(B793,$B:$B,1)+COUNTIF($B$1:B792,B793),"")</f>
        <v/>
      </c>
      <c r="B793" t="str">
        <f>IFERROR(SEARCH(#REF!,Table4[[#This Row],[Commodity Title]],1),"")</f>
        <v/>
      </c>
      <c r="C793" s="35">
        <v>42152464</v>
      </c>
      <c r="D793" s="33" t="s">
        <v>1495</v>
      </c>
      <c r="E793" s="33" t="s">
        <v>1496</v>
      </c>
      <c r="F793" s="33" t="s">
        <v>1497</v>
      </c>
      <c r="G793" s="33" t="s">
        <v>2607</v>
      </c>
      <c r="H793" s="33" t="s">
        <v>2608</v>
      </c>
      <c r="I793" s="33" t="s">
        <v>2609</v>
      </c>
      <c r="J793" s="33">
        <v>142422</v>
      </c>
      <c r="K793" s="33" t="s">
        <v>3059</v>
      </c>
      <c r="L793" s="33" t="s">
        <v>3060</v>
      </c>
      <c r="M793" s="33" t="s">
        <v>3061</v>
      </c>
      <c r="N793" s="44">
        <v>42152464</v>
      </c>
      <c r="O793" s="33" t="s">
        <v>3116</v>
      </c>
      <c r="P793" s="33" t="s">
        <v>3117</v>
      </c>
      <c r="Q793" s="34" t="s">
        <v>1494</v>
      </c>
      <c r="R793" s="34" t="s">
        <v>1494</v>
      </c>
    </row>
    <row r="794" spans="1:18" ht="15" customHeight="1" x14ac:dyDescent="0.25">
      <c r="A794" t="str">
        <f>IFERROR(RANK(B794,$B:$B,1)+COUNTIF($B$1:B793,B794),"")</f>
        <v/>
      </c>
      <c r="B794" t="str">
        <f>IFERROR(SEARCH(#REF!,Table4[[#This Row],[Commodity Title]],1),"")</f>
        <v/>
      </c>
      <c r="C794" s="35">
        <v>42152465</v>
      </c>
      <c r="D794" s="33" t="s">
        <v>1495</v>
      </c>
      <c r="E794" s="33" t="s">
        <v>1496</v>
      </c>
      <c r="F794" s="33" t="s">
        <v>1497</v>
      </c>
      <c r="G794" s="33" t="s">
        <v>2607</v>
      </c>
      <c r="H794" s="33" t="s">
        <v>2608</v>
      </c>
      <c r="I794" s="33" t="s">
        <v>2609</v>
      </c>
      <c r="J794" s="33">
        <v>142423</v>
      </c>
      <c r="K794" s="33" t="s">
        <v>3059</v>
      </c>
      <c r="L794" s="33" t="s">
        <v>3060</v>
      </c>
      <c r="M794" s="33" t="s">
        <v>3061</v>
      </c>
      <c r="N794" s="44">
        <v>42152465</v>
      </c>
      <c r="O794" s="33" t="s">
        <v>3118</v>
      </c>
      <c r="P794" s="33" t="s">
        <v>3119</v>
      </c>
      <c r="Q794" s="34" t="s">
        <v>1494</v>
      </c>
      <c r="R794" s="34" t="s">
        <v>1494</v>
      </c>
    </row>
    <row r="795" spans="1:18" ht="15" customHeight="1" x14ac:dyDescent="0.25">
      <c r="A795" t="str">
        <f>IFERROR(RANK(B795,$B:$B,1)+COUNTIF($B$1:B794,B795),"")</f>
        <v/>
      </c>
      <c r="B795" t="str">
        <f>IFERROR(SEARCH(#REF!,Table4[[#This Row],[Commodity Title]],1),"")</f>
        <v/>
      </c>
      <c r="C795" s="35">
        <v>42152466</v>
      </c>
      <c r="D795" s="33" t="s">
        <v>1495</v>
      </c>
      <c r="E795" s="33" t="s">
        <v>1496</v>
      </c>
      <c r="F795" s="33" t="s">
        <v>1497</v>
      </c>
      <c r="G795" s="33" t="s">
        <v>2607</v>
      </c>
      <c r="H795" s="33" t="s">
        <v>2608</v>
      </c>
      <c r="I795" s="33" t="s">
        <v>2609</v>
      </c>
      <c r="J795" s="33">
        <v>174325</v>
      </c>
      <c r="K795" s="33" t="s">
        <v>3059</v>
      </c>
      <c r="L795" s="33" t="s">
        <v>3060</v>
      </c>
      <c r="M795" s="33" t="s">
        <v>3061</v>
      </c>
      <c r="N795" s="44">
        <v>42152466</v>
      </c>
      <c r="O795" s="33" t="s">
        <v>3120</v>
      </c>
      <c r="P795" s="33" t="s">
        <v>3121</v>
      </c>
      <c r="Q795" s="34" t="s">
        <v>1494</v>
      </c>
      <c r="R795" s="34" t="s">
        <v>1494</v>
      </c>
    </row>
    <row r="796" spans="1:18" ht="15" customHeight="1" x14ac:dyDescent="0.25">
      <c r="A796" t="str">
        <f>IFERROR(RANK(B796,$B:$B,1)+COUNTIF($B$1:B795,B796),"")</f>
        <v/>
      </c>
      <c r="B796" t="str">
        <f>IFERROR(SEARCH(#REF!,Table4[[#This Row],[Commodity Title]],1),"")</f>
        <v/>
      </c>
      <c r="C796" s="35">
        <v>42152468</v>
      </c>
      <c r="D796" s="33" t="s">
        <v>1495</v>
      </c>
      <c r="E796" s="33" t="s">
        <v>1496</v>
      </c>
      <c r="F796" s="33" t="s">
        <v>1497</v>
      </c>
      <c r="G796" s="33" t="s">
        <v>2607</v>
      </c>
      <c r="H796" s="33" t="s">
        <v>2608</v>
      </c>
      <c r="I796" s="33" t="s">
        <v>2609</v>
      </c>
      <c r="J796" s="33">
        <v>174327</v>
      </c>
      <c r="K796" s="33" t="s">
        <v>3059</v>
      </c>
      <c r="L796" s="33" t="s">
        <v>3060</v>
      </c>
      <c r="M796" s="33" t="s">
        <v>3061</v>
      </c>
      <c r="N796" s="44">
        <v>42152468</v>
      </c>
      <c r="O796" s="33" t="s">
        <v>3122</v>
      </c>
      <c r="P796" s="33" t="s">
        <v>3123</v>
      </c>
      <c r="Q796" s="34" t="s">
        <v>1494</v>
      </c>
      <c r="R796" s="34" t="s">
        <v>1494</v>
      </c>
    </row>
    <row r="797" spans="1:18" ht="15" customHeight="1" x14ac:dyDescent="0.25">
      <c r="A797" t="str">
        <f>IFERROR(RANK(B797,$B:$B,1)+COUNTIF($B$1:B796,B797),"")</f>
        <v/>
      </c>
      <c r="B797" t="str">
        <f>IFERROR(SEARCH(#REF!,Table4[[#This Row],[Commodity Title]],1),"")</f>
        <v/>
      </c>
      <c r="C797" s="35">
        <v>42152470</v>
      </c>
      <c r="D797" s="33" t="s">
        <v>1495</v>
      </c>
      <c r="E797" s="33" t="s">
        <v>1496</v>
      </c>
      <c r="F797" s="33" t="s">
        <v>1497</v>
      </c>
      <c r="G797" s="33" t="s">
        <v>2607</v>
      </c>
      <c r="H797" s="33" t="s">
        <v>2608</v>
      </c>
      <c r="I797" s="33" t="s">
        <v>2609</v>
      </c>
      <c r="J797" s="33">
        <v>174329</v>
      </c>
      <c r="K797" s="33" t="s">
        <v>3059</v>
      </c>
      <c r="L797" s="33" t="s">
        <v>3060</v>
      </c>
      <c r="M797" s="33" t="s">
        <v>3061</v>
      </c>
      <c r="N797" s="44">
        <v>42152470</v>
      </c>
      <c r="O797" s="33" t="s">
        <v>3124</v>
      </c>
      <c r="P797" s="33" t="s">
        <v>3125</v>
      </c>
      <c r="Q797" s="34" t="s">
        <v>1494</v>
      </c>
      <c r="R797" s="34" t="s">
        <v>1494</v>
      </c>
    </row>
    <row r="798" spans="1:18" ht="15" customHeight="1" x14ac:dyDescent="0.25">
      <c r="A798" t="str">
        <f>IFERROR(RANK(B798,$B:$B,1)+COUNTIF($B$1:B797,B798),"")</f>
        <v/>
      </c>
      <c r="B798" t="str">
        <f>IFERROR(SEARCH(#REF!,Table4[[#This Row],[Commodity Title]],1),"")</f>
        <v/>
      </c>
      <c r="C798" s="35">
        <v>42152471</v>
      </c>
      <c r="D798" s="33" t="s">
        <v>1495</v>
      </c>
      <c r="E798" s="33" t="s">
        <v>1496</v>
      </c>
      <c r="F798" s="33" t="s">
        <v>1497</v>
      </c>
      <c r="G798" s="33" t="s">
        <v>2607</v>
      </c>
      <c r="H798" s="33" t="s">
        <v>2608</v>
      </c>
      <c r="I798" s="33" t="s">
        <v>2609</v>
      </c>
      <c r="J798" s="33">
        <v>202591</v>
      </c>
      <c r="K798" s="33" t="s">
        <v>3059</v>
      </c>
      <c r="L798" s="33" t="s">
        <v>3060</v>
      </c>
      <c r="M798" s="33" t="s">
        <v>3061</v>
      </c>
      <c r="N798" s="44">
        <v>42152471</v>
      </c>
      <c r="O798" s="33" t="s">
        <v>3126</v>
      </c>
      <c r="P798" s="33" t="s">
        <v>3127</v>
      </c>
      <c r="Q798" s="34" t="s">
        <v>1494</v>
      </c>
      <c r="R798" s="34" t="s">
        <v>1494</v>
      </c>
    </row>
    <row r="799" spans="1:18" ht="15" customHeight="1" x14ac:dyDescent="0.25">
      <c r="A799" t="str">
        <f>IFERROR(RANK(B799,$B:$B,1)+COUNTIF($B$1:B798,B799),"")</f>
        <v/>
      </c>
      <c r="B799" t="str">
        <f>IFERROR(SEARCH(#REF!,Table4[[#This Row],[Commodity Title]],1),"")</f>
        <v/>
      </c>
      <c r="C799" s="35">
        <v>42152472</v>
      </c>
      <c r="D799" s="33" t="s">
        <v>1495</v>
      </c>
      <c r="E799" s="33" t="s">
        <v>1496</v>
      </c>
      <c r="F799" s="33" t="s">
        <v>1497</v>
      </c>
      <c r="G799" s="33" t="s">
        <v>2607</v>
      </c>
      <c r="H799" s="33" t="s">
        <v>2608</v>
      </c>
      <c r="I799" s="33" t="s">
        <v>2609</v>
      </c>
      <c r="J799" s="33">
        <v>202592</v>
      </c>
      <c r="K799" s="33" t="s">
        <v>3059</v>
      </c>
      <c r="L799" s="33" t="s">
        <v>3060</v>
      </c>
      <c r="M799" s="33" t="s">
        <v>3061</v>
      </c>
      <c r="N799" s="44">
        <v>42152472</v>
      </c>
      <c r="O799" s="33" t="s">
        <v>3128</v>
      </c>
      <c r="P799" s="33" t="s">
        <v>3129</v>
      </c>
      <c r="Q799" s="34" t="s">
        <v>1494</v>
      </c>
      <c r="R799" s="34" t="s">
        <v>1494</v>
      </c>
    </row>
    <row r="800" spans="1:18" ht="15" customHeight="1" x14ac:dyDescent="0.25">
      <c r="A800" t="str">
        <f>IFERROR(RANK(B800,$B:$B,1)+COUNTIF($B$1:B799,B800),"")</f>
        <v/>
      </c>
      <c r="B800" t="str">
        <f>IFERROR(SEARCH(#REF!,Table4[[#This Row],[Commodity Title]],1),"")</f>
        <v/>
      </c>
      <c r="C800" s="35">
        <v>42152473</v>
      </c>
      <c r="D800" s="33" t="s">
        <v>1495</v>
      </c>
      <c r="E800" s="33" t="s">
        <v>1496</v>
      </c>
      <c r="F800" s="33" t="s">
        <v>1497</v>
      </c>
      <c r="G800" s="33" t="s">
        <v>2607</v>
      </c>
      <c r="H800" s="33" t="s">
        <v>2608</v>
      </c>
      <c r="I800" s="33" t="s">
        <v>2609</v>
      </c>
      <c r="J800" s="33">
        <v>202593</v>
      </c>
      <c r="K800" s="33" t="s">
        <v>3059</v>
      </c>
      <c r="L800" s="33" t="s">
        <v>3060</v>
      </c>
      <c r="M800" s="33" t="s">
        <v>3061</v>
      </c>
      <c r="N800" s="44">
        <v>42152473</v>
      </c>
      <c r="O800" s="33" t="s">
        <v>3130</v>
      </c>
      <c r="P800" s="33" t="s">
        <v>3131</v>
      </c>
      <c r="Q800" s="34" t="s">
        <v>1494</v>
      </c>
      <c r="R800" s="34" t="s">
        <v>1494</v>
      </c>
    </row>
    <row r="801" spans="1:18" ht="15" customHeight="1" x14ac:dyDescent="0.25">
      <c r="A801" t="str">
        <f>IFERROR(RANK(B801,$B:$B,1)+COUNTIF($B$1:B800,B801),"")</f>
        <v/>
      </c>
      <c r="B801" t="str">
        <f>IFERROR(SEARCH(#REF!,Table4[[#This Row],[Commodity Title]],1),"")</f>
        <v/>
      </c>
      <c r="C801" s="35">
        <v>42152474</v>
      </c>
      <c r="D801" s="33" t="s">
        <v>1495</v>
      </c>
      <c r="E801" s="33" t="s">
        <v>1496</v>
      </c>
      <c r="F801" s="33" t="s">
        <v>1497</v>
      </c>
      <c r="G801" s="33" t="s">
        <v>2607</v>
      </c>
      <c r="H801" s="33" t="s">
        <v>2608</v>
      </c>
      <c r="I801" s="33" t="s">
        <v>2609</v>
      </c>
      <c r="J801" s="33">
        <v>202594</v>
      </c>
      <c r="K801" s="33" t="s">
        <v>3059</v>
      </c>
      <c r="L801" s="33" t="s">
        <v>3060</v>
      </c>
      <c r="M801" s="33" t="s">
        <v>3061</v>
      </c>
      <c r="N801" s="44">
        <v>42152474</v>
      </c>
      <c r="O801" s="33" t="s">
        <v>3132</v>
      </c>
      <c r="P801" s="33" t="s">
        <v>3133</v>
      </c>
      <c r="Q801" s="34" t="s">
        <v>1494</v>
      </c>
      <c r="R801" s="34" t="s">
        <v>1494</v>
      </c>
    </row>
    <row r="802" spans="1:18" ht="15" customHeight="1" x14ac:dyDescent="0.25">
      <c r="A802" t="str">
        <f>IFERROR(RANK(B802,$B:$B,1)+COUNTIF($B$1:B801,B802),"")</f>
        <v/>
      </c>
      <c r="B802" t="str">
        <f>IFERROR(SEARCH(#REF!,Table4[[#This Row],[Commodity Title]],1),"")</f>
        <v/>
      </c>
      <c r="C802" s="35">
        <v>42152475</v>
      </c>
      <c r="D802" s="33" t="s">
        <v>1495</v>
      </c>
      <c r="E802" s="33" t="s">
        <v>1496</v>
      </c>
      <c r="F802" s="33" t="s">
        <v>1497</v>
      </c>
      <c r="G802" s="33" t="s">
        <v>2607</v>
      </c>
      <c r="H802" s="33" t="s">
        <v>2608</v>
      </c>
      <c r="I802" s="33" t="s">
        <v>2609</v>
      </c>
      <c r="J802" s="33">
        <v>202595</v>
      </c>
      <c r="K802" s="33" t="s">
        <v>3059</v>
      </c>
      <c r="L802" s="33" t="s">
        <v>3060</v>
      </c>
      <c r="M802" s="33" t="s">
        <v>3061</v>
      </c>
      <c r="N802" s="44">
        <v>42152475</v>
      </c>
      <c r="O802" s="33" t="s">
        <v>3134</v>
      </c>
      <c r="P802" s="33" t="s">
        <v>3135</v>
      </c>
      <c r="Q802" s="34" t="s">
        <v>1494</v>
      </c>
      <c r="R802" s="34" t="s">
        <v>1494</v>
      </c>
    </row>
    <row r="803" spans="1:18" ht="15" customHeight="1" x14ac:dyDescent="0.25">
      <c r="A803" t="str">
        <f>IFERROR(RANK(B803,$B:$B,1)+COUNTIF($B$1:B802,B803),"")</f>
        <v/>
      </c>
      <c r="B803" t="str">
        <f>IFERROR(SEARCH(#REF!,Table4[[#This Row],[Commodity Title]],1),"")</f>
        <v/>
      </c>
      <c r="C803" s="35">
        <v>42152476</v>
      </c>
      <c r="D803" s="33" t="s">
        <v>1495</v>
      </c>
      <c r="E803" s="33" t="s">
        <v>1496</v>
      </c>
      <c r="F803" s="33" t="s">
        <v>1497</v>
      </c>
      <c r="G803" s="33" t="s">
        <v>2607</v>
      </c>
      <c r="H803" s="33" t="s">
        <v>2608</v>
      </c>
      <c r="I803" s="33" t="s">
        <v>2609</v>
      </c>
      <c r="J803" s="33">
        <v>202596</v>
      </c>
      <c r="K803" s="33" t="s">
        <v>3059</v>
      </c>
      <c r="L803" s="33" t="s">
        <v>3060</v>
      </c>
      <c r="M803" s="33" t="s">
        <v>3061</v>
      </c>
      <c r="N803" s="44">
        <v>42152476</v>
      </c>
      <c r="O803" s="33" t="s">
        <v>3136</v>
      </c>
      <c r="P803" s="33" t="s">
        <v>3137</v>
      </c>
      <c r="Q803" s="34" t="s">
        <v>1494</v>
      </c>
      <c r="R803" s="34" t="s">
        <v>1494</v>
      </c>
    </row>
    <row r="804" spans="1:18" ht="15" customHeight="1" x14ac:dyDescent="0.25">
      <c r="A804" t="str">
        <f>IFERROR(RANK(B804,$B:$B,1)+COUNTIF($B$1:B803,B804),"")</f>
        <v/>
      </c>
      <c r="B804" t="str">
        <f>IFERROR(SEARCH(#REF!,Table4[[#This Row],[Commodity Title]],1),"")</f>
        <v/>
      </c>
      <c r="C804" s="35">
        <v>42152477</v>
      </c>
      <c r="D804" s="33" t="s">
        <v>1495</v>
      </c>
      <c r="E804" s="33" t="s">
        <v>1496</v>
      </c>
      <c r="F804" s="33" t="s">
        <v>1497</v>
      </c>
      <c r="G804" s="33" t="s">
        <v>2607</v>
      </c>
      <c r="H804" s="33" t="s">
        <v>2608</v>
      </c>
      <c r="I804" s="33" t="s">
        <v>2609</v>
      </c>
      <c r="J804" s="33">
        <v>202597</v>
      </c>
      <c r="K804" s="33" t="s">
        <v>3059</v>
      </c>
      <c r="L804" s="33" t="s">
        <v>3060</v>
      </c>
      <c r="M804" s="33" t="s">
        <v>3061</v>
      </c>
      <c r="N804" s="44">
        <v>42152477</v>
      </c>
      <c r="O804" s="33" t="s">
        <v>3138</v>
      </c>
      <c r="P804" s="33" t="s">
        <v>3139</v>
      </c>
      <c r="Q804" s="34" t="s">
        <v>1494</v>
      </c>
      <c r="R804" s="34" t="s">
        <v>1494</v>
      </c>
    </row>
    <row r="805" spans="1:18" ht="15" customHeight="1" x14ac:dyDescent="0.25">
      <c r="A805" t="str">
        <f>IFERROR(RANK(B805,$B:$B,1)+COUNTIF($B$1:B804,B805),"")</f>
        <v/>
      </c>
      <c r="B805" t="str">
        <f>IFERROR(SEARCH(#REF!,Table4[[#This Row],[Commodity Title]],1),"")</f>
        <v/>
      </c>
      <c r="C805" s="35">
        <v>42152478</v>
      </c>
      <c r="D805" s="33" t="s">
        <v>1495</v>
      </c>
      <c r="E805" s="33" t="s">
        <v>1496</v>
      </c>
      <c r="F805" s="33" t="s">
        <v>1497</v>
      </c>
      <c r="G805" s="33" t="s">
        <v>2607</v>
      </c>
      <c r="H805" s="33" t="s">
        <v>2608</v>
      </c>
      <c r="I805" s="33" t="s">
        <v>2609</v>
      </c>
      <c r="J805" s="33">
        <v>202598</v>
      </c>
      <c r="K805" s="33" t="s">
        <v>3059</v>
      </c>
      <c r="L805" s="33" t="s">
        <v>3060</v>
      </c>
      <c r="M805" s="33" t="s">
        <v>3061</v>
      </c>
      <c r="N805" s="44">
        <v>42152478</v>
      </c>
      <c r="O805" s="33" t="s">
        <v>3140</v>
      </c>
      <c r="P805" s="33" t="s">
        <v>3141</v>
      </c>
      <c r="Q805" s="34" t="s">
        <v>1494</v>
      </c>
      <c r="R805" s="34" t="s">
        <v>1494</v>
      </c>
    </row>
    <row r="806" spans="1:18" ht="15" customHeight="1" x14ac:dyDescent="0.25">
      <c r="A806" t="str">
        <f>IFERROR(RANK(B806,$B:$B,1)+COUNTIF($B$1:B805,B806),"")</f>
        <v/>
      </c>
      <c r="B806" t="str">
        <f>IFERROR(SEARCH(#REF!,Table4[[#This Row],[Commodity Title]],1),"")</f>
        <v/>
      </c>
      <c r="C806" s="35">
        <v>42152479</v>
      </c>
      <c r="D806" s="33" t="s">
        <v>1495</v>
      </c>
      <c r="E806" s="33" t="s">
        <v>1496</v>
      </c>
      <c r="F806" s="33" t="s">
        <v>1497</v>
      </c>
      <c r="G806" s="33" t="s">
        <v>2607</v>
      </c>
      <c r="H806" s="33" t="s">
        <v>2608</v>
      </c>
      <c r="I806" s="33" t="s">
        <v>2609</v>
      </c>
      <c r="J806" s="33">
        <v>202599</v>
      </c>
      <c r="K806" s="33" t="s">
        <v>3059</v>
      </c>
      <c r="L806" s="33" t="s">
        <v>3060</v>
      </c>
      <c r="M806" s="33" t="s">
        <v>3061</v>
      </c>
      <c r="N806" s="44">
        <v>42152479</v>
      </c>
      <c r="O806" s="33" t="s">
        <v>3142</v>
      </c>
      <c r="P806" s="33" t="s">
        <v>3143</v>
      </c>
      <c r="Q806" s="34" t="s">
        <v>1494</v>
      </c>
      <c r="R806" s="34" t="s">
        <v>1494</v>
      </c>
    </row>
    <row r="807" spans="1:18" ht="15" customHeight="1" x14ac:dyDescent="0.25">
      <c r="A807" t="str">
        <f>IFERROR(RANK(B807,$B:$B,1)+COUNTIF($B$1:B806,B807),"")</f>
        <v/>
      </c>
      <c r="B807" t="str">
        <f>IFERROR(SEARCH(#REF!,Table4[[#This Row],[Commodity Title]],1),"")</f>
        <v/>
      </c>
      <c r="C807" s="35">
        <v>42152480</v>
      </c>
      <c r="D807" s="33" t="s">
        <v>1495</v>
      </c>
      <c r="E807" s="33" t="s">
        <v>1496</v>
      </c>
      <c r="F807" s="33" t="s">
        <v>1497</v>
      </c>
      <c r="G807" s="33" t="s">
        <v>2607</v>
      </c>
      <c r="H807" s="33" t="s">
        <v>2608</v>
      </c>
      <c r="I807" s="33" t="s">
        <v>2609</v>
      </c>
      <c r="J807" s="33">
        <v>202600</v>
      </c>
      <c r="K807" s="33" t="s">
        <v>3059</v>
      </c>
      <c r="L807" s="33" t="s">
        <v>3060</v>
      </c>
      <c r="M807" s="33" t="s">
        <v>3061</v>
      </c>
      <c r="N807" s="44">
        <v>42152480</v>
      </c>
      <c r="O807" s="33" t="s">
        <v>3144</v>
      </c>
      <c r="P807" s="33" t="s">
        <v>3145</v>
      </c>
      <c r="Q807" s="34" t="s">
        <v>1494</v>
      </c>
      <c r="R807" s="34" t="s">
        <v>1494</v>
      </c>
    </row>
    <row r="808" spans="1:18" ht="15" customHeight="1" x14ac:dyDescent="0.25">
      <c r="A808" t="str">
        <f>IFERROR(RANK(B808,$B:$B,1)+COUNTIF($B$1:B807,B808),"")</f>
        <v/>
      </c>
      <c r="B808" t="str">
        <f>IFERROR(SEARCH(#REF!,Table4[[#This Row],[Commodity Title]],1),"")</f>
        <v/>
      </c>
      <c r="C808" s="35">
        <v>42152481</v>
      </c>
      <c r="D808" s="33" t="s">
        <v>1495</v>
      </c>
      <c r="E808" s="33" t="s">
        <v>1496</v>
      </c>
      <c r="F808" s="33" t="s">
        <v>1497</v>
      </c>
      <c r="G808" s="33" t="s">
        <v>2607</v>
      </c>
      <c r="H808" s="33" t="s">
        <v>2608</v>
      </c>
      <c r="I808" s="33" t="s">
        <v>2609</v>
      </c>
      <c r="J808" s="33">
        <v>202601</v>
      </c>
      <c r="K808" s="33" t="s">
        <v>3059</v>
      </c>
      <c r="L808" s="33" t="s">
        <v>3060</v>
      </c>
      <c r="M808" s="33" t="s">
        <v>3061</v>
      </c>
      <c r="N808" s="44">
        <v>42152481</v>
      </c>
      <c r="O808" s="33" t="s">
        <v>3146</v>
      </c>
      <c r="P808" s="33" t="s">
        <v>3147</v>
      </c>
      <c r="Q808" s="34" t="s">
        <v>1494</v>
      </c>
      <c r="R808" s="34" t="s">
        <v>1494</v>
      </c>
    </row>
    <row r="809" spans="1:18" ht="15" customHeight="1" x14ac:dyDescent="0.25">
      <c r="A809" t="str">
        <f>IFERROR(RANK(B809,$B:$B,1)+COUNTIF($B$1:B808,B809),"")</f>
        <v/>
      </c>
      <c r="B809" t="str">
        <f>IFERROR(SEARCH(#REF!,Table4[[#This Row],[Commodity Title]],1),"")</f>
        <v/>
      </c>
      <c r="C809" s="35">
        <v>42152482</v>
      </c>
      <c r="D809" s="33" t="s">
        <v>1495</v>
      </c>
      <c r="E809" s="33" t="s">
        <v>1496</v>
      </c>
      <c r="F809" s="33" t="s">
        <v>1497</v>
      </c>
      <c r="G809" s="33" t="s">
        <v>2607</v>
      </c>
      <c r="H809" s="33" t="s">
        <v>2608</v>
      </c>
      <c r="I809" s="33" t="s">
        <v>2609</v>
      </c>
      <c r="J809" s="33">
        <v>202602</v>
      </c>
      <c r="K809" s="33" t="s">
        <v>3059</v>
      </c>
      <c r="L809" s="33" t="s">
        <v>3060</v>
      </c>
      <c r="M809" s="33" t="s">
        <v>3061</v>
      </c>
      <c r="N809" s="44">
        <v>42152482</v>
      </c>
      <c r="O809" s="33" t="s">
        <v>3148</v>
      </c>
      <c r="P809" s="33" t="s">
        <v>3149</v>
      </c>
      <c r="Q809" s="34" t="s">
        <v>1494</v>
      </c>
      <c r="R809" s="34" t="s">
        <v>1494</v>
      </c>
    </row>
    <row r="810" spans="1:18" ht="15" customHeight="1" x14ac:dyDescent="0.25">
      <c r="A810" t="str">
        <f>IFERROR(RANK(B810,$B:$B,1)+COUNTIF($B$1:B809,B810),"")</f>
        <v/>
      </c>
      <c r="B810" t="str">
        <f>IFERROR(SEARCH(#REF!,Table4[[#This Row],[Commodity Title]],1),"")</f>
        <v/>
      </c>
      <c r="C810" s="35">
        <v>42152483</v>
      </c>
      <c r="D810" s="33" t="s">
        <v>1495</v>
      </c>
      <c r="E810" s="33" t="s">
        <v>1496</v>
      </c>
      <c r="F810" s="33" t="s">
        <v>1497</v>
      </c>
      <c r="G810" s="33" t="s">
        <v>2607</v>
      </c>
      <c r="H810" s="33" t="s">
        <v>2608</v>
      </c>
      <c r="I810" s="33" t="s">
        <v>2609</v>
      </c>
      <c r="J810" s="33">
        <v>202603</v>
      </c>
      <c r="K810" s="33" t="s">
        <v>3059</v>
      </c>
      <c r="L810" s="33" t="s">
        <v>3060</v>
      </c>
      <c r="M810" s="33" t="s">
        <v>3061</v>
      </c>
      <c r="N810" s="44">
        <v>42152483</v>
      </c>
      <c r="O810" s="33" t="s">
        <v>3150</v>
      </c>
      <c r="P810" s="33" t="s">
        <v>3151</v>
      </c>
      <c r="Q810" s="34" t="s">
        <v>1494</v>
      </c>
      <c r="R810" s="34" t="s">
        <v>1494</v>
      </c>
    </row>
    <row r="811" spans="1:18" ht="15" customHeight="1" x14ac:dyDescent="0.25">
      <c r="A811" t="str">
        <f>IFERROR(RANK(B811,$B:$B,1)+COUNTIF($B$1:B810,B811),"")</f>
        <v/>
      </c>
      <c r="B811" t="str">
        <f>IFERROR(SEARCH(#REF!,Table4[[#This Row],[Commodity Title]],1),"")</f>
        <v/>
      </c>
      <c r="C811" s="35">
        <v>42152484</v>
      </c>
      <c r="D811" s="33" t="s">
        <v>1495</v>
      </c>
      <c r="E811" s="33" t="s">
        <v>1496</v>
      </c>
      <c r="F811" s="33" t="s">
        <v>1497</v>
      </c>
      <c r="G811" s="33" t="s">
        <v>2607</v>
      </c>
      <c r="H811" s="33" t="s">
        <v>2608</v>
      </c>
      <c r="I811" s="33" t="s">
        <v>2609</v>
      </c>
      <c r="J811" s="33">
        <v>202604</v>
      </c>
      <c r="K811" s="33" t="s">
        <v>3059</v>
      </c>
      <c r="L811" s="33" t="s">
        <v>3060</v>
      </c>
      <c r="M811" s="33" t="s">
        <v>3061</v>
      </c>
      <c r="N811" s="44">
        <v>42152484</v>
      </c>
      <c r="O811" s="33" t="s">
        <v>3152</v>
      </c>
      <c r="P811" s="33" t="s">
        <v>3153</v>
      </c>
      <c r="Q811" s="34" t="s">
        <v>1494</v>
      </c>
      <c r="R811" s="34" t="s">
        <v>1494</v>
      </c>
    </row>
    <row r="812" spans="1:18" ht="15" customHeight="1" x14ac:dyDescent="0.25">
      <c r="A812" t="str">
        <f>IFERROR(RANK(B812,$B:$B,1)+COUNTIF($B$1:B811,B812),"")</f>
        <v/>
      </c>
      <c r="B812" t="str">
        <f>IFERROR(SEARCH(#REF!,Table4[[#This Row],[Commodity Title]],1),"")</f>
        <v/>
      </c>
      <c r="C812" s="35">
        <v>42152485</v>
      </c>
      <c r="D812" s="33" t="s">
        <v>1495</v>
      </c>
      <c r="E812" s="33" t="s">
        <v>1496</v>
      </c>
      <c r="F812" s="33" t="s">
        <v>1497</v>
      </c>
      <c r="G812" s="33" t="s">
        <v>2607</v>
      </c>
      <c r="H812" s="33" t="s">
        <v>2608</v>
      </c>
      <c r="I812" s="33" t="s">
        <v>2609</v>
      </c>
      <c r="J812" s="33">
        <v>202605</v>
      </c>
      <c r="K812" s="33" t="s">
        <v>3059</v>
      </c>
      <c r="L812" s="33" t="s">
        <v>3060</v>
      </c>
      <c r="M812" s="33" t="s">
        <v>3061</v>
      </c>
      <c r="N812" s="44">
        <v>42152485</v>
      </c>
      <c r="O812" s="33" t="s">
        <v>3154</v>
      </c>
      <c r="P812" s="33" t="s">
        <v>3155</v>
      </c>
      <c r="Q812" s="34" t="s">
        <v>1494</v>
      </c>
      <c r="R812" s="34" t="s">
        <v>1494</v>
      </c>
    </row>
    <row r="813" spans="1:18" ht="15" customHeight="1" x14ac:dyDescent="0.25">
      <c r="A813" t="str">
        <f>IFERROR(RANK(B813,$B:$B,1)+COUNTIF($B$1:B812,B813),"")</f>
        <v/>
      </c>
      <c r="B813" t="str">
        <f>IFERROR(SEARCH(#REF!,Table4[[#This Row],[Commodity Title]],1),"")</f>
        <v/>
      </c>
      <c r="C813" s="33" t="s">
        <v>1494</v>
      </c>
      <c r="D813" s="33" t="s">
        <v>1495</v>
      </c>
      <c r="E813" s="33" t="s">
        <v>1496</v>
      </c>
      <c r="F813" s="33" t="s">
        <v>1497</v>
      </c>
      <c r="G813" s="33" t="s">
        <v>2607</v>
      </c>
      <c r="H813" s="33" t="s">
        <v>2608</v>
      </c>
      <c r="I813" s="33" t="s">
        <v>2609</v>
      </c>
      <c r="J813" s="33">
        <v>115132</v>
      </c>
      <c r="K813" s="33" t="s">
        <v>3156</v>
      </c>
      <c r="L813" s="33" t="s">
        <v>3157</v>
      </c>
      <c r="M813" s="33" t="s">
        <v>3158</v>
      </c>
      <c r="N813" s="44" t="s">
        <v>1494</v>
      </c>
      <c r="O813" s="33" t="s">
        <v>1494</v>
      </c>
      <c r="P813" s="33" t="s">
        <v>1494</v>
      </c>
      <c r="Q813" s="34" t="s">
        <v>1494</v>
      </c>
      <c r="R813" s="34" t="s">
        <v>1494</v>
      </c>
    </row>
    <row r="814" spans="1:18" ht="15" customHeight="1" x14ac:dyDescent="0.25">
      <c r="A814" t="str">
        <f>IFERROR(RANK(B814,$B:$B,1)+COUNTIF($B$1:B813,B814),"")</f>
        <v/>
      </c>
      <c r="B814" t="str">
        <f>IFERROR(SEARCH(#REF!,Table4[[#This Row],[Commodity Title]],1),"")</f>
        <v/>
      </c>
      <c r="C814" s="35">
        <v>42152501</v>
      </c>
      <c r="D814" s="33" t="s">
        <v>1495</v>
      </c>
      <c r="E814" s="33" t="s">
        <v>1496</v>
      </c>
      <c r="F814" s="33" t="s">
        <v>1497</v>
      </c>
      <c r="G814" s="33" t="s">
        <v>2607</v>
      </c>
      <c r="H814" s="33" t="s">
        <v>2608</v>
      </c>
      <c r="I814" s="33" t="s">
        <v>2609</v>
      </c>
      <c r="J814" s="33">
        <v>115133</v>
      </c>
      <c r="K814" s="33" t="s">
        <v>3156</v>
      </c>
      <c r="L814" s="33" t="s">
        <v>3157</v>
      </c>
      <c r="M814" s="33" t="s">
        <v>3158</v>
      </c>
      <c r="N814" s="44">
        <v>42152501</v>
      </c>
      <c r="O814" s="33" t="s">
        <v>3159</v>
      </c>
      <c r="P814" s="33" t="s">
        <v>3160</v>
      </c>
      <c r="Q814" s="34" t="s">
        <v>1494</v>
      </c>
      <c r="R814" s="34" t="s">
        <v>1494</v>
      </c>
    </row>
    <row r="815" spans="1:18" ht="15" customHeight="1" x14ac:dyDescent="0.25">
      <c r="A815" t="str">
        <f>IFERROR(RANK(B815,$B:$B,1)+COUNTIF($B$1:B814,B815),"")</f>
        <v/>
      </c>
      <c r="B815" t="str">
        <f>IFERROR(SEARCH(#REF!,Table4[[#This Row],[Commodity Title]],1),"")</f>
        <v/>
      </c>
      <c r="C815" s="35">
        <v>42152502</v>
      </c>
      <c r="D815" s="33" t="s">
        <v>1495</v>
      </c>
      <c r="E815" s="33" t="s">
        <v>1496</v>
      </c>
      <c r="F815" s="33" t="s">
        <v>1497</v>
      </c>
      <c r="G815" s="33" t="s">
        <v>2607</v>
      </c>
      <c r="H815" s="33" t="s">
        <v>2608</v>
      </c>
      <c r="I815" s="33" t="s">
        <v>2609</v>
      </c>
      <c r="J815" s="33">
        <v>115134</v>
      </c>
      <c r="K815" s="33" t="s">
        <v>3156</v>
      </c>
      <c r="L815" s="33" t="s">
        <v>3157</v>
      </c>
      <c r="M815" s="33" t="s">
        <v>3158</v>
      </c>
      <c r="N815" s="44">
        <v>42152502</v>
      </c>
      <c r="O815" s="33" t="s">
        <v>3161</v>
      </c>
      <c r="P815" s="33" t="s">
        <v>3162</v>
      </c>
      <c r="Q815" s="34" t="s">
        <v>1494</v>
      </c>
      <c r="R815" s="34" t="s">
        <v>1494</v>
      </c>
    </row>
    <row r="816" spans="1:18" ht="15" customHeight="1" x14ac:dyDescent="0.25">
      <c r="A816" t="str">
        <f>IFERROR(RANK(B816,$B:$B,1)+COUNTIF($B$1:B815,B816),"")</f>
        <v/>
      </c>
      <c r="B816" t="str">
        <f>IFERROR(SEARCH(#REF!,Table4[[#This Row],[Commodity Title]],1),"")</f>
        <v/>
      </c>
      <c r="C816" s="35">
        <v>42152503</v>
      </c>
      <c r="D816" s="33" t="s">
        <v>1495</v>
      </c>
      <c r="E816" s="33" t="s">
        <v>1496</v>
      </c>
      <c r="F816" s="33" t="s">
        <v>1497</v>
      </c>
      <c r="G816" s="33" t="s">
        <v>2607</v>
      </c>
      <c r="H816" s="33" t="s">
        <v>2608</v>
      </c>
      <c r="I816" s="33" t="s">
        <v>2609</v>
      </c>
      <c r="J816" s="33">
        <v>115135</v>
      </c>
      <c r="K816" s="33" t="s">
        <v>3156</v>
      </c>
      <c r="L816" s="33" t="s">
        <v>3157</v>
      </c>
      <c r="M816" s="33" t="s">
        <v>3158</v>
      </c>
      <c r="N816" s="44">
        <v>42152503</v>
      </c>
      <c r="O816" s="33" t="s">
        <v>3163</v>
      </c>
      <c r="P816" s="33" t="s">
        <v>3164</v>
      </c>
      <c r="Q816" s="34" t="s">
        <v>1494</v>
      </c>
      <c r="R816" s="34" t="s">
        <v>1494</v>
      </c>
    </row>
    <row r="817" spans="1:18" ht="15" customHeight="1" x14ac:dyDescent="0.25">
      <c r="A817" t="str">
        <f>IFERROR(RANK(B817,$B:$B,1)+COUNTIF($B$1:B816,B817),"")</f>
        <v/>
      </c>
      <c r="B817" t="str">
        <f>IFERROR(SEARCH(#REF!,Table4[[#This Row],[Commodity Title]],1),"")</f>
        <v/>
      </c>
      <c r="C817" s="35">
        <v>42152504</v>
      </c>
      <c r="D817" s="33" t="s">
        <v>1495</v>
      </c>
      <c r="E817" s="33" t="s">
        <v>1496</v>
      </c>
      <c r="F817" s="33" t="s">
        <v>1497</v>
      </c>
      <c r="G817" s="33" t="s">
        <v>2607</v>
      </c>
      <c r="H817" s="33" t="s">
        <v>2608</v>
      </c>
      <c r="I817" s="33" t="s">
        <v>2609</v>
      </c>
      <c r="J817" s="33">
        <v>115136</v>
      </c>
      <c r="K817" s="33" t="s">
        <v>3156</v>
      </c>
      <c r="L817" s="33" t="s">
        <v>3157</v>
      </c>
      <c r="M817" s="33" t="s">
        <v>3158</v>
      </c>
      <c r="N817" s="44">
        <v>42152504</v>
      </c>
      <c r="O817" s="33" t="s">
        <v>3165</v>
      </c>
      <c r="P817" s="33" t="s">
        <v>3166</v>
      </c>
      <c r="Q817" s="34" t="s">
        <v>1494</v>
      </c>
      <c r="R817" s="34" t="s">
        <v>1494</v>
      </c>
    </row>
    <row r="818" spans="1:18" ht="15" customHeight="1" x14ac:dyDescent="0.25">
      <c r="A818" t="str">
        <f>IFERROR(RANK(B818,$B:$B,1)+COUNTIF($B$1:B817,B818),"")</f>
        <v/>
      </c>
      <c r="B818" t="str">
        <f>IFERROR(SEARCH(#REF!,Table4[[#This Row],[Commodity Title]],1),"")</f>
        <v/>
      </c>
      <c r="C818" s="35">
        <v>42152505</v>
      </c>
      <c r="D818" s="33" t="s">
        <v>1495</v>
      </c>
      <c r="E818" s="33" t="s">
        <v>1496</v>
      </c>
      <c r="F818" s="33" t="s">
        <v>1497</v>
      </c>
      <c r="G818" s="33" t="s">
        <v>2607</v>
      </c>
      <c r="H818" s="33" t="s">
        <v>2608</v>
      </c>
      <c r="I818" s="33" t="s">
        <v>2609</v>
      </c>
      <c r="J818" s="33">
        <v>115137</v>
      </c>
      <c r="K818" s="33" t="s">
        <v>3156</v>
      </c>
      <c r="L818" s="33" t="s">
        <v>3157</v>
      </c>
      <c r="M818" s="33" t="s">
        <v>3158</v>
      </c>
      <c r="N818" s="44">
        <v>42152505</v>
      </c>
      <c r="O818" s="33" t="s">
        <v>3167</v>
      </c>
      <c r="P818" s="33" t="s">
        <v>3168</v>
      </c>
      <c r="Q818" s="34" t="s">
        <v>1494</v>
      </c>
      <c r="R818" s="34" t="s">
        <v>1494</v>
      </c>
    </row>
    <row r="819" spans="1:18" ht="15" customHeight="1" x14ac:dyDescent="0.25">
      <c r="A819" t="str">
        <f>IFERROR(RANK(B819,$B:$B,1)+COUNTIF($B$1:B818,B819),"")</f>
        <v/>
      </c>
      <c r="B819" t="str">
        <f>IFERROR(SEARCH(#REF!,Table4[[#This Row],[Commodity Title]],1),"")</f>
        <v/>
      </c>
      <c r="C819" s="35">
        <v>42152506</v>
      </c>
      <c r="D819" s="33" t="s">
        <v>1495</v>
      </c>
      <c r="E819" s="33" t="s">
        <v>1496</v>
      </c>
      <c r="F819" s="33" t="s">
        <v>1497</v>
      </c>
      <c r="G819" s="33" t="s">
        <v>2607</v>
      </c>
      <c r="H819" s="33" t="s">
        <v>2608</v>
      </c>
      <c r="I819" s="33" t="s">
        <v>2609</v>
      </c>
      <c r="J819" s="33">
        <v>115138</v>
      </c>
      <c r="K819" s="33" t="s">
        <v>3156</v>
      </c>
      <c r="L819" s="33" t="s">
        <v>3157</v>
      </c>
      <c r="M819" s="33" t="s">
        <v>3158</v>
      </c>
      <c r="N819" s="44">
        <v>42152506</v>
      </c>
      <c r="O819" s="33" t="s">
        <v>3169</v>
      </c>
      <c r="P819" s="33" t="s">
        <v>3170</v>
      </c>
      <c r="Q819" s="34" t="s">
        <v>1494</v>
      </c>
      <c r="R819" s="34" t="s">
        <v>1494</v>
      </c>
    </row>
    <row r="820" spans="1:18" ht="15" customHeight="1" x14ac:dyDescent="0.25">
      <c r="A820" t="str">
        <f>IFERROR(RANK(B820,$B:$B,1)+COUNTIF($B$1:B819,B820),"")</f>
        <v/>
      </c>
      <c r="B820" t="str">
        <f>IFERROR(SEARCH(#REF!,Table4[[#This Row],[Commodity Title]],1),"")</f>
        <v/>
      </c>
      <c r="C820" s="35">
        <v>42152507</v>
      </c>
      <c r="D820" s="33" t="s">
        <v>1495</v>
      </c>
      <c r="E820" s="33" t="s">
        <v>1496</v>
      </c>
      <c r="F820" s="33" t="s">
        <v>1497</v>
      </c>
      <c r="G820" s="33" t="s">
        <v>2607</v>
      </c>
      <c r="H820" s="33" t="s">
        <v>2608</v>
      </c>
      <c r="I820" s="33" t="s">
        <v>2609</v>
      </c>
      <c r="J820" s="33">
        <v>115139</v>
      </c>
      <c r="K820" s="33" t="s">
        <v>3156</v>
      </c>
      <c r="L820" s="33" t="s">
        <v>3157</v>
      </c>
      <c r="M820" s="33" t="s">
        <v>3158</v>
      </c>
      <c r="N820" s="44">
        <v>42152507</v>
      </c>
      <c r="O820" s="33" t="s">
        <v>3171</v>
      </c>
      <c r="P820" s="33" t="s">
        <v>3172</v>
      </c>
      <c r="Q820" s="34" t="s">
        <v>1494</v>
      </c>
      <c r="R820" s="34" t="s">
        <v>1494</v>
      </c>
    </row>
    <row r="821" spans="1:18" ht="15" customHeight="1" x14ac:dyDescent="0.25">
      <c r="A821" t="str">
        <f>IFERROR(RANK(B821,$B:$B,1)+COUNTIF($B$1:B820,B821),"")</f>
        <v/>
      </c>
      <c r="B821" t="str">
        <f>IFERROR(SEARCH(#REF!,Table4[[#This Row],[Commodity Title]],1),"")</f>
        <v/>
      </c>
      <c r="C821" s="35">
        <v>42152508</v>
      </c>
      <c r="D821" s="33" t="s">
        <v>1495</v>
      </c>
      <c r="E821" s="33" t="s">
        <v>1496</v>
      </c>
      <c r="F821" s="33" t="s">
        <v>1497</v>
      </c>
      <c r="G821" s="33" t="s">
        <v>2607</v>
      </c>
      <c r="H821" s="33" t="s">
        <v>2608</v>
      </c>
      <c r="I821" s="33" t="s">
        <v>2609</v>
      </c>
      <c r="J821" s="33">
        <v>104549</v>
      </c>
      <c r="K821" s="33" t="s">
        <v>3156</v>
      </c>
      <c r="L821" s="33" t="s">
        <v>3157</v>
      </c>
      <c r="M821" s="33" t="s">
        <v>3158</v>
      </c>
      <c r="N821" s="44">
        <v>42152508</v>
      </c>
      <c r="O821" s="33" t="s">
        <v>3173</v>
      </c>
      <c r="P821" s="33" t="s">
        <v>3174</v>
      </c>
      <c r="Q821" s="34" t="s">
        <v>1494</v>
      </c>
      <c r="R821" s="34" t="s">
        <v>1494</v>
      </c>
    </row>
    <row r="822" spans="1:18" ht="15" customHeight="1" x14ac:dyDescent="0.25">
      <c r="A822" t="str">
        <f>IFERROR(RANK(B822,$B:$B,1)+COUNTIF($B$1:B821,B822),"")</f>
        <v/>
      </c>
      <c r="B822" t="str">
        <f>IFERROR(SEARCH(#REF!,Table4[[#This Row],[Commodity Title]],1),"")</f>
        <v/>
      </c>
      <c r="C822" s="35">
        <v>42152509</v>
      </c>
      <c r="D822" s="33" t="s">
        <v>1495</v>
      </c>
      <c r="E822" s="33" t="s">
        <v>1496</v>
      </c>
      <c r="F822" s="33" t="s">
        <v>1497</v>
      </c>
      <c r="G822" s="33" t="s">
        <v>2607</v>
      </c>
      <c r="H822" s="33" t="s">
        <v>2608</v>
      </c>
      <c r="I822" s="33" t="s">
        <v>2609</v>
      </c>
      <c r="J822" s="33">
        <v>115141</v>
      </c>
      <c r="K822" s="33" t="s">
        <v>3156</v>
      </c>
      <c r="L822" s="33" t="s">
        <v>3157</v>
      </c>
      <c r="M822" s="33" t="s">
        <v>3158</v>
      </c>
      <c r="N822" s="44">
        <v>42152509</v>
      </c>
      <c r="O822" s="33" t="s">
        <v>3175</v>
      </c>
      <c r="P822" s="33" t="s">
        <v>3176</v>
      </c>
      <c r="Q822" s="34" t="s">
        <v>1494</v>
      </c>
      <c r="R822" s="34" t="s">
        <v>1494</v>
      </c>
    </row>
    <row r="823" spans="1:18" ht="15" customHeight="1" x14ac:dyDescent="0.25">
      <c r="A823" t="str">
        <f>IFERROR(RANK(B823,$B:$B,1)+COUNTIF($B$1:B822,B823),"")</f>
        <v/>
      </c>
      <c r="B823" t="str">
        <f>IFERROR(SEARCH(#REF!,Table4[[#This Row],[Commodity Title]],1),"")</f>
        <v/>
      </c>
      <c r="C823" s="35">
        <v>42152511</v>
      </c>
      <c r="D823" s="33" t="s">
        <v>1495</v>
      </c>
      <c r="E823" s="33" t="s">
        <v>1496</v>
      </c>
      <c r="F823" s="33" t="s">
        <v>1497</v>
      </c>
      <c r="G823" s="33" t="s">
        <v>2607</v>
      </c>
      <c r="H823" s="33" t="s">
        <v>2608</v>
      </c>
      <c r="I823" s="33" t="s">
        <v>2609</v>
      </c>
      <c r="J823" s="33">
        <v>142424</v>
      </c>
      <c r="K823" s="33" t="s">
        <v>3156</v>
      </c>
      <c r="L823" s="33" t="s">
        <v>3157</v>
      </c>
      <c r="M823" s="33" t="s">
        <v>3158</v>
      </c>
      <c r="N823" s="44">
        <v>42152511</v>
      </c>
      <c r="O823" s="33" t="s">
        <v>3177</v>
      </c>
      <c r="P823" s="33" t="s">
        <v>3178</v>
      </c>
      <c r="Q823" s="34" t="s">
        <v>1494</v>
      </c>
      <c r="R823" s="34" t="s">
        <v>1494</v>
      </c>
    </row>
    <row r="824" spans="1:18" ht="15" customHeight="1" x14ac:dyDescent="0.25">
      <c r="A824" t="str">
        <f>IFERROR(RANK(B824,$B:$B,1)+COUNTIF($B$1:B823,B824),"")</f>
        <v/>
      </c>
      <c r="B824" t="str">
        <f>IFERROR(SEARCH(#REF!,Table4[[#This Row],[Commodity Title]],1),"")</f>
        <v/>
      </c>
      <c r="C824" s="35">
        <v>42152512</v>
      </c>
      <c r="D824" s="33" t="s">
        <v>1495</v>
      </c>
      <c r="E824" s="33" t="s">
        <v>1496</v>
      </c>
      <c r="F824" s="33" t="s">
        <v>1497</v>
      </c>
      <c r="G824" s="33" t="s">
        <v>2607</v>
      </c>
      <c r="H824" s="33" t="s">
        <v>2608</v>
      </c>
      <c r="I824" s="33" t="s">
        <v>2609</v>
      </c>
      <c r="J824" s="33">
        <v>142425</v>
      </c>
      <c r="K824" s="33" t="s">
        <v>3156</v>
      </c>
      <c r="L824" s="33" t="s">
        <v>3157</v>
      </c>
      <c r="M824" s="33" t="s">
        <v>3158</v>
      </c>
      <c r="N824" s="44">
        <v>42152512</v>
      </c>
      <c r="O824" s="33" t="s">
        <v>3179</v>
      </c>
      <c r="P824" s="33" t="s">
        <v>3180</v>
      </c>
      <c r="Q824" s="34" t="s">
        <v>1494</v>
      </c>
      <c r="R824" s="34" t="s">
        <v>1494</v>
      </c>
    </row>
    <row r="825" spans="1:18" ht="15" customHeight="1" x14ac:dyDescent="0.25">
      <c r="A825" t="str">
        <f>IFERROR(RANK(B825,$B:$B,1)+COUNTIF($B$1:B824,B825),"")</f>
        <v/>
      </c>
      <c r="B825" t="str">
        <f>IFERROR(SEARCH(#REF!,Table4[[#This Row],[Commodity Title]],1),"")</f>
        <v/>
      </c>
      <c r="C825" s="35">
        <v>42152513</v>
      </c>
      <c r="D825" s="33" t="s">
        <v>1495</v>
      </c>
      <c r="E825" s="33" t="s">
        <v>1496</v>
      </c>
      <c r="F825" s="33" t="s">
        <v>1497</v>
      </c>
      <c r="G825" s="33" t="s">
        <v>2607</v>
      </c>
      <c r="H825" s="33" t="s">
        <v>2608</v>
      </c>
      <c r="I825" s="33" t="s">
        <v>2609</v>
      </c>
      <c r="J825" s="33">
        <v>142426</v>
      </c>
      <c r="K825" s="33" t="s">
        <v>3156</v>
      </c>
      <c r="L825" s="33" t="s">
        <v>3157</v>
      </c>
      <c r="M825" s="33" t="s">
        <v>3158</v>
      </c>
      <c r="N825" s="44">
        <v>42152513</v>
      </c>
      <c r="O825" s="33" t="s">
        <v>3181</v>
      </c>
      <c r="P825" s="33" t="s">
        <v>3182</v>
      </c>
      <c r="Q825" s="34" t="s">
        <v>1494</v>
      </c>
      <c r="R825" s="34" t="s">
        <v>1494</v>
      </c>
    </row>
    <row r="826" spans="1:18" ht="15" customHeight="1" x14ac:dyDescent="0.25">
      <c r="A826" t="str">
        <f>IFERROR(RANK(B826,$B:$B,1)+COUNTIF($B$1:B825,B826),"")</f>
        <v/>
      </c>
      <c r="B826" t="str">
        <f>IFERROR(SEARCH(#REF!,Table4[[#This Row],[Commodity Title]],1),"")</f>
        <v/>
      </c>
      <c r="C826" s="35">
        <v>42152516</v>
      </c>
      <c r="D826" s="33" t="s">
        <v>1495</v>
      </c>
      <c r="E826" s="33" t="s">
        <v>1496</v>
      </c>
      <c r="F826" s="33" t="s">
        <v>1497</v>
      </c>
      <c r="G826" s="33" t="s">
        <v>2607</v>
      </c>
      <c r="H826" s="33" t="s">
        <v>2608</v>
      </c>
      <c r="I826" s="33" t="s">
        <v>2609</v>
      </c>
      <c r="J826" s="33">
        <v>142429</v>
      </c>
      <c r="K826" s="33" t="s">
        <v>3156</v>
      </c>
      <c r="L826" s="33" t="s">
        <v>3157</v>
      </c>
      <c r="M826" s="33" t="s">
        <v>3158</v>
      </c>
      <c r="N826" s="44">
        <v>42152516</v>
      </c>
      <c r="O826" s="33" t="s">
        <v>3183</v>
      </c>
      <c r="P826" s="33" t="s">
        <v>3184</v>
      </c>
      <c r="Q826" s="34" t="s">
        <v>1494</v>
      </c>
      <c r="R826" s="34" t="s">
        <v>1494</v>
      </c>
    </row>
    <row r="827" spans="1:18" ht="15" customHeight="1" x14ac:dyDescent="0.25">
      <c r="A827" t="str">
        <f>IFERROR(RANK(B827,$B:$B,1)+COUNTIF($B$1:B826,B827),"")</f>
        <v/>
      </c>
      <c r="B827" t="str">
        <f>IFERROR(SEARCH(#REF!,Table4[[#This Row],[Commodity Title]],1),"")</f>
        <v/>
      </c>
      <c r="C827" s="35">
        <v>42152517</v>
      </c>
      <c r="D827" s="33" t="s">
        <v>1495</v>
      </c>
      <c r="E827" s="33" t="s">
        <v>1496</v>
      </c>
      <c r="F827" s="33" t="s">
        <v>1497</v>
      </c>
      <c r="G827" s="33" t="s">
        <v>2607</v>
      </c>
      <c r="H827" s="33" t="s">
        <v>2608</v>
      </c>
      <c r="I827" s="33" t="s">
        <v>2609</v>
      </c>
      <c r="J827" s="33">
        <v>142430</v>
      </c>
      <c r="K827" s="33" t="s">
        <v>3156</v>
      </c>
      <c r="L827" s="33" t="s">
        <v>3157</v>
      </c>
      <c r="M827" s="33" t="s">
        <v>3158</v>
      </c>
      <c r="N827" s="44">
        <v>42152517</v>
      </c>
      <c r="O827" s="33" t="s">
        <v>3185</v>
      </c>
      <c r="P827" s="33" t="s">
        <v>3186</v>
      </c>
      <c r="Q827" s="34" t="s">
        <v>1494</v>
      </c>
      <c r="R827" s="34" t="s">
        <v>1494</v>
      </c>
    </row>
    <row r="828" spans="1:18" ht="15" customHeight="1" x14ac:dyDescent="0.25">
      <c r="A828" t="str">
        <f>IFERROR(RANK(B828,$B:$B,1)+COUNTIF($B$1:B827,B828),"")</f>
        <v/>
      </c>
      <c r="B828" t="str">
        <f>IFERROR(SEARCH(#REF!,Table4[[#This Row],[Commodity Title]],1),"")</f>
        <v/>
      </c>
      <c r="C828" s="35">
        <v>42152518</v>
      </c>
      <c r="D828" s="33" t="s">
        <v>1495</v>
      </c>
      <c r="E828" s="33" t="s">
        <v>1496</v>
      </c>
      <c r="F828" s="33" t="s">
        <v>1497</v>
      </c>
      <c r="G828" s="33" t="s">
        <v>2607</v>
      </c>
      <c r="H828" s="33" t="s">
        <v>2608</v>
      </c>
      <c r="I828" s="33" t="s">
        <v>2609</v>
      </c>
      <c r="J828" s="33">
        <v>142431</v>
      </c>
      <c r="K828" s="33" t="s">
        <v>3156</v>
      </c>
      <c r="L828" s="33" t="s">
        <v>3157</v>
      </c>
      <c r="M828" s="33" t="s">
        <v>3158</v>
      </c>
      <c r="N828" s="44">
        <v>42152518</v>
      </c>
      <c r="O828" s="33" t="s">
        <v>3187</v>
      </c>
      <c r="P828" s="33" t="s">
        <v>3188</v>
      </c>
      <c r="Q828" s="34" t="s">
        <v>1494</v>
      </c>
      <c r="R828" s="34" t="s">
        <v>1494</v>
      </c>
    </row>
    <row r="829" spans="1:18" ht="15" customHeight="1" x14ac:dyDescent="0.25">
      <c r="A829" t="str">
        <f>IFERROR(RANK(B829,$B:$B,1)+COUNTIF($B$1:B828,B829),"")</f>
        <v/>
      </c>
      <c r="B829" t="str">
        <f>IFERROR(SEARCH(#REF!,Table4[[#This Row],[Commodity Title]],1),"")</f>
        <v/>
      </c>
      <c r="C829" s="35">
        <v>42152519</v>
      </c>
      <c r="D829" s="33" t="s">
        <v>1495</v>
      </c>
      <c r="E829" s="33" t="s">
        <v>1496</v>
      </c>
      <c r="F829" s="33" t="s">
        <v>1497</v>
      </c>
      <c r="G829" s="33" t="s">
        <v>2607</v>
      </c>
      <c r="H829" s="33" t="s">
        <v>2608</v>
      </c>
      <c r="I829" s="33" t="s">
        <v>2609</v>
      </c>
      <c r="J829" s="33">
        <v>142432</v>
      </c>
      <c r="K829" s="33" t="s">
        <v>3156</v>
      </c>
      <c r="L829" s="33" t="s">
        <v>3157</v>
      </c>
      <c r="M829" s="33" t="s">
        <v>3158</v>
      </c>
      <c r="N829" s="44">
        <v>42152519</v>
      </c>
      <c r="O829" s="33" t="s">
        <v>3189</v>
      </c>
      <c r="P829" s="33" t="s">
        <v>3190</v>
      </c>
      <c r="Q829" s="34" t="s">
        <v>1494</v>
      </c>
      <c r="R829" s="34" t="s">
        <v>1494</v>
      </c>
    </row>
    <row r="830" spans="1:18" ht="15" customHeight="1" x14ac:dyDescent="0.25">
      <c r="A830" t="str">
        <f>IFERROR(RANK(B830,$B:$B,1)+COUNTIF($B$1:B829,B830),"")</f>
        <v/>
      </c>
      <c r="B830" t="str">
        <f>IFERROR(SEARCH(#REF!,Table4[[#This Row],[Commodity Title]],1),"")</f>
        <v/>
      </c>
      <c r="C830" s="35">
        <v>42152520</v>
      </c>
      <c r="D830" s="33" t="s">
        <v>1495</v>
      </c>
      <c r="E830" s="33" t="s">
        <v>1496</v>
      </c>
      <c r="F830" s="33" t="s">
        <v>1497</v>
      </c>
      <c r="G830" s="33" t="s">
        <v>2607</v>
      </c>
      <c r="H830" s="33" t="s">
        <v>2608</v>
      </c>
      <c r="I830" s="33" t="s">
        <v>2609</v>
      </c>
      <c r="J830" s="33">
        <v>142433</v>
      </c>
      <c r="K830" s="33" t="s">
        <v>3156</v>
      </c>
      <c r="L830" s="33" t="s">
        <v>3157</v>
      </c>
      <c r="M830" s="33" t="s">
        <v>3158</v>
      </c>
      <c r="N830" s="44">
        <v>42152520</v>
      </c>
      <c r="O830" s="33" t="s">
        <v>3191</v>
      </c>
      <c r="P830" s="33" t="s">
        <v>3192</v>
      </c>
      <c r="Q830" s="34" t="s">
        <v>1494</v>
      </c>
      <c r="R830" s="34" t="s">
        <v>1494</v>
      </c>
    </row>
    <row r="831" spans="1:18" ht="15" customHeight="1" x14ac:dyDescent="0.25">
      <c r="A831" t="str">
        <f>IFERROR(RANK(B831,$B:$B,1)+COUNTIF($B$1:B830,B831),"")</f>
        <v/>
      </c>
      <c r="B831" t="str">
        <f>IFERROR(SEARCH(#REF!,Table4[[#This Row],[Commodity Title]],1),"")</f>
        <v/>
      </c>
      <c r="C831" s="35">
        <v>42152521</v>
      </c>
      <c r="D831" s="33" t="s">
        <v>1495</v>
      </c>
      <c r="E831" s="33" t="s">
        <v>1496</v>
      </c>
      <c r="F831" s="33" t="s">
        <v>1497</v>
      </c>
      <c r="G831" s="33" t="s">
        <v>2607</v>
      </c>
      <c r="H831" s="33" t="s">
        <v>2608</v>
      </c>
      <c r="I831" s="33" t="s">
        <v>2609</v>
      </c>
      <c r="J831" s="33">
        <v>174330</v>
      </c>
      <c r="K831" s="33" t="s">
        <v>3156</v>
      </c>
      <c r="L831" s="33" t="s">
        <v>3157</v>
      </c>
      <c r="M831" s="33" t="s">
        <v>3158</v>
      </c>
      <c r="N831" s="44">
        <v>42152521</v>
      </c>
      <c r="O831" s="33" t="s">
        <v>3193</v>
      </c>
      <c r="P831" s="33" t="s">
        <v>3194</v>
      </c>
      <c r="Q831" s="34" t="s">
        <v>1494</v>
      </c>
      <c r="R831" s="34" t="s">
        <v>1494</v>
      </c>
    </row>
    <row r="832" spans="1:18" ht="15" customHeight="1" x14ac:dyDescent="0.25">
      <c r="A832" t="str">
        <f>IFERROR(RANK(B832,$B:$B,1)+COUNTIF($B$1:B831,B832),"")</f>
        <v/>
      </c>
      <c r="B832" t="str">
        <f>IFERROR(SEARCH(#REF!,Table4[[#This Row],[Commodity Title]],1),"")</f>
        <v/>
      </c>
      <c r="C832" s="35">
        <v>42152522</v>
      </c>
      <c r="D832" s="33" t="s">
        <v>1495</v>
      </c>
      <c r="E832" s="33" t="s">
        <v>1496</v>
      </c>
      <c r="F832" s="33" t="s">
        <v>1497</v>
      </c>
      <c r="G832" s="33" t="s">
        <v>2607</v>
      </c>
      <c r="H832" s="33" t="s">
        <v>2608</v>
      </c>
      <c r="I832" s="33" t="s">
        <v>2609</v>
      </c>
      <c r="J832" s="33">
        <v>202606</v>
      </c>
      <c r="K832" s="33" t="s">
        <v>3156</v>
      </c>
      <c r="L832" s="33" t="s">
        <v>3157</v>
      </c>
      <c r="M832" s="33" t="s">
        <v>3158</v>
      </c>
      <c r="N832" s="44">
        <v>42152522</v>
      </c>
      <c r="O832" s="33" t="s">
        <v>3195</v>
      </c>
      <c r="P832" s="33" t="s">
        <v>3196</v>
      </c>
      <c r="Q832" s="34" t="s">
        <v>1494</v>
      </c>
      <c r="R832" s="34" t="s">
        <v>1494</v>
      </c>
    </row>
    <row r="833" spans="1:18" ht="15" customHeight="1" x14ac:dyDescent="0.25">
      <c r="A833" t="str">
        <f>IFERROR(RANK(B833,$B:$B,1)+COUNTIF($B$1:B832,B833),"")</f>
        <v/>
      </c>
      <c r="B833" t="str">
        <f>IFERROR(SEARCH(#REF!,Table4[[#This Row],[Commodity Title]],1),"")</f>
        <v/>
      </c>
      <c r="C833" s="33" t="s">
        <v>1494</v>
      </c>
      <c r="D833" s="33" t="s">
        <v>1495</v>
      </c>
      <c r="E833" s="33" t="s">
        <v>1496</v>
      </c>
      <c r="F833" s="33" t="s">
        <v>1497</v>
      </c>
      <c r="G833" s="33" t="s">
        <v>2607</v>
      </c>
      <c r="H833" s="33" t="s">
        <v>2608</v>
      </c>
      <c r="I833" s="33" t="s">
        <v>2609</v>
      </c>
      <c r="J833" s="33">
        <v>115142</v>
      </c>
      <c r="K833" s="33" t="s">
        <v>3197</v>
      </c>
      <c r="L833" s="33" t="s">
        <v>3198</v>
      </c>
      <c r="M833" s="33" t="s">
        <v>3199</v>
      </c>
      <c r="N833" s="44" t="s">
        <v>1494</v>
      </c>
      <c r="O833" s="33" t="s">
        <v>1494</v>
      </c>
      <c r="P833" s="33" t="s">
        <v>1494</v>
      </c>
      <c r="Q833" s="34" t="s">
        <v>1494</v>
      </c>
      <c r="R833" s="34" t="s">
        <v>1494</v>
      </c>
    </row>
    <row r="834" spans="1:18" ht="15" customHeight="1" x14ac:dyDescent="0.25">
      <c r="A834" t="str">
        <f>IFERROR(RANK(B834,$B:$B,1)+COUNTIF($B$1:B833,B834),"")</f>
        <v/>
      </c>
      <c r="B834" t="str">
        <f>IFERROR(SEARCH(#REF!,Table4[[#This Row],[Commodity Title]],1),"")</f>
        <v/>
      </c>
      <c r="C834" s="35">
        <v>42152601</v>
      </c>
      <c r="D834" s="33" t="s">
        <v>1495</v>
      </c>
      <c r="E834" s="33" t="s">
        <v>1496</v>
      </c>
      <c r="F834" s="33" t="s">
        <v>1497</v>
      </c>
      <c r="G834" s="33" t="s">
        <v>2607</v>
      </c>
      <c r="H834" s="33" t="s">
        <v>2608</v>
      </c>
      <c r="I834" s="33" t="s">
        <v>2609</v>
      </c>
      <c r="J834" s="33">
        <v>115143</v>
      </c>
      <c r="K834" s="33" t="s">
        <v>3197</v>
      </c>
      <c r="L834" s="33" t="s">
        <v>3198</v>
      </c>
      <c r="M834" s="33" t="s">
        <v>3199</v>
      </c>
      <c r="N834" s="44">
        <v>42152601</v>
      </c>
      <c r="O834" s="33" t="s">
        <v>3200</v>
      </c>
      <c r="P834" s="33" t="s">
        <v>3201</v>
      </c>
      <c r="Q834" s="34" t="s">
        <v>1494</v>
      </c>
      <c r="R834" s="34" t="s">
        <v>1494</v>
      </c>
    </row>
    <row r="835" spans="1:18" ht="15" customHeight="1" x14ac:dyDescent="0.25">
      <c r="A835" t="str">
        <f>IFERROR(RANK(B835,$B:$B,1)+COUNTIF($B$1:B834,B835),"")</f>
        <v/>
      </c>
      <c r="B835" t="str">
        <f>IFERROR(SEARCH(#REF!,Table4[[#This Row],[Commodity Title]],1),"")</f>
        <v/>
      </c>
      <c r="C835" s="35">
        <v>42152602</v>
      </c>
      <c r="D835" s="33" t="s">
        <v>1495</v>
      </c>
      <c r="E835" s="33" t="s">
        <v>1496</v>
      </c>
      <c r="F835" s="33" t="s">
        <v>1497</v>
      </c>
      <c r="G835" s="33" t="s">
        <v>2607</v>
      </c>
      <c r="H835" s="33" t="s">
        <v>2608</v>
      </c>
      <c r="I835" s="33" t="s">
        <v>2609</v>
      </c>
      <c r="J835" s="33">
        <v>115144</v>
      </c>
      <c r="K835" s="33" t="s">
        <v>3197</v>
      </c>
      <c r="L835" s="33" t="s">
        <v>3198</v>
      </c>
      <c r="M835" s="33" t="s">
        <v>3199</v>
      </c>
      <c r="N835" s="44">
        <v>42152602</v>
      </c>
      <c r="O835" s="33" t="s">
        <v>3202</v>
      </c>
      <c r="P835" s="33" t="s">
        <v>3203</v>
      </c>
      <c r="Q835" s="34" t="s">
        <v>1494</v>
      </c>
      <c r="R835" s="34" t="s">
        <v>1494</v>
      </c>
    </row>
    <row r="836" spans="1:18" ht="15" customHeight="1" x14ac:dyDescent="0.25">
      <c r="A836" t="str">
        <f>IFERROR(RANK(B836,$B:$B,1)+COUNTIF($B$1:B835,B836),"")</f>
        <v/>
      </c>
      <c r="B836" t="str">
        <f>IFERROR(SEARCH(#REF!,Table4[[#This Row],[Commodity Title]],1),"")</f>
        <v/>
      </c>
      <c r="C836" s="35">
        <v>42152603</v>
      </c>
      <c r="D836" s="33" t="s">
        <v>1495</v>
      </c>
      <c r="E836" s="33" t="s">
        <v>1496</v>
      </c>
      <c r="F836" s="33" t="s">
        <v>1497</v>
      </c>
      <c r="G836" s="33" t="s">
        <v>2607</v>
      </c>
      <c r="H836" s="33" t="s">
        <v>2608</v>
      </c>
      <c r="I836" s="33" t="s">
        <v>2609</v>
      </c>
      <c r="J836" s="33">
        <v>115145</v>
      </c>
      <c r="K836" s="33" t="s">
        <v>3197</v>
      </c>
      <c r="L836" s="33" t="s">
        <v>3198</v>
      </c>
      <c r="M836" s="33" t="s">
        <v>3199</v>
      </c>
      <c r="N836" s="44">
        <v>42152603</v>
      </c>
      <c r="O836" s="33" t="s">
        <v>3204</v>
      </c>
      <c r="P836" s="33" t="s">
        <v>3205</v>
      </c>
      <c r="Q836" s="34" t="s">
        <v>1494</v>
      </c>
      <c r="R836" s="34" t="s">
        <v>1494</v>
      </c>
    </row>
    <row r="837" spans="1:18" ht="15" customHeight="1" x14ac:dyDescent="0.25">
      <c r="A837" t="str">
        <f>IFERROR(RANK(B837,$B:$B,1)+COUNTIF($B$1:B836,B837),"")</f>
        <v/>
      </c>
      <c r="B837" t="str">
        <f>IFERROR(SEARCH(#REF!,Table4[[#This Row],[Commodity Title]],1),"")</f>
        <v/>
      </c>
      <c r="C837" s="35">
        <v>42152604</v>
      </c>
      <c r="D837" s="33" t="s">
        <v>1495</v>
      </c>
      <c r="E837" s="33" t="s">
        <v>1496</v>
      </c>
      <c r="F837" s="33" t="s">
        <v>1497</v>
      </c>
      <c r="G837" s="33" t="s">
        <v>2607</v>
      </c>
      <c r="H837" s="33" t="s">
        <v>2608</v>
      </c>
      <c r="I837" s="33" t="s">
        <v>2609</v>
      </c>
      <c r="J837" s="33">
        <v>115146</v>
      </c>
      <c r="K837" s="33" t="s">
        <v>3197</v>
      </c>
      <c r="L837" s="33" t="s">
        <v>3198</v>
      </c>
      <c r="M837" s="33" t="s">
        <v>3199</v>
      </c>
      <c r="N837" s="44">
        <v>42152604</v>
      </c>
      <c r="O837" s="33" t="s">
        <v>3206</v>
      </c>
      <c r="P837" s="33" t="s">
        <v>3207</v>
      </c>
      <c r="Q837" s="34" t="s">
        <v>1494</v>
      </c>
      <c r="R837" s="34" t="s">
        <v>1494</v>
      </c>
    </row>
    <row r="838" spans="1:18" ht="15" customHeight="1" x14ac:dyDescent="0.25">
      <c r="A838" t="str">
        <f>IFERROR(RANK(B838,$B:$B,1)+COUNTIF($B$1:B837,B838),"")</f>
        <v/>
      </c>
      <c r="B838" t="str">
        <f>IFERROR(SEARCH(#REF!,Table4[[#This Row],[Commodity Title]],1),"")</f>
        <v/>
      </c>
      <c r="C838" s="35">
        <v>42152605</v>
      </c>
      <c r="D838" s="33" t="s">
        <v>1495</v>
      </c>
      <c r="E838" s="33" t="s">
        <v>1496</v>
      </c>
      <c r="F838" s="33" t="s">
        <v>1497</v>
      </c>
      <c r="G838" s="33" t="s">
        <v>2607</v>
      </c>
      <c r="H838" s="33" t="s">
        <v>2608</v>
      </c>
      <c r="I838" s="33" t="s">
        <v>2609</v>
      </c>
      <c r="J838" s="33">
        <v>142435</v>
      </c>
      <c r="K838" s="33" t="s">
        <v>3197</v>
      </c>
      <c r="L838" s="33" t="s">
        <v>3198</v>
      </c>
      <c r="M838" s="33" t="s">
        <v>3199</v>
      </c>
      <c r="N838" s="44">
        <v>42152605</v>
      </c>
      <c r="O838" s="33" t="s">
        <v>3208</v>
      </c>
      <c r="P838" s="33" t="s">
        <v>3209</v>
      </c>
      <c r="Q838" s="34" t="s">
        <v>1494</v>
      </c>
      <c r="R838" s="34" t="s">
        <v>1494</v>
      </c>
    </row>
    <row r="839" spans="1:18" ht="15" customHeight="1" x14ac:dyDescent="0.25">
      <c r="A839" t="str">
        <f>IFERROR(RANK(B839,$B:$B,1)+COUNTIF($B$1:B838,B839),"")</f>
        <v/>
      </c>
      <c r="B839" t="str">
        <f>IFERROR(SEARCH(#REF!,Table4[[#This Row],[Commodity Title]],1),"")</f>
        <v/>
      </c>
      <c r="C839" s="35">
        <v>42152606</v>
      </c>
      <c r="D839" s="33" t="s">
        <v>1495</v>
      </c>
      <c r="E839" s="33" t="s">
        <v>1496</v>
      </c>
      <c r="F839" s="33" t="s">
        <v>1497</v>
      </c>
      <c r="G839" s="33" t="s">
        <v>2607</v>
      </c>
      <c r="H839" s="33" t="s">
        <v>2608</v>
      </c>
      <c r="I839" s="33" t="s">
        <v>2609</v>
      </c>
      <c r="J839" s="33">
        <v>142436</v>
      </c>
      <c r="K839" s="33" t="s">
        <v>3197</v>
      </c>
      <c r="L839" s="33" t="s">
        <v>3198</v>
      </c>
      <c r="M839" s="33" t="s">
        <v>3199</v>
      </c>
      <c r="N839" s="44">
        <v>42152606</v>
      </c>
      <c r="O839" s="33" t="s">
        <v>3210</v>
      </c>
      <c r="P839" s="33" t="s">
        <v>3211</v>
      </c>
      <c r="Q839" s="34" t="s">
        <v>1494</v>
      </c>
      <c r="R839" s="34" t="s">
        <v>1494</v>
      </c>
    </row>
    <row r="840" spans="1:18" ht="15" customHeight="1" x14ac:dyDescent="0.25">
      <c r="A840" t="str">
        <f>IFERROR(RANK(B840,$B:$B,1)+COUNTIF($B$1:B839,B840),"")</f>
        <v/>
      </c>
      <c r="B840" t="str">
        <f>IFERROR(SEARCH(#REF!,Table4[[#This Row],[Commodity Title]],1),"")</f>
        <v/>
      </c>
      <c r="C840" s="35">
        <v>42152607</v>
      </c>
      <c r="D840" s="33" t="s">
        <v>1495</v>
      </c>
      <c r="E840" s="33" t="s">
        <v>1496</v>
      </c>
      <c r="F840" s="33" t="s">
        <v>1497</v>
      </c>
      <c r="G840" s="33" t="s">
        <v>2607</v>
      </c>
      <c r="H840" s="33" t="s">
        <v>2608</v>
      </c>
      <c r="I840" s="33" t="s">
        <v>2609</v>
      </c>
      <c r="J840" s="33">
        <v>142437</v>
      </c>
      <c r="K840" s="33" t="s">
        <v>3197</v>
      </c>
      <c r="L840" s="33" t="s">
        <v>3198</v>
      </c>
      <c r="M840" s="33" t="s">
        <v>3199</v>
      </c>
      <c r="N840" s="44">
        <v>42152607</v>
      </c>
      <c r="O840" s="33" t="s">
        <v>3212</v>
      </c>
      <c r="P840" s="33" t="s">
        <v>3213</v>
      </c>
      <c r="Q840" s="34" t="s">
        <v>1494</v>
      </c>
      <c r="R840" s="34" t="s">
        <v>1494</v>
      </c>
    </row>
    <row r="841" spans="1:18" ht="15" customHeight="1" x14ac:dyDescent="0.25">
      <c r="A841" t="str">
        <f>IFERROR(RANK(B841,$B:$B,1)+COUNTIF($B$1:B840,B841),"")</f>
        <v/>
      </c>
      <c r="B841" t="str">
        <f>IFERROR(SEARCH(#REF!,Table4[[#This Row],[Commodity Title]],1),"")</f>
        <v/>
      </c>
      <c r="C841" s="35">
        <v>42152608</v>
      </c>
      <c r="D841" s="33" t="s">
        <v>1495</v>
      </c>
      <c r="E841" s="33" t="s">
        <v>1496</v>
      </c>
      <c r="F841" s="33" t="s">
        <v>1497</v>
      </c>
      <c r="G841" s="33" t="s">
        <v>2607</v>
      </c>
      <c r="H841" s="33" t="s">
        <v>2608</v>
      </c>
      <c r="I841" s="33" t="s">
        <v>2609</v>
      </c>
      <c r="J841" s="33">
        <v>142438</v>
      </c>
      <c r="K841" s="33" t="s">
        <v>3197</v>
      </c>
      <c r="L841" s="33" t="s">
        <v>3198</v>
      </c>
      <c r="M841" s="33" t="s">
        <v>3199</v>
      </c>
      <c r="N841" s="44">
        <v>42152608</v>
      </c>
      <c r="O841" s="33" t="s">
        <v>3214</v>
      </c>
      <c r="P841" s="33" t="s">
        <v>3215</v>
      </c>
      <c r="Q841" s="34" t="s">
        <v>1494</v>
      </c>
      <c r="R841" s="34" t="s">
        <v>1494</v>
      </c>
    </row>
    <row r="842" spans="1:18" ht="15" customHeight="1" x14ac:dyDescent="0.25">
      <c r="A842" t="str">
        <f>IFERROR(RANK(B842,$B:$B,1)+COUNTIF($B$1:B841,B842),"")</f>
        <v/>
      </c>
      <c r="B842" t="str">
        <f>IFERROR(SEARCH(#REF!,Table4[[#This Row],[Commodity Title]],1),"")</f>
        <v/>
      </c>
      <c r="C842" s="35">
        <v>42152609</v>
      </c>
      <c r="D842" s="33" t="s">
        <v>1495</v>
      </c>
      <c r="E842" s="33" t="s">
        <v>1496</v>
      </c>
      <c r="F842" s="33" t="s">
        <v>1497</v>
      </c>
      <c r="G842" s="33" t="s">
        <v>2607</v>
      </c>
      <c r="H842" s="33" t="s">
        <v>2608</v>
      </c>
      <c r="I842" s="33" t="s">
        <v>2609</v>
      </c>
      <c r="J842" s="33">
        <v>202607</v>
      </c>
      <c r="K842" s="33" t="s">
        <v>3197</v>
      </c>
      <c r="L842" s="33" t="s">
        <v>3198</v>
      </c>
      <c r="M842" s="33" t="s">
        <v>3199</v>
      </c>
      <c r="N842" s="44">
        <v>42152609</v>
      </c>
      <c r="O842" s="33" t="s">
        <v>3216</v>
      </c>
      <c r="P842" s="33" t="s">
        <v>3217</v>
      </c>
      <c r="Q842" s="34" t="s">
        <v>1494</v>
      </c>
      <c r="R842" s="34" t="s">
        <v>1494</v>
      </c>
    </row>
    <row r="843" spans="1:18" ht="15" customHeight="1" x14ac:dyDescent="0.25">
      <c r="A843" t="str">
        <f>IFERROR(RANK(B843,$B:$B,1)+COUNTIF($B$1:B842,B843),"")</f>
        <v/>
      </c>
      <c r="B843" t="str">
        <f>IFERROR(SEARCH(#REF!,Table4[[#This Row],[Commodity Title]],1),"")</f>
        <v/>
      </c>
      <c r="C843" s="35">
        <v>42152610</v>
      </c>
      <c r="D843" s="33" t="s">
        <v>1495</v>
      </c>
      <c r="E843" s="33" t="s">
        <v>1496</v>
      </c>
      <c r="F843" s="33" t="s">
        <v>1497</v>
      </c>
      <c r="G843" s="33" t="s">
        <v>2607</v>
      </c>
      <c r="H843" s="33" t="s">
        <v>2608</v>
      </c>
      <c r="I843" s="33" t="s">
        <v>2609</v>
      </c>
      <c r="J843" s="33">
        <v>202608</v>
      </c>
      <c r="K843" s="33" t="s">
        <v>3197</v>
      </c>
      <c r="L843" s="33" t="s">
        <v>3198</v>
      </c>
      <c r="M843" s="33" t="s">
        <v>3199</v>
      </c>
      <c r="N843" s="44">
        <v>42152610</v>
      </c>
      <c r="O843" s="33" t="s">
        <v>3218</v>
      </c>
      <c r="P843" s="33" t="s">
        <v>3219</v>
      </c>
      <c r="Q843" s="34" t="s">
        <v>1494</v>
      </c>
      <c r="R843" s="34" t="s">
        <v>1494</v>
      </c>
    </row>
    <row r="844" spans="1:18" ht="15" customHeight="1" x14ac:dyDescent="0.25">
      <c r="A844" t="str">
        <f>IFERROR(RANK(B844,$B:$B,1)+COUNTIF($B$1:B843,B844),"")</f>
        <v/>
      </c>
      <c r="B844" t="str">
        <f>IFERROR(SEARCH(#REF!,Table4[[#This Row],[Commodity Title]],1),"")</f>
        <v/>
      </c>
      <c r="C844" s="33" t="s">
        <v>1494</v>
      </c>
      <c r="D844" s="33" t="s">
        <v>1495</v>
      </c>
      <c r="E844" s="33" t="s">
        <v>1496</v>
      </c>
      <c r="F844" s="33" t="s">
        <v>1497</v>
      </c>
      <c r="G844" s="33" t="s">
        <v>2607</v>
      </c>
      <c r="H844" s="33" t="s">
        <v>2608</v>
      </c>
      <c r="I844" s="33" t="s">
        <v>2609</v>
      </c>
      <c r="J844" s="33">
        <v>115147</v>
      </c>
      <c r="K844" s="33" t="s">
        <v>3220</v>
      </c>
      <c r="L844" s="33" t="s">
        <v>3221</v>
      </c>
      <c r="M844" s="33" t="s">
        <v>3222</v>
      </c>
      <c r="N844" s="44" t="s">
        <v>1494</v>
      </c>
      <c r="O844" s="33" t="s">
        <v>1494</v>
      </c>
      <c r="P844" s="33" t="s">
        <v>1494</v>
      </c>
      <c r="Q844" s="34" t="s">
        <v>1494</v>
      </c>
      <c r="R844" s="34" t="s">
        <v>1494</v>
      </c>
    </row>
    <row r="845" spans="1:18" ht="15" customHeight="1" x14ac:dyDescent="0.25">
      <c r="A845" t="str">
        <f>IFERROR(RANK(B845,$B:$B,1)+COUNTIF($B$1:B844,B845),"")</f>
        <v/>
      </c>
      <c r="B845" t="str">
        <f>IFERROR(SEARCH(#REF!,Table4[[#This Row],[Commodity Title]],1),"")</f>
        <v/>
      </c>
      <c r="C845" s="35">
        <v>42152701</v>
      </c>
      <c r="D845" s="33" t="s">
        <v>1495</v>
      </c>
      <c r="E845" s="33" t="s">
        <v>1496</v>
      </c>
      <c r="F845" s="33" t="s">
        <v>1497</v>
      </c>
      <c r="G845" s="33" t="s">
        <v>2607</v>
      </c>
      <c r="H845" s="33" t="s">
        <v>2608</v>
      </c>
      <c r="I845" s="33" t="s">
        <v>2609</v>
      </c>
      <c r="J845" s="33">
        <v>115148</v>
      </c>
      <c r="K845" s="33" t="s">
        <v>3220</v>
      </c>
      <c r="L845" s="33" t="s">
        <v>3221</v>
      </c>
      <c r="M845" s="33" t="s">
        <v>3222</v>
      </c>
      <c r="N845" s="44">
        <v>42152701</v>
      </c>
      <c r="O845" s="33" t="s">
        <v>3223</v>
      </c>
      <c r="P845" s="33" t="s">
        <v>3224</v>
      </c>
      <c r="Q845" s="34" t="s">
        <v>1494</v>
      </c>
      <c r="R845" s="34" t="s">
        <v>1494</v>
      </c>
    </row>
    <row r="846" spans="1:18" ht="15" customHeight="1" x14ac:dyDescent="0.25">
      <c r="A846" t="str">
        <f>IFERROR(RANK(B846,$B:$B,1)+COUNTIF($B$1:B845,B846),"")</f>
        <v/>
      </c>
      <c r="B846" t="str">
        <f>IFERROR(SEARCH(#REF!,Table4[[#This Row],[Commodity Title]],1),"")</f>
        <v/>
      </c>
      <c r="C846" s="35">
        <v>42152704</v>
      </c>
      <c r="D846" s="33" t="s">
        <v>1495</v>
      </c>
      <c r="E846" s="33" t="s">
        <v>1496</v>
      </c>
      <c r="F846" s="33" t="s">
        <v>1497</v>
      </c>
      <c r="G846" s="33" t="s">
        <v>2607</v>
      </c>
      <c r="H846" s="33" t="s">
        <v>2608</v>
      </c>
      <c r="I846" s="33" t="s">
        <v>2609</v>
      </c>
      <c r="J846" s="33">
        <v>104531</v>
      </c>
      <c r="K846" s="33" t="s">
        <v>3220</v>
      </c>
      <c r="L846" s="33" t="s">
        <v>3221</v>
      </c>
      <c r="M846" s="33" t="s">
        <v>3222</v>
      </c>
      <c r="N846" s="44">
        <v>42152704</v>
      </c>
      <c r="O846" s="33" t="s">
        <v>3225</v>
      </c>
      <c r="P846" s="33" t="s">
        <v>3226</v>
      </c>
      <c r="Q846" s="34" t="s">
        <v>1494</v>
      </c>
      <c r="R846" s="34" t="s">
        <v>1494</v>
      </c>
    </row>
    <row r="847" spans="1:18" ht="15" customHeight="1" x14ac:dyDescent="0.25">
      <c r="A847" t="str">
        <f>IFERROR(RANK(B847,$B:$B,1)+COUNTIF($B$1:B846,B847),"")</f>
        <v/>
      </c>
      <c r="B847" t="str">
        <f>IFERROR(SEARCH(#REF!,Table4[[#This Row],[Commodity Title]],1),"")</f>
        <v/>
      </c>
      <c r="C847" s="35">
        <v>42152705</v>
      </c>
      <c r="D847" s="33" t="s">
        <v>1495</v>
      </c>
      <c r="E847" s="33" t="s">
        <v>1496</v>
      </c>
      <c r="F847" s="33" t="s">
        <v>1497</v>
      </c>
      <c r="G847" s="33" t="s">
        <v>2607</v>
      </c>
      <c r="H847" s="33" t="s">
        <v>2608</v>
      </c>
      <c r="I847" s="33" t="s">
        <v>2609</v>
      </c>
      <c r="J847" s="33">
        <v>115152</v>
      </c>
      <c r="K847" s="33" t="s">
        <v>3220</v>
      </c>
      <c r="L847" s="33" t="s">
        <v>3221</v>
      </c>
      <c r="M847" s="33" t="s">
        <v>3222</v>
      </c>
      <c r="N847" s="44">
        <v>42152705</v>
      </c>
      <c r="O847" s="33" t="s">
        <v>3227</v>
      </c>
      <c r="P847" s="33" t="s">
        <v>3228</v>
      </c>
      <c r="Q847" s="34" t="s">
        <v>1494</v>
      </c>
      <c r="R847" s="34" t="s">
        <v>1494</v>
      </c>
    </row>
    <row r="848" spans="1:18" ht="15" customHeight="1" x14ac:dyDescent="0.25">
      <c r="A848" t="str">
        <f>IFERROR(RANK(B848,$B:$B,1)+COUNTIF($B$1:B847,B848),"")</f>
        <v/>
      </c>
      <c r="B848" t="str">
        <f>IFERROR(SEARCH(#REF!,Table4[[#This Row],[Commodity Title]],1),"")</f>
        <v/>
      </c>
      <c r="C848" s="35">
        <v>42152706</v>
      </c>
      <c r="D848" s="33" t="s">
        <v>1495</v>
      </c>
      <c r="E848" s="33" t="s">
        <v>1496</v>
      </c>
      <c r="F848" s="33" t="s">
        <v>1497</v>
      </c>
      <c r="G848" s="33" t="s">
        <v>2607</v>
      </c>
      <c r="H848" s="33" t="s">
        <v>2608</v>
      </c>
      <c r="I848" s="33" t="s">
        <v>2609</v>
      </c>
      <c r="J848" s="33">
        <v>115153</v>
      </c>
      <c r="K848" s="33" t="s">
        <v>3220</v>
      </c>
      <c r="L848" s="33" t="s">
        <v>3221</v>
      </c>
      <c r="M848" s="33" t="s">
        <v>3222</v>
      </c>
      <c r="N848" s="44">
        <v>42152706</v>
      </c>
      <c r="O848" s="33" t="s">
        <v>3229</v>
      </c>
      <c r="P848" s="33" t="s">
        <v>3230</v>
      </c>
      <c r="Q848" s="34" t="s">
        <v>1494</v>
      </c>
      <c r="R848" s="34" t="s">
        <v>1494</v>
      </c>
    </row>
    <row r="849" spans="1:18" ht="15" customHeight="1" x14ac:dyDescent="0.25">
      <c r="A849" t="str">
        <f>IFERROR(RANK(B849,$B:$B,1)+COUNTIF($B$1:B848,B849),"")</f>
        <v/>
      </c>
      <c r="B849" t="str">
        <f>IFERROR(SEARCH(#REF!,Table4[[#This Row],[Commodity Title]],1),"")</f>
        <v/>
      </c>
      <c r="C849" s="35">
        <v>42152707</v>
      </c>
      <c r="D849" s="33" t="s">
        <v>1495</v>
      </c>
      <c r="E849" s="33" t="s">
        <v>1496</v>
      </c>
      <c r="F849" s="33" t="s">
        <v>1497</v>
      </c>
      <c r="G849" s="33" t="s">
        <v>2607</v>
      </c>
      <c r="H849" s="33" t="s">
        <v>2608</v>
      </c>
      <c r="I849" s="33" t="s">
        <v>2609</v>
      </c>
      <c r="J849" s="33">
        <v>115154</v>
      </c>
      <c r="K849" s="33" t="s">
        <v>3220</v>
      </c>
      <c r="L849" s="33" t="s">
        <v>3221</v>
      </c>
      <c r="M849" s="33" t="s">
        <v>3222</v>
      </c>
      <c r="N849" s="44">
        <v>42152707</v>
      </c>
      <c r="O849" s="33" t="s">
        <v>3231</v>
      </c>
      <c r="P849" s="33" t="s">
        <v>3232</v>
      </c>
      <c r="Q849" s="34" t="s">
        <v>1494</v>
      </c>
      <c r="R849" s="34" t="s">
        <v>1494</v>
      </c>
    </row>
    <row r="850" spans="1:18" ht="15" customHeight="1" x14ac:dyDescent="0.25">
      <c r="A850" t="str">
        <f>IFERROR(RANK(B850,$B:$B,1)+COUNTIF($B$1:B849,B850),"")</f>
        <v/>
      </c>
      <c r="B850" t="str">
        <f>IFERROR(SEARCH(#REF!,Table4[[#This Row],[Commodity Title]],1),"")</f>
        <v/>
      </c>
      <c r="C850" s="35">
        <v>42152708</v>
      </c>
      <c r="D850" s="33" t="s">
        <v>1495</v>
      </c>
      <c r="E850" s="33" t="s">
        <v>1496</v>
      </c>
      <c r="F850" s="33" t="s">
        <v>1497</v>
      </c>
      <c r="G850" s="33" t="s">
        <v>2607</v>
      </c>
      <c r="H850" s="33" t="s">
        <v>2608</v>
      </c>
      <c r="I850" s="33" t="s">
        <v>2609</v>
      </c>
      <c r="J850" s="33">
        <v>115155</v>
      </c>
      <c r="K850" s="33" t="s">
        <v>3220</v>
      </c>
      <c r="L850" s="33" t="s">
        <v>3221</v>
      </c>
      <c r="M850" s="33" t="s">
        <v>3222</v>
      </c>
      <c r="N850" s="44">
        <v>42152708</v>
      </c>
      <c r="O850" s="33" t="s">
        <v>3233</v>
      </c>
      <c r="P850" s="33" t="s">
        <v>3234</v>
      </c>
      <c r="Q850" s="34" t="s">
        <v>1494</v>
      </c>
      <c r="R850" s="34" t="s">
        <v>1494</v>
      </c>
    </row>
    <row r="851" spans="1:18" ht="15" customHeight="1" x14ac:dyDescent="0.25">
      <c r="A851" t="str">
        <f>IFERROR(RANK(B851,$B:$B,1)+COUNTIF($B$1:B850,B851),"")</f>
        <v/>
      </c>
      <c r="B851" t="str">
        <f>IFERROR(SEARCH(#REF!,Table4[[#This Row],[Commodity Title]],1),"")</f>
        <v/>
      </c>
      <c r="C851" s="35">
        <v>42152709</v>
      </c>
      <c r="D851" s="33" t="s">
        <v>1495</v>
      </c>
      <c r="E851" s="33" t="s">
        <v>1496</v>
      </c>
      <c r="F851" s="33" t="s">
        <v>1497</v>
      </c>
      <c r="G851" s="33" t="s">
        <v>2607</v>
      </c>
      <c r="H851" s="33" t="s">
        <v>2608</v>
      </c>
      <c r="I851" s="33" t="s">
        <v>2609</v>
      </c>
      <c r="J851" s="33">
        <v>115156</v>
      </c>
      <c r="K851" s="33" t="s">
        <v>3220</v>
      </c>
      <c r="L851" s="33" t="s">
        <v>3221</v>
      </c>
      <c r="M851" s="33" t="s">
        <v>3222</v>
      </c>
      <c r="N851" s="44">
        <v>42152709</v>
      </c>
      <c r="O851" s="33" t="s">
        <v>3235</v>
      </c>
      <c r="P851" s="33" t="s">
        <v>3236</v>
      </c>
      <c r="Q851" s="34" t="s">
        <v>1494</v>
      </c>
      <c r="R851" s="34" t="s">
        <v>1494</v>
      </c>
    </row>
    <row r="852" spans="1:18" ht="15" customHeight="1" x14ac:dyDescent="0.25">
      <c r="A852" t="str">
        <f>IFERROR(RANK(B852,$B:$B,1)+COUNTIF($B$1:B851,B852),"")</f>
        <v/>
      </c>
      <c r="B852" t="str">
        <f>IFERROR(SEARCH(#REF!,Table4[[#This Row],[Commodity Title]],1),"")</f>
        <v/>
      </c>
      <c r="C852" s="35">
        <v>42152710</v>
      </c>
      <c r="D852" s="33" t="s">
        <v>1495</v>
      </c>
      <c r="E852" s="33" t="s">
        <v>1496</v>
      </c>
      <c r="F852" s="33" t="s">
        <v>1497</v>
      </c>
      <c r="G852" s="33" t="s">
        <v>2607</v>
      </c>
      <c r="H852" s="33" t="s">
        <v>2608</v>
      </c>
      <c r="I852" s="33" t="s">
        <v>2609</v>
      </c>
      <c r="J852" s="33">
        <v>115157</v>
      </c>
      <c r="K852" s="33" t="s">
        <v>3220</v>
      </c>
      <c r="L852" s="33" t="s">
        <v>3221</v>
      </c>
      <c r="M852" s="33" t="s">
        <v>3222</v>
      </c>
      <c r="N852" s="44">
        <v>42152710</v>
      </c>
      <c r="O852" s="33" t="s">
        <v>3237</v>
      </c>
      <c r="P852" s="33" t="s">
        <v>3238</v>
      </c>
      <c r="Q852" s="34" t="s">
        <v>1494</v>
      </c>
      <c r="R852" s="34" t="s">
        <v>1494</v>
      </c>
    </row>
    <row r="853" spans="1:18" ht="15" customHeight="1" x14ac:dyDescent="0.25">
      <c r="A853" t="str">
        <f>IFERROR(RANK(B853,$B:$B,1)+COUNTIF($B$1:B852,B853),"")</f>
        <v/>
      </c>
      <c r="B853" t="str">
        <f>IFERROR(SEARCH(#REF!,Table4[[#This Row],[Commodity Title]],1),"")</f>
        <v/>
      </c>
      <c r="C853" s="35">
        <v>42152711</v>
      </c>
      <c r="D853" s="33" t="s">
        <v>1495</v>
      </c>
      <c r="E853" s="33" t="s">
        <v>1496</v>
      </c>
      <c r="F853" s="33" t="s">
        <v>1497</v>
      </c>
      <c r="G853" s="33" t="s">
        <v>2607</v>
      </c>
      <c r="H853" s="33" t="s">
        <v>2608</v>
      </c>
      <c r="I853" s="33" t="s">
        <v>2609</v>
      </c>
      <c r="J853" s="33">
        <v>115158</v>
      </c>
      <c r="K853" s="33" t="s">
        <v>3220</v>
      </c>
      <c r="L853" s="33" t="s">
        <v>3221</v>
      </c>
      <c r="M853" s="33" t="s">
        <v>3222</v>
      </c>
      <c r="N853" s="44">
        <v>42152711</v>
      </c>
      <c r="O853" s="33" t="s">
        <v>3239</v>
      </c>
      <c r="P853" s="33" t="s">
        <v>3240</v>
      </c>
      <c r="Q853" s="34" t="s">
        <v>1494</v>
      </c>
      <c r="R853" s="34" t="s">
        <v>1494</v>
      </c>
    </row>
    <row r="854" spans="1:18" ht="15" customHeight="1" x14ac:dyDescent="0.25">
      <c r="A854" t="str">
        <f>IFERROR(RANK(B854,$B:$B,1)+COUNTIF($B$1:B853,B854),"")</f>
        <v/>
      </c>
      <c r="B854" t="str">
        <f>IFERROR(SEARCH(#REF!,Table4[[#This Row],[Commodity Title]],1),"")</f>
        <v/>
      </c>
      <c r="C854" s="35">
        <v>42152712</v>
      </c>
      <c r="D854" s="33" t="s">
        <v>1495</v>
      </c>
      <c r="E854" s="33" t="s">
        <v>1496</v>
      </c>
      <c r="F854" s="33" t="s">
        <v>1497</v>
      </c>
      <c r="G854" s="33" t="s">
        <v>2607</v>
      </c>
      <c r="H854" s="33" t="s">
        <v>2608</v>
      </c>
      <c r="I854" s="33" t="s">
        <v>2609</v>
      </c>
      <c r="J854" s="33">
        <v>115159</v>
      </c>
      <c r="K854" s="33" t="s">
        <v>3220</v>
      </c>
      <c r="L854" s="33" t="s">
        <v>3221</v>
      </c>
      <c r="M854" s="33" t="s">
        <v>3222</v>
      </c>
      <c r="N854" s="44">
        <v>42152712</v>
      </c>
      <c r="O854" s="33" t="s">
        <v>3241</v>
      </c>
      <c r="P854" s="33" t="s">
        <v>3242</v>
      </c>
      <c r="Q854" s="34" t="s">
        <v>1494</v>
      </c>
      <c r="R854" s="34" t="s">
        <v>1494</v>
      </c>
    </row>
    <row r="855" spans="1:18" ht="15" customHeight="1" x14ac:dyDescent="0.25">
      <c r="A855" t="str">
        <f>IFERROR(RANK(B855,$B:$B,1)+COUNTIF($B$1:B854,B855),"")</f>
        <v/>
      </c>
      <c r="B855" t="str">
        <f>IFERROR(SEARCH(#REF!,Table4[[#This Row],[Commodity Title]],1),"")</f>
        <v/>
      </c>
      <c r="C855" s="35">
        <v>42152713</v>
      </c>
      <c r="D855" s="33" t="s">
        <v>1495</v>
      </c>
      <c r="E855" s="33" t="s">
        <v>1496</v>
      </c>
      <c r="F855" s="33" t="s">
        <v>1497</v>
      </c>
      <c r="G855" s="33" t="s">
        <v>2607</v>
      </c>
      <c r="H855" s="33" t="s">
        <v>2608</v>
      </c>
      <c r="I855" s="33" t="s">
        <v>2609</v>
      </c>
      <c r="J855" s="33">
        <v>115160</v>
      </c>
      <c r="K855" s="33" t="s">
        <v>3220</v>
      </c>
      <c r="L855" s="33" t="s">
        <v>3221</v>
      </c>
      <c r="M855" s="33" t="s">
        <v>3222</v>
      </c>
      <c r="N855" s="44">
        <v>42152713</v>
      </c>
      <c r="O855" s="33" t="s">
        <v>3243</v>
      </c>
      <c r="P855" s="33" t="s">
        <v>3244</v>
      </c>
      <c r="Q855" s="34" t="s">
        <v>1494</v>
      </c>
      <c r="R855" s="34" t="s">
        <v>1494</v>
      </c>
    </row>
    <row r="856" spans="1:18" ht="15" customHeight="1" x14ac:dyDescent="0.25">
      <c r="A856" t="str">
        <f>IFERROR(RANK(B856,$B:$B,1)+COUNTIF($B$1:B855,B856),"")</f>
        <v/>
      </c>
      <c r="B856" t="str">
        <f>IFERROR(SEARCH(#REF!,Table4[[#This Row],[Commodity Title]],1),"")</f>
        <v/>
      </c>
      <c r="C856" s="35">
        <v>42152714</v>
      </c>
      <c r="D856" s="33" t="s">
        <v>1495</v>
      </c>
      <c r="E856" s="33" t="s">
        <v>1496</v>
      </c>
      <c r="F856" s="33" t="s">
        <v>1497</v>
      </c>
      <c r="G856" s="33" t="s">
        <v>2607</v>
      </c>
      <c r="H856" s="33" t="s">
        <v>2608</v>
      </c>
      <c r="I856" s="33" t="s">
        <v>2609</v>
      </c>
      <c r="J856" s="33">
        <v>115161</v>
      </c>
      <c r="K856" s="33" t="s">
        <v>3220</v>
      </c>
      <c r="L856" s="33" t="s">
        <v>3221</v>
      </c>
      <c r="M856" s="33" t="s">
        <v>3222</v>
      </c>
      <c r="N856" s="44">
        <v>42152714</v>
      </c>
      <c r="O856" s="33" t="s">
        <v>3245</v>
      </c>
      <c r="P856" s="33" t="s">
        <v>3246</v>
      </c>
      <c r="Q856" s="34" t="s">
        <v>1494</v>
      </c>
      <c r="R856" s="34" t="s">
        <v>1494</v>
      </c>
    </row>
    <row r="857" spans="1:18" ht="15" customHeight="1" x14ac:dyDescent="0.25">
      <c r="A857" t="str">
        <f>IFERROR(RANK(B857,$B:$B,1)+COUNTIF($B$1:B856,B857),"")</f>
        <v/>
      </c>
      <c r="B857" t="str">
        <f>IFERROR(SEARCH(#REF!,Table4[[#This Row],[Commodity Title]],1),"")</f>
        <v/>
      </c>
      <c r="C857" s="35">
        <v>42152715</v>
      </c>
      <c r="D857" s="33" t="s">
        <v>1495</v>
      </c>
      <c r="E857" s="33" t="s">
        <v>1496</v>
      </c>
      <c r="F857" s="33" t="s">
        <v>1497</v>
      </c>
      <c r="G857" s="33" t="s">
        <v>2607</v>
      </c>
      <c r="H857" s="33" t="s">
        <v>2608</v>
      </c>
      <c r="I857" s="33" t="s">
        <v>2609</v>
      </c>
      <c r="J857" s="33">
        <v>115162</v>
      </c>
      <c r="K857" s="33" t="s">
        <v>3220</v>
      </c>
      <c r="L857" s="33" t="s">
        <v>3221</v>
      </c>
      <c r="M857" s="33" t="s">
        <v>3222</v>
      </c>
      <c r="N857" s="44">
        <v>42152715</v>
      </c>
      <c r="O857" s="33" t="s">
        <v>3247</v>
      </c>
      <c r="P857" s="33" t="s">
        <v>3248</v>
      </c>
      <c r="Q857" s="34" t="s">
        <v>1494</v>
      </c>
      <c r="R857" s="34" t="s">
        <v>1494</v>
      </c>
    </row>
    <row r="858" spans="1:18" ht="15" customHeight="1" x14ac:dyDescent="0.25">
      <c r="A858" t="str">
        <f>IFERROR(RANK(B858,$B:$B,1)+COUNTIF($B$1:B857,B858),"")</f>
        <v/>
      </c>
      <c r="B858" t="str">
        <f>IFERROR(SEARCH(#REF!,Table4[[#This Row],[Commodity Title]],1),"")</f>
        <v/>
      </c>
      <c r="C858" s="35">
        <v>42152716</v>
      </c>
      <c r="D858" s="33" t="s">
        <v>1495</v>
      </c>
      <c r="E858" s="33" t="s">
        <v>1496</v>
      </c>
      <c r="F858" s="33" t="s">
        <v>1497</v>
      </c>
      <c r="G858" s="33" t="s">
        <v>2607</v>
      </c>
      <c r="H858" s="33" t="s">
        <v>2608</v>
      </c>
      <c r="I858" s="33" t="s">
        <v>2609</v>
      </c>
      <c r="J858" s="33">
        <v>115163</v>
      </c>
      <c r="K858" s="33" t="s">
        <v>3220</v>
      </c>
      <c r="L858" s="33" t="s">
        <v>3221</v>
      </c>
      <c r="M858" s="33" t="s">
        <v>3222</v>
      </c>
      <c r="N858" s="44">
        <v>42152716</v>
      </c>
      <c r="O858" s="33" t="s">
        <v>3249</v>
      </c>
      <c r="P858" s="33" t="s">
        <v>3250</v>
      </c>
      <c r="Q858" s="34" t="s">
        <v>1494</v>
      </c>
      <c r="R858" s="34" t="s">
        <v>1494</v>
      </c>
    </row>
    <row r="859" spans="1:18" ht="15" customHeight="1" x14ac:dyDescent="0.25">
      <c r="A859" t="str">
        <f>IFERROR(RANK(B859,$B:$B,1)+COUNTIF($B$1:B858,B859),"")</f>
        <v/>
      </c>
      <c r="B859" t="str">
        <f>IFERROR(SEARCH(#REF!,Table4[[#This Row],[Commodity Title]],1),"")</f>
        <v/>
      </c>
      <c r="C859" s="35">
        <v>42152717</v>
      </c>
      <c r="D859" s="33" t="s">
        <v>1495</v>
      </c>
      <c r="E859" s="33" t="s">
        <v>1496</v>
      </c>
      <c r="F859" s="33" t="s">
        <v>1497</v>
      </c>
      <c r="G859" s="33" t="s">
        <v>2607</v>
      </c>
      <c r="H859" s="33" t="s">
        <v>2608</v>
      </c>
      <c r="I859" s="33" t="s">
        <v>2609</v>
      </c>
      <c r="J859" s="33">
        <v>174331</v>
      </c>
      <c r="K859" s="33" t="s">
        <v>3220</v>
      </c>
      <c r="L859" s="33" t="s">
        <v>3221</v>
      </c>
      <c r="M859" s="33" t="s">
        <v>3222</v>
      </c>
      <c r="N859" s="44">
        <v>42152717</v>
      </c>
      <c r="O859" s="33" t="s">
        <v>3251</v>
      </c>
      <c r="P859" s="33" t="s">
        <v>3252</v>
      </c>
      <c r="Q859" s="34" t="s">
        <v>1494</v>
      </c>
      <c r="R859" s="34" t="s">
        <v>1494</v>
      </c>
    </row>
    <row r="860" spans="1:18" ht="15" customHeight="1" x14ac:dyDescent="0.25">
      <c r="A860" t="str">
        <f>IFERROR(RANK(B860,$B:$B,1)+COUNTIF($B$1:B859,B860),"")</f>
        <v/>
      </c>
      <c r="B860" t="str">
        <f>IFERROR(SEARCH(#REF!,Table4[[#This Row],[Commodity Title]],1),"")</f>
        <v/>
      </c>
      <c r="C860" s="35">
        <v>42152718</v>
      </c>
      <c r="D860" s="33" t="s">
        <v>1495</v>
      </c>
      <c r="E860" s="33" t="s">
        <v>1496</v>
      </c>
      <c r="F860" s="33" t="s">
        <v>1497</v>
      </c>
      <c r="G860" s="33" t="s">
        <v>2607</v>
      </c>
      <c r="H860" s="33" t="s">
        <v>2608</v>
      </c>
      <c r="I860" s="33" t="s">
        <v>2609</v>
      </c>
      <c r="J860" s="33">
        <v>177414</v>
      </c>
      <c r="K860" s="33" t="s">
        <v>3220</v>
      </c>
      <c r="L860" s="33" t="s">
        <v>3221</v>
      </c>
      <c r="M860" s="33" t="s">
        <v>3222</v>
      </c>
      <c r="N860" s="44">
        <v>42152718</v>
      </c>
      <c r="O860" s="33" t="s">
        <v>3253</v>
      </c>
      <c r="P860" s="33" t="s">
        <v>3254</v>
      </c>
      <c r="Q860" s="34" t="s">
        <v>1494</v>
      </c>
      <c r="R860" s="34" t="s">
        <v>1494</v>
      </c>
    </row>
    <row r="861" spans="1:18" ht="15" customHeight="1" x14ac:dyDescent="0.25">
      <c r="A861" t="str">
        <f>IFERROR(RANK(B861,$B:$B,1)+COUNTIF($B$1:B860,B861),"")</f>
        <v/>
      </c>
      <c r="B861" t="str">
        <f>IFERROR(SEARCH(#REF!,Table4[[#This Row],[Commodity Title]],1),"")</f>
        <v/>
      </c>
      <c r="C861" s="35">
        <v>42152719</v>
      </c>
      <c r="D861" s="33" t="s">
        <v>1495</v>
      </c>
      <c r="E861" s="33" t="s">
        <v>1496</v>
      </c>
      <c r="F861" s="33" t="s">
        <v>1497</v>
      </c>
      <c r="G861" s="33" t="s">
        <v>2607</v>
      </c>
      <c r="H861" s="33" t="s">
        <v>2608</v>
      </c>
      <c r="I861" s="33" t="s">
        <v>2609</v>
      </c>
      <c r="J861" s="33">
        <v>202609</v>
      </c>
      <c r="K861" s="33" t="s">
        <v>3220</v>
      </c>
      <c r="L861" s="33" t="s">
        <v>3221</v>
      </c>
      <c r="M861" s="33" t="s">
        <v>3222</v>
      </c>
      <c r="N861" s="44">
        <v>42152719</v>
      </c>
      <c r="O861" s="33" t="s">
        <v>3255</v>
      </c>
      <c r="P861" s="33" t="s">
        <v>3256</v>
      </c>
      <c r="Q861" s="34" t="s">
        <v>1494</v>
      </c>
      <c r="R861" s="34" t="s">
        <v>1494</v>
      </c>
    </row>
    <row r="862" spans="1:18" ht="15" customHeight="1" x14ac:dyDescent="0.25">
      <c r="A862" t="str">
        <f>IFERROR(RANK(B862,$B:$B,1)+COUNTIF($B$1:B861,B862),"")</f>
        <v/>
      </c>
      <c r="B862" t="str">
        <f>IFERROR(SEARCH(#REF!,Table4[[#This Row],[Commodity Title]],1),"")</f>
        <v/>
      </c>
      <c r="C862" s="35">
        <v>42152720</v>
      </c>
      <c r="D862" s="33" t="s">
        <v>1495</v>
      </c>
      <c r="E862" s="33" t="s">
        <v>1496</v>
      </c>
      <c r="F862" s="33" t="s">
        <v>1497</v>
      </c>
      <c r="G862" s="33" t="s">
        <v>2607</v>
      </c>
      <c r="H862" s="33" t="s">
        <v>2608</v>
      </c>
      <c r="I862" s="33" t="s">
        <v>2609</v>
      </c>
      <c r="J862" s="33">
        <v>202610</v>
      </c>
      <c r="K862" s="33" t="s">
        <v>3220</v>
      </c>
      <c r="L862" s="33" t="s">
        <v>3221</v>
      </c>
      <c r="M862" s="33" t="s">
        <v>3222</v>
      </c>
      <c r="N862" s="44">
        <v>42152720</v>
      </c>
      <c r="O862" s="33" t="s">
        <v>3257</v>
      </c>
      <c r="P862" s="33" t="s">
        <v>3258</v>
      </c>
      <c r="Q862" s="34" t="s">
        <v>1494</v>
      </c>
      <c r="R862" s="34" t="s">
        <v>1494</v>
      </c>
    </row>
    <row r="863" spans="1:18" ht="15" customHeight="1" x14ac:dyDescent="0.25">
      <c r="A863" t="str">
        <f>IFERROR(RANK(B863,$B:$B,1)+COUNTIF($B$1:B862,B863),"")</f>
        <v/>
      </c>
      <c r="B863" t="str">
        <f>IFERROR(SEARCH(#REF!,Table4[[#This Row],[Commodity Title]],1),"")</f>
        <v/>
      </c>
      <c r="C863" s="35">
        <v>42152721</v>
      </c>
      <c r="D863" s="33" t="s">
        <v>1495</v>
      </c>
      <c r="E863" s="33" t="s">
        <v>1496</v>
      </c>
      <c r="F863" s="33" t="s">
        <v>1497</v>
      </c>
      <c r="G863" s="33" t="s">
        <v>2607</v>
      </c>
      <c r="H863" s="33" t="s">
        <v>2608</v>
      </c>
      <c r="I863" s="33" t="s">
        <v>2609</v>
      </c>
      <c r="J863" s="33">
        <v>202611</v>
      </c>
      <c r="K863" s="33" t="s">
        <v>3220</v>
      </c>
      <c r="L863" s="33" t="s">
        <v>3221</v>
      </c>
      <c r="M863" s="33" t="s">
        <v>3222</v>
      </c>
      <c r="N863" s="44">
        <v>42152721</v>
      </c>
      <c r="O863" s="33" t="s">
        <v>3259</v>
      </c>
      <c r="P863" s="33" t="s">
        <v>3260</v>
      </c>
      <c r="Q863" s="34" t="s">
        <v>1494</v>
      </c>
      <c r="R863" s="34" t="s">
        <v>1494</v>
      </c>
    </row>
    <row r="864" spans="1:18" ht="15" customHeight="1" x14ac:dyDescent="0.25">
      <c r="A864" t="str">
        <f>IFERROR(RANK(B864,$B:$B,1)+COUNTIF($B$1:B863,B864),"")</f>
        <v/>
      </c>
      <c r="B864" t="str">
        <f>IFERROR(SEARCH(#REF!,Table4[[#This Row],[Commodity Title]],1),"")</f>
        <v/>
      </c>
      <c r="C864" s="35">
        <v>42152722</v>
      </c>
      <c r="D864" s="33" t="s">
        <v>1495</v>
      </c>
      <c r="E864" s="33" t="s">
        <v>1496</v>
      </c>
      <c r="F864" s="33" t="s">
        <v>1497</v>
      </c>
      <c r="G864" s="33" t="s">
        <v>2607</v>
      </c>
      <c r="H864" s="33" t="s">
        <v>2608</v>
      </c>
      <c r="I864" s="33" t="s">
        <v>2609</v>
      </c>
      <c r="J864" s="33">
        <v>202612</v>
      </c>
      <c r="K864" s="33" t="s">
        <v>3220</v>
      </c>
      <c r="L864" s="33" t="s">
        <v>3221</v>
      </c>
      <c r="M864" s="33" t="s">
        <v>3222</v>
      </c>
      <c r="N864" s="44">
        <v>42152722</v>
      </c>
      <c r="O864" s="33" t="s">
        <v>3261</v>
      </c>
      <c r="P864" s="33" t="s">
        <v>3246</v>
      </c>
      <c r="Q864" s="34" t="s">
        <v>1494</v>
      </c>
      <c r="R864" s="34" t="s">
        <v>1494</v>
      </c>
    </row>
    <row r="865" spans="1:18" ht="15" customHeight="1" x14ac:dyDescent="0.25">
      <c r="A865" t="str">
        <f>IFERROR(RANK(B865,$B:$B,1)+COUNTIF($B$1:B864,B865),"")</f>
        <v/>
      </c>
      <c r="B865" t="str">
        <f>IFERROR(SEARCH(#REF!,Table4[[#This Row],[Commodity Title]],1),"")</f>
        <v/>
      </c>
      <c r="C865" s="35">
        <v>42152723</v>
      </c>
      <c r="D865" s="33" t="s">
        <v>1495</v>
      </c>
      <c r="E865" s="33" t="s">
        <v>1496</v>
      </c>
      <c r="F865" s="33" t="s">
        <v>1497</v>
      </c>
      <c r="G865" s="33" t="s">
        <v>2607</v>
      </c>
      <c r="H865" s="33" t="s">
        <v>2608</v>
      </c>
      <c r="I865" s="33" t="s">
        <v>2609</v>
      </c>
      <c r="J865" s="33">
        <v>202613</v>
      </c>
      <c r="K865" s="33" t="s">
        <v>3220</v>
      </c>
      <c r="L865" s="33" t="s">
        <v>3221</v>
      </c>
      <c r="M865" s="33" t="s">
        <v>3222</v>
      </c>
      <c r="N865" s="44">
        <v>42152723</v>
      </c>
      <c r="O865" s="33" t="s">
        <v>3262</v>
      </c>
      <c r="P865" s="33" t="s">
        <v>3263</v>
      </c>
      <c r="Q865" s="34" t="s">
        <v>1494</v>
      </c>
      <c r="R865" s="34" t="s">
        <v>1494</v>
      </c>
    </row>
    <row r="866" spans="1:18" ht="15" customHeight="1" x14ac:dyDescent="0.25">
      <c r="A866" t="str">
        <f>IFERROR(RANK(B866,$B:$B,1)+COUNTIF($B$1:B865,B866),"")</f>
        <v/>
      </c>
      <c r="B866" t="str">
        <f>IFERROR(SEARCH(#REF!,Table4[[#This Row],[Commodity Title]],1),"")</f>
        <v/>
      </c>
      <c r="C866" s="33" t="s">
        <v>1494</v>
      </c>
      <c r="D866" s="33" t="s">
        <v>1495</v>
      </c>
      <c r="E866" s="33" t="s">
        <v>1496</v>
      </c>
      <c r="F866" s="33" t="s">
        <v>1497</v>
      </c>
      <c r="G866" s="33" t="s">
        <v>2607</v>
      </c>
      <c r="H866" s="33" t="s">
        <v>2608</v>
      </c>
      <c r="I866" s="33" t="s">
        <v>2609</v>
      </c>
      <c r="J866" s="33">
        <v>115164</v>
      </c>
      <c r="K866" s="33" t="s">
        <v>3264</v>
      </c>
      <c r="L866" s="33" t="s">
        <v>3265</v>
      </c>
      <c r="M866" s="33" t="s">
        <v>3266</v>
      </c>
      <c r="N866" s="44" t="s">
        <v>1494</v>
      </c>
      <c r="O866" s="33" t="s">
        <v>1494</v>
      </c>
      <c r="P866" s="33" t="s">
        <v>1494</v>
      </c>
      <c r="Q866" s="34" t="s">
        <v>1494</v>
      </c>
      <c r="R866" s="34" t="s">
        <v>1494</v>
      </c>
    </row>
    <row r="867" spans="1:18" ht="15" customHeight="1" x14ac:dyDescent="0.25">
      <c r="A867" t="str">
        <f>IFERROR(RANK(B867,$B:$B,1)+COUNTIF($B$1:B866,B867),"")</f>
        <v/>
      </c>
      <c r="B867" t="str">
        <f>IFERROR(SEARCH(#REF!,Table4[[#This Row],[Commodity Title]],1),"")</f>
        <v/>
      </c>
      <c r="C867" s="35">
        <v>42152801</v>
      </c>
      <c r="D867" s="33" t="s">
        <v>1495</v>
      </c>
      <c r="E867" s="33" t="s">
        <v>1496</v>
      </c>
      <c r="F867" s="33" t="s">
        <v>1497</v>
      </c>
      <c r="G867" s="33" t="s">
        <v>2607</v>
      </c>
      <c r="H867" s="33" t="s">
        <v>2608</v>
      </c>
      <c r="I867" s="33" t="s">
        <v>2609</v>
      </c>
      <c r="J867" s="33">
        <v>115165</v>
      </c>
      <c r="K867" s="33" t="s">
        <v>3264</v>
      </c>
      <c r="L867" s="33" t="s">
        <v>3265</v>
      </c>
      <c r="M867" s="33" t="s">
        <v>3266</v>
      </c>
      <c r="N867" s="44">
        <v>42152801</v>
      </c>
      <c r="O867" s="33" t="s">
        <v>3267</v>
      </c>
      <c r="P867" s="33" t="s">
        <v>3268</v>
      </c>
      <c r="Q867" s="34" t="s">
        <v>1494</v>
      </c>
      <c r="R867" s="34" t="s">
        <v>1494</v>
      </c>
    </row>
    <row r="868" spans="1:18" ht="15" customHeight="1" x14ac:dyDescent="0.25">
      <c r="A868" t="str">
        <f>IFERROR(RANK(B868,$B:$B,1)+COUNTIF($B$1:B867,B868),"")</f>
        <v/>
      </c>
      <c r="B868" t="str">
        <f>IFERROR(SEARCH(#REF!,Table4[[#This Row],[Commodity Title]],1),"")</f>
        <v/>
      </c>
      <c r="C868" s="35">
        <v>42152802</v>
      </c>
      <c r="D868" s="33" t="s">
        <v>1495</v>
      </c>
      <c r="E868" s="33" t="s">
        <v>1496</v>
      </c>
      <c r="F868" s="33" t="s">
        <v>1497</v>
      </c>
      <c r="G868" s="33" t="s">
        <v>2607</v>
      </c>
      <c r="H868" s="33" t="s">
        <v>2608</v>
      </c>
      <c r="I868" s="33" t="s">
        <v>2609</v>
      </c>
      <c r="J868" s="33">
        <v>115166</v>
      </c>
      <c r="K868" s="33" t="s">
        <v>3264</v>
      </c>
      <c r="L868" s="33" t="s">
        <v>3265</v>
      </c>
      <c r="M868" s="33" t="s">
        <v>3266</v>
      </c>
      <c r="N868" s="44">
        <v>42152802</v>
      </c>
      <c r="O868" s="33" t="s">
        <v>3269</v>
      </c>
      <c r="P868" s="33" t="s">
        <v>3270</v>
      </c>
      <c r="Q868" s="34" t="s">
        <v>1494</v>
      </c>
      <c r="R868" s="34" t="s">
        <v>1494</v>
      </c>
    </row>
    <row r="869" spans="1:18" ht="15" customHeight="1" x14ac:dyDescent="0.25">
      <c r="A869" t="str">
        <f>IFERROR(RANK(B869,$B:$B,1)+COUNTIF($B$1:B868,B869),"")</f>
        <v/>
      </c>
      <c r="B869" t="str">
        <f>IFERROR(SEARCH(#REF!,Table4[[#This Row],[Commodity Title]],1),"")</f>
        <v/>
      </c>
      <c r="C869" s="35">
        <v>42152803</v>
      </c>
      <c r="D869" s="33" t="s">
        <v>1495</v>
      </c>
      <c r="E869" s="33" t="s">
        <v>1496</v>
      </c>
      <c r="F869" s="33" t="s">
        <v>1497</v>
      </c>
      <c r="G869" s="33" t="s">
        <v>2607</v>
      </c>
      <c r="H869" s="33" t="s">
        <v>2608</v>
      </c>
      <c r="I869" s="33" t="s">
        <v>2609</v>
      </c>
      <c r="J869" s="33">
        <v>115167</v>
      </c>
      <c r="K869" s="33" t="s">
        <v>3264</v>
      </c>
      <c r="L869" s="33" t="s">
        <v>3265</v>
      </c>
      <c r="M869" s="33" t="s">
        <v>3266</v>
      </c>
      <c r="N869" s="44">
        <v>42152803</v>
      </c>
      <c r="O869" s="33" t="s">
        <v>3271</v>
      </c>
      <c r="P869" s="33" t="s">
        <v>3272</v>
      </c>
      <c r="Q869" s="34" t="s">
        <v>1494</v>
      </c>
      <c r="R869" s="34" t="s">
        <v>1494</v>
      </c>
    </row>
    <row r="870" spans="1:18" ht="15" customHeight="1" x14ac:dyDescent="0.25">
      <c r="A870" t="str">
        <f>IFERROR(RANK(B870,$B:$B,1)+COUNTIF($B$1:B869,B870),"")</f>
        <v/>
      </c>
      <c r="B870" t="str">
        <f>IFERROR(SEARCH(#REF!,Table4[[#This Row],[Commodity Title]],1),"")</f>
        <v/>
      </c>
      <c r="C870" s="35">
        <v>42152804</v>
      </c>
      <c r="D870" s="33" t="s">
        <v>1495</v>
      </c>
      <c r="E870" s="33" t="s">
        <v>1496</v>
      </c>
      <c r="F870" s="33" t="s">
        <v>1497</v>
      </c>
      <c r="G870" s="33" t="s">
        <v>2607</v>
      </c>
      <c r="H870" s="33" t="s">
        <v>2608</v>
      </c>
      <c r="I870" s="33" t="s">
        <v>2609</v>
      </c>
      <c r="J870" s="33">
        <v>115168</v>
      </c>
      <c r="K870" s="33" t="s">
        <v>3264</v>
      </c>
      <c r="L870" s="33" t="s">
        <v>3265</v>
      </c>
      <c r="M870" s="33" t="s">
        <v>3266</v>
      </c>
      <c r="N870" s="44">
        <v>42152804</v>
      </c>
      <c r="O870" s="33" t="s">
        <v>3273</v>
      </c>
      <c r="P870" s="33" t="s">
        <v>3274</v>
      </c>
      <c r="Q870" s="34" t="s">
        <v>1494</v>
      </c>
      <c r="R870" s="34" t="s">
        <v>1494</v>
      </c>
    </row>
    <row r="871" spans="1:18" ht="15" customHeight="1" x14ac:dyDescent="0.25">
      <c r="A871" t="str">
        <f>IFERROR(RANK(B871,$B:$B,1)+COUNTIF($B$1:B870,B871),"")</f>
        <v/>
      </c>
      <c r="B871" t="str">
        <f>IFERROR(SEARCH(#REF!,Table4[[#This Row],[Commodity Title]],1),"")</f>
        <v/>
      </c>
      <c r="C871" s="35">
        <v>42152805</v>
      </c>
      <c r="D871" s="33" t="s">
        <v>1495</v>
      </c>
      <c r="E871" s="33" t="s">
        <v>1496</v>
      </c>
      <c r="F871" s="33" t="s">
        <v>1497</v>
      </c>
      <c r="G871" s="33" t="s">
        <v>2607</v>
      </c>
      <c r="H871" s="33" t="s">
        <v>2608</v>
      </c>
      <c r="I871" s="33" t="s">
        <v>2609</v>
      </c>
      <c r="J871" s="33">
        <v>104535</v>
      </c>
      <c r="K871" s="33" t="s">
        <v>3264</v>
      </c>
      <c r="L871" s="33" t="s">
        <v>3265</v>
      </c>
      <c r="M871" s="33" t="s">
        <v>3266</v>
      </c>
      <c r="N871" s="44">
        <v>42152805</v>
      </c>
      <c r="O871" s="33" t="s">
        <v>3275</v>
      </c>
      <c r="P871" s="33" t="s">
        <v>3276</v>
      </c>
      <c r="Q871" s="34" t="s">
        <v>1494</v>
      </c>
      <c r="R871" s="34" t="s">
        <v>1494</v>
      </c>
    </row>
    <row r="872" spans="1:18" ht="15" customHeight="1" x14ac:dyDescent="0.25">
      <c r="A872" t="str">
        <f>IFERROR(RANK(B872,$B:$B,1)+COUNTIF($B$1:B871,B872),"")</f>
        <v/>
      </c>
      <c r="B872" t="str">
        <f>IFERROR(SEARCH(#REF!,Table4[[#This Row],[Commodity Title]],1),"")</f>
        <v/>
      </c>
      <c r="C872" s="35">
        <v>42152806</v>
      </c>
      <c r="D872" s="33" t="s">
        <v>1495</v>
      </c>
      <c r="E872" s="33" t="s">
        <v>1496</v>
      </c>
      <c r="F872" s="33" t="s">
        <v>1497</v>
      </c>
      <c r="G872" s="33" t="s">
        <v>2607</v>
      </c>
      <c r="H872" s="33" t="s">
        <v>2608</v>
      </c>
      <c r="I872" s="33" t="s">
        <v>2609</v>
      </c>
      <c r="J872" s="33">
        <v>142439</v>
      </c>
      <c r="K872" s="33" t="s">
        <v>3264</v>
      </c>
      <c r="L872" s="33" t="s">
        <v>3265</v>
      </c>
      <c r="M872" s="33" t="s">
        <v>3266</v>
      </c>
      <c r="N872" s="44">
        <v>42152806</v>
      </c>
      <c r="O872" s="33" t="s">
        <v>3277</v>
      </c>
      <c r="P872" s="33" t="s">
        <v>3278</v>
      </c>
      <c r="Q872" s="34" t="s">
        <v>1494</v>
      </c>
      <c r="R872" s="34" t="s">
        <v>1494</v>
      </c>
    </row>
    <row r="873" spans="1:18" ht="15" customHeight="1" x14ac:dyDescent="0.25">
      <c r="A873" t="str">
        <f>IFERROR(RANK(B873,$B:$B,1)+COUNTIF($B$1:B872,B873),"")</f>
        <v/>
      </c>
      <c r="B873" t="str">
        <f>IFERROR(SEARCH(#REF!,Table4[[#This Row],[Commodity Title]],1),"")</f>
        <v/>
      </c>
      <c r="C873" s="35">
        <v>42152807</v>
      </c>
      <c r="D873" s="33" t="s">
        <v>1495</v>
      </c>
      <c r="E873" s="33" t="s">
        <v>1496</v>
      </c>
      <c r="F873" s="33" t="s">
        <v>1497</v>
      </c>
      <c r="G873" s="33" t="s">
        <v>2607</v>
      </c>
      <c r="H873" s="33" t="s">
        <v>2608</v>
      </c>
      <c r="I873" s="33" t="s">
        <v>2609</v>
      </c>
      <c r="J873" s="33">
        <v>142440</v>
      </c>
      <c r="K873" s="33" t="s">
        <v>3264</v>
      </c>
      <c r="L873" s="33" t="s">
        <v>3265</v>
      </c>
      <c r="M873" s="33" t="s">
        <v>3266</v>
      </c>
      <c r="N873" s="44">
        <v>42152807</v>
      </c>
      <c r="O873" s="33" t="s">
        <v>3279</v>
      </c>
      <c r="P873" s="33" t="s">
        <v>3280</v>
      </c>
      <c r="Q873" s="34" t="s">
        <v>1494</v>
      </c>
      <c r="R873" s="34" t="s">
        <v>1494</v>
      </c>
    </row>
    <row r="874" spans="1:18" ht="15" customHeight="1" x14ac:dyDescent="0.25">
      <c r="A874" t="str">
        <f>IFERROR(RANK(B874,$B:$B,1)+COUNTIF($B$1:B873,B874),"")</f>
        <v/>
      </c>
      <c r="B874" t="str">
        <f>IFERROR(SEARCH(#REF!,Table4[[#This Row],[Commodity Title]],1),"")</f>
        <v/>
      </c>
      <c r="C874" s="35">
        <v>42152808</v>
      </c>
      <c r="D874" s="33" t="s">
        <v>1495</v>
      </c>
      <c r="E874" s="33" t="s">
        <v>1496</v>
      </c>
      <c r="F874" s="33" t="s">
        <v>1497</v>
      </c>
      <c r="G874" s="33" t="s">
        <v>2607</v>
      </c>
      <c r="H874" s="33" t="s">
        <v>2608</v>
      </c>
      <c r="I874" s="33" t="s">
        <v>2609</v>
      </c>
      <c r="J874" s="33">
        <v>142441</v>
      </c>
      <c r="K874" s="33" t="s">
        <v>3264</v>
      </c>
      <c r="L874" s="33" t="s">
        <v>3265</v>
      </c>
      <c r="M874" s="33" t="s">
        <v>3266</v>
      </c>
      <c r="N874" s="44">
        <v>42152808</v>
      </c>
      <c r="O874" s="33" t="s">
        <v>3281</v>
      </c>
      <c r="P874" s="33" t="s">
        <v>3282</v>
      </c>
      <c r="Q874" s="34" t="s">
        <v>1494</v>
      </c>
      <c r="R874" s="34" t="s">
        <v>1494</v>
      </c>
    </row>
    <row r="875" spans="1:18" ht="15" customHeight="1" x14ac:dyDescent="0.25">
      <c r="A875" t="str">
        <f>IFERROR(RANK(B875,$B:$B,1)+COUNTIF($B$1:B874,B875),"")</f>
        <v/>
      </c>
      <c r="B875" t="str">
        <f>IFERROR(SEARCH(#REF!,Table4[[#This Row],[Commodity Title]],1),"")</f>
        <v/>
      </c>
      <c r="C875" s="35">
        <v>42152809</v>
      </c>
      <c r="D875" s="33" t="s">
        <v>1495</v>
      </c>
      <c r="E875" s="33" t="s">
        <v>1496</v>
      </c>
      <c r="F875" s="33" t="s">
        <v>1497</v>
      </c>
      <c r="G875" s="33" t="s">
        <v>2607</v>
      </c>
      <c r="H875" s="33" t="s">
        <v>2608</v>
      </c>
      <c r="I875" s="33" t="s">
        <v>2609</v>
      </c>
      <c r="J875" s="33">
        <v>142442</v>
      </c>
      <c r="K875" s="33" t="s">
        <v>3264</v>
      </c>
      <c r="L875" s="33" t="s">
        <v>3265</v>
      </c>
      <c r="M875" s="33" t="s">
        <v>3266</v>
      </c>
      <c r="N875" s="44">
        <v>42152809</v>
      </c>
      <c r="O875" s="33" t="s">
        <v>3283</v>
      </c>
      <c r="P875" s="33" t="s">
        <v>3284</v>
      </c>
      <c r="Q875" s="34" t="s">
        <v>1494</v>
      </c>
      <c r="R875" s="34" t="s">
        <v>1494</v>
      </c>
    </row>
    <row r="876" spans="1:18" ht="15" customHeight="1" x14ac:dyDescent="0.25">
      <c r="A876" t="str">
        <f>IFERROR(RANK(B876,$B:$B,1)+COUNTIF($B$1:B875,B876),"")</f>
        <v/>
      </c>
      <c r="B876" t="str">
        <f>IFERROR(SEARCH(#REF!,Table4[[#This Row],[Commodity Title]],1),"")</f>
        <v/>
      </c>
      <c r="C876" s="35">
        <v>42152810</v>
      </c>
      <c r="D876" s="33" t="s">
        <v>1495</v>
      </c>
      <c r="E876" s="33" t="s">
        <v>1496</v>
      </c>
      <c r="F876" s="33" t="s">
        <v>1497</v>
      </c>
      <c r="G876" s="33" t="s">
        <v>2607</v>
      </c>
      <c r="H876" s="33" t="s">
        <v>2608</v>
      </c>
      <c r="I876" s="33" t="s">
        <v>2609</v>
      </c>
      <c r="J876" s="33">
        <v>142443</v>
      </c>
      <c r="K876" s="33" t="s">
        <v>3264</v>
      </c>
      <c r="L876" s="33" t="s">
        <v>3265</v>
      </c>
      <c r="M876" s="33" t="s">
        <v>3266</v>
      </c>
      <c r="N876" s="44">
        <v>42152810</v>
      </c>
      <c r="O876" s="33" t="s">
        <v>3285</v>
      </c>
      <c r="P876" s="33" t="s">
        <v>3286</v>
      </c>
      <c r="Q876" s="34" t="s">
        <v>1494</v>
      </c>
      <c r="R876" s="34" t="s">
        <v>1494</v>
      </c>
    </row>
    <row r="877" spans="1:18" ht="15" customHeight="1" x14ac:dyDescent="0.25">
      <c r="A877" t="str">
        <f>IFERROR(RANK(B877,$B:$B,1)+COUNTIF($B$1:B876,B877),"")</f>
        <v/>
      </c>
      <c r="B877" t="str">
        <f>IFERROR(SEARCH(#REF!,Table4[[#This Row],[Commodity Title]],1),"")</f>
        <v/>
      </c>
      <c r="C877" s="35">
        <v>42152811</v>
      </c>
      <c r="D877" s="33" t="s">
        <v>1495</v>
      </c>
      <c r="E877" s="33" t="s">
        <v>1496</v>
      </c>
      <c r="F877" s="33" t="s">
        <v>1497</v>
      </c>
      <c r="G877" s="33" t="s">
        <v>2607</v>
      </c>
      <c r="H877" s="33" t="s">
        <v>2608</v>
      </c>
      <c r="I877" s="33" t="s">
        <v>2609</v>
      </c>
      <c r="J877" s="33">
        <v>202614</v>
      </c>
      <c r="K877" s="33" t="s">
        <v>3264</v>
      </c>
      <c r="L877" s="33" t="s">
        <v>3265</v>
      </c>
      <c r="M877" s="33" t="s">
        <v>3266</v>
      </c>
      <c r="N877" s="44">
        <v>42152811</v>
      </c>
      <c r="O877" s="33" t="s">
        <v>3287</v>
      </c>
      <c r="P877" s="33" t="s">
        <v>3288</v>
      </c>
      <c r="Q877" s="34" t="s">
        <v>1494</v>
      </c>
      <c r="R877" s="34" t="s">
        <v>1494</v>
      </c>
    </row>
    <row r="878" spans="1:18" ht="15" customHeight="1" x14ac:dyDescent="0.25">
      <c r="A878" t="str">
        <f>IFERROR(RANK(B878,$B:$B,1)+COUNTIF($B$1:B877,B878),"")</f>
        <v/>
      </c>
      <c r="B878" t="str">
        <f>IFERROR(SEARCH(#REF!,Table4[[#This Row],[Commodity Title]],1),"")</f>
        <v/>
      </c>
      <c r="C878" s="33" t="s">
        <v>1494</v>
      </c>
      <c r="D878" s="33" t="s">
        <v>1495</v>
      </c>
      <c r="E878" s="33" t="s">
        <v>1496</v>
      </c>
      <c r="F878" s="33" t="s">
        <v>1497</v>
      </c>
      <c r="G878" s="33" t="s">
        <v>2607</v>
      </c>
      <c r="H878" s="33" t="s">
        <v>2608</v>
      </c>
      <c r="I878" s="33" t="s">
        <v>2609</v>
      </c>
      <c r="J878" s="33">
        <v>202615</v>
      </c>
      <c r="K878" s="33" t="s">
        <v>3289</v>
      </c>
      <c r="L878" s="33" t="s">
        <v>3290</v>
      </c>
      <c r="M878" s="33" t="s">
        <v>3291</v>
      </c>
      <c r="N878" s="44" t="s">
        <v>1494</v>
      </c>
      <c r="O878" s="33" t="s">
        <v>1494</v>
      </c>
      <c r="P878" s="33" t="s">
        <v>1494</v>
      </c>
      <c r="Q878" s="34" t="s">
        <v>1494</v>
      </c>
      <c r="R878" s="34" t="s">
        <v>1494</v>
      </c>
    </row>
    <row r="879" spans="1:18" ht="15" customHeight="1" x14ac:dyDescent="0.25">
      <c r="A879" t="str">
        <f>IFERROR(RANK(B879,$B:$B,1)+COUNTIF($B$1:B878,B879),"")</f>
        <v/>
      </c>
      <c r="B879" t="str">
        <f>IFERROR(SEARCH(#REF!,Table4[[#This Row],[Commodity Title]],1),"")</f>
        <v/>
      </c>
      <c r="C879" s="35">
        <v>42152901</v>
      </c>
      <c r="D879" s="33" t="s">
        <v>1495</v>
      </c>
      <c r="E879" s="33" t="s">
        <v>1496</v>
      </c>
      <c r="F879" s="33" t="s">
        <v>1497</v>
      </c>
      <c r="G879" s="33" t="s">
        <v>2607</v>
      </c>
      <c r="H879" s="33" t="s">
        <v>2608</v>
      </c>
      <c r="I879" s="33" t="s">
        <v>2609</v>
      </c>
      <c r="J879" s="33">
        <v>114980</v>
      </c>
      <c r="K879" s="33" t="s">
        <v>3289</v>
      </c>
      <c r="L879" s="33" t="s">
        <v>3290</v>
      </c>
      <c r="M879" s="33" t="s">
        <v>3291</v>
      </c>
      <c r="N879" s="44">
        <v>42152901</v>
      </c>
      <c r="O879" s="33" t="s">
        <v>3292</v>
      </c>
      <c r="P879" s="33" t="s">
        <v>3293</v>
      </c>
      <c r="Q879" s="34" t="s">
        <v>1494</v>
      </c>
      <c r="R879" s="34" t="s">
        <v>1494</v>
      </c>
    </row>
    <row r="880" spans="1:18" ht="15" customHeight="1" x14ac:dyDescent="0.25">
      <c r="A880" t="str">
        <f>IFERROR(RANK(B880,$B:$B,1)+COUNTIF($B$1:B879,B880),"")</f>
        <v/>
      </c>
      <c r="B880" t="str">
        <f>IFERROR(SEARCH(#REF!,Table4[[#This Row],[Commodity Title]],1),"")</f>
        <v/>
      </c>
      <c r="C880" s="35">
        <v>42152902</v>
      </c>
      <c r="D880" s="33" t="s">
        <v>1495</v>
      </c>
      <c r="E880" s="33" t="s">
        <v>1496</v>
      </c>
      <c r="F880" s="33" t="s">
        <v>1497</v>
      </c>
      <c r="G880" s="33" t="s">
        <v>2607</v>
      </c>
      <c r="H880" s="33" t="s">
        <v>2608</v>
      </c>
      <c r="I880" s="33" t="s">
        <v>2609</v>
      </c>
      <c r="J880" s="33">
        <v>104530</v>
      </c>
      <c r="K880" s="33" t="s">
        <v>3289</v>
      </c>
      <c r="L880" s="33" t="s">
        <v>3290</v>
      </c>
      <c r="M880" s="33" t="s">
        <v>3291</v>
      </c>
      <c r="N880" s="44">
        <v>42152902</v>
      </c>
      <c r="O880" s="33" t="s">
        <v>3294</v>
      </c>
      <c r="P880" s="33" t="s">
        <v>3295</v>
      </c>
      <c r="Q880" s="34" t="s">
        <v>1494</v>
      </c>
      <c r="R880" s="34" t="s">
        <v>1494</v>
      </c>
    </row>
    <row r="881" spans="1:18" ht="15" customHeight="1" x14ac:dyDescent="0.25">
      <c r="A881" t="str">
        <f>IFERROR(RANK(B881,$B:$B,1)+COUNTIF($B$1:B880,B881),"")</f>
        <v/>
      </c>
      <c r="B881" t="str">
        <f>IFERROR(SEARCH(#REF!,Table4[[#This Row],[Commodity Title]],1),"")</f>
        <v/>
      </c>
      <c r="C881" s="35">
        <v>42152903</v>
      </c>
      <c r="D881" s="33" t="s">
        <v>1495</v>
      </c>
      <c r="E881" s="33" t="s">
        <v>1496</v>
      </c>
      <c r="F881" s="33" t="s">
        <v>1497</v>
      </c>
      <c r="G881" s="33" t="s">
        <v>2607</v>
      </c>
      <c r="H881" s="33" t="s">
        <v>2608</v>
      </c>
      <c r="I881" s="33" t="s">
        <v>2609</v>
      </c>
      <c r="J881" s="33">
        <v>202616</v>
      </c>
      <c r="K881" s="33" t="s">
        <v>3289</v>
      </c>
      <c r="L881" s="33" t="s">
        <v>3290</v>
      </c>
      <c r="M881" s="33" t="s">
        <v>3291</v>
      </c>
      <c r="N881" s="44">
        <v>42152903</v>
      </c>
      <c r="O881" s="33" t="s">
        <v>3296</v>
      </c>
      <c r="P881" s="33" t="s">
        <v>3297</v>
      </c>
      <c r="Q881" s="34" t="s">
        <v>1494</v>
      </c>
      <c r="R881" s="34" t="s">
        <v>1494</v>
      </c>
    </row>
    <row r="882" spans="1:18" ht="15" customHeight="1" x14ac:dyDescent="0.25">
      <c r="A882" t="str">
        <f>IFERROR(RANK(B882,$B:$B,1)+COUNTIF($B$1:B881,B882),"")</f>
        <v/>
      </c>
      <c r="B882" t="str">
        <f>IFERROR(SEARCH(#REF!,Table4[[#This Row],[Commodity Title]],1),"")</f>
        <v/>
      </c>
      <c r="C882" s="35">
        <v>42152904</v>
      </c>
      <c r="D882" s="33" t="s">
        <v>1495</v>
      </c>
      <c r="E882" s="33" t="s">
        <v>1496</v>
      </c>
      <c r="F882" s="33" t="s">
        <v>1497</v>
      </c>
      <c r="G882" s="33" t="s">
        <v>2607</v>
      </c>
      <c r="H882" s="33" t="s">
        <v>2608</v>
      </c>
      <c r="I882" s="33" t="s">
        <v>2609</v>
      </c>
      <c r="J882" s="33">
        <v>142347</v>
      </c>
      <c r="K882" s="33" t="s">
        <v>3289</v>
      </c>
      <c r="L882" s="33" t="s">
        <v>3290</v>
      </c>
      <c r="M882" s="33" t="s">
        <v>3291</v>
      </c>
      <c r="N882" s="44">
        <v>42152904</v>
      </c>
      <c r="O882" s="33" t="s">
        <v>3298</v>
      </c>
      <c r="P882" s="33" t="s">
        <v>3299</v>
      </c>
      <c r="Q882" s="34" t="s">
        <v>1494</v>
      </c>
      <c r="R882" s="34" t="s">
        <v>1494</v>
      </c>
    </row>
    <row r="883" spans="1:18" ht="15" customHeight="1" x14ac:dyDescent="0.25">
      <c r="A883" t="str">
        <f>IFERROR(RANK(B883,$B:$B,1)+COUNTIF($B$1:B882,B883),"")</f>
        <v/>
      </c>
      <c r="B883" t="str">
        <f>IFERROR(SEARCH(#REF!,Table4[[#This Row],[Commodity Title]],1),"")</f>
        <v/>
      </c>
      <c r="C883" s="35">
        <v>42152905</v>
      </c>
      <c r="D883" s="33" t="s">
        <v>1495</v>
      </c>
      <c r="E883" s="33" t="s">
        <v>1496</v>
      </c>
      <c r="F883" s="33" t="s">
        <v>1497</v>
      </c>
      <c r="G883" s="33" t="s">
        <v>2607</v>
      </c>
      <c r="H883" s="33" t="s">
        <v>2608</v>
      </c>
      <c r="I883" s="33" t="s">
        <v>2609</v>
      </c>
      <c r="J883" s="33">
        <v>142351</v>
      </c>
      <c r="K883" s="33" t="s">
        <v>3289</v>
      </c>
      <c r="L883" s="33" t="s">
        <v>3290</v>
      </c>
      <c r="M883" s="33" t="s">
        <v>3291</v>
      </c>
      <c r="N883" s="44">
        <v>42152905</v>
      </c>
      <c r="O883" s="33" t="s">
        <v>3300</v>
      </c>
      <c r="P883" s="33" t="s">
        <v>3301</v>
      </c>
      <c r="Q883" s="34" t="s">
        <v>1494</v>
      </c>
      <c r="R883" s="34" t="s">
        <v>1494</v>
      </c>
    </row>
    <row r="884" spans="1:18" ht="15" customHeight="1" x14ac:dyDescent="0.25">
      <c r="A884" t="str">
        <f>IFERROR(RANK(B884,$B:$B,1)+COUNTIF($B$1:B883,B884),"")</f>
        <v/>
      </c>
      <c r="B884" t="str">
        <f>IFERROR(SEARCH(#REF!,Table4[[#This Row],[Commodity Title]],1),"")</f>
        <v/>
      </c>
      <c r="C884" s="35">
        <v>42152906</v>
      </c>
      <c r="D884" s="33" t="s">
        <v>1495</v>
      </c>
      <c r="E884" s="33" t="s">
        <v>1496</v>
      </c>
      <c r="F884" s="33" t="s">
        <v>1497</v>
      </c>
      <c r="G884" s="33" t="s">
        <v>2607</v>
      </c>
      <c r="H884" s="33" t="s">
        <v>2608</v>
      </c>
      <c r="I884" s="33" t="s">
        <v>2609</v>
      </c>
      <c r="J884" s="33">
        <v>142359</v>
      </c>
      <c r="K884" s="33" t="s">
        <v>3289</v>
      </c>
      <c r="L884" s="33" t="s">
        <v>3290</v>
      </c>
      <c r="M884" s="33" t="s">
        <v>3291</v>
      </c>
      <c r="N884" s="44">
        <v>42152906</v>
      </c>
      <c r="O884" s="33" t="s">
        <v>3302</v>
      </c>
      <c r="P884" s="33" t="s">
        <v>3303</v>
      </c>
      <c r="Q884" s="34" t="s">
        <v>1494</v>
      </c>
      <c r="R884" s="34" t="s">
        <v>1494</v>
      </c>
    </row>
    <row r="885" spans="1:18" ht="15" customHeight="1" x14ac:dyDescent="0.25">
      <c r="A885" t="str">
        <f>IFERROR(RANK(B885,$B:$B,1)+COUNTIF($B$1:B884,B885),"")</f>
        <v/>
      </c>
      <c r="B885" t="str">
        <f>IFERROR(SEARCH(#REF!,Table4[[#This Row],[Commodity Title]],1),"")</f>
        <v/>
      </c>
      <c r="C885" s="35">
        <v>42152907</v>
      </c>
      <c r="D885" s="33" t="s">
        <v>1495</v>
      </c>
      <c r="E885" s="33" t="s">
        <v>1496</v>
      </c>
      <c r="F885" s="33" t="s">
        <v>1497</v>
      </c>
      <c r="G885" s="33" t="s">
        <v>2607</v>
      </c>
      <c r="H885" s="33" t="s">
        <v>2608</v>
      </c>
      <c r="I885" s="33" t="s">
        <v>2609</v>
      </c>
      <c r="J885" s="33">
        <v>142349</v>
      </c>
      <c r="K885" s="33" t="s">
        <v>3289</v>
      </c>
      <c r="L885" s="33" t="s">
        <v>3290</v>
      </c>
      <c r="M885" s="33" t="s">
        <v>3291</v>
      </c>
      <c r="N885" s="44">
        <v>42152907</v>
      </c>
      <c r="O885" s="33" t="s">
        <v>3304</v>
      </c>
      <c r="P885" s="33" t="s">
        <v>3305</v>
      </c>
      <c r="Q885" s="34" t="s">
        <v>1494</v>
      </c>
      <c r="R885" s="34" t="s">
        <v>1494</v>
      </c>
    </row>
    <row r="886" spans="1:18" ht="15" customHeight="1" x14ac:dyDescent="0.25">
      <c r="A886" t="str">
        <f>IFERROR(RANK(B886,$B:$B,1)+COUNTIF($B$1:B885,B886),"")</f>
        <v/>
      </c>
      <c r="B886" t="str">
        <f>IFERROR(SEARCH(#REF!,Table4[[#This Row],[Commodity Title]],1),"")</f>
        <v/>
      </c>
      <c r="C886" s="35">
        <v>42152908</v>
      </c>
      <c r="D886" s="33" t="s">
        <v>1495</v>
      </c>
      <c r="E886" s="33" t="s">
        <v>1496</v>
      </c>
      <c r="F886" s="33" t="s">
        <v>1497</v>
      </c>
      <c r="G886" s="33" t="s">
        <v>2607</v>
      </c>
      <c r="H886" s="33" t="s">
        <v>2608</v>
      </c>
      <c r="I886" s="33" t="s">
        <v>2609</v>
      </c>
      <c r="J886" s="33">
        <v>202617</v>
      </c>
      <c r="K886" s="33" t="s">
        <v>3289</v>
      </c>
      <c r="L886" s="33" t="s">
        <v>3290</v>
      </c>
      <c r="M886" s="33" t="s">
        <v>3291</v>
      </c>
      <c r="N886" s="44">
        <v>42152908</v>
      </c>
      <c r="O886" s="33" t="s">
        <v>3306</v>
      </c>
      <c r="P886" s="33" t="s">
        <v>3307</v>
      </c>
      <c r="Q886" s="34" t="s">
        <v>1494</v>
      </c>
      <c r="R886" s="34" t="s">
        <v>1494</v>
      </c>
    </row>
    <row r="887" spans="1:18" ht="15" customHeight="1" x14ac:dyDescent="0.25">
      <c r="A887" t="str">
        <f>IFERROR(RANK(B887,$B:$B,1)+COUNTIF($B$1:B886,B887),"")</f>
        <v/>
      </c>
      <c r="B887" t="str">
        <f>IFERROR(SEARCH(#REF!,Table4[[#This Row],[Commodity Title]],1),"")</f>
        <v/>
      </c>
      <c r="C887" s="35">
        <v>42152909</v>
      </c>
      <c r="D887" s="33" t="s">
        <v>1495</v>
      </c>
      <c r="E887" s="33" t="s">
        <v>1496</v>
      </c>
      <c r="F887" s="33" t="s">
        <v>1497</v>
      </c>
      <c r="G887" s="33" t="s">
        <v>2607</v>
      </c>
      <c r="H887" s="33" t="s">
        <v>2608</v>
      </c>
      <c r="I887" s="33" t="s">
        <v>2609</v>
      </c>
      <c r="J887" s="33">
        <v>104542</v>
      </c>
      <c r="K887" s="33" t="s">
        <v>3289</v>
      </c>
      <c r="L887" s="33" t="s">
        <v>3290</v>
      </c>
      <c r="M887" s="33" t="s">
        <v>3291</v>
      </c>
      <c r="N887" s="44">
        <v>42152909</v>
      </c>
      <c r="O887" s="33" t="s">
        <v>3308</v>
      </c>
      <c r="P887" s="33" t="s">
        <v>3309</v>
      </c>
      <c r="Q887" s="34" t="s">
        <v>1494</v>
      </c>
      <c r="R887" s="34" t="s">
        <v>1494</v>
      </c>
    </row>
    <row r="888" spans="1:18" ht="15" customHeight="1" x14ac:dyDescent="0.25">
      <c r="A888" t="str">
        <f>IFERROR(RANK(B888,$B:$B,1)+COUNTIF($B$1:B887,B888),"")</f>
        <v/>
      </c>
      <c r="B888" t="str">
        <f>IFERROR(SEARCH(#REF!,Table4[[#This Row],[Commodity Title]],1),"")</f>
        <v/>
      </c>
      <c r="C888" s="35">
        <v>42152910</v>
      </c>
      <c r="D888" s="33" t="s">
        <v>1495</v>
      </c>
      <c r="E888" s="33" t="s">
        <v>1496</v>
      </c>
      <c r="F888" s="33" t="s">
        <v>1497</v>
      </c>
      <c r="G888" s="33" t="s">
        <v>2607</v>
      </c>
      <c r="H888" s="33" t="s">
        <v>2608</v>
      </c>
      <c r="I888" s="33" t="s">
        <v>2609</v>
      </c>
      <c r="J888" s="33">
        <v>202618</v>
      </c>
      <c r="K888" s="33" t="s">
        <v>3289</v>
      </c>
      <c r="L888" s="33" t="s">
        <v>3290</v>
      </c>
      <c r="M888" s="33" t="s">
        <v>3291</v>
      </c>
      <c r="N888" s="44">
        <v>42152910</v>
      </c>
      <c r="O888" s="33" t="s">
        <v>3310</v>
      </c>
      <c r="P888" s="33" t="s">
        <v>3311</v>
      </c>
      <c r="Q888" s="34" t="s">
        <v>1494</v>
      </c>
      <c r="R888" s="34" t="s">
        <v>1494</v>
      </c>
    </row>
    <row r="889" spans="1:18" ht="15" customHeight="1" x14ac:dyDescent="0.25">
      <c r="A889" t="str">
        <f>IFERROR(RANK(B889,$B:$B,1)+COUNTIF($B$1:B888,B889),"")</f>
        <v/>
      </c>
      <c r="B889" t="str">
        <f>IFERROR(SEARCH(#REF!,Table4[[#This Row],[Commodity Title]],1),"")</f>
        <v/>
      </c>
      <c r="C889" s="35">
        <v>42152911</v>
      </c>
      <c r="D889" s="33" t="s">
        <v>1495</v>
      </c>
      <c r="E889" s="33" t="s">
        <v>1496</v>
      </c>
      <c r="F889" s="33" t="s">
        <v>1497</v>
      </c>
      <c r="G889" s="33" t="s">
        <v>2607</v>
      </c>
      <c r="H889" s="33" t="s">
        <v>2608</v>
      </c>
      <c r="I889" s="33" t="s">
        <v>2609</v>
      </c>
      <c r="J889" s="33">
        <v>114986</v>
      </c>
      <c r="K889" s="33" t="s">
        <v>3289</v>
      </c>
      <c r="L889" s="33" t="s">
        <v>3290</v>
      </c>
      <c r="M889" s="33" t="s">
        <v>3291</v>
      </c>
      <c r="N889" s="44">
        <v>42152911</v>
      </c>
      <c r="O889" s="33" t="s">
        <v>3312</v>
      </c>
      <c r="P889" s="33" t="s">
        <v>3313</v>
      </c>
      <c r="Q889" s="34" t="s">
        <v>1494</v>
      </c>
      <c r="R889" s="34" t="s">
        <v>1494</v>
      </c>
    </row>
    <row r="890" spans="1:18" ht="15" customHeight="1" x14ac:dyDescent="0.25">
      <c r="A890" t="str">
        <f>IFERROR(RANK(B890,$B:$B,1)+COUNTIF($B$1:B889,B890),"")</f>
        <v/>
      </c>
      <c r="B890" t="str">
        <f>IFERROR(SEARCH(#REF!,Table4[[#This Row],[Commodity Title]],1),"")</f>
        <v/>
      </c>
      <c r="C890" s="35">
        <v>42152912</v>
      </c>
      <c r="D890" s="33" t="s">
        <v>1495</v>
      </c>
      <c r="E890" s="33" t="s">
        <v>1496</v>
      </c>
      <c r="F890" s="33" t="s">
        <v>1497</v>
      </c>
      <c r="G890" s="33" t="s">
        <v>2607</v>
      </c>
      <c r="H890" s="33" t="s">
        <v>2608</v>
      </c>
      <c r="I890" s="33" t="s">
        <v>2609</v>
      </c>
      <c r="J890" s="33">
        <v>115005</v>
      </c>
      <c r="K890" s="33" t="s">
        <v>3289</v>
      </c>
      <c r="L890" s="33" t="s">
        <v>3290</v>
      </c>
      <c r="M890" s="33" t="s">
        <v>3291</v>
      </c>
      <c r="N890" s="44">
        <v>42152912</v>
      </c>
      <c r="O890" s="33" t="s">
        <v>3314</v>
      </c>
      <c r="P890" s="33" t="s">
        <v>3315</v>
      </c>
      <c r="Q890" s="34" t="s">
        <v>1494</v>
      </c>
      <c r="R890" s="34" t="s">
        <v>1494</v>
      </c>
    </row>
    <row r="891" spans="1:18" ht="15" customHeight="1" x14ac:dyDescent="0.25">
      <c r="A891" t="str">
        <f>IFERROR(RANK(B891,$B:$B,1)+COUNTIF($B$1:B890,B891),"")</f>
        <v/>
      </c>
      <c r="B891" t="str">
        <f>IFERROR(SEARCH(#REF!,Table4[[#This Row],[Commodity Title]],1),"")</f>
        <v/>
      </c>
      <c r="C891" s="35">
        <v>42152913</v>
      </c>
      <c r="D891" s="33" t="s">
        <v>1495</v>
      </c>
      <c r="E891" s="33" t="s">
        <v>1496</v>
      </c>
      <c r="F891" s="33" t="s">
        <v>1497</v>
      </c>
      <c r="G891" s="33" t="s">
        <v>2607</v>
      </c>
      <c r="H891" s="33" t="s">
        <v>2608</v>
      </c>
      <c r="I891" s="33" t="s">
        <v>2609</v>
      </c>
      <c r="J891" s="33">
        <v>114987</v>
      </c>
      <c r="K891" s="33" t="s">
        <v>3289</v>
      </c>
      <c r="L891" s="33" t="s">
        <v>3290</v>
      </c>
      <c r="M891" s="33" t="s">
        <v>3291</v>
      </c>
      <c r="N891" s="44">
        <v>42152913</v>
      </c>
      <c r="O891" s="33" t="s">
        <v>3316</v>
      </c>
      <c r="P891" s="33" t="s">
        <v>3317</v>
      </c>
      <c r="Q891" s="34" t="s">
        <v>1494</v>
      </c>
      <c r="R891" s="34" t="s">
        <v>1494</v>
      </c>
    </row>
    <row r="892" spans="1:18" ht="15" customHeight="1" x14ac:dyDescent="0.25">
      <c r="A892" t="str">
        <f>IFERROR(RANK(B892,$B:$B,1)+COUNTIF($B$1:B891,B892),"")</f>
        <v/>
      </c>
      <c r="B892" t="str">
        <f>IFERROR(SEARCH(#REF!,Table4[[#This Row],[Commodity Title]],1),"")</f>
        <v/>
      </c>
      <c r="C892" s="35">
        <v>42152914</v>
      </c>
      <c r="D892" s="33" t="s">
        <v>1495</v>
      </c>
      <c r="E892" s="33" t="s">
        <v>1496</v>
      </c>
      <c r="F892" s="33" t="s">
        <v>1497</v>
      </c>
      <c r="G892" s="33" t="s">
        <v>2607</v>
      </c>
      <c r="H892" s="33" t="s">
        <v>2608</v>
      </c>
      <c r="I892" s="33" t="s">
        <v>2609</v>
      </c>
      <c r="J892" s="33">
        <v>114988</v>
      </c>
      <c r="K892" s="33" t="s">
        <v>3289</v>
      </c>
      <c r="L892" s="33" t="s">
        <v>3290</v>
      </c>
      <c r="M892" s="33" t="s">
        <v>3291</v>
      </c>
      <c r="N892" s="44">
        <v>42152914</v>
      </c>
      <c r="O892" s="33" t="s">
        <v>3318</v>
      </c>
      <c r="P892" s="33" t="s">
        <v>3319</v>
      </c>
      <c r="Q892" s="34" t="s">
        <v>1494</v>
      </c>
      <c r="R892" s="34" t="s">
        <v>1494</v>
      </c>
    </row>
    <row r="893" spans="1:18" ht="15" customHeight="1" x14ac:dyDescent="0.25">
      <c r="A893" t="str">
        <f>IFERROR(RANK(B893,$B:$B,1)+COUNTIF($B$1:B892,B893),"")</f>
        <v/>
      </c>
      <c r="B893" t="str">
        <f>IFERROR(SEARCH(#REF!,Table4[[#This Row],[Commodity Title]],1),"")</f>
        <v/>
      </c>
      <c r="C893" s="35">
        <v>42152915</v>
      </c>
      <c r="D893" s="33" t="s">
        <v>1495</v>
      </c>
      <c r="E893" s="33" t="s">
        <v>1496</v>
      </c>
      <c r="F893" s="33" t="s">
        <v>1497</v>
      </c>
      <c r="G893" s="33" t="s">
        <v>2607</v>
      </c>
      <c r="H893" s="33" t="s">
        <v>2608</v>
      </c>
      <c r="I893" s="33" t="s">
        <v>2609</v>
      </c>
      <c r="J893" s="33">
        <v>202619</v>
      </c>
      <c r="K893" s="33" t="s">
        <v>3289</v>
      </c>
      <c r="L893" s="33" t="s">
        <v>3290</v>
      </c>
      <c r="M893" s="33" t="s">
        <v>3291</v>
      </c>
      <c r="N893" s="44">
        <v>42152915</v>
      </c>
      <c r="O893" s="33" t="s">
        <v>3320</v>
      </c>
      <c r="P893" s="33" t="s">
        <v>3321</v>
      </c>
      <c r="Q893" s="34" t="s">
        <v>1494</v>
      </c>
      <c r="R893" s="34" t="s">
        <v>1494</v>
      </c>
    </row>
    <row r="894" spans="1:18" ht="15" customHeight="1" x14ac:dyDescent="0.25">
      <c r="A894" t="str">
        <f>IFERROR(RANK(B894,$B:$B,1)+COUNTIF($B$1:B893,B894),"")</f>
        <v/>
      </c>
      <c r="B894" t="str">
        <f>IFERROR(SEARCH(#REF!,Table4[[#This Row],[Commodity Title]],1),"")</f>
        <v/>
      </c>
      <c r="C894" s="35">
        <v>42152916</v>
      </c>
      <c r="D894" s="33" t="s">
        <v>1495</v>
      </c>
      <c r="E894" s="33" t="s">
        <v>1496</v>
      </c>
      <c r="F894" s="33" t="s">
        <v>1497</v>
      </c>
      <c r="G894" s="33" t="s">
        <v>2607</v>
      </c>
      <c r="H894" s="33" t="s">
        <v>2608</v>
      </c>
      <c r="I894" s="33" t="s">
        <v>2609</v>
      </c>
      <c r="J894" s="33">
        <v>142364</v>
      </c>
      <c r="K894" s="33" t="s">
        <v>3289</v>
      </c>
      <c r="L894" s="33" t="s">
        <v>3290</v>
      </c>
      <c r="M894" s="33" t="s">
        <v>3291</v>
      </c>
      <c r="N894" s="44">
        <v>42152916</v>
      </c>
      <c r="O894" s="33" t="s">
        <v>3322</v>
      </c>
      <c r="P894" s="33" t="s">
        <v>3323</v>
      </c>
      <c r="Q894" s="34" t="s">
        <v>1494</v>
      </c>
      <c r="R894" s="34" t="s">
        <v>1494</v>
      </c>
    </row>
    <row r="895" spans="1:18" ht="15" customHeight="1" x14ac:dyDescent="0.25">
      <c r="A895" t="str">
        <f>IFERROR(RANK(B895,$B:$B,1)+COUNTIF($B$1:B894,B895),"")</f>
        <v/>
      </c>
      <c r="B895" t="str">
        <f>IFERROR(SEARCH(#REF!,Table4[[#This Row],[Commodity Title]],1),"")</f>
        <v/>
      </c>
      <c r="C895" s="35">
        <v>42152917</v>
      </c>
      <c r="D895" s="33" t="s">
        <v>1495</v>
      </c>
      <c r="E895" s="33" t="s">
        <v>1496</v>
      </c>
      <c r="F895" s="33" t="s">
        <v>1497</v>
      </c>
      <c r="G895" s="33" t="s">
        <v>2607</v>
      </c>
      <c r="H895" s="33" t="s">
        <v>2608</v>
      </c>
      <c r="I895" s="33" t="s">
        <v>2609</v>
      </c>
      <c r="J895" s="33">
        <v>202620</v>
      </c>
      <c r="K895" s="33" t="s">
        <v>3289</v>
      </c>
      <c r="L895" s="33" t="s">
        <v>3290</v>
      </c>
      <c r="M895" s="33" t="s">
        <v>3291</v>
      </c>
      <c r="N895" s="44">
        <v>42152917</v>
      </c>
      <c r="O895" s="33" t="s">
        <v>3324</v>
      </c>
      <c r="P895" s="33" t="s">
        <v>3325</v>
      </c>
      <c r="Q895" s="34" t="s">
        <v>1494</v>
      </c>
      <c r="R895" s="34" t="s">
        <v>1494</v>
      </c>
    </row>
    <row r="896" spans="1:18" ht="15" customHeight="1" x14ac:dyDescent="0.25">
      <c r="A896" t="str">
        <f>IFERROR(RANK(B896,$B:$B,1)+COUNTIF($B$1:B895,B896),"")</f>
        <v/>
      </c>
      <c r="B896" t="str">
        <f>IFERROR(SEARCH(#REF!,Table4[[#This Row],[Commodity Title]],1),"")</f>
        <v/>
      </c>
      <c r="C896" s="35">
        <v>42152918</v>
      </c>
      <c r="D896" s="33" t="s">
        <v>1495</v>
      </c>
      <c r="E896" s="33" t="s">
        <v>1496</v>
      </c>
      <c r="F896" s="33" t="s">
        <v>1497</v>
      </c>
      <c r="G896" s="33" t="s">
        <v>2607</v>
      </c>
      <c r="H896" s="33" t="s">
        <v>2608</v>
      </c>
      <c r="I896" s="33" t="s">
        <v>2609</v>
      </c>
      <c r="J896" s="33">
        <v>202621</v>
      </c>
      <c r="K896" s="33" t="s">
        <v>3289</v>
      </c>
      <c r="L896" s="33" t="s">
        <v>3290</v>
      </c>
      <c r="M896" s="33" t="s">
        <v>3291</v>
      </c>
      <c r="N896" s="44">
        <v>42152918</v>
      </c>
      <c r="O896" s="33" t="s">
        <v>3326</v>
      </c>
      <c r="P896" s="33" t="s">
        <v>3327</v>
      </c>
      <c r="Q896" s="34" t="s">
        <v>1494</v>
      </c>
      <c r="R896" s="34" t="s">
        <v>1494</v>
      </c>
    </row>
    <row r="897" spans="1:18" ht="15" customHeight="1" x14ac:dyDescent="0.25">
      <c r="A897" t="str">
        <f>IFERROR(RANK(B897,$B:$B,1)+COUNTIF($B$1:B896,B897),"")</f>
        <v/>
      </c>
      <c r="B897" t="str">
        <f>IFERROR(SEARCH(#REF!,Table4[[#This Row],[Commodity Title]],1),"")</f>
        <v/>
      </c>
      <c r="C897" s="35">
        <v>42152919</v>
      </c>
      <c r="D897" s="33" t="s">
        <v>1495</v>
      </c>
      <c r="E897" s="33" t="s">
        <v>1496</v>
      </c>
      <c r="F897" s="33" t="s">
        <v>1497</v>
      </c>
      <c r="G897" s="33" t="s">
        <v>2607</v>
      </c>
      <c r="H897" s="33" t="s">
        <v>2608</v>
      </c>
      <c r="I897" s="33" t="s">
        <v>2609</v>
      </c>
      <c r="J897" s="33">
        <v>142342</v>
      </c>
      <c r="K897" s="33" t="s">
        <v>3289</v>
      </c>
      <c r="L897" s="33" t="s">
        <v>3290</v>
      </c>
      <c r="M897" s="33" t="s">
        <v>3291</v>
      </c>
      <c r="N897" s="44">
        <v>42152919</v>
      </c>
      <c r="O897" s="33" t="s">
        <v>3328</v>
      </c>
      <c r="P897" s="33" t="s">
        <v>3329</v>
      </c>
      <c r="Q897" s="34" t="s">
        <v>1494</v>
      </c>
      <c r="R897" s="34" t="s">
        <v>1494</v>
      </c>
    </row>
    <row r="898" spans="1:18" ht="15" customHeight="1" x14ac:dyDescent="0.25">
      <c r="A898" t="str">
        <f>IFERROR(RANK(B898,$B:$B,1)+COUNTIF($B$1:B897,B898),"")</f>
        <v/>
      </c>
      <c r="B898" t="str">
        <f>IFERROR(SEARCH(#REF!,Table4[[#This Row],[Commodity Title]],1),"")</f>
        <v/>
      </c>
      <c r="C898" s="35">
        <v>42152920</v>
      </c>
      <c r="D898" s="33" t="s">
        <v>1495</v>
      </c>
      <c r="E898" s="33" t="s">
        <v>1496</v>
      </c>
      <c r="F898" s="33" t="s">
        <v>1497</v>
      </c>
      <c r="G898" s="33" t="s">
        <v>2607</v>
      </c>
      <c r="H898" s="33" t="s">
        <v>2608</v>
      </c>
      <c r="I898" s="33" t="s">
        <v>2609</v>
      </c>
      <c r="J898" s="33">
        <v>202622</v>
      </c>
      <c r="K898" s="33" t="s">
        <v>3289</v>
      </c>
      <c r="L898" s="33" t="s">
        <v>3290</v>
      </c>
      <c r="M898" s="33" t="s">
        <v>3291</v>
      </c>
      <c r="N898" s="44">
        <v>42152920</v>
      </c>
      <c r="O898" s="33" t="s">
        <v>3330</v>
      </c>
      <c r="P898" s="33" t="s">
        <v>3331</v>
      </c>
      <c r="Q898" s="34" t="s">
        <v>1494</v>
      </c>
      <c r="R898" s="34" t="s">
        <v>1494</v>
      </c>
    </row>
    <row r="899" spans="1:18" ht="15" customHeight="1" x14ac:dyDescent="0.25">
      <c r="A899" t="str">
        <f>IFERROR(RANK(B899,$B:$B,1)+COUNTIF($B$1:B898,B899),"")</f>
        <v/>
      </c>
      <c r="B899" t="str">
        <f>IFERROR(SEARCH(#REF!,Table4[[#This Row],[Commodity Title]],1),"")</f>
        <v/>
      </c>
      <c r="C899" s="35">
        <v>42152921</v>
      </c>
      <c r="D899" s="33" t="s">
        <v>1495</v>
      </c>
      <c r="E899" s="33" t="s">
        <v>1496</v>
      </c>
      <c r="F899" s="33" t="s">
        <v>1497</v>
      </c>
      <c r="G899" s="33" t="s">
        <v>2607</v>
      </c>
      <c r="H899" s="33" t="s">
        <v>2608</v>
      </c>
      <c r="I899" s="33" t="s">
        <v>2609</v>
      </c>
      <c r="J899" s="33">
        <v>202623</v>
      </c>
      <c r="K899" s="33" t="s">
        <v>3289</v>
      </c>
      <c r="L899" s="33" t="s">
        <v>3290</v>
      </c>
      <c r="M899" s="33" t="s">
        <v>3291</v>
      </c>
      <c r="N899" s="44">
        <v>42152921</v>
      </c>
      <c r="O899" s="33" t="s">
        <v>3332</v>
      </c>
      <c r="P899" s="33" t="s">
        <v>3333</v>
      </c>
      <c r="Q899" s="34" t="s">
        <v>1494</v>
      </c>
      <c r="R899" s="34" t="s">
        <v>1494</v>
      </c>
    </row>
    <row r="900" spans="1:18" ht="15" customHeight="1" x14ac:dyDescent="0.25">
      <c r="A900" t="str">
        <f>IFERROR(RANK(B900,$B:$B,1)+COUNTIF($B$1:B899,B900),"")</f>
        <v/>
      </c>
      <c r="B900" t="str">
        <f>IFERROR(SEARCH(#REF!,Table4[[#This Row],[Commodity Title]],1),"")</f>
        <v/>
      </c>
      <c r="C900" s="35">
        <v>42152922</v>
      </c>
      <c r="D900" s="33" t="s">
        <v>1495</v>
      </c>
      <c r="E900" s="33" t="s">
        <v>1496</v>
      </c>
      <c r="F900" s="33" t="s">
        <v>1497</v>
      </c>
      <c r="G900" s="33" t="s">
        <v>2607</v>
      </c>
      <c r="H900" s="33" t="s">
        <v>2608</v>
      </c>
      <c r="I900" s="33" t="s">
        <v>2609</v>
      </c>
      <c r="J900" s="33">
        <v>202624</v>
      </c>
      <c r="K900" s="33" t="s">
        <v>3289</v>
      </c>
      <c r="L900" s="33" t="s">
        <v>3290</v>
      </c>
      <c r="M900" s="33" t="s">
        <v>3291</v>
      </c>
      <c r="N900" s="44">
        <v>42152922</v>
      </c>
      <c r="O900" s="33" t="s">
        <v>3334</v>
      </c>
      <c r="P900" s="33" t="s">
        <v>3335</v>
      </c>
      <c r="Q900" s="34" t="s">
        <v>1494</v>
      </c>
      <c r="R900" s="34" t="s">
        <v>1494</v>
      </c>
    </row>
    <row r="901" spans="1:18" ht="15" customHeight="1" x14ac:dyDescent="0.25">
      <c r="A901" t="str">
        <f>IFERROR(RANK(B901,$B:$B,1)+COUNTIF($B$1:B900,B901),"")</f>
        <v/>
      </c>
      <c r="B901" t="str">
        <f>IFERROR(SEARCH(#REF!,Table4[[#This Row],[Commodity Title]],1),"")</f>
        <v/>
      </c>
      <c r="C901" s="35">
        <v>42152923</v>
      </c>
      <c r="D901" s="33" t="s">
        <v>1495</v>
      </c>
      <c r="E901" s="33" t="s">
        <v>1496</v>
      </c>
      <c r="F901" s="33" t="s">
        <v>1497</v>
      </c>
      <c r="G901" s="33" t="s">
        <v>2607</v>
      </c>
      <c r="H901" s="33" t="s">
        <v>2608</v>
      </c>
      <c r="I901" s="33" t="s">
        <v>2609</v>
      </c>
      <c r="J901" s="33">
        <v>202625</v>
      </c>
      <c r="K901" s="33" t="s">
        <v>3289</v>
      </c>
      <c r="L901" s="33" t="s">
        <v>3290</v>
      </c>
      <c r="M901" s="33" t="s">
        <v>3291</v>
      </c>
      <c r="N901" s="44">
        <v>42152923</v>
      </c>
      <c r="O901" s="33" t="s">
        <v>3336</v>
      </c>
      <c r="P901" s="33" t="s">
        <v>3337</v>
      </c>
      <c r="Q901" s="34" t="s">
        <v>1494</v>
      </c>
      <c r="R901" s="34" t="s">
        <v>1494</v>
      </c>
    </row>
    <row r="902" spans="1:18" ht="15" customHeight="1" x14ac:dyDescent="0.25">
      <c r="A902" t="str">
        <f>IFERROR(RANK(B902,$B:$B,1)+COUNTIF($B$1:B901,B902),"")</f>
        <v/>
      </c>
      <c r="B902" t="str">
        <f>IFERROR(SEARCH(#REF!,Table4[[#This Row],[Commodity Title]],1),"")</f>
        <v/>
      </c>
      <c r="C902" s="35">
        <v>42152924</v>
      </c>
      <c r="D902" s="33" t="s">
        <v>1495</v>
      </c>
      <c r="E902" s="33" t="s">
        <v>1496</v>
      </c>
      <c r="F902" s="33" t="s">
        <v>1497</v>
      </c>
      <c r="G902" s="33" t="s">
        <v>2607</v>
      </c>
      <c r="H902" s="33" t="s">
        <v>2608</v>
      </c>
      <c r="I902" s="33" t="s">
        <v>2609</v>
      </c>
      <c r="J902" s="33">
        <v>142365</v>
      </c>
      <c r="K902" s="33" t="s">
        <v>3289</v>
      </c>
      <c r="L902" s="33" t="s">
        <v>3290</v>
      </c>
      <c r="M902" s="33" t="s">
        <v>3291</v>
      </c>
      <c r="N902" s="44">
        <v>42152924</v>
      </c>
      <c r="O902" s="33" t="s">
        <v>3338</v>
      </c>
      <c r="P902" s="33" t="s">
        <v>3339</v>
      </c>
      <c r="Q902" s="34" t="s">
        <v>1494</v>
      </c>
      <c r="R902" s="34" t="s">
        <v>1494</v>
      </c>
    </row>
    <row r="903" spans="1:18" ht="15" customHeight="1" x14ac:dyDescent="0.25">
      <c r="A903" t="str">
        <f>IFERROR(RANK(B903,$B:$B,1)+COUNTIF($B$1:B902,B903),"")</f>
        <v/>
      </c>
      <c r="B903" t="str">
        <f>IFERROR(SEARCH(#REF!,Table4[[#This Row],[Commodity Title]],1),"")</f>
        <v/>
      </c>
      <c r="C903" s="35">
        <v>42152925</v>
      </c>
      <c r="D903" s="33" t="s">
        <v>1495</v>
      </c>
      <c r="E903" s="33" t="s">
        <v>1496</v>
      </c>
      <c r="F903" s="33" t="s">
        <v>1497</v>
      </c>
      <c r="G903" s="33" t="s">
        <v>2607</v>
      </c>
      <c r="H903" s="33" t="s">
        <v>2608</v>
      </c>
      <c r="I903" s="33" t="s">
        <v>2609</v>
      </c>
      <c r="J903" s="33">
        <v>142363</v>
      </c>
      <c r="K903" s="33" t="s">
        <v>3289</v>
      </c>
      <c r="L903" s="33" t="s">
        <v>3290</v>
      </c>
      <c r="M903" s="33" t="s">
        <v>3291</v>
      </c>
      <c r="N903" s="44">
        <v>42152925</v>
      </c>
      <c r="O903" s="33" t="s">
        <v>3340</v>
      </c>
      <c r="P903" s="33" t="s">
        <v>3341</v>
      </c>
      <c r="Q903" s="34" t="s">
        <v>1494</v>
      </c>
      <c r="R903" s="34" t="s">
        <v>1494</v>
      </c>
    </row>
    <row r="904" spans="1:18" ht="15" customHeight="1" x14ac:dyDescent="0.25">
      <c r="A904" t="str">
        <f>IFERROR(RANK(B904,$B:$B,1)+COUNTIF($B$1:B903,B904),"")</f>
        <v/>
      </c>
      <c r="B904" t="str">
        <f>IFERROR(SEARCH(#REF!,Table4[[#This Row],[Commodity Title]],1),"")</f>
        <v/>
      </c>
      <c r="C904" s="35">
        <v>42152926</v>
      </c>
      <c r="D904" s="33" t="s">
        <v>1495</v>
      </c>
      <c r="E904" s="33" t="s">
        <v>1496</v>
      </c>
      <c r="F904" s="33" t="s">
        <v>1497</v>
      </c>
      <c r="G904" s="33" t="s">
        <v>2607</v>
      </c>
      <c r="H904" s="33" t="s">
        <v>2608</v>
      </c>
      <c r="I904" s="33" t="s">
        <v>2609</v>
      </c>
      <c r="J904" s="33">
        <v>202626</v>
      </c>
      <c r="K904" s="33" t="s">
        <v>3289</v>
      </c>
      <c r="L904" s="33" t="s">
        <v>3290</v>
      </c>
      <c r="M904" s="33" t="s">
        <v>3291</v>
      </c>
      <c r="N904" s="44">
        <v>42152926</v>
      </c>
      <c r="O904" s="33" t="s">
        <v>3342</v>
      </c>
      <c r="P904" s="33" t="s">
        <v>3343</v>
      </c>
      <c r="Q904" s="34" t="s">
        <v>1494</v>
      </c>
      <c r="R904" s="34" t="s">
        <v>1494</v>
      </c>
    </row>
    <row r="905" spans="1:18" ht="15" customHeight="1" x14ac:dyDescent="0.25">
      <c r="A905" t="str">
        <f>IFERROR(RANK(B905,$B:$B,1)+COUNTIF($B$1:B904,B905),"")</f>
        <v/>
      </c>
      <c r="B905" t="str">
        <f>IFERROR(SEARCH(#REF!,Table4[[#This Row],[Commodity Title]],1),"")</f>
        <v/>
      </c>
      <c r="C905" s="35">
        <v>42152927</v>
      </c>
      <c r="D905" s="33" t="s">
        <v>1495</v>
      </c>
      <c r="E905" s="33" t="s">
        <v>1496</v>
      </c>
      <c r="F905" s="33" t="s">
        <v>1497</v>
      </c>
      <c r="G905" s="33" t="s">
        <v>2607</v>
      </c>
      <c r="H905" s="33" t="s">
        <v>2608</v>
      </c>
      <c r="I905" s="33" t="s">
        <v>2609</v>
      </c>
      <c r="J905" s="33">
        <v>142353</v>
      </c>
      <c r="K905" s="33" t="s">
        <v>3289</v>
      </c>
      <c r="L905" s="33" t="s">
        <v>3290</v>
      </c>
      <c r="M905" s="33" t="s">
        <v>3291</v>
      </c>
      <c r="N905" s="44">
        <v>42152927</v>
      </c>
      <c r="O905" s="33" t="s">
        <v>3344</v>
      </c>
      <c r="P905" s="33" t="s">
        <v>3345</v>
      </c>
      <c r="Q905" s="34" t="s">
        <v>1494</v>
      </c>
      <c r="R905" s="34" t="s">
        <v>1494</v>
      </c>
    </row>
    <row r="906" spans="1:18" ht="15" customHeight="1" x14ac:dyDescent="0.25">
      <c r="A906" t="str">
        <f>IFERROR(RANK(B906,$B:$B,1)+COUNTIF($B$1:B905,B906),"")</f>
        <v/>
      </c>
      <c r="B906" t="str">
        <f>IFERROR(SEARCH(#REF!,Table4[[#This Row],[Commodity Title]],1),"")</f>
        <v/>
      </c>
      <c r="C906" s="35">
        <v>42152928</v>
      </c>
      <c r="D906" s="33" t="s">
        <v>1495</v>
      </c>
      <c r="E906" s="33" t="s">
        <v>1496</v>
      </c>
      <c r="F906" s="33" t="s">
        <v>1497</v>
      </c>
      <c r="G906" s="33" t="s">
        <v>2607</v>
      </c>
      <c r="H906" s="33" t="s">
        <v>2608</v>
      </c>
      <c r="I906" s="33" t="s">
        <v>2609</v>
      </c>
      <c r="J906" s="33">
        <v>202627</v>
      </c>
      <c r="K906" s="33" t="s">
        <v>3289</v>
      </c>
      <c r="L906" s="33" t="s">
        <v>3290</v>
      </c>
      <c r="M906" s="33" t="s">
        <v>3291</v>
      </c>
      <c r="N906" s="44">
        <v>42152928</v>
      </c>
      <c r="O906" s="33" t="s">
        <v>3346</v>
      </c>
      <c r="P906" s="33" t="s">
        <v>3347</v>
      </c>
      <c r="Q906" s="34" t="s">
        <v>1494</v>
      </c>
      <c r="R906" s="34" t="s">
        <v>1494</v>
      </c>
    </row>
    <row r="907" spans="1:18" ht="15" customHeight="1" x14ac:dyDescent="0.25">
      <c r="A907" t="str">
        <f>IFERROR(RANK(B907,$B:$B,1)+COUNTIF($B$1:B906,B907),"")</f>
        <v/>
      </c>
      <c r="B907" t="str">
        <f>IFERROR(SEARCH(#REF!,Table4[[#This Row],[Commodity Title]],1),"")</f>
        <v/>
      </c>
      <c r="C907" s="35">
        <v>42152930</v>
      </c>
      <c r="D907" s="33" t="s">
        <v>1495</v>
      </c>
      <c r="E907" s="33" t="s">
        <v>1496</v>
      </c>
      <c r="F907" s="33" t="s">
        <v>1497</v>
      </c>
      <c r="G907" s="33" t="s">
        <v>2607</v>
      </c>
      <c r="H907" s="33" t="s">
        <v>2608</v>
      </c>
      <c r="I907" s="33" t="s">
        <v>2609</v>
      </c>
      <c r="J907" s="33">
        <v>142356</v>
      </c>
      <c r="K907" s="33" t="s">
        <v>3289</v>
      </c>
      <c r="L907" s="33" t="s">
        <v>3290</v>
      </c>
      <c r="M907" s="33" t="s">
        <v>3291</v>
      </c>
      <c r="N907" s="44">
        <v>42152930</v>
      </c>
      <c r="O907" s="33" t="s">
        <v>3348</v>
      </c>
      <c r="P907" s="33" t="s">
        <v>3349</v>
      </c>
      <c r="Q907" s="34" t="s">
        <v>1494</v>
      </c>
      <c r="R907" s="34" t="s">
        <v>1494</v>
      </c>
    </row>
    <row r="908" spans="1:18" ht="15" customHeight="1" x14ac:dyDescent="0.25">
      <c r="A908" t="str">
        <f>IFERROR(RANK(B908,$B:$B,1)+COUNTIF($B$1:B907,B908),"")</f>
        <v/>
      </c>
      <c r="B908" t="str">
        <f>IFERROR(SEARCH(#REF!,Table4[[#This Row],[Commodity Title]],1),"")</f>
        <v/>
      </c>
      <c r="C908" s="35">
        <v>42152931</v>
      </c>
      <c r="D908" s="33" t="s">
        <v>1495</v>
      </c>
      <c r="E908" s="33" t="s">
        <v>1496</v>
      </c>
      <c r="F908" s="33" t="s">
        <v>1497</v>
      </c>
      <c r="G908" s="33" t="s">
        <v>2607</v>
      </c>
      <c r="H908" s="33" t="s">
        <v>2608</v>
      </c>
      <c r="I908" s="33" t="s">
        <v>2609</v>
      </c>
      <c r="J908" s="33">
        <v>208413</v>
      </c>
      <c r="K908" s="33" t="s">
        <v>3289</v>
      </c>
      <c r="L908" s="33" t="s">
        <v>3290</v>
      </c>
      <c r="M908" s="33" t="s">
        <v>3291</v>
      </c>
      <c r="N908" s="44">
        <v>42152931</v>
      </c>
      <c r="O908" s="33" t="s">
        <v>3350</v>
      </c>
      <c r="P908" s="33" t="s">
        <v>3351</v>
      </c>
      <c r="Q908" s="34" t="s">
        <v>1494</v>
      </c>
      <c r="R908" s="34" t="s">
        <v>1494</v>
      </c>
    </row>
    <row r="909" spans="1:18" ht="15" customHeight="1" x14ac:dyDescent="0.25">
      <c r="A909" t="str">
        <f>IFERROR(RANK(B909,$B:$B,1)+COUNTIF($B$1:B908,B909),"")</f>
        <v/>
      </c>
      <c r="B909" t="str">
        <f>IFERROR(SEARCH(#REF!,Table4[[#This Row],[Commodity Title]],1),"")</f>
        <v/>
      </c>
      <c r="C909" s="35">
        <v>42152932</v>
      </c>
      <c r="D909" s="33" t="s">
        <v>1495</v>
      </c>
      <c r="E909" s="33" t="s">
        <v>1496</v>
      </c>
      <c r="F909" s="33" t="s">
        <v>1497</v>
      </c>
      <c r="G909" s="33" t="s">
        <v>2607</v>
      </c>
      <c r="H909" s="33" t="s">
        <v>2608</v>
      </c>
      <c r="I909" s="33" t="s">
        <v>2609</v>
      </c>
      <c r="J909" s="33">
        <v>208452</v>
      </c>
      <c r="K909" s="33" t="s">
        <v>3289</v>
      </c>
      <c r="L909" s="33" t="s">
        <v>3290</v>
      </c>
      <c r="M909" s="33" t="s">
        <v>3291</v>
      </c>
      <c r="N909" s="44">
        <v>42152932</v>
      </c>
      <c r="O909" s="33" t="s">
        <v>3352</v>
      </c>
      <c r="P909" s="33" t="s">
        <v>3353</v>
      </c>
      <c r="Q909" s="34" t="s">
        <v>1494</v>
      </c>
      <c r="R909" s="34" t="s">
        <v>1494</v>
      </c>
    </row>
    <row r="910" spans="1:18" ht="15" customHeight="1" x14ac:dyDescent="0.25">
      <c r="A910" t="str">
        <f>IFERROR(RANK(B910,$B:$B,1)+COUNTIF($B$1:B909,B910),"")</f>
        <v/>
      </c>
      <c r="B910" t="str">
        <f>IFERROR(SEARCH(#REF!,Table4[[#This Row],[Commodity Title]],1),"")</f>
        <v/>
      </c>
      <c r="C910" s="35">
        <v>42152933</v>
      </c>
      <c r="D910" s="33" t="s">
        <v>1495</v>
      </c>
      <c r="E910" s="33" t="s">
        <v>1496</v>
      </c>
      <c r="F910" s="33" t="s">
        <v>1497</v>
      </c>
      <c r="G910" s="33" t="s">
        <v>2607</v>
      </c>
      <c r="H910" s="33" t="s">
        <v>2608</v>
      </c>
      <c r="I910" s="33" t="s">
        <v>2609</v>
      </c>
      <c r="J910" s="33">
        <v>208414</v>
      </c>
      <c r="K910" s="33" t="s">
        <v>3289</v>
      </c>
      <c r="L910" s="33" t="s">
        <v>3290</v>
      </c>
      <c r="M910" s="33" t="s">
        <v>3291</v>
      </c>
      <c r="N910" s="44">
        <v>42152933</v>
      </c>
      <c r="O910" s="33" t="s">
        <v>3354</v>
      </c>
      <c r="P910" s="33" t="s">
        <v>3355</v>
      </c>
      <c r="Q910" s="34" t="s">
        <v>1494</v>
      </c>
      <c r="R910" s="34" t="s">
        <v>1494</v>
      </c>
    </row>
    <row r="911" spans="1:18" ht="15" customHeight="1" x14ac:dyDescent="0.25">
      <c r="A911" t="str">
        <f>IFERROR(RANK(B911,$B:$B,1)+COUNTIF($B$1:B910,B911),"")</f>
        <v/>
      </c>
      <c r="B911" t="str">
        <f>IFERROR(SEARCH(#REF!,Table4[[#This Row],[Commodity Title]],1),"")</f>
        <v/>
      </c>
      <c r="C911" s="33" t="s">
        <v>1494</v>
      </c>
      <c r="D911" s="33" t="s">
        <v>1495</v>
      </c>
      <c r="E911" s="33" t="s">
        <v>1496</v>
      </c>
      <c r="F911" s="33" t="s">
        <v>1497</v>
      </c>
      <c r="G911" s="33" t="s">
        <v>2607</v>
      </c>
      <c r="H911" s="33" t="s">
        <v>2608</v>
      </c>
      <c r="I911" s="33" t="s">
        <v>2609</v>
      </c>
      <c r="J911" s="33">
        <v>202628</v>
      </c>
      <c r="K911" s="33" t="s">
        <v>3356</v>
      </c>
      <c r="L911" s="33" t="s">
        <v>3357</v>
      </c>
      <c r="M911" s="33" t="s">
        <v>3358</v>
      </c>
      <c r="N911" s="44" t="s">
        <v>1494</v>
      </c>
      <c r="O911" s="33" t="s">
        <v>1494</v>
      </c>
      <c r="P911" s="33" t="s">
        <v>1494</v>
      </c>
      <c r="Q911" s="34" t="s">
        <v>1494</v>
      </c>
      <c r="R911" s="34" t="s">
        <v>1494</v>
      </c>
    </row>
    <row r="912" spans="1:18" ht="15" customHeight="1" x14ac:dyDescent="0.25">
      <c r="A912" t="str">
        <f>IFERROR(RANK(B912,$B:$B,1)+COUNTIF($B$1:B911,B912),"")</f>
        <v/>
      </c>
      <c r="B912" t="str">
        <f>IFERROR(SEARCH(#REF!,Table4[[#This Row],[Commodity Title]],1),"")</f>
        <v/>
      </c>
      <c r="C912" s="35">
        <v>42153001</v>
      </c>
      <c r="D912" s="33" t="s">
        <v>1495</v>
      </c>
      <c r="E912" s="33" t="s">
        <v>1496</v>
      </c>
      <c r="F912" s="33" t="s">
        <v>1497</v>
      </c>
      <c r="G912" s="33" t="s">
        <v>2607</v>
      </c>
      <c r="H912" s="33" t="s">
        <v>2608</v>
      </c>
      <c r="I912" s="33" t="s">
        <v>2609</v>
      </c>
      <c r="J912" s="33">
        <v>142366</v>
      </c>
      <c r="K912" s="33" t="s">
        <v>3356</v>
      </c>
      <c r="L912" s="33" t="s">
        <v>3357</v>
      </c>
      <c r="M912" s="33" t="s">
        <v>3358</v>
      </c>
      <c r="N912" s="44">
        <v>42153001</v>
      </c>
      <c r="O912" s="33" t="s">
        <v>3359</v>
      </c>
      <c r="P912" s="33" t="s">
        <v>3360</v>
      </c>
      <c r="Q912" s="34" t="s">
        <v>1494</v>
      </c>
      <c r="R912" s="34" t="s">
        <v>1494</v>
      </c>
    </row>
    <row r="913" spans="1:18" ht="15" customHeight="1" x14ac:dyDescent="0.25">
      <c r="A913" t="str">
        <f>IFERROR(RANK(B913,$B:$B,1)+COUNTIF($B$1:B912,B913),"")</f>
        <v/>
      </c>
      <c r="B913" t="str">
        <f>IFERROR(SEARCH(#REF!,Table4[[#This Row],[Commodity Title]],1),"")</f>
        <v/>
      </c>
      <c r="C913" s="35">
        <v>42153002</v>
      </c>
      <c r="D913" s="33" t="s">
        <v>1495</v>
      </c>
      <c r="E913" s="33" t="s">
        <v>1496</v>
      </c>
      <c r="F913" s="33" t="s">
        <v>1497</v>
      </c>
      <c r="G913" s="33" t="s">
        <v>2607</v>
      </c>
      <c r="H913" s="33" t="s">
        <v>2608</v>
      </c>
      <c r="I913" s="33" t="s">
        <v>2609</v>
      </c>
      <c r="J913" s="33">
        <v>142352</v>
      </c>
      <c r="K913" s="33" t="s">
        <v>3356</v>
      </c>
      <c r="L913" s="33" t="s">
        <v>3357</v>
      </c>
      <c r="M913" s="33" t="s">
        <v>3358</v>
      </c>
      <c r="N913" s="44">
        <v>42153002</v>
      </c>
      <c r="O913" s="33" t="s">
        <v>3361</v>
      </c>
      <c r="P913" s="33" t="s">
        <v>3362</v>
      </c>
      <c r="Q913" s="34" t="s">
        <v>1494</v>
      </c>
      <c r="R913" s="34" t="s">
        <v>1494</v>
      </c>
    </row>
    <row r="914" spans="1:18" ht="15" customHeight="1" x14ac:dyDescent="0.25">
      <c r="A914" t="str">
        <f>IFERROR(RANK(B914,$B:$B,1)+COUNTIF($B$1:B913,B914),"")</f>
        <v/>
      </c>
      <c r="B914" t="str">
        <f>IFERROR(SEARCH(#REF!,Table4[[#This Row],[Commodity Title]],1),"")</f>
        <v/>
      </c>
      <c r="C914" s="35">
        <v>42153003</v>
      </c>
      <c r="D914" s="33" t="s">
        <v>1495</v>
      </c>
      <c r="E914" s="33" t="s">
        <v>1496</v>
      </c>
      <c r="F914" s="33" t="s">
        <v>1497</v>
      </c>
      <c r="G914" s="33" t="s">
        <v>2607</v>
      </c>
      <c r="H914" s="33" t="s">
        <v>2608</v>
      </c>
      <c r="I914" s="33" t="s">
        <v>2609</v>
      </c>
      <c r="J914" s="33">
        <v>115024</v>
      </c>
      <c r="K914" s="33" t="s">
        <v>3356</v>
      </c>
      <c r="L914" s="33" t="s">
        <v>3357</v>
      </c>
      <c r="M914" s="33" t="s">
        <v>3358</v>
      </c>
      <c r="N914" s="44">
        <v>42153003</v>
      </c>
      <c r="O914" s="33" t="s">
        <v>3363</v>
      </c>
      <c r="P914" s="33" t="s">
        <v>3364</v>
      </c>
      <c r="Q914" s="34" t="s">
        <v>1494</v>
      </c>
      <c r="R914" s="34" t="s">
        <v>1494</v>
      </c>
    </row>
    <row r="915" spans="1:18" ht="15" customHeight="1" x14ac:dyDescent="0.25">
      <c r="A915" t="str">
        <f>IFERROR(RANK(B915,$B:$B,1)+COUNTIF($B$1:B914,B915),"")</f>
        <v/>
      </c>
      <c r="B915" t="str">
        <f>IFERROR(SEARCH(#REF!,Table4[[#This Row],[Commodity Title]],1),"")</f>
        <v/>
      </c>
      <c r="C915" s="35">
        <v>42153004</v>
      </c>
      <c r="D915" s="33" t="s">
        <v>1495</v>
      </c>
      <c r="E915" s="33" t="s">
        <v>1496</v>
      </c>
      <c r="F915" s="33" t="s">
        <v>1497</v>
      </c>
      <c r="G915" s="33" t="s">
        <v>2607</v>
      </c>
      <c r="H915" s="33" t="s">
        <v>2608</v>
      </c>
      <c r="I915" s="33" t="s">
        <v>2609</v>
      </c>
      <c r="J915" s="33">
        <v>142362</v>
      </c>
      <c r="K915" s="33" t="s">
        <v>3356</v>
      </c>
      <c r="L915" s="33" t="s">
        <v>3357</v>
      </c>
      <c r="M915" s="33" t="s">
        <v>3358</v>
      </c>
      <c r="N915" s="44">
        <v>42153004</v>
      </c>
      <c r="O915" s="33" t="s">
        <v>3365</v>
      </c>
      <c r="P915" s="33" t="s">
        <v>3366</v>
      </c>
      <c r="Q915" s="34" t="s">
        <v>1494</v>
      </c>
      <c r="R915" s="34" t="s">
        <v>1494</v>
      </c>
    </row>
    <row r="916" spans="1:18" ht="15" customHeight="1" x14ac:dyDescent="0.25">
      <c r="A916" t="str">
        <f>IFERROR(RANK(B916,$B:$B,1)+COUNTIF($B$1:B915,B916),"")</f>
        <v/>
      </c>
      <c r="B916" t="str">
        <f>IFERROR(SEARCH(#REF!,Table4[[#This Row],[Commodity Title]],1),"")</f>
        <v/>
      </c>
      <c r="C916" s="35">
        <v>42153005</v>
      </c>
      <c r="D916" s="33" t="s">
        <v>1495</v>
      </c>
      <c r="E916" s="33" t="s">
        <v>1496</v>
      </c>
      <c r="F916" s="33" t="s">
        <v>1497</v>
      </c>
      <c r="G916" s="33" t="s">
        <v>2607</v>
      </c>
      <c r="H916" s="33" t="s">
        <v>2608</v>
      </c>
      <c r="I916" s="33" t="s">
        <v>2609</v>
      </c>
      <c r="J916" s="33">
        <v>142360</v>
      </c>
      <c r="K916" s="33" t="s">
        <v>3356</v>
      </c>
      <c r="L916" s="33" t="s">
        <v>3357</v>
      </c>
      <c r="M916" s="33" t="s">
        <v>3358</v>
      </c>
      <c r="N916" s="44">
        <v>42153005</v>
      </c>
      <c r="O916" s="33" t="s">
        <v>3367</v>
      </c>
      <c r="P916" s="33" t="s">
        <v>3368</v>
      </c>
      <c r="Q916" s="34" t="s">
        <v>1494</v>
      </c>
      <c r="R916" s="34" t="s">
        <v>1494</v>
      </c>
    </row>
    <row r="917" spans="1:18" ht="15" customHeight="1" x14ac:dyDescent="0.25">
      <c r="A917" t="str">
        <f>IFERROR(RANK(B917,$B:$B,1)+COUNTIF($B$1:B916,B917),"")</f>
        <v/>
      </c>
      <c r="B917" t="str">
        <f>IFERROR(SEARCH(#REF!,Table4[[#This Row],[Commodity Title]],1),"")</f>
        <v/>
      </c>
      <c r="C917" s="35">
        <v>42153006</v>
      </c>
      <c r="D917" s="33" t="s">
        <v>1495</v>
      </c>
      <c r="E917" s="33" t="s">
        <v>1496</v>
      </c>
      <c r="F917" s="33" t="s">
        <v>1497</v>
      </c>
      <c r="G917" s="33" t="s">
        <v>2607</v>
      </c>
      <c r="H917" s="33" t="s">
        <v>2608</v>
      </c>
      <c r="I917" s="33" t="s">
        <v>2609</v>
      </c>
      <c r="J917" s="33">
        <v>142348</v>
      </c>
      <c r="K917" s="33" t="s">
        <v>3356</v>
      </c>
      <c r="L917" s="33" t="s">
        <v>3357</v>
      </c>
      <c r="M917" s="33" t="s">
        <v>3358</v>
      </c>
      <c r="N917" s="44">
        <v>42153006</v>
      </c>
      <c r="O917" s="33" t="s">
        <v>3369</v>
      </c>
      <c r="P917" s="33" t="s">
        <v>3370</v>
      </c>
      <c r="Q917" s="34" t="s">
        <v>1494</v>
      </c>
      <c r="R917" s="34" t="s">
        <v>1494</v>
      </c>
    </row>
    <row r="918" spans="1:18" ht="15" customHeight="1" x14ac:dyDescent="0.25">
      <c r="A918" t="str">
        <f>IFERROR(RANK(B918,$B:$B,1)+COUNTIF($B$1:B917,B918),"")</f>
        <v/>
      </c>
      <c r="B918" t="str">
        <f>IFERROR(SEARCH(#REF!,Table4[[#This Row],[Commodity Title]],1),"")</f>
        <v/>
      </c>
      <c r="C918" s="35">
        <v>42153007</v>
      </c>
      <c r="D918" s="33" t="s">
        <v>1495</v>
      </c>
      <c r="E918" s="33" t="s">
        <v>1496</v>
      </c>
      <c r="F918" s="33" t="s">
        <v>1497</v>
      </c>
      <c r="G918" s="33" t="s">
        <v>2607</v>
      </c>
      <c r="H918" s="33" t="s">
        <v>2608</v>
      </c>
      <c r="I918" s="33" t="s">
        <v>2609</v>
      </c>
      <c r="J918" s="33">
        <v>202629</v>
      </c>
      <c r="K918" s="33" t="s">
        <v>3356</v>
      </c>
      <c r="L918" s="33" t="s">
        <v>3357</v>
      </c>
      <c r="M918" s="33" t="s">
        <v>3358</v>
      </c>
      <c r="N918" s="44">
        <v>42153007</v>
      </c>
      <c r="O918" s="33" t="s">
        <v>3371</v>
      </c>
      <c r="P918" s="33" t="s">
        <v>3372</v>
      </c>
      <c r="Q918" s="34" t="s">
        <v>1494</v>
      </c>
      <c r="R918" s="34" t="s">
        <v>1494</v>
      </c>
    </row>
    <row r="919" spans="1:18" ht="15" customHeight="1" x14ac:dyDescent="0.25">
      <c r="A919" t="str">
        <f>IFERROR(RANK(B919,$B:$B,1)+COUNTIF($B$1:B918,B919),"")</f>
        <v/>
      </c>
      <c r="B919" t="str">
        <f>IFERROR(SEARCH(#REF!,Table4[[#This Row],[Commodity Title]],1),"")</f>
        <v/>
      </c>
      <c r="C919" s="35">
        <v>42153008</v>
      </c>
      <c r="D919" s="33" t="s">
        <v>1495</v>
      </c>
      <c r="E919" s="33" t="s">
        <v>1496</v>
      </c>
      <c r="F919" s="33" t="s">
        <v>1497</v>
      </c>
      <c r="G919" s="33" t="s">
        <v>2607</v>
      </c>
      <c r="H919" s="33" t="s">
        <v>2608</v>
      </c>
      <c r="I919" s="33" t="s">
        <v>2609</v>
      </c>
      <c r="J919" s="33">
        <v>202630</v>
      </c>
      <c r="K919" s="33" t="s">
        <v>3356</v>
      </c>
      <c r="L919" s="33" t="s">
        <v>3357</v>
      </c>
      <c r="M919" s="33" t="s">
        <v>3358</v>
      </c>
      <c r="N919" s="44">
        <v>42153008</v>
      </c>
      <c r="O919" s="33" t="s">
        <v>3373</v>
      </c>
      <c r="P919" s="33" t="s">
        <v>3374</v>
      </c>
      <c r="Q919" s="34" t="s">
        <v>1494</v>
      </c>
      <c r="R919" s="34" t="s">
        <v>1494</v>
      </c>
    </row>
    <row r="920" spans="1:18" ht="15" customHeight="1" x14ac:dyDescent="0.25">
      <c r="A920" t="str">
        <f>IFERROR(RANK(B920,$B:$B,1)+COUNTIF($B$1:B919,B920),"")</f>
        <v/>
      </c>
      <c r="B920" t="str">
        <f>IFERROR(SEARCH(#REF!,Table4[[#This Row],[Commodity Title]],1),"")</f>
        <v/>
      </c>
      <c r="C920" s="35">
        <v>42153009</v>
      </c>
      <c r="D920" s="33" t="s">
        <v>1495</v>
      </c>
      <c r="E920" s="33" t="s">
        <v>1496</v>
      </c>
      <c r="F920" s="33" t="s">
        <v>1497</v>
      </c>
      <c r="G920" s="33" t="s">
        <v>2607</v>
      </c>
      <c r="H920" s="33" t="s">
        <v>2608</v>
      </c>
      <c r="I920" s="33" t="s">
        <v>2609</v>
      </c>
      <c r="J920" s="33">
        <v>202631</v>
      </c>
      <c r="K920" s="33" t="s">
        <v>3356</v>
      </c>
      <c r="L920" s="33" t="s">
        <v>3357</v>
      </c>
      <c r="M920" s="33" t="s">
        <v>3358</v>
      </c>
      <c r="N920" s="44">
        <v>42153009</v>
      </c>
      <c r="O920" s="33" t="s">
        <v>3375</v>
      </c>
      <c r="P920" s="33" t="s">
        <v>3376</v>
      </c>
      <c r="Q920" s="34" t="s">
        <v>1494</v>
      </c>
      <c r="R920" s="34" t="s">
        <v>1494</v>
      </c>
    </row>
    <row r="921" spans="1:18" ht="15" customHeight="1" x14ac:dyDescent="0.25">
      <c r="A921" t="str">
        <f>IFERROR(RANK(B921,$B:$B,1)+COUNTIF($B$1:B920,B921),"")</f>
        <v/>
      </c>
      <c r="B921" t="str">
        <f>IFERROR(SEARCH(#REF!,Table4[[#This Row],[Commodity Title]],1),"")</f>
        <v/>
      </c>
      <c r="C921" s="35">
        <v>42153010</v>
      </c>
      <c r="D921" s="33" t="s">
        <v>1495</v>
      </c>
      <c r="E921" s="33" t="s">
        <v>1496</v>
      </c>
      <c r="F921" s="33" t="s">
        <v>1497</v>
      </c>
      <c r="G921" s="33" t="s">
        <v>2607</v>
      </c>
      <c r="H921" s="33" t="s">
        <v>2608</v>
      </c>
      <c r="I921" s="33" t="s">
        <v>2609</v>
      </c>
      <c r="J921" s="33">
        <v>202632</v>
      </c>
      <c r="K921" s="33" t="s">
        <v>3356</v>
      </c>
      <c r="L921" s="33" t="s">
        <v>3357</v>
      </c>
      <c r="M921" s="33" t="s">
        <v>3358</v>
      </c>
      <c r="N921" s="44">
        <v>42153010</v>
      </c>
      <c r="O921" s="33" t="s">
        <v>3377</v>
      </c>
      <c r="P921" s="33" t="s">
        <v>3378</v>
      </c>
      <c r="Q921" s="34" t="s">
        <v>1494</v>
      </c>
      <c r="R921" s="34" t="s">
        <v>1494</v>
      </c>
    </row>
    <row r="922" spans="1:18" ht="15" customHeight="1" x14ac:dyDescent="0.25">
      <c r="A922" t="str">
        <f>IFERROR(RANK(B922,$B:$B,1)+COUNTIF($B$1:B921,B922),"")</f>
        <v/>
      </c>
      <c r="B922" t="str">
        <f>IFERROR(SEARCH(#REF!,Table4[[#This Row],[Commodity Title]],1),"")</f>
        <v/>
      </c>
      <c r="C922" s="35">
        <v>42153011</v>
      </c>
      <c r="D922" s="33" t="s">
        <v>1495</v>
      </c>
      <c r="E922" s="33" t="s">
        <v>1496</v>
      </c>
      <c r="F922" s="33" t="s">
        <v>1497</v>
      </c>
      <c r="G922" s="33" t="s">
        <v>2607</v>
      </c>
      <c r="H922" s="33" t="s">
        <v>2608</v>
      </c>
      <c r="I922" s="33" t="s">
        <v>2609</v>
      </c>
      <c r="J922" s="33">
        <v>142344</v>
      </c>
      <c r="K922" s="33" t="s">
        <v>3356</v>
      </c>
      <c r="L922" s="33" t="s">
        <v>3357</v>
      </c>
      <c r="M922" s="33" t="s">
        <v>3358</v>
      </c>
      <c r="N922" s="44">
        <v>42153011</v>
      </c>
      <c r="O922" s="33" t="s">
        <v>3379</v>
      </c>
      <c r="P922" s="33" t="s">
        <v>3380</v>
      </c>
      <c r="Q922" s="34" t="s">
        <v>1494</v>
      </c>
      <c r="R922" s="34" t="s">
        <v>1494</v>
      </c>
    </row>
    <row r="923" spans="1:18" ht="15" customHeight="1" x14ac:dyDescent="0.25">
      <c r="A923" t="str">
        <f>IFERROR(RANK(B923,$B:$B,1)+COUNTIF($B$1:B922,B923),"")</f>
        <v/>
      </c>
      <c r="B923" t="str">
        <f>IFERROR(SEARCH(#REF!,Table4[[#This Row],[Commodity Title]],1),"")</f>
        <v/>
      </c>
      <c r="C923" s="33" t="s">
        <v>1494</v>
      </c>
      <c r="D923" s="33" t="s">
        <v>1495</v>
      </c>
      <c r="E923" s="33" t="s">
        <v>1496</v>
      </c>
      <c r="F923" s="33" t="s">
        <v>1497</v>
      </c>
      <c r="G923" s="33" t="s">
        <v>3381</v>
      </c>
      <c r="H923" s="33" t="s">
        <v>3382</v>
      </c>
      <c r="I923" s="33" t="s">
        <v>3383</v>
      </c>
      <c r="J923" s="33">
        <v>104511</v>
      </c>
      <c r="K923" s="33" t="s">
        <v>1494</v>
      </c>
      <c r="L923" s="33" t="s">
        <v>1494</v>
      </c>
      <c r="M923" s="33" t="s">
        <v>1494</v>
      </c>
      <c r="N923" s="44" t="s">
        <v>1494</v>
      </c>
      <c r="O923" s="33" t="s">
        <v>1494</v>
      </c>
      <c r="P923" s="33" t="s">
        <v>1494</v>
      </c>
      <c r="Q923" s="34" t="s">
        <v>1494</v>
      </c>
      <c r="R923" s="34" t="s">
        <v>1494</v>
      </c>
    </row>
    <row r="924" spans="1:18" ht="15" customHeight="1" x14ac:dyDescent="0.25">
      <c r="A924" t="str">
        <f>IFERROR(RANK(B924,$B:$B,1)+COUNTIF($B$1:B923,B924),"")</f>
        <v/>
      </c>
      <c r="B924" t="str">
        <f>IFERROR(SEARCH(#REF!,Table4[[#This Row],[Commodity Title]],1),"")</f>
        <v/>
      </c>
      <c r="C924" s="33" t="s">
        <v>1494</v>
      </c>
      <c r="D924" s="33" t="s">
        <v>1495</v>
      </c>
      <c r="E924" s="33" t="s">
        <v>1496</v>
      </c>
      <c r="F924" s="33" t="s">
        <v>1497</v>
      </c>
      <c r="G924" s="33" t="s">
        <v>3381</v>
      </c>
      <c r="H924" s="33" t="s">
        <v>3382</v>
      </c>
      <c r="I924" s="33" t="s">
        <v>3383</v>
      </c>
      <c r="J924" s="33">
        <v>115171</v>
      </c>
      <c r="K924" s="33" t="s">
        <v>3384</v>
      </c>
      <c r="L924" s="33" t="s">
        <v>3385</v>
      </c>
      <c r="M924" s="33" t="s">
        <v>3386</v>
      </c>
      <c r="N924" s="44" t="s">
        <v>1494</v>
      </c>
      <c r="O924" s="33" t="s">
        <v>1494</v>
      </c>
      <c r="P924" s="33" t="s">
        <v>1494</v>
      </c>
      <c r="Q924" s="34" t="s">
        <v>1494</v>
      </c>
      <c r="R924" s="34" t="s">
        <v>1494</v>
      </c>
    </row>
    <row r="925" spans="1:18" ht="15" customHeight="1" x14ac:dyDescent="0.25">
      <c r="A925" t="str">
        <f>IFERROR(RANK(B925,$B:$B,1)+COUNTIF($B$1:B924,B925),"")</f>
        <v/>
      </c>
      <c r="B925" t="str">
        <f>IFERROR(SEARCH(#REF!,Table4[[#This Row],[Commodity Title]],1),"")</f>
        <v/>
      </c>
      <c r="C925" s="35">
        <v>42161501</v>
      </c>
      <c r="D925" s="33" t="s">
        <v>1495</v>
      </c>
      <c r="E925" s="33" t="s">
        <v>1496</v>
      </c>
      <c r="F925" s="33" t="s">
        <v>1497</v>
      </c>
      <c r="G925" s="33" t="s">
        <v>3381</v>
      </c>
      <c r="H925" s="33" t="s">
        <v>3382</v>
      </c>
      <c r="I925" s="33" t="s">
        <v>3383</v>
      </c>
      <c r="J925" s="33">
        <v>115172</v>
      </c>
      <c r="K925" s="33" t="s">
        <v>3384</v>
      </c>
      <c r="L925" s="33" t="s">
        <v>3385</v>
      </c>
      <c r="M925" s="33" t="s">
        <v>3386</v>
      </c>
      <c r="N925" s="44">
        <v>42161501</v>
      </c>
      <c r="O925" s="33" t="s">
        <v>3387</v>
      </c>
      <c r="P925" s="33" t="s">
        <v>3388</v>
      </c>
      <c r="Q925" s="34" t="s">
        <v>1494</v>
      </c>
      <c r="R925" s="34" t="s">
        <v>1494</v>
      </c>
    </row>
    <row r="926" spans="1:18" ht="15" customHeight="1" x14ac:dyDescent="0.25">
      <c r="A926" t="str">
        <f>IFERROR(RANK(B926,$B:$B,1)+COUNTIF($B$1:B925,B926),"")</f>
        <v/>
      </c>
      <c r="B926" t="str">
        <f>IFERROR(SEARCH(#REF!,Table4[[#This Row],[Commodity Title]],1),"")</f>
        <v/>
      </c>
      <c r="C926" s="35">
        <v>42161502</v>
      </c>
      <c r="D926" s="33" t="s">
        <v>1495</v>
      </c>
      <c r="E926" s="33" t="s">
        <v>1496</v>
      </c>
      <c r="F926" s="33" t="s">
        <v>1497</v>
      </c>
      <c r="G926" s="33" t="s">
        <v>3381</v>
      </c>
      <c r="H926" s="33" t="s">
        <v>3382</v>
      </c>
      <c r="I926" s="33" t="s">
        <v>3383</v>
      </c>
      <c r="J926" s="33">
        <v>115173</v>
      </c>
      <c r="K926" s="33" t="s">
        <v>3384</v>
      </c>
      <c r="L926" s="33" t="s">
        <v>3385</v>
      </c>
      <c r="M926" s="33" t="s">
        <v>3386</v>
      </c>
      <c r="N926" s="44">
        <v>42161502</v>
      </c>
      <c r="O926" s="33" t="s">
        <v>3389</v>
      </c>
      <c r="P926" s="33" t="s">
        <v>3390</v>
      </c>
      <c r="Q926" s="34" t="s">
        <v>1494</v>
      </c>
      <c r="R926" s="34" t="s">
        <v>1494</v>
      </c>
    </row>
    <row r="927" spans="1:18" ht="15" customHeight="1" x14ac:dyDescent="0.25">
      <c r="A927" t="str">
        <f>IFERROR(RANK(B927,$B:$B,1)+COUNTIF($B$1:B926,B927),"")</f>
        <v/>
      </c>
      <c r="B927" t="str">
        <f>IFERROR(SEARCH(#REF!,Table4[[#This Row],[Commodity Title]],1),"")</f>
        <v/>
      </c>
      <c r="C927" s="35">
        <v>42161503</v>
      </c>
      <c r="D927" s="33" t="s">
        <v>1495</v>
      </c>
      <c r="E927" s="33" t="s">
        <v>1496</v>
      </c>
      <c r="F927" s="33" t="s">
        <v>1497</v>
      </c>
      <c r="G927" s="33" t="s">
        <v>3381</v>
      </c>
      <c r="H927" s="33" t="s">
        <v>3382</v>
      </c>
      <c r="I927" s="33" t="s">
        <v>3383</v>
      </c>
      <c r="J927" s="33">
        <v>115174</v>
      </c>
      <c r="K927" s="33" t="s">
        <v>3384</v>
      </c>
      <c r="L927" s="33" t="s">
        <v>3385</v>
      </c>
      <c r="M927" s="33" t="s">
        <v>3386</v>
      </c>
      <c r="N927" s="44">
        <v>42161503</v>
      </c>
      <c r="O927" s="33" t="s">
        <v>3391</v>
      </c>
      <c r="P927" s="33" t="s">
        <v>3392</v>
      </c>
      <c r="Q927" s="34" t="s">
        <v>1494</v>
      </c>
      <c r="R927" s="34" t="s">
        <v>1494</v>
      </c>
    </row>
    <row r="928" spans="1:18" ht="15" customHeight="1" x14ac:dyDescent="0.25">
      <c r="A928" t="str">
        <f>IFERROR(RANK(B928,$B:$B,1)+COUNTIF($B$1:B927,B928),"")</f>
        <v/>
      </c>
      <c r="B928" t="str">
        <f>IFERROR(SEARCH(#REF!,Table4[[#This Row],[Commodity Title]],1),"")</f>
        <v/>
      </c>
      <c r="C928" s="35">
        <v>42161504</v>
      </c>
      <c r="D928" s="33" t="s">
        <v>1495</v>
      </c>
      <c r="E928" s="33" t="s">
        <v>1496</v>
      </c>
      <c r="F928" s="33" t="s">
        <v>1497</v>
      </c>
      <c r="G928" s="33" t="s">
        <v>3381</v>
      </c>
      <c r="H928" s="33" t="s">
        <v>3382</v>
      </c>
      <c r="I928" s="33" t="s">
        <v>3383</v>
      </c>
      <c r="J928" s="33">
        <v>115175</v>
      </c>
      <c r="K928" s="33" t="s">
        <v>3384</v>
      </c>
      <c r="L928" s="33" t="s">
        <v>3385</v>
      </c>
      <c r="M928" s="33" t="s">
        <v>3386</v>
      </c>
      <c r="N928" s="44">
        <v>42161504</v>
      </c>
      <c r="O928" s="33" t="s">
        <v>3393</v>
      </c>
      <c r="P928" s="33" t="s">
        <v>3394</v>
      </c>
      <c r="Q928" s="34" t="s">
        <v>1494</v>
      </c>
      <c r="R928" s="34" t="s">
        <v>1494</v>
      </c>
    </row>
    <row r="929" spans="1:18" ht="15" customHeight="1" x14ac:dyDescent="0.25">
      <c r="A929" t="str">
        <f>IFERROR(RANK(B929,$B:$B,1)+COUNTIF($B$1:B928,B929),"")</f>
        <v/>
      </c>
      <c r="B929" t="str">
        <f>IFERROR(SEARCH(#REF!,Table4[[#This Row],[Commodity Title]],1),"")</f>
        <v/>
      </c>
      <c r="C929" s="35">
        <v>42161505</v>
      </c>
      <c r="D929" s="33" t="s">
        <v>1495</v>
      </c>
      <c r="E929" s="33" t="s">
        <v>1496</v>
      </c>
      <c r="F929" s="33" t="s">
        <v>1497</v>
      </c>
      <c r="G929" s="33" t="s">
        <v>3381</v>
      </c>
      <c r="H929" s="33" t="s">
        <v>3382</v>
      </c>
      <c r="I929" s="33" t="s">
        <v>3383</v>
      </c>
      <c r="J929" s="33">
        <v>115176</v>
      </c>
      <c r="K929" s="33" t="s">
        <v>3384</v>
      </c>
      <c r="L929" s="33" t="s">
        <v>3385</v>
      </c>
      <c r="M929" s="33" t="s">
        <v>3386</v>
      </c>
      <c r="N929" s="44">
        <v>42161505</v>
      </c>
      <c r="O929" s="33" t="s">
        <v>3395</v>
      </c>
      <c r="P929" s="33" t="s">
        <v>3396</v>
      </c>
      <c r="Q929" s="34" t="s">
        <v>1494</v>
      </c>
      <c r="R929" s="34" t="s">
        <v>1494</v>
      </c>
    </row>
    <row r="930" spans="1:18" ht="15" customHeight="1" x14ac:dyDescent="0.25">
      <c r="A930" t="str">
        <f>IFERROR(RANK(B930,$B:$B,1)+COUNTIF($B$1:B929,B930),"")</f>
        <v/>
      </c>
      <c r="B930" t="str">
        <f>IFERROR(SEARCH(#REF!,Table4[[#This Row],[Commodity Title]],1),"")</f>
        <v/>
      </c>
      <c r="C930" s="35">
        <v>42161506</v>
      </c>
      <c r="D930" s="33" t="s">
        <v>1495</v>
      </c>
      <c r="E930" s="33" t="s">
        <v>1496</v>
      </c>
      <c r="F930" s="33" t="s">
        <v>1497</v>
      </c>
      <c r="G930" s="33" t="s">
        <v>3381</v>
      </c>
      <c r="H930" s="33" t="s">
        <v>3382</v>
      </c>
      <c r="I930" s="33" t="s">
        <v>3383</v>
      </c>
      <c r="J930" s="33">
        <v>115177</v>
      </c>
      <c r="K930" s="33" t="s">
        <v>3384</v>
      </c>
      <c r="L930" s="33" t="s">
        <v>3385</v>
      </c>
      <c r="M930" s="33" t="s">
        <v>3386</v>
      </c>
      <c r="N930" s="44">
        <v>42161506</v>
      </c>
      <c r="O930" s="33" t="s">
        <v>3397</v>
      </c>
      <c r="P930" s="33" t="s">
        <v>3398</v>
      </c>
      <c r="Q930" s="34" t="s">
        <v>1494</v>
      </c>
      <c r="R930" s="34" t="s">
        <v>1494</v>
      </c>
    </row>
    <row r="931" spans="1:18" ht="15" customHeight="1" x14ac:dyDescent="0.25">
      <c r="A931" t="str">
        <f>IFERROR(RANK(B931,$B:$B,1)+COUNTIF($B$1:B930,B931),"")</f>
        <v/>
      </c>
      <c r="B931" t="str">
        <f>IFERROR(SEARCH(#REF!,Table4[[#This Row],[Commodity Title]],1),"")</f>
        <v/>
      </c>
      <c r="C931" s="35">
        <v>42161507</v>
      </c>
      <c r="D931" s="33" t="s">
        <v>1495</v>
      </c>
      <c r="E931" s="33" t="s">
        <v>1496</v>
      </c>
      <c r="F931" s="33" t="s">
        <v>1497</v>
      </c>
      <c r="G931" s="33" t="s">
        <v>3381</v>
      </c>
      <c r="H931" s="33" t="s">
        <v>3382</v>
      </c>
      <c r="I931" s="33" t="s">
        <v>3383</v>
      </c>
      <c r="J931" s="33">
        <v>115178</v>
      </c>
      <c r="K931" s="33" t="s">
        <v>3384</v>
      </c>
      <c r="L931" s="33" t="s">
        <v>3385</v>
      </c>
      <c r="M931" s="33" t="s">
        <v>3386</v>
      </c>
      <c r="N931" s="44">
        <v>42161507</v>
      </c>
      <c r="O931" s="33" t="s">
        <v>3399</v>
      </c>
      <c r="P931" s="33" t="s">
        <v>3400</v>
      </c>
      <c r="Q931" s="34" t="s">
        <v>1494</v>
      </c>
      <c r="R931" s="34" t="s">
        <v>1494</v>
      </c>
    </row>
    <row r="932" spans="1:18" ht="15" customHeight="1" x14ac:dyDescent="0.25">
      <c r="A932" t="str">
        <f>IFERROR(RANK(B932,$B:$B,1)+COUNTIF($B$1:B931,B932),"")</f>
        <v/>
      </c>
      <c r="B932" t="str">
        <f>IFERROR(SEARCH(#REF!,Table4[[#This Row],[Commodity Title]],1),"")</f>
        <v/>
      </c>
      <c r="C932" s="35">
        <v>42161508</v>
      </c>
      <c r="D932" s="33" t="s">
        <v>1495</v>
      </c>
      <c r="E932" s="33" t="s">
        <v>1496</v>
      </c>
      <c r="F932" s="33" t="s">
        <v>1497</v>
      </c>
      <c r="G932" s="33" t="s">
        <v>3381</v>
      </c>
      <c r="H932" s="33" t="s">
        <v>3382</v>
      </c>
      <c r="I932" s="33" t="s">
        <v>3383</v>
      </c>
      <c r="J932" s="33">
        <v>115179</v>
      </c>
      <c r="K932" s="33" t="s">
        <v>3384</v>
      </c>
      <c r="L932" s="33" t="s">
        <v>3385</v>
      </c>
      <c r="M932" s="33" t="s">
        <v>3386</v>
      </c>
      <c r="N932" s="44">
        <v>42161508</v>
      </c>
      <c r="O932" s="33" t="s">
        <v>3401</v>
      </c>
      <c r="P932" s="33" t="s">
        <v>3402</v>
      </c>
      <c r="Q932" s="34" t="s">
        <v>1494</v>
      </c>
      <c r="R932" s="34" t="s">
        <v>1494</v>
      </c>
    </row>
    <row r="933" spans="1:18" ht="15" customHeight="1" x14ac:dyDescent="0.25">
      <c r="A933" t="str">
        <f>IFERROR(RANK(B933,$B:$B,1)+COUNTIF($B$1:B932,B933),"")</f>
        <v/>
      </c>
      <c r="B933" t="str">
        <f>IFERROR(SEARCH(#REF!,Table4[[#This Row],[Commodity Title]],1),"")</f>
        <v/>
      </c>
      <c r="C933" s="35">
        <v>42161509</v>
      </c>
      <c r="D933" s="33" t="s">
        <v>1495</v>
      </c>
      <c r="E933" s="33" t="s">
        <v>1496</v>
      </c>
      <c r="F933" s="33" t="s">
        <v>1497</v>
      </c>
      <c r="G933" s="33" t="s">
        <v>3381</v>
      </c>
      <c r="H933" s="33" t="s">
        <v>3382</v>
      </c>
      <c r="I933" s="33" t="s">
        <v>3383</v>
      </c>
      <c r="J933" s="33">
        <v>104515</v>
      </c>
      <c r="K933" s="33" t="s">
        <v>3384</v>
      </c>
      <c r="L933" s="33" t="s">
        <v>3385</v>
      </c>
      <c r="M933" s="33" t="s">
        <v>3386</v>
      </c>
      <c r="N933" s="44">
        <v>42161509</v>
      </c>
      <c r="O933" s="33" t="s">
        <v>3403</v>
      </c>
      <c r="P933" s="33" t="s">
        <v>3404</v>
      </c>
      <c r="Q933" s="34" t="s">
        <v>1494</v>
      </c>
      <c r="R933" s="34" t="s">
        <v>1494</v>
      </c>
    </row>
    <row r="934" spans="1:18" ht="15" customHeight="1" x14ac:dyDescent="0.25">
      <c r="A934" t="str">
        <f>IFERROR(RANK(B934,$B:$B,1)+COUNTIF($B$1:B933,B934),"")</f>
        <v/>
      </c>
      <c r="B934" t="str">
        <f>IFERROR(SEARCH(#REF!,Table4[[#This Row],[Commodity Title]],1),"")</f>
        <v/>
      </c>
      <c r="C934" s="35">
        <v>42161510</v>
      </c>
      <c r="D934" s="33" t="s">
        <v>1495</v>
      </c>
      <c r="E934" s="33" t="s">
        <v>1496</v>
      </c>
      <c r="F934" s="33" t="s">
        <v>1497</v>
      </c>
      <c r="G934" s="33" t="s">
        <v>3381</v>
      </c>
      <c r="H934" s="33" t="s">
        <v>3382</v>
      </c>
      <c r="I934" s="33" t="s">
        <v>3383</v>
      </c>
      <c r="J934" s="33">
        <v>142445</v>
      </c>
      <c r="K934" s="33" t="s">
        <v>3384</v>
      </c>
      <c r="L934" s="33" t="s">
        <v>3385</v>
      </c>
      <c r="M934" s="33" t="s">
        <v>3386</v>
      </c>
      <c r="N934" s="44">
        <v>42161510</v>
      </c>
      <c r="O934" s="33" t="s">
        <v>3405</v>
      </c>
      <c r="P934" s="33" t="s">
        <v>3406</v>
      </c>
      <c r="Q934" s="34" t="s">
        <v>1494</v>
      </c>
      <c r="R934" s="34" t="s">
        <v>1494</v>
      </c>
    </row>
    <row r="935" spans="1:18" ht="15" customHeight="1" x14ac:dyDescent="0.25">
      <c r="A935" t="str">
        <f>IFERROR(RANK(B935,$B:$B,1)+COUNTIF($B$1:B934,B935),"")</f>
        <v/>
      </c>
      <c r="B935" t="str">
        <f>IFERROR(SEARCH(#REF!,Table4[[#This Row],[Commodity Title]],1),"")</f>
        <v/>
      </c>
      <c r="C935" s="35">
        <v>42161511</v>
      </c>
      <c r="D935" s="33" t="s">
        <v>1495</v>
      </c>
      <c r="E935" s="33" t="s">
        <v>1496</v>
      </c>
      <c r="F935" s="33" t="s">
        <v>1497</v>
      </c>
      <c r="G935" s="33" t="s">
        <v>3381</v>
      </c>
      <c r="H935" s="33" t="s">
        <v>3382</v>
      </c>
      <c r="I935" s="33" t="s">
        <v>3383</v>
      </c>
      <c r="J935" s="33">
        <v>202633</v>
      </c>
      <c r="K935" s="33" t="s">
        <v>3384</v>
      </c>
      <c r="L935" s="33" t="s">
        <v>3385</v>
      </c>
      <c r="M935" s="33" t="s">
        <v>3386</v>
      </c>
      <c r="N935" s="44">
        <v>42161511</v>
      </c>
      <c r="O935" s="33" t="s">
        <v>3407</v>
      </c>
      <c r="P935" s="33" t="s">
        <v>3408</v>
      </c>
      <c r="Q935" s="34" t="s">
        <v>1494</v>
      </c>
      <c r="R935" s="34" t="s">
        <v>1494</v>
      </c>
    </row>
    <row r="936" spans="1:18" ht="15" customHeight="1" x14ac:dyDescent="0.25">
      <c r="A936" t="str">
        <f>IFERROR(RANK(B936,$B:$B,1)+COUNTIF($B$1:B935,B936),"")</f>
        <v/>
      </c>
      <c r="B936" t="str">
        <f>IFERROR(SEARCH(#REF!,Table4[[#This Row],[Commodity Title]],1),"")</f>
        <v/>
      </c>
      <c r="C936" s="35">
        <v>42161512</v>
      </c>
      <c r="D936" s="33" t="s">
        <v>1495</v>
      </c>
      <c r="E936" s="33" t="s">
        <v>1496</v>
      </c>
      <c r="F936" s="33" t="s">
        <v>1497</v>
      </c>
      <c r="G936" s="33" t="s">
        <v>3381</v>
      </c>
      <c r="H936" s="33" t="s">
        <v>3382</v>
      </c>
      <c r="I936" s="33" t="s">
        <v>3383</v>
      </c>
      <c r="J936" s="33">
        <v>202634</v>
      </c>
      <c r="K936" s="33" t="s">
        <v>3384</v>
      </c>
      <c r="L936" s="33" t="s">
        <v>3385</v>
      </c>
      <c r="M936" s="33" t="s">
        <v>3386</v>
      </c>
      <c r="N936" s="44">
        <v>42161512</v>
      </c>
      <c r="O936" s="33" t="s">
        <v>3409</v>
      </c>
      <c r="P936" s="33" t="s">
        <v>3410</v>
      </c>
      <c r="Q936" s="34" t="s">
        <v>1494</v>
      </c>
      <c r="R936" s="34" t="s">
        <v>1494</v>
      </c>
    </row>
    <row r="937" spans="1:18" ht="15" customHeight="1" x14ac:dyDescent="0.25">
      <c r="A937" t="str">
        <f>IFERROR(RANK(B937,$B:$B,1)+COUNTIF($B$1:B936,B937),"")</f>
        <v/>
      </c>
      <c r="B937" t="str">
        <f>IFERROR(SEARCH(#REF!,Table4[[#This Row],[Commodity Title]],1),"")</f>
        <v/>
      </c>
      <c r="C937" s="35">
        <v>42161513</v>
      </c>
      <c r="D937" s="33" t="s">
        <v>1495</v>
      </c>
      <c r="E937" s="33" t="s">
        <v>1496</v>
      </c>
      <c r="F937" s="33" t="s">
        <v>1497</v>
      </c>
      <c r="G937" s="33" t="s">
        <v>3381</v>
      </c>
      <c r="H937" s="33" t="s">
        <v>3382</v>
      </c>
      <c r="I937" s="33" t="s">
        <v>3383</v>
      </c>
      <c r="J937" s="33">
        <v>202635</v>
      </c>
      <c r="K937" s="33" t="s">
        <v>3384</v>
      </c>
      <c r="L937" s="33" t="s">
        <v>3385</v>
      </c>
      <c r="M937" s="33" t="s">
        <v>3386</v>
      </c>
      <c r="N937" s="44">
        <v>42161513</v>
      </c>
      <c r="O937" s="33" t="s">
        <v>3411</v>
      </c>
      <c r="P937" s="33" t="s">
        <v>3412</v>
      </c>
      <c r="Q937" s="34" t="s">
        <v>1494</v>
      </c>
      <c r="R937" s="34" t="s">
        <v>1494</v>
      </c>
    </row>
    <row r="938" spans="1:18" ht="15" customHeight="1" x14ac:dyDescent="0.25">
      <c r="A938" t="str">
        <f>IFERROR(RANK(B938,$B:$B,1)+COUNTIF($B$1:B937,B938),"")</f>
        <v/>
      </c>
      <c r="B938" t="str">
        <f>IFERROR(SEARCH(#REF!,Table4[[#This Row],[Commodity Title]],1),"")</f>
        <v/>
      </c>
      <c r="C938" s="35">
        <v>42161514</v>
      </c>
      <c r="D938" s="33" t="s">
        <v>1495</v>
      </c>
      <c r="E938" s="33" t="s">
        <v>1496</v>
      </c>
      <c r="F938" s="33" t="s">
        <v>1497</v>
      </c>
      <c r="G938" s="33" t="s">
        <v>3381</v>
      </c>
      <c r="H938" s="33" t="s">
        <v>3382</v>
      </c>
      <c r="I938" s="33" t="s">
        <v>3383</v>
      </c>
      <c r="J938" s="33">
        <v>202636</v>
      </c>
      <c r="K938" s="33" t="s">
        <v>3384</v>
      </c>
      <c r="L938" s="33" t="s">
        <v>3385</v>
      </c>
      <c r="M938" s="33" t="s">
        <v>3386</v>
      </c>
      <c r="N938" s="44">
        <v>42161514</v>
      </c>
      <c r="O938" s="33" t="s">
        <v>3413</v>
      </c>
      <c r="P938" s="33" t="s">
        <v>3414</v>
      </c>
      <c r="Q938" s="34" t="s">
        <v>1494</v>
      </c>
      <c r="R938" s="34" t="s">
        <v>1494</v>
      </c>
    </row>
    <row r="939" spans="1:18" ht="15" customHeight="1" x14ac:dyDescent="0.25">
      <c r="A939" t="str">
        <f>IFERROR(RANK(B939,$B:$B,1)+COUNTIF($B$1:B938,B939),"")</f>
        <v/>
      </c>
      <c r="B939" t="str">
        <f>IFERROR(SEARCH(#REF!,Table4[[#This Row],[Commodity Title]],1),"")</f>
        <v/>
      </c>
      <c r="C939" s="35">
        <v>42161515</v>
      </c>
      <c r="D939" s="33" t="s">
        <v>1495</v>
      </c>
      <c r="E939" s="33" t="s">
        <v>1496</v>
      </c>
      <c r="F939" s="33" t="s">
        <v>1497</v>
      </c>
      <c r="G939" s="33" t="s">
        <v>3381</v>
      </c>
      <c r="H939" s="33" t="s">
        <v>3382</v>
      </c>
      <c r="I939" s="33" t="s">
        <v>3383</v>
      </c>
      <c r="J939" s="33">
        <v>202637</v>
      </c>
      <c r="K939" s="33" t="s">
        <v>3384</v>
      </c>
      <c r="L939" s="33" t="s">
        <v>3385</v>
      </c>
      <c r="M939" s="33" t="s">
        <v>3386</v>
      </c>
      <c r="N939" s="44">
        <v>42161515</v>
      </c>
      <c r="O939" s="33" t="s">
        <v>3415</v>
      </c>
      <c r="P939" s="33" t="s">
        <v>3416</v>
      </c>
      <c r="Q939" s="34" t="s">
        <v>1494</v>
      </c>
      <c r="R939" s="34" t="s">
        <v>1494</v>
      </c>
    </row>
    <row r="940" spans="1:18" ht="15" customHeight="1" x14ac:dyDescent="0.25">
      <c r="A940" t="str">
        <f>IFERROR(RANK(B940,$B:$B,1)+COUNTIF($B$1:B939,B940),"")</f>
        <v/>
      </c>
      <c r="B940" t="str">
        <f>IFERROR(SEARCH(#REF!,Table4[[#This Row],[Commodity Title]],1),"")</f>
        <v/>
      </c>
      <c r="C940" s="35">
        <v>42161516</v>
      </c>
      <c r="D940" s="33" t="s">
        <v>1495</v>
      </c>
      <c r="E940" s="33" t="s">
        <v>1496</v>
      </c>
      <c r="F940" s="33" t="s">
        <v>1497</v>
      </c>
      <c r="G940" s="33" t="s">
        <v>3381</v>
      </c>
      <c r="H940" s="33" t="s">
        <v>3382</v>
      </c>
      <c r="I940" s="33" t="s">
        <v>3383</v>
      </c>
      <c r="J940" s="33">
        <v>202638</v>
      </c>
      <c r="K940" s="33" t="s">
        <v>3384</v>
      </c>
      <c r="L940" s="33" t="s">
        <v>3385</v>
      </c>
      <c r="M940" s="33" t="s">
        <v>3386</v>
      </c>
      <c r="N940" s="44">
        <v>42161516</v>
      </c>
      <c r="O940" s="33" t="s">
        <v>3417</v>
      </c>
      <c r="P940" s="33" t="s">
        <v>3418</v>
      </c>
      <c r="Q940" s="34" t="s">
        <v>1494</v>
      </c>
      <c r="R940" s="34" t="s">
        <v>1494</v>
      </c>
    </row>
    <row r="941" spans="1:18" ht="15" customHeight="1" x14ac:dyDescent="0.25">
      <c r="A941" t="str">
        <f>IFERROR(RANK(B941,$B:$B,1)+COUNTIF($B$1:B940,B941),"")</f>
        <v/>
      </c>
      <c r="B941" t="str">
        <f>IFERROR(SEARCH(#REF!,Table4[[#This Row],[Commodity Title]],1),"")</f>
        <v/>
      </c>
      <c r="C941" s="35">
        <v>42161517</v>
      </c>
      <c r="D941" s="33" t="s">
        <v>1495</v>
      </c>
      <c r="E941" s="33" t="s">
        <v>1496</v>
      </c>
      <c r="F941" s="33" t="s">
        <v>1497</v>
      </c>
      <c r="G941" s="33" t="s">
        <v>3381</v>
      </c>
      <c r="H941" s="33" t="s">
        <v>3382</v>
      </c>
      <c r="I941" s="33" t="s">
        <v>3383</v>
      </c>
      <c r="J941" s="33">
        <v>202639</v>
      </c>
      <c r="K941" s="33" t="s">
        <v>3384</v>
      </c>
      <c r="L941" s="33" t="s">
        <v>3385</v>
      </c>
      <c r="M941" s="33" t="s">
        <v>3386</v>
      </c>
      <c r="N941" s="44">
        <v>42161517</v>
      </c>
      <c r="O941" s="33" t="s">
        <v>3419</v>
      </c>
      <c r="P941" s="33" t="s">
        <v>3420</v>
      </c>
      <c r="Q941" s="34" t="s">
        <v>1494</v>
      </c>
      <c r="R941" s="34" t="s">
        <v>1494</v>
      </c>
    </row>
    <row r="942" spans="1:18" ht="15" customHeight="1" x14ac:dyDescent="0.25">
      <c r="A942" t="str">
        <f>IFERROR(RANK(B942,$B:$B,1)+COUNTIF($B$1:B941,B942),"")</f>
        <v/>
      </c>
      <c r="B942" t="str">
        <f>IFERROR(SEARCH(#REF!,Table4[[#This Row],[Commodity Title]],1),"")</f>
        <v/>
      </c>
      <c r="C942" s="35">
        <v>42161518</v>
      </c>
      <c r="D942" s="33" t="s">
        <v>1495</v>
      </c>
      <c r="E942" s="33" t="s">
        <v>1496</v>
      </c>
      <c r="F942" s="33" t="s">
        <v>1497</v>
      </c>
      <c r="G942" s="33" t="s">
        <v>3381</v>
      </c>
      <c r="H942" s="33" t="s">
        <v>3382</v>
      </c>
      <c r="I942" s="33" t="s">
        <v>3383</v>
      </c>
      <c r="J942" s="33">
        <v>202640</v>
      </c>
      <c r="K942" s="33" t="s">
        <v>3384</v>
      </c>
      <c r="L942" s="33" t="s">
        <v>3385</v>
      </c>
      <c r="M942" s="33" t="s">
        <v>3386</v>
      </c>
      <c r="N942" s="44">
        <v>42161518</v>
      </c>
      <c r="O942" s="33" t="s">
        <v>3421</v>
      </c>
      <c r="P942" s="33" t="s">
        <v>3422</v>
      </c>
      <c r="Q942" s="34" t="s">
        <v>1494</v>
      </c>
      <c r="R942" s="34" t="s">
        <v>1494</v>
      </c>
    </row>
    <row r="943" spans="1:18" ht="15" customHeight="1" x14ac:dyDescent="0.25">
      <c r="A943" t="str">
        <f>IFERROR(RANK(B943,$B:$B,1)+COUNTIF($B$1:B942,B943),"")</f>
        <v/>
      </c>
      <c r="B943" t="str">
        <f>IFERROR(SEARCH(#REF!,Table4[[#This Row],[Commodity Title]],1),"")</f>
        <v/>
      </c>
      <c r="C943" s="35">
        <v>42161519</v>
      </c>
      <c r="D943" s="33" t="s">
        <v>1495</v>
      </c>
      <c r="E943" s="33" t="s">
        <v>1496</v>
      </c>
      <c r="F943" s="33" t="s">
        <v>1497</v>
      </c>
      <c r="G943" s="33" t="s">
        <v>3381</v>
      </c>
      <c r="H943" s="33" t="s">
        <v>3382</v>
      </c>
      <c r="I943" s="33" t="s">
        <v>3383</v>
      </c>
      <c r="J943" s="33">
        <v>202641</v>
      </c>
      <c r="K943" s="33" t="s">
        <v>3384</v>
      </c>
      <c r="L943" s="33" t="s">
        <v>3385</v>
      </c>
      <c r="M943" s="33" t="s">
        <v>3386</v>
      </c>
      <c r="N943" s="44">
        <v>42161519</v>
      </c>
      <c r="O943" s="33" t="s">
        <v>3423</v>
      </c>
      <c r="P943" s="33" t="s">
        <v>3424</v>
      </c>
      <c r="Q943" s="34" t="s">
        <v>1494</v>
      </c>
      <c r="R943" s="34" t="s">
        <v>1494</v>
      </c>
    </row>
    <row r="944" spans="1:18" ht="15" customHeight="1" x14ac:dyDescent="0.25">
      <c r="A944" t="str">
        <f>IFERROR(RANK(B944,$B:$B,1)+COUNTIF($B$1:B943,B944),"")</f>
        <v/>
      </c>
      <c r="B944" t="str">
        <f>IFERROR(SEARCH(#REF!,Table4[[#This Row],[Commodity Title]],1),"")</f>
        <v/>
      </c>
      <c r="C944" s="35">
        <v>42161520</v>
      </c>
      <c r="D944" s="33" t="s">
        <v>1495</v>
      </c>
      <c r="E944" s="33" t="s">
        <v>1496</v>
      </c>
      <c r="F944" s="33" t="s">
        <v>1497</v>
      </c>
      <c r="G944" s="33" t="s">
        <v>3381</v>
      </c>
      <c r="H944" s="33" t="s">
        <v>3382</v>
      </c>
      <c r="I944" s="33" t="s">
        <v>3383</v>
      </c>
      <c r="J944" s="33">
        <v>202642</v>
      </c>
      <c r="K944" s="33" t="s">
        <v>3384</v>
      </c>
      <c r="L944" s="33" t="s">
        <v>3385</v>
      </c>
      <c r="M944" s="33" t="s">
        <v>3386</v>
      </c>
      <c r="N944" s="44">
        <v>42161520</v>
      </c>
      <c r="O944" s="33" t="s">
        <v>3425</v>
      </c>
      <c r="P944" s="33" t="s">
        <v>3426</v>
      </c>
      <c r="Q944" s="34" t="s">
        <v>1494</v>
      </c>
      <c r="R944" s="34" t="s">
        <v>1494</v>
      </c>
    </row>
    <row r="945" spans="1:18" ht="15" customHeight="1" x14ac:dyDescent="0.25">
      <c r="A945" t="str">
        <f>IFERROR(RANK(B945,$B:$B,1)+COUNTIF($B$1:B944,B945),"")</f>
        <v/>
      </c>
      <c r="B945" t="str">
        <f>IFERROR(SEARCH(#REF!,Table4[[#This Row],[Commodity Title]],1),"")</f>
        <v/>
      </c>
      <c r="C945" s="33" t="s">
        <v>1494</v>
      </c>
      <c r="D945" s="33" t="s">
        <v>1495</v>
      </c>
      <c r="E945" s="33" t="s">
        <v>1496</v>
      </c>
      <c r="F945" s="33" t="s">
        <v>1497</v>
      </c>
      <c r="G945" s="33" t="s">
        <v>3381</v>
      </c>
      <c r="H945" s="33" t="s">
        <v>3382</v>
      </c>
      <c r="I945" s="33" t="s">
        <v>3383</v>
      </c>
      <c r="J945" s="33">
        <v>115181</v>
      </c>
      <c r="K945" s="33" t="s">
        <v>3427</v>
      </c>
      <c r="L945" s="33" t="s">
        <v>3428</v>
      </c>
      <c r="M945" s="33" t="s">
        <v>3429</v>
      </c>
      <c r="N945" s="44" t="s">
        <v>1494</v>
      </c>
      <c r="O945" s="33" t="s">
        <v>1494</v>
      </c>
      <c r="P945" s="33" t="s">
        <v>1494</v>
      </c>
      <c r="Q945" s="34" t="s">
        <v>1494</v>
      </c>
      <c r="R945" s="34" t="s">
        <v>1494</v>
      </c>
    </row>
    <row r="946" spans="1:18" ht="15" customHeight="1" x14ac:dyDescent="0.25">
      <c r="A946" t="str">
        <f>IFERROR(RANK(B946,$B:$B,1)+COUNTIF($B$1:B945,B946),"")</f>
        <v/>
      </c>
      <c r="B946" t="str">
        <f>IFERROR(SEARCH(#REF!,Table4[[#This Row],[Commodity Title]],1),"")</f>
        <v/>
      </c>
      <c r="C946" s="35">
        <v>42161601</v>
      </c>
      <c r="D946" s="33" t="s">
        <v>1495</v>
      </c>
      <c r="E946" s="33" t="s">
        <v>1496</v>
      </c>
      <c r="F946" s="33" t="s">
        <v>1497</v>
      </c>
      <c r="G946" s="33" t="s">
        <v>3381</v>
      </c>
      <c r="H946" s="33" t="s">
        <v>3382</v>
      </c>
      <c r="I946" s="33" t="s">
        <v>3383</v>
      </c>
      <c r="J946" s="33">
        <v>104516</v>
      </c>
      <c r="K946" s="33" t="s">
        <v>3427</v>
      </c>
      <c r="L946" s="33" t="s">
        <v>3428</v>
      </c>
      <c r="M946" s="33" t="s">
        <v>3429</v>
      </c>
      <c r="N946" s="44">
        <v>42161601</v>
      </c>
      <c r="O946" s="33" t="s">
        <v>3430</v>
      </c>
      <c r="P946" s="33" t="s">
        <v>3431</v>
      </c>
      <c r="Q946" s="34" t="s">
        <v>1494</v>
      </c>
      <c r="R946" s="34" t="s">
        <v>1494</v>
      </c>
    </row>
    <row r="947" spans="1:18" ht="15" customHeight="1" x14ac:dyDescent="0.25">
      <c r="A947" t="str">
        <f>IFERROR(RANK(B947,$B:$B,1)+COUNTIF($B$1:B946,B947),"")</f>
        <v/>
      </c>
      <c r="B947" t="str">
        <f>IFERROR(SEARCH(#REF!,Table4[[#This Row],[Commodity Title]],1),"")</f>
        <v/>
      </c>
      <c r="C947" s="35">
        <v>42161602</v>
      </c>
      <c r="D947" s="33" t="s">
        <v>1495</v>
      </c>
      <c r="E947" s="33" t="s">
        <v>1496</v>
      </c>
      <c r="F947" s="33" t="s">
        <v>1497</v>
      </c>
      <c r="G947" s="33" t="s">
        <v>3381</v>
      </c>
      <c r="H947" s="33" t="s">
        <v>3382</v>
      </c>
      <c r="I947" s="33" t="s">
        <v>3383</v>
      </c>
      <c r="J947" s="33">
        <v>115183</v>
      </c>
      <c r="K947" s="33" t="s">
        <v>3427</v>
      </c>
      <c r="L947" s="33" t="s">
        <v>3428</v>
      </c>
      <c r="M947" s="33" t="s">
        <v>3429</v>
      </c>
      <c r="N947" s="44">
        <v>42161602</v>
      </c>
      <c r="O947" s="33" t="s">
        <v>3432</v>
      </c>
      <c r="P947" s="33" t="s">
        <v>3433</v>
      </c>
      <c r="Q947" s="34" t="s">
        <v>1494</v>
      </c>
      <c r="R947" s="34" t="s">
        <v>1494</v>
      </c>
    </row>
    <row r="948" spans="1:18" ht="15" customHeight="1" x14ac:dyDescent="0.25">
      <c r="A948" t="str">
        <f>IFERROR(RANK(B948,$B:$B,1)+COUNTIF($B$1:B947,B948),"")</f>
        <v/>
      </c>
      <c r="B948" t="str">
        <f>IFERROR(SEARCH(#REF!,Table4[[#This Row],[Commodity Title]],1),"")</f>
        <v/>
      </c>
      <c r="C948" s="35">
        <v>42161603</v>
      </c>
      <c r="D948" s="33" t="s">
        <v>1495</v>
      </c>
      <c r="E948" s="33" t="s">
        <v>1496</v>
      </c>
      <c r="F948" s="33" t="s">
        <v>1497</v>
      </c>
      <c r="G948" s="33" t="s">
        <v>3381</v>
      </c>
      <c r="H948" s="33" t="s">
        <v>3382</v>
      </c>
      <c r="I948" s="33" t="s">
        <v>3383</v>
      </c>
      <c r="J948" s="33">
        <v>115184</v>
      </c>
      <c r="K948" s="33" t="s">
        <v>3427</v>
      </c>
      <c r="L948" s="33" t="s">
        <v>3428</v>
      </c>
      <c r="M948" s="33" t="s">
        <v>3429</v>
      </c>
      <c r="N948" s="44">
        <v>42161603</v>
      </c>
      <c r="O948" s="33" t="s">
        <v>3434</v>
      </c>
      <c r="P948" s="33" t="s">
        <v>3435</v>
      </c>
      <c r="Q948" s="34" t="s">
        <v>1494</v>
      </c>
      <c r="R948" s="34" t="s">
        <v>1494</v>
      </c>
    </row>
    <row r="949" spans="1:18" ht="15" customHeight="1" x14ac:dyDescent="0.25">
      <c r="A949" t="str">
        <f>IFERROR(RANK(B949,$B:$B,1)+COUNTIF($B$1:B948,B949),"")</f>
        <v/>
      </c>
      <c r="B949" t="str">
        <f>IFERROR(SEARCH(#REF!,Table4[[#This Row],[Commodity Title]],1),"")</f>
        <v/>
      </c>
      <c r="C949" s="35">
        <v>42161604</v>
      </c>
      <c r="D949" s="33" t="s">
        <v>1495</v>
      </c>
      <c r="E949" s="33" t="s">
        <v>1496</v>
      </c>
      <c r="F949" s="33" t="s">
        <v>1497</v>
      </c>
      <c r="G949" s="33" t="s">
        <v>3381</v>
      </c>
      <c r="H949" s="33" t="s">
        <v>3382</v>
      </c>
      <c r="I949" s="33" t="s">
        <v>3383</v>
      </c>
      <c r="J949" s="33">
        <v>115185</v>
      </c>
      <c r="K949" s="33" t="s">
        <v>3427</v>
      </c>
      <c r="L949" s="33" t="s">
        <v>3428</v>
      </c>
      <c r="M949" s="33" t="s">
        <v>3429</v>
      </c>
      <c r="N949" s="44">
        <v>42161604</v>
      </c>
      <c r="O949" s="33" t="s">
        <v>3436</v>
      </c>
      <c r="P949" s="33" t="s">
        <v>3437</v>
      </c>
      <c r="Q949" s="34" t="s">
        <v>1494</v>
      </c>
      <c r="R949" s="34" t="s">
        <v>1494</v>
      </c>
    </row>
    <row r="950" spans="1:18" ht="15" customHeight="1" x14ac:dyDescent="0.25">
      <c r="A950" t="str">
        <f>IFERROR(RANK(B950,$B:$B,1)+COUNTIF($B$1:B949,B950),"")</f>
        <v/>
      </c>
      <c r="B950" t="str">
        <f>IFERROR(SEARCH(#REF!,Table4[[#This Row],[Commodity Title]],1),"")</f>
        <v/>
      </c>
      <c r="C950" s="35">
        <v>42161605</v>
      </c>
      <c r="D950" s="33" t="s">
        <v>1495</v>
      </c>
      <c r="E950" s="33" t="s">
        <v>1496</v>
      </c>
      <c r="F950" s="33" t="s">
        <v>1497</v>
      </c>
      <c r="G950" s="33" t="s">
        <v>3381</v>
      </c>
      <c r="H950" s="33" t="s">
        <v>3382</v>
      </c>
      <c r="I950" s="33" t="s">
        <v>3383</v>
      </c>
      <c r="J950" s="33">
        <v>115186</v>
      </c>
      <c r="K950" s="33" t="s">
        <v>3427</v>
      </c>
      <c r="L950" s="33" t="s">
        <v>3428</v>
      </c>
      <c r="M950" s="33" t="s">
        <v>3429</v>
      </c>
      <c r="N950" s="44">
        <v>42161605</v>
      </c>
      <c r="O950" s="33" t="s">
        <v>3438</v>
      </c>
      <c r="P950" s="33" t="s">
        <v>3439</v>
      </c>
      <c r="Q950" s="34" t="s">
        <v>1494</v>
      </c>
      <c r="R950" s="34" t="s">
        <v>1494</v>
      </c>
    </row>
    <row r="951" spans="1:18" ht="15" customHeight="1" x14ac:dyDescent="0.25">
      <c r="A951" t="str">
        <f>IFERROR(RANK(B951,$B:$B,1)+COUNTIF($B$1:B950,B951),"")</f>
        <v/>
      </c>
      <c r="B951" t="str">
        <f>IFERROR(SEARCH(#REF!,Table4[[#This Row],[Commodity Title]],1),"")</f>
        <v/>
      </c>
      <c r="C951" s="35">
        <v>42161606</v>
      </c>
      <c r="D951" s="33" t="s">
        <v>1495</v>
      </c>
      <c r="E951" s="33" t="s">
        <v>1496</v>
      </c>
      <c r="F951" s="33" t="s">
        <v>1497</v>
      </c>
      <c r="G951" s="33" t="s">
        <v>3381</v>
      </c>
      <c r="H951" s="33" t="s">
        <v>3382</v>
      </c>
      <c r="I951" s="33" t="s">
        <v>3383</v>
      </c>
      <c r="J951" s="33">
        <v>115187</v>
      </c>
      <c r="K951" s="33" t="s">
        <v>3427</v>
      </c>
      <c r="L951" s="33" t="s">
        <v>3428</v>
      </c>
      <c r="M951" s="33" t="s">
        <v>3429</v>
      </c>
      <c r="N951" s="44">
        <v>42161606</v>
      </c>
      <c r="O951" s="33" t="s">
        <v>3440</v>
      </c>
      <c r="P951" s="33" t="s">
        <v>3441</v>
      </c>
      <c r="Q951" s="34" t="s">
        <v>1494</v>
      </c>
      <c r="R951" s="34" t="s">
        <v>1494</v>
      </c>
    </row>
    <row r="952" spans="1:18" ht="15" customHeight="1" x14ac:dyDescent="0.25">
      <c r="A952" t="str">
        <f>IFERROR(RANK(B952,$B:$B,1)+COUNTIF($B$1:B951,B952),"")</f>
        <v/>
      </c>
      <c r="B952" t="str">
        <f>IFERROR(SEARCH(#REF!,Table4[[#This Row],[Commodity Title]],1),"")</f>
        <v/>
      </c>
      <c r="C952" s="35">
        <v>42161607</v>
      </c>
      <c r="D952" s="33" t="s">
        <v>1495</v>
      </c>
      <c r="E952" s="33" t="s">
        <v>1496</v>
      </c>
      <c r="F952" s="33" t="s">
        <v>1497</v>
      </c>
      <c r="G952" s="33" t="s">
        <v>3381</v>
      </c>
      <c r="H952" s="33" t="s">
        <v>3382</v>
      </c>
      <c r="I952" s="33" t="s">
        <v>3383</v>
      </c>
      <c r="J952" s="33">
        <v>115188</v>
      </c>
      <c r="K952" s="33" t="s">
        <v>3427</v>
      </c>
      <c r="L952" s="33" t="s">
        <v>3428</v>
      </c>
      <c r="M952" s="33" t="s">
        <v>3429</v>
      </c>
      <c r="N952" s="44">
        <v>42161607</v>
      </c>
      <c r="O952" s="33" t="s">
        <v>3442</v>
      </c>
      <c r="P952" s="33" t="s">
        <v>3443</v>
      </c>
      <c r="Q952" s="34" t="s">
        <v>1494</v>
      </c>
      <c r="R952" s="34" t="s">
        <v>1494</v>
      </c>
    </row>
    <row r="953" spans="1:18" ht="15" customHeight="1" x14ac:dyDescent="0.25">
      <c r="A953" t="str">
        <f>IFERROR(RANK(B953,$B:$B,1)+COUNTIF($B$1:B952,B953),"")</f>
        <v/>
      </c>
      <c r="B953" t="str">
        <f>IFERROR(SEARCH(#REF!,Table4[[#This Row],[Commodity Title]],1),"")</f>
        <v/>
      </c>
      <c r="C953" s="35">
        <v>42161608</v>
      </c>
      <c r="D953" s="33" t="s">
        <v>1495</v>
      </c>
      <c r="E953" s="33" t="s">
        <v>1496</v>
      </c>
      <c r="F953" s="33" t="s">
        <v>1497</v>
      </c>
      <c r="G953" s="33" t="s">
        <v>3381</v>
      </c>
      <c r="H953" s="33" t="s">
        <v>3382</v>
      </c>
      <c r="I953" s="33" t="s">
        <v>3383</v>
      </c>
      <c r="J953" s="33">
        <v>115189</v>
      </c>
      <c r="K953" s="33" t="s">
        <v>3427</v>
      </c>
      <c r="L953" s="33" t="s">
        <v>3428</v>
      </c>
      <c r="M953" s="33" t="s">
        <v>3429</v>
      </c>
      <c r="N953" s="44">
        <v>42161608</v>
      </c>
      <c r="O953" s="33" t="s">
        <v>3444</v>
      </c>
      <c r="P953" s="33" t="s">
        <v>3445</v>
      </c>
      <c r="Q953" s="34" t="s">
        <v>1494</v>
      </c>
      <c r="R953" s="34" t="s">
        <v>1494</v>
      </c>
    </row>
    <row r="954" spans="1:18" ht="15" customHeight="1" x14ac:dyDescent="0.25">
      <c r="A954" t="str">
        <f>IFERROR(RANK(B954,$B:$B,1)+COUNTIF($B$1:B953,B954),"")</f>
        <v/>
      </c>
      <c r="B954" t="str">
        <f>IFERROR(SEARCH(#REF!,Table4[[#This Row],[Commodity Title]],1),"")</f>
        <v/>
      </c>
      <c r="C954" s="35">
        <v>42161609</v>
      </c>
      <c r="D954" s="33" t="s">
        <v>1495</v>
      </c>
      <c r="E954" s="33" t="s">
        <v>1496</v>
      </c>
      <c r="F954" s="33" t="s">
        <v>1497</v>
      </c>
      <c r="G954" s="33" t="s">
        <v>3381</v>
      </c>
      <c r="H954" s="33" t="s">
        <v>3382</v>
      </c>
      <c r="I954" s="33" t="s">
        <v>3383</v>
      </c>
      <c r="J954" s="33">
        <v>115190</v>
      </c>
      <c r="K954" s="33" t="s">
        <v>3427</v>
      </c>
      <c r="L954" s="33" t="s">
        <v>3428</v>
      </c>
      <c r="M954" s="33" t="s">
        <v>3429</v>
      </c>
      <c r="N954" s="44">
        <v>42161609</v>
      </c>
      <c r="O954" s="33" t="s">
        <v>3446</v>
      </c>
      <c r="P954" s="33" t="s">
        <v>3447</v>
      </c>
      <c r="Q954" s="34" t="s">
        <v>1494</v>
      </c>
      <c r="R954" s="34" t="s">
        <v>1494</v>
      </c>
    </row>
    <row r="955" spans="1:18" ht="15" customHeight="1" x14ac:dyDescent="0.25">
      <c r="A955" t="str">
        <f>IFERROR(RANK(B955,$B:$B,1)+COUNTIF($B$1:B954,B955),"")</f>
        <v/>
      </c>
      <c r="B955" t="str">
        <f>IFERROR(SEARCH(#REF!,Table4[[#This Row],[Commodity Title]],1),"")</f>
        <v/>
      </c>
      <c r="C955" s="35">
        <v>42161610</v>
      </c>
      <c r="D955" s="33" t="s">
        <v>1495</v>
      </c>
      <c r="E955" s="33" t="s">
        <v>1496</v>
      </c>
      <c r="F955" s="33" t="s">
        <v>1497</v>
      </c>
      <c r="G955" s="33" t="s">
        <v>3381</v>
      </c>
      <c r="H955" s="33" t="s">
        <v>3382</v>
      </c>
      <c r="I955" s="33" t="s">
        <v>3383</v>
      </c>
      <c r="J955" s="33">
        <v>115191</v>
      </c>
      <c r="K955" s="33" t="s">
        <v>3427</v>
      </c>
      <c r="L955" s="33" t="s">
        <v>3428</v>
      </c>
      <c r="M955" s="33" t="s">
        <v>3429</v>
      </c>
      <c r="N955" s="44">
        <v>42161610</v>
      </c>
      <c r="O955" s="33" t="s">
        <v>3448</v>
      </c>
      <c r="P955" s="33" t="s">
        <v>3449</v>
      </c>
      <c r="Q955" s="34" t="s">
        <v>1494</v>
      </c>
      <c r="R955" s="34" t="s">
        <v>1494</v>
      </c>
    </row>
    <row r="956" spans="1:18" ht="15" customHeight="1" x14ac:dyDescent="0.25">
      <c r="A956" t="str">
        <f>IFERROR(RANK(B956,$B:$B,1)+COUNTIF($B$1:B955,B956),"")</f>
        <v/>
      </c>
      <c r="B956" t="str">
        <f>IFERROR(SEARCH(#REF!,Table4[[#This Row],[Commodity Title]],1),"")</f>
        <v/>
      </c>
      <c r="C956" s="35">
        <v>42161611</v>
      </c>
      <c r="D956" s="33" t="s">
        <v>1495</v>
      </c>
      <c r="E956" s="33" t="s">
        <v>1496</v>
      </c>
      <c r="F956" s="33" t="s">
        <v>1497</v>
      </c>
      <c r="G956" s="33" t="s">
        <v>3381</v>
      </c>
      <c r="H956" s="33" t="s">
        <v>3382</v>
      </c>
      <c r="I956" s="33" t="s">
        <v>3383</v>
      </c>
      <c r="J956" s="33">
        <v>115192</v>
      </c>
      <c r="K956" s="33" t="s">
        <v>3427</v>
      </c>
      <c r="L956" s="33" t="s">
        <v>3428</v>
      </c>
      <c r="M956" s="33" t="s">
        <v>3429</v>
      </c>
      <c r="N956" s="44">
        <v>42161611</v>
      </c>
      <c r="O956" s="33" t="s">
        <v>3450</v>
      </c>
      <c r="P956" s="33" t="s">
        <v>3451</v>
      </c>
      <c r="Q956" s="34" t="s">
        <v>1494</v>
      </c>
      <c r="R956" s="34" t="s">
        <v>1494</v>
      </c>
    </row>
    <row r="957" spans="1:18" ht="15" customHeight="1" x14ac:dyDescent="0.25">
      <c r="A957" t="str">
        <f>IFERROR(RANK(B957,$B:$B,1)+COUNTIF($B$1:B956,B957),"")</f>
        <v/>
      </c>
      <c r="B957" t="str">
        <f>IFERROR(SEARCH(#REF!,Table4[[#This Row],[Commodity Title]],1),"")</f>
        <v/>
      </c>
      <c r="C957" s="35">
        <v>42161612</v>
      </c>
      <c r="D957" s="33" t="s">
        <v>1495</v>
      </c>
      <c r="E957" s="33" t="s">
        <v>1496</v>
      </c>
      <c r="F957" s="33" t="s">
        <v>1497</v>
      </c>
      <c r="G957" s="33" t="s">
        <v>3381</v>
      </c>
      <c r="H957" s="33" t="s">
        <v>3382</v>
      </c>
      <c r="I957" s="33" t="s">
        <v>3383</v>
      </c>
      <c r="J957" s="33">
        <v>115193</v>
      </c>
      <c r="K957" s="33" t="s">
        <v>3427</v>
      </c>
      <c r="L957" s="33" t="s">
        <v>3428</v>
      </c>
      <c r="M957" s="33" t="s">
        <v>3429</v>
      </c>
      <c r="N957" s="44">
        <v>42161612</v>
      </c>
      <c r="O957" s="33" t="s">
        <v>3452</v>
      </c>
      <c r="P957" s="33" t="s">
        <v>3453</v>
      </c>
      <c r="Q957" s="34" t="s">
        <v>1494</v>
      </c>
      <c r="R957" s="34" t="s">
        <v>1494</v>
      </c>
    </row>
    <row r="958" spans="1:18" ht="15" customHeight="1" x14ac:dyDescent="0.25">
      <c r="A958" t="str">
        <f>IFERROR(RANK(B958,$B:$B,1)+COUNTIF($B$1:B957,B958),"")</f>
        <v/>
      </c>
      <c r="B958" t="str">
        <f>IFERROR(SEARCH(#REF!,Table4[[#This Row],[Commodity Title]],1),"")</f>
        <v/>
      </c>
      <c r="C958" s="35">
        <v>42161613</v>
      </c>
      <c r="D958" s="33" t="s">
        <v>1495</v>
      </c>
      <c r="E958" s="33" t="s">
        <v>1496</v>
      </c>
      <c r="F958" s="33" t="s">
        <v>1497</v>
      </c>
      <c r="G958" s="33" t="s">
        <v>3381</v>
      </c>
      <c r="H958" s="33" t="s">
        <v>3382</v>
      </c>
      <c r="I958" s="33" t="s">
        <v>3383</v>
      </c>
      <c r="J958" s="33">
        <v>115194</v>
      </c>
      <c r="K958" s="33" t="s">
        <v>3427</v>
      </c>
      <c r="L958" s="33" t="s">
        <v>3428</v>
      </c>
      <c r="M958" s="33" t="s">
        <v>3429</v>
      </c>
      <c r="N958" s="44">
        <v>42161613</v>
      </c>
      <c r="O958" s="33" t="s">
        <v>3454</v>
      </c>
      <c r="P958" s="33" t="s">
        <v>3455</v>
      </c>
      <c r="Q958" s="34" t="s">
        <v>1494</v>
      </c>
      <c r="R958" s="34" t="s">
        <v>1494</v>
      </c>
    </row>
    <row r="959" spans="1:18" ht="15" customHeight="1" x14ac:dyDescent="0.25">
      <c r="A959" t="str">
        <f>IFERROR(RANK(B959,$B:$B,1)+COUNTIF($B$1:B958,B959),"")</f>
        <v/>
      </c>
      <c r="B959" t="str">
        <f>IFERROR(SEARCH(#REF!,Table4[[#This Row],[Commodity Title]],1),"")</f>
        <v/>
      </c>
      <c r="C959" s="35">
        <v>42161614</v>
      </c>
      <c r="D959" s="33" t="s">
        <v>1495</v>
      </c>
      <c r="E959" s="33" t="s">
        <v>1496</v>
      </c>
      <c r="F959" s="33" t="s">
        <v>1497</v>
      </c>
      <c r="G959" s="33" t="s">
        <v>3381</v>
      </c>
      <c r="H959" s="33" t="s">
        <v>3382</v>
      </c>
      <c r="I959" s="33" t="s">
        <v>3383</v>
      </c>
      <c r="J959" s="33">
        <v>115195</v>
      </c>
      <c r="K959" s="33" t="s">
        <v>3427</v>
      </c>
      <c r="L959" s="33" t="s">
        <v>3428</v>
      </c>
      <c r="M959" s="33" t="s">
        <v>3429</v>
      </c>
      <c r="N959" s="44">
        <v>42161614</v>
      </c>
      <c r="O959" s="33" t="s">
        <v>3456</v>
      </c>
      <c r="P959" s="33" t="s">
        <v>3457</v>
      </c>
      <c r="Q959" s="34" t="s">
        <v>1494</v>
      </c>
      <c r="R959" s="34" t="s">
        <v>1494</v>
      </c>
    </row>
    <row r="960" spans="1:18" ht="15" customHeight="1" x14ac:dyDescent="0.25">
      <c r="A960" t="str">
        <f>IFERROR(RANK(B960,$B:$B,1)+COUNTIF($B$1:B959,B960),"")</f>
        <v/>
      </c>
      <c r="B960" t="str">
        <f>IFERROR(SEARCH(#REF!,Table4[[#This Row],[Commodity Title]],1),"")</f>
        <v/>
      </c>
      <c r="C960" s="35">
        <v>42161615</v>
      </c>
      <c r="D960" s="33" t="s">
        <v>1495</v>
      </c>
      <c r="E960" s="33" t="s">
        <v>1496</v>
      </c>
      <c r="F960" s="33" t="s">
        <v>1497</v>
      </c>
      <c r="G960" s="33" t="s">
        <v>3381</v>
      </c>
      <c r="H960" s="33" t="s">
        <v>3382</v>
      </c>
      <c r="I960" s="33" t="s">
        <v>3383</v>
      </c>
      <c r="J960" s="33">
        <v>115196</v>
      </c>
      <c r="K960" s="33" t="s">
        <v>3427</v>
      </c>
      <c r="L960" s="33" t="s">
        <v>3428</v>
      </c>
      <c r="M960" s="33" t="s">
        <v>3429</v>
      </c>
      <c r="N960" s="44">
        <v>42161615</v>
      </c>
      <c r="O960" s="33" t="s">
        <v>3458</v>
      </c>
      <c r="P960" s="33" t="s">
        <v>3459</v>
      </c>
      <c r="Q960" s="34" t="s">
        <v>1494</v>
      </c>
      <c r="R960" s="34" t="s">
        <v>1494</v>
      </c>
    </row>
    <row r="961" spans="1:18" ht="15" customHeight="1" x14ac:dyDescent="0.25">
      <c r="A961" t="str">
        <f>IFERROR(RANK(B961,$B:$B,1)+COUNTIF($B$1:B960,B961),"")</f>
        <v/>
      </c>
      <c r="B961" t="str">
        <f>IFERROR(SEARCH(#REF!,Table4[[#This Row],[Commodity Title]],1),"")</f>
        <v/>
      </c>
      <c r="C961" s="35">
        <v>42161616</v>
      </c>
      <c r="D961" s="33" t="s">
        <v>1495</v>
      </c>
      <c r="E961" s="33" t="s">
        <v>1496</v>
      </c>
      <c r="F961" s="33" t="s">
        <v>1497</v>
      </c>
      <c r="G961" s="33" t="s">
        <v>3381</v>
      </c>
      <c r="H961" s="33" t="s">
        <v>3382</v>
      </c>
      <c r="I961" s="33" t="s">
        <v>3383</v>
      </c>
      <c r="J961" s="33">
        <v>115197</v>
      </c>
      <c r="K961" s="33" t="s">
        <v>3427</v>
      </c>
      <c r="L961" s="33" t="s">
        <v>3428</v>
      </c>
      <c r="M961" s="33" t="s">
        <v>3429</v>
      </c>
      <c r="N961" s="44">
        <v>42161616</v>
      </c>
      <c r="O961" s="33" t="s">
        <v>3460</v>
      </c>
      <c r="P961" s="33" t="s">
        <v>3461</v>
      </c>
      <c r="Q961" s="34" t="s">
        <v>1494</v>
      </c>
      <c r="R961" s="34" t="s">
        <v>1494</v>
      </c>
    </row>
    <row r="962" spans="1:18" ht="15" customHeight="1" x14ac:dyDescent="0.25">
      <c r="A962" t="str">
        <f>IFERROR(RANK(B962,$B:$B,1)+COUNTIF($B$1:B961,B962),"")</f>
        <v/>
      </c>
      <c r="B962" t="str">
        <f>IFERROR(SEARCH(#REF!,Table4[[#This Row],[Commodity Title]],1),"")</f>
        <v/>
      </c>
      <c r="C962" s="35">
        <v>42161617</v>
      </c>
      <c r="D962" s="33" t="s">
        <v>1495</v>
      </c>
      <c r="E962" s="33" t="s">
        <v>1496</v>
      </c>
      <c r="F962" s="33" t="s">
        <v>1497</v>
      </c>
      <c r="G962" s="33" t="s">
        <v>3381</v>
      </c>
      <c r="H962" s="33" t="s">
        <v>3382</v>
      </c>
      <c r="I962" s="33" t="s">
        <v>3383</v>
      </c>
      <c r="J962" s="33">
        <v>115198</v>
      </c>
      <c r="K962" s="33" t="s">
        <v>3427</v>
      </c>
      <c r="L962" s="33" t="s">
        <v>3428</v>
      </c>
      <c r="M962" s="33" t="s">
        <v>3429</v>
      </c>
      <c r="N962" s="44">
        <v>42161617</v>
      </c>
      <c r="O962" s="33" t="s">
        <v>3462</v>
      </c>
      <c r="P962" s="33" t="s">
        <v>3463</v>
      </c>
      <c r="Q962" s="34" t="s">
        <v>1494</v>
      </c>
      <c r="R962" s="34" t="s">
        <v>1494</v>
      </c>
    </row>
    <row r="963" spans="1:18" ht="15" customHeight="1" x14ac:dyDescent="0.25">
      <c r="A963" t="str">
        <f>IFERROR(RANK(B963,$B:$B,1)+COUNTIF($B$1:B962,B963),"")</f>
        <v/>
      </c>
      <c r="B963" t="str">
        <f>IFERROR(SEARCH(#REF!,Table4[[#This Row],[Commodity Title]],1),"")</f>
        <v/>
      </c>
      <c r="C963" s="35">
        <v>42161618</v>
      </c>
      <c r="D963" s="33" t="s">
        <v>1495</v>
      </c>
      <c r="E963" s="33" t="s">
        <v>1496</v>
      </c>
      <c r="F963" s="33" t="s">
        <v>1497</v>
      </c>
      <c r="G963" s="33" t="s">
        <v>3381</v>
      </c>
      <c r="H963" s="33" t="s">
        <v>3382</v>
      </c>
      <c r="I963" s="33" t="s">
        <v>3383</v>
      </c>
      <c r="J963" s="33">
        <v>115199</v>
      </c>
      <c r="K963" s="33" t="s">
        <v>3427</v>
      </c>
      <c r="L963" s="33" t="s">
        <v>3428</v>
      </c>
      <c r="M963" s="33" t="s">
        <v>3429</v>
      </c>
      <c r="N963" s="44">
        <v>42161618</v>
      </c>
      <c r="O963" s="33" t="s">
        <v>3464</v>
      </c>
      <c r="P963" s="33" t="s">
        <v>3465</v>
      </c>
      <c r="Q963" s="34" t="s">
        <v>1494</v>
      </c>
      <c r="R963" s="34" t="s">
        <v>1494</v>
      </c>
    </row>
    <row r="964" spans="1:18" ht="15" customHeight="1" x14ac:dyDescent="0.25">
      <c r="A964" t="str">
        <f>IFERROR(RANK(B964,$B:$B,1)+COUNTIF($B$1:B963,B964),"")</f>
        <v/>
      </c>
      <c r="B964" t="str">
        <f>IFERROR(SEARCH(#REF!,Table4[[#This Row],[Commodity Title]],1),"")</f>
        <v/>
      </c>
      <c r="C964" s="35">
        <v>42161619</v>
      </c>
      <c r="D964" s="33" t="s">
        <v>1495</v>
      </c>
      <c r="E964" s="33" t="s">
        <v>1496</v>
      </c>
      <c r="F964" s="33" t="s">
        <v>1497</v>
      </c>
      <c r="G964" s="33" t="s">
        <v>3381</v>
      </c>
      <c r="H964" s="33" t="s">
        <v>3382</v>
      </c>
      <c r="I964" s="33" t="s">
        <v>3383</v>
      </c>
      <c r="J964" s="33">
        <v>115200</v>
      </c>
      <c r="K964" s="33" t="s">
        <v>3427</v>
      </c>
      <c r="L964" s="33" t="s">
        <v>3428</v>
      </c>
      <c r="M964" s="33" t="s">
        <v>3429</v>
      </c>
      <c r="N964" s="44">
        <v>42161619</v>
      </c>
      <c r="O964" s="33" t="s">
        <v>3466</v>
      </c>
      <c r="P964" s="33" t="s">
        <v>3467</v>
      </c>
      <c r="Q964" s="34" t="s">
        <v>1494</v>
      </c>
      <c r="R964" s="34" t="s">
        <v>1494</v>
      </c>
    </row>
    <row r="965" spans="1:18" ht="15" customHeight="1" x14ac:dyDescent="0.25">
      <c r="A965" t="str">
        <f>IFERROR(RANK(B965,$B:$B,1)+COUNTIF($B$1:B964,B965),"")</f>
        <v/>
      </c>
      <c r="B965" t="str">
        <f>IFERROR(SEARCH(#REF!,Table4[[#This Row],[Commodity Title]],1),"")</f>
        <v/>
      </c>
      <c r="C965" s="35">
        <v>42161620</v>
      </c>
      <c r="D965" s="33" t="s">
        <v>1495</v>
      </c>
      <c r="E965" s="33" t="s">
        <v>1496</v>
      </c>
      <c r="F965" s="33" t="s">
        <v>1497</v>
      </c>
      <c r="G965" s="33" t="s">
        <v>3381</v>
      </c>
      <c r="H965" s="33" t="s">
        <v>3382</v>
      </c>
      <c r="I965" s="33" t="s">
        <v>3383</v>
      </c>
      <c r="J965" s="33">
        <v>115201</v>
      </c>
      <c r="K965" s="33" t="s">
        <v>3427</v>
      </c>
      <c r="L965" s="33" t="s">
        <v>3428</v>
      </c>
      <c r="M965" s="33" t="s">
        <v>3429</v>
      </c>
      <c r="N965" s="44">
        <v>42161620</v>
      </c>
      <c r="O965" s="33" t="s">
        <v>3468</v>
      </c>
      <c r="P965" s="33" t="s">
        <v>3469</v>
      </c>
      <c r="Q965" s="34" t="s">
        <v>1494</v>
      </c>
      <c r="R965" s="34" t="s">
        <v>1494</v>
      </c>
    </row>
    <row r="966" spans="1:18" ht="15" customHeight="1" x14ac:dyDescent="0.25">
      <c r="A966" t="str">
        <f>IFERROR(RANK(B966,$B:$B,1)+COUNTIF($B$1:B965,B966),"")</f>
        <v/>
      </c>
      <c r="B966" t="str">
        <f>IFERROR(SEARCH(#REF!,Table4[[#This Row],[Commodity Title]],1),"")</f>
        <v/>
      </c>
      <c r="C966" s="35">
        <v>42161621</v>
      </c>
      <c r="D966" s="33" t="s">
        <v>1495</v>
      </c>
      <c r="E966" s="33" t="s">
        <v>1496</v>
      </c>
      <c r="F966" s="33" t="s">
        <v>1497</v>
      </c>
      <c r="G966" s="33" t="s">
        <v>3381</v>
      </c>
      <c r="H966" s="33" t="s">
        <v>3382</v>
      </c>
      <c r="I966" s="33" t="s">
        <v>3383</v>
      </c>
      <c r="J966" s="33">
        <v>115202</v>
      </c>
      <c r="K966" s="33" t="s">
        <v>3427</v>
      </c>
      <c r="L966" s="33" t="s">
        <v>3428</v>
      </c>
      <c r="M966" s="33" t="s">
        <v>3429</v>
      </c>
      <c r="N966" s="44">
        <v>42161621</v>
      </c>
      <c r="O966" s="33" t="s">
        <v>3470</v>
      </c>
      <c r="P966" s="33" t="s">
        <v>3471</v>
      </c>
      <c r="Q966" s="34" t="s">
        <v>1494</v>
      </c>
      <c r="R966" s="34" t="s">
        <v>1494</v>
      </c>
    </row>
    <row r="967" spans="1:18" ht="15" customHeight="1" x14ac:dyDescent="0.25">
      <c r="A967" t="str">
        <f>IFERROR(RANK(B967,$B:$B,1)+COUNTIF($B$1:B966,B967),"")</f>
        <v/>
      </c>
      <c r="B967" t="str">
        <f>IFERROR(SEARCH(#REF!,Table4[[#This Row],[Commodity Title]],1),"")</f>
        <v/>
      </c>
      <c r="C967" s="35">
        <v>42161622</v>
      </c>
      <c r="D967" s="33" t="s">
        <v>1495</v>
      </c>
      <c r="E967" s="33" t="s">
        <v>1496</v>
      </c>
      <c r="F967" s="33" t="s">
        <v>1497</v>
      </c>
      <c r="G967" s="33" t="s">
        <v>3381</v>
      </c>
      <c r="H967" s="33" t="s">
        <v>3382</v>
      </c>
      <c r="I967" s="33" t="s">
        <v>3383</v>
      </c>
      <c r="J967" s="33">
        <v>115203</v>
      </c>
      <c r="K967" s="33" t="s">
        <v>3427</v>
      </c>
      <c r="L967" s="33" t="s">
        <v>3428</v>
      </c>
      <c r="M967" s="33" t="s">
        <v>3429</v>
      </c>
      <c r="N967" s="44">
        <v>42161622</v>
      </c>
      <c r="O967" s="33" t="s">
        <v>3472</v>
      </c>
      <c r="P967" s="33" t="s">
        <v>3473</v>
      </c>
      <c r="Q967" s="34" t="s">
        <v>1494</v>
      </c>
      <c r="R967" s="34" t="s">
        <v>1494</v>
      </c>
    </row>
    <row r="968" spans="1:18" ht="15" customHeight="1" x14ac:dyDescent="0.25">
      <c r="A968" t="str">
        <f>IFERROR(RANK(B968,$B:$B,1)+COUNTIF($B$1:B967,B968),"")</f>
        <v/>
      </c>
      <c r="B968" t="str">
        <f>IFERROR(SEARCH(#REF!,Table4[[#This Row],[Commodity Title]],1),"")</f>
        <v/>
      </c>
      <c r="C968" s="35">
        <v>42161623</v>
      </c>
      <c r="D968" s="33" t="s">
        <v>1495</v>
      </c>
      <c r="E968" s="33" t="s">
        <v>1496</v>
      </c>
      <c r="F968" s="33" t="s">
        <v>1497</v>
      </c>
      <c r="G968" s="33" t="s">
        <v>3381</v>
      </c>
      <c r="H968" s="33" t="s">
        <v>3382</v>
      </c>
      <c r="I968" s="33" t="s">
        <v>3383</v>
      </c>
      <c r="J968" s="33">
        <v>115204</v>
      </c>
      <c r="K968" s="33" t="s">
        <v>3427</v>
      </c>
      <c r="L968" s="33" t="s">
        <v>3428</v>
      </c>
      <c r="M968" s="33" t="s">
        <v>3429</v>
      </c>
      <c r="N968" s="44">
        <v>42161623</v>
      </c>
      <c r="O968" s="33" t="s">
        <v>3474</v>
      </c>
      <c r="P968" s="33" t="s">
        <v>3475</v>
      </c>
      <c r="Q968" s="34" t="s">
        <v>1494</v>
      </c>
      <c r="R968" s="34" t="s">
        <v>1494</v>
      </c>
    </row>
    <row r="969" spans="1:18" ht="15" customHeight="1" x14ac:dyDescent="0.25">
      <c r="A969" t="str">
        <f>IFERROR(RANK(B969,$B:$B,1)+COUNTIF($B$1:B968,B969),"")</f>
        <v/>
      </c>
      <c r="B969" t="str">
        <f>IFERROR(SEARCH(#REF!,Table4[[#This Row],[Commodity Title]],1),"")</f>
        <v/>
      </c>
      <c r="C969" s="35">
        <v>42161624</v>
      </c>
      <c r="D969" s="33" t="s">
        <v>1495</v>
      </c>
      <c r="E969" s="33" t="s">
        <v>1496</v>
      </c>
      <c r="F969" s="33" t="s">
        <v>1497</v>
      </c>
      <c r="G969" s="33" t="s">
        <v>3381</v>
      </c>
      <c r="H969" s="33" t="s">
        <v>3382</v>
      </c>
      <c r="I969" s="33" t="s">
        <v>3383</v>
      </c>
      <c r="J969" s="33">
        <v>115205</v>
      </c>
      <c r="K969" s="33" t="s">
        <v>3427</v>
      </c>
      <c r="L969" s="33" t="s">
        <v>3428</v>
      </c>
      <c r="M969" s="33" t="s">
        <v>3429</v>
      </c>
      <c r="N969" s="44">
        <v>42161624</v>
      </c>
      <c r="O969" s="33" t="s">
        <v>3476</v>
      </c>
      <c r="P969" s="33" t="s">
        <v>3477</v>
      </c>
      <c r="Q969" s="34" t="s">
        <v>1494</v>
      </c>
      <c r="R969" s="34" t="s">
        <v>1494</v>
      </c>
    </row>
    <row r="970" spans="1:18" ht="15" customHeight="1" x14ac:dyDescent="0.25">
      <c r="A970" t="str">
        <f>IFERROR(RANK(B970,$B:$B,1)+COUNTIF($B$1:B969,B970),"")</f>
        <v/>
      </c>
      <c r="B970" t="str">
        <f>IFERROR(SEARCH(#REF!,Table4[[#This Row],[Commodity Title]],1),"")</f>
        <v/>
      </c>
      <c r="C970" s="35">
        <v>42161625</v>
      </c>
      <c r="D970" s="33" t="s">
        <v>1495</v>
      </c>
      <c r="E970" s="33" t="s">
        <v>1496</v>
      </c>
      <c r="F970" s="33" t="s">
        <v>1497</v>
      </c>
      <c r="G970" s="33" t="s">
        <v>3381</v>
      </c>
      <c r="H970" s="33" t="s">
        <v>3382</v>
      </c>
      <c r="I970" s="33" t="s">
        <v>3383</v>
      </c>
      <c r="J970" s="33">
        <v>115206</v>
      </c>
      <c r="K970" s="33" t="s">
        <v>3427</v>
      </c>
      <c r="L970" s="33" t="s">
        <v>3428</v>
      </c>
      <c r="M970" s="33" t="s">
        <v>3429</v>
      </c>
      <c r="N970" s="44">
        <v>42161625</v>
      </c>
      <c r="O970" s="33" t="s">
        <v>3478</v>
      </c>
      <c r="P970" s="33" t="s">
        <v>3479</v>
      </c>
      <c r="Q970" s="34" t="s">
        <v>1494</v>
      </c>
      <c r="R970" s="34" t="s">
        <v>1494</v>
      </c>
    </row>
    <row r="971" spans="1:18" ht="15" customHeight="1" x14ac:dyDescent="0.25">
      <c r="A971" t="str">
        <f>IFERROR(RANK(B971,$B:$B,1)+COUNTIF($B$1:B970,B971),"")</f>
        <v/>
      </c>
      <c r="B971" t="str">
        <f>IFERROR(SEARCH(#REF!,Table4[[#This Row],[Commodity Title]],1),"")</f>
        <v/>
      </c>
      <c r="C971" s="35">
        <v>42161627</v>
      </c>
      <c r="D971" s="33" t="s">
        <v>1495</v>
      </c>
      <c r="E971" s="33" t="s">
        <v>1496</v>
      </c>
      <c r="F971" s="33" t="s">
        <v>1497</v>
      </c>
      <c r="G971" s="33" t="s">
        <v>3381</v>
      </c>
      <c r="H971" s="33" t="s">
        <v>3382</v>
      </c>
      <c r="I971" s="33" t="s">
        <v>3383</v>
      </c>
      <c r="J971" s="33">
        <v>115208</v>
      </c>
      <c r="K971" s="33" t="s">
        <v>3427</v>
      </c>
      <c r="L971" s="33" t="s">
        <v>3428</v>
      </c>
      <c r="M971" s="33" t="s">
        <v>3429</v>
      </c>
      <c r="N971" s="44">
        <v>42161627</v>
      </c>
      <c r="O971" s="33" t="s">
        <v>3480</v>
      </c>
      <c r="P971" s="33" t="s">
        <v>3481</v>
      </c>
      <c r="Q971" s="34" t="s">
        <v>1494</v>
      </c>
      <c r="R971" s="34" t="s">
        <v>1494</v>
      </c>
    </row>
    <row r="972" spans="1:18" ht="15" customHeight="1" x14ac:dyDescent="0.25">
      <c r="A972" t="str">
        <f>IFERROR(RANK(B972,$B:$B,1)+COUNTIF($B$1:B971,B972),"")</f>
        <v/>
      </c>
      <c r="B972" t="str">
        <f>IFERROR(SEARCH(#REF!,Table4[[#This Row],[Commodity Title]],1),"")</f>
        <v/>
      </c>
      <c r="C972" s="35">
        <v>42161628</v>
      </c>
      <c r="D972" s="33" t="s">
        <v>1495</v>
      </c>
      <c r="E972" s="33" t="s">
        <v>1496</v>
      </c>
      <c r="F972" s="33" t="s">
        <v>1497</v>
      </c>
      <c r="G972" s="33" t="s">
        <v>3381</v>
      </c>
      <c r="H972" s="33" t="s">
        <v>3382</v>
      </c>
      <c r="I972" s="33" t="s">
        <v>3383</v>
      </c>
      <c r="J972" s="33">
        <v>115209</v>
      </c>
      <c r="K972" s="33" t="s">
        <v>3427</v>
      </c>
      <c r="L972" s="33" t="s">
        <v>3428</v>
      </c>
      <c r="M972" s="33" t="s">
        <v>3429</v>
      </c>
      <c r="N972" s="44">
        <v>42161628</v>
      </c>
      <c r="O972" s="33" t="s">
        <v>3482</v>
      </c>
      <c r="P972" s="33" t="s">
        <v>3483</v>
      </c>
      <c r="Q972" s="34" t="s">
        <v>1494</v>
      </c>
      <c r="R972" s="34" t="s">
        <v>1494</v>
      </c>
    </row>
    <row r="973" spans="1:18" ht="15" customHeight="1" x14ac:dyDescent="0.25">
      <c r="A973" t="str">
        <f>IFERROR(RANK(B973,$B:$B,1)+COUNTIF($B$1:B972,B973),"")</f>
        <v/>
      </c>
      <c r="B973" t="str">
        <f>IFERROR(SEARCH(#REF!,Table4[[#This Row],[Commodity Title]],1),"")</f>
        <v/>
      </c>
      <c r="C973" s="35">
        <v>42161629</v>
      </c>
      <c r="D973" s="33" t="s">
        <v>1495</v>
      </c>
      <c r="E973" s="33" t="s">
        <v>1496</v>
      </c>
      <c r="F973" s="33" t="s">
        <v>1497</v>
      </c>
      <c r="G973" s="33" t="s">
        <v>3381</v>
      </c>
      <c r="H973" s="33" t="s">
        <v>3382</v>
      </c>
      <c r="I973" s="33" t="s">
        <v>3383</v>
      </c>
      <c r="J973" s="33">
        <v>115210</v>
      </c>
      <c r="K973" s="33" t="s">
        <v>3427</v>
      </c>
      <c r="L973" s="33" t="s">
        <v>3428</v>
      </c>
      <c r="M973" s="33" t="s">
        <v>3429</v>
      </c>
      <c r="N973" s="44">
        <v>42161629</v>
      </c>
      <c r="O973" s="33" t="s">
        <v>3484</v>
      </c>
      <c r="P973" s="33" t="s">
        <v>3485</v>
      </c>
      <c r="Q973" s="34" t="s">
        <v>1494</v>
      </c>
      <c r="R973" s="34" t="s">
        <v>1494</v>
      </c>
    </row>
    <row r="974" spans="1:18" ht="15" customHeight="1" x14ac:dyDescent="0.25">
      <c r="A974" t="str">
        <f>IFERROR(RANK(B974,$B:$B,1)+COUNTIF($B$1:B973,B974),"")</f>
        <v/>
      </c>
      <c r="B974" t="str">
        <f>IFERROR(SEARCH(#REF!,Table4[[#This Row],[Commodity Title]],1),"")</f>
        <v/>
      </c>
      <c r="C974" s="35">
        <v>42161630</v>
      </c>
      <c r="D974" s="33" t="s">
        <v>1495</v>
      </c>
      <c r="E974" s="33" t="s">
        <v>1496</v>
      </c>
      <c r="F974" s="33" t="s">
        <v>1497</v>
      </c>
      <c r="G974" s="33" t="s">
        <v>3381</v>
      </c>
      <c r="H974" s="33" t="s">
        <v>3382</v>
      </c>
      <c r="I974" s="33" t="s">
        <v>3383</v>
      </c>
      <c r="J974" s="33">
        <v>115211</v>
      </c>
      <c r="K974" s="33" t="s">
        <v>3427</v>
      </c>
      <c r="L974" s="33" t="s">
        <v>3428</v>
      </c>
      <c r="M974" s="33" t="s">
        <v>3429</v>
      </c>
      <c r="N974" s="44">
        <v>42161630</v>
      </c>
      <c r="O974" s="33" t="s">
        <v>3486</v>
      </c>
      <c r="P974" s="33" t="s">
        <v>3487</v>
      </c>
      <c r="Q974" s="34" t="s">
        <v>1494</v>
      </c>
      <c r="R974" s="34" t="s">
        <v>1494</v>
      </c>
    </row>
    <row r="975" spans="1:18" ht="15" customHeight="1" x14ac:dyDescent="0.25">
      <c r="A975" t="str">
        <f>IFERROR(RANK(B975,$B:$B,1)+COUNTIF($B$1:B974,B975),"")</f>
        <v/>
      </c>
      <c r="B975" t="str">
        <f>IFERROR(SEARCH(#REF!,Table4[[#This Row],[Commodity Title]],1),"")</f>
        <v/>
      </c>
      <c r="C975" s="35">
        <v>42161631</v>
      </c>
      <c r="D975" s="33" t="s">
        <v>1495</v>
      </c>
      <c r="E975" s="33" t="s">
        <v>1496</v>
      </c>
      <c r="F975" s="33" t="s">
        <v>1497</v>
      </c>
      <c r="G975" s="33" t="s">
        <v>3381</v>
      </c>
      <c r="H975" s="33" t="s">
        <v>3382</v>
      </c>
      <c r="I975" s="33" t="s">
        <v>3383</v>
      </c>
      <c r="J975" s="33">
        <v>115212</v>
      </c>
      <c r="K975" s="33" t="s">
        <v>3427</v>
      </c>
      <c r="L975" s="33" t="s">
        <v>3428</v>
      </c>
      <c r="M975" s="33" t="s">
        <v>3429</v>
      </c>
      <c r="N975" s="44">
        <v>42161631</v>
      </c>
      <c r="O975" s="33" t="s">
        <v>3488</v>
      </c>
      <c r="P975" s="33" t="s">
        <v>3489</v>
      </c>
      <c r="Q975" s="34" t="s">
        <v>1494</v>
      </c>
      <c r="R975" s="34" t="s">
        <v>1494</v>
      </c>
    </row>
    <row r="976" spans="1:18" ht="15" customHeight="1" x14ac:dyDescent="0.25">
      <c r="A976" t="str">
        <f>IFERROR(RANK(B976,$B:$B,1)+COUNTIF($B$1:B975,B976),"")</f>
        <v/>
      </c>
      <c r="B976" t="str">
        <f>IFERROR(SEARCH(#REF!,Table4[[#This Row],[Commodity Title]],1),"")</f>
        <v/>
      </c>
      <c r="C976" s="35">
        <v>42161632</v>
      </c>
      <c r="D976" s="33" t="s">
        <v>1495</v>
      </c>
      <c r="E976" s="33" t="s">
        <v>1496</v>
      </c>
      <c r="F976" s="33" t="s">
        <v>1497</v>
      </c>
      <c r="G976" s="33" t="s">
        <v>3381</v>
      </c>
      <c r="H976" s="33" t="s">
        <v>3382</v>
      </c>
      <c r="I976" s="33" t="s">
        <v>3383</v>
      </c>
      <c r="J976" s="33">
        <v>115213</v>
      </c>
      <c r="K976" s="33" t="s">
        <v>3427</v>
      </c>
      <c r="L976" s="33" t="s">
        <v>3428</v>
      </c>
      <c r="M976" s="33" t="s">
        <v>3429</v>
      </c>
      <c r="N976" s="44">
        <v>42161632</v>
      </c>
      <c r="O976" s="33" t="s">
        <v>3490</v>
      </c>
      <c r="P976" s="33" t="s">
        <v>3491</v>
      </c>
      <c r="Q976" s="34" t="s">
        <v>1494</v>
      </c>
      <c r="R976" s="34" t="s">
        <v>1494</v>
      </c>
    </row>
    <row r="977" spans="1:18" ht="15" customHeight="1" x14ac:dyDescent="0.25">
      <c r="A977" t="str">
        <f>IFERROR(RANK(B977,$B:$B,1)+COUNTIF($B$1:B976,B977),"")</f>
        <v/>
      </c>
      <c r="B977" t="str">
        <f>IFERROR(SEARCH(#REF!,Table4[[#This Row],[Commodity Title]],1),"")</f>
        <v/>
      </c>
      <c r="C977" s="35">
        <v>42161633</v>
      </c>
      <c r="D977" s="33" t="s">
        <v>1495</v>
      </c>
      <c r="E977" s="33" t="s">
        <v>1496</v>
      </c>
      <c r="F977" s="33" t="s">
        <v>1497</v>
      </c>
      <c r="G977" s="33" t="s">
        <v>3381</v>
      </c>
      <c r="H977" s="33" t="s">
        <v>3382</v>
      </c>
      <c r="I977" s="33" t="s">
        <v>3383</v>
      </c>
      <c r="J977" s="33">
        <v>142446</v>
      </c>
      <c r="K977" s="33" t="s">
        <v>3427</v>
      </c>
      <c r="L977" s="33" t="s">
        <v>3428</v>
      </c>
      <c r="M977" s="33" t="s">
        <v>3429</v>
      </c>
      <c r="N977" s="44">
        <v>42161633</v>
      </c>
      <c r="O977" s="33" t="s">
        <v>3492</v>
      </c>
      <c r="P977" s="33" t="s">
        <v>3493</v>
      </c>
      <c r="Q977" s="34" t="s">
        <v>1494</v>
      </c>
      <c r="R977" s="34" t="s">
        <v>1494</v>
      </c>
    </row>
    <row r="978" spans="1:18" ht="15" customHeight="1" x14ac:dyDescent="0.25">
      <c r="A978" t="str">
        <f>IFERROR(RANK(B978,$B:$B,1)+COUNTIF($B$1:B977,B978),"")</f>
        <v/>
      </c>
      <c r="B978" t="str">
        <f>IFERROR(SEARCH(#REF!,Table4[[#This Row],[Commodity Title]],1),"")</f>
        <v/>
      </c>
      <c r="C978" s="35">
        <v>42161634</v>
      </c>
      <c r="D978" s="33" t="s">
        <v>1495</v>
      </c>
      <c r="E978" s="33" t="s">
        <v>1496</v>
      </c>
      <c r="F978" s="33" t="s">
        <v>1497</v>
      </c>
      <c r="G978" s="33" t="s">
        <v>3381</v>
      </c>
      <c r="H978" s="33" t="s">
        <v>3382</v>
      </c>
      <c r="I978" s="33" t="s">
        <v>3383</v>
      </c>
      <c r="J978" s="33">
        <v>142447</v>
      </c>
      <c r="K978" s="33" t="s">
        <v>3427</v>
      </c>
      <c r="L978" s="33" t="s">
        <v>3428</v>
      </c>
      <c r="M978" s="33" t="s">
        <v>3429</v>
      </c>
      <c r="N978" s="44">
        <v>42161634</v>
      </c>
      <c r="O978" s="33" t="s">
        <v>3494</v>
      </c>
      <c r="P978" s="33" t="s">
        <v>3495</v>
      </c>
      <c r="Q978" s="34" t="s">
        <v>1494</v>
      </c>
      <c r="R978" s="34" t="s">
        <v>1494</v>
      </c>
    </row>
    <row r="979" spans="1:18" ht="15" customHeight="1" x14ac:dyDescent="0.25">
      <c r="A979" t="str">
        <f>IFERROR(RANK(B979,$B:$B,1)+COUNTIF($B$1:B978,B979),"")</f>
        <v/>
      </c>
      <c r="B979" t="str">
        <f>IFERROR(SEARCH(#REF!,Table4[[#This Row],[Commodity Title]],1),"")</f>
        <v/>
      </c>
      <c r="C979" s="35">
        <v>42161635</v>
      </c>
      <c r="D979" s="33" t="s">
        <v>1495</v>
      </c>
      <c r="E979" s="33" t="s">
        <v>1496</v>
      </c>
      <c r="F979" s="33" t="s">
        <v>1497</v>
      </c>
      <c r="G979" s="33" t="s">
        <v>3381</v>
      </c>
      <c r="H979" s="33" t="s">
        <v>3382</v>
      </c>
      <c r="I979" s="33" t="s">
        <v>3383</v>
      </c>
      <c r="J979" s="33">
        <v>142448</v>
      </c>
      <c r="K979" s="33" t="s">
        <v>3427</v>
      </c>
      <c r="L979" s="33" t="s">
        <v>3428</v>
      </c>
      <c r="M979" s="33" t="s">
        <v>3429</v>
      </c>
      <c r="N979" s="44">
        <v>42161635</v>
      </c>
      <c r="O979" s="33" t="s">
        <v>3496</v>
      </c>
      <c r="P979" s="33" t="s">
        <v>3497</v>
      </c>
      <c r="Q979" s="34" t="s">
        <v>1494</v>
      </c>
      <c r="R979" s="34" t="s">
        <v>1494</v>
      </c>
    </row>
    <row r="980" spans="1:18" ht="15" customHeight="1" x14ac:dyDescent="0.25">
      <c r="A980" t="str">
        <f>IFERROR(RANK(B980,$B:$B,1)+COUNTIF($B$1:B979,B980),"")</f>
        <v/>
      </c>
      <c r="B980" t="str">
        <f>IFERROR(SEARCH(#REF!,Table4[[#This Row],[Commodity Title]],1),"")</f>
        <v/>
      </c>
      <c r="C980" s="35">
        <v>42161636</v>
      </c>
      <c r="D980" s="33" t="s">
        <v>1495</v>
      </c>
      <c r="E980" s="33" t="s">
        <v>1496</v>
      </c>
      <c r="F980" s="33" t="s">
        <v>1497</v>
      </c>
      <c r="G980" s="33" t="s">
        <v>3381</v>
      </c>
      <c r="H980" s="33" t="s">
        <v>3382</v>
      </c>
      <c r="I980" s="33" t="s">
        <v>3383</v>
      </c>
      <c r="J980" s="33">
        <v>202643</v>
      </c>
      <c r="K980" s="33" t="s">
        <v>3427</v>
      </c>
      <c r="L980" s="33" t="s">
        <v>3428</v>
      </c>
      <c r="M980" s="33" t="s">
        <v>3429</v>
      </c>
      <c r="N980" s="44">
        <v>42161636</v>
      </c>
      <c r="O980" s="33" t="s">
        <v>3498</v>
      </c>
      <c r="P980" s="33" t="s">
        <v>3499</v>
      </c>
      <c r="Q980" s="34" t="s">
        <v>1494</v>
      </c>
      <c r="R980" s="34" t="s">
        <v>1494</v>
      </c>
    </row>
    <row r="981" spans="1:18" ht="15" customHeight="1" x14ac:dyDescent="0.25">
      <c r="A981" t="str">
        <f>IFERROR(RANK(B981,$B:$B,1)+COUNTIF($B$1:B980,B981),"")</f>
        <v/>
      </c>
      <c r="B981" t="str">
        <f>IFERROR(SEARCH(#REF!,Table4[[#This Row],[Commodity Title]],1),"")</f>
        <v/>
      </c>
      <c r="C981" s="35">
        <v>42161637</v>
      </c>
      <c r="D981" s="33" t="s">
        <v>1495</v>
      </c>
      <c r="E981" s="33" t="s">
        <v>1496</v>
      </c>
      <c r="F981" s="33" t="s">
        <v>1497</v>
      </c>
      <c r="G981" s="33" t="s">
        <v>3381</v>
      </c>
      <c r="H981" s="33" t="s">
        <v>3382</v>
      </c>
      <c r="I981" s="33" t="s">
        <v>3383</v>
      </c>
      <c r="J981" s="33">
        <v>202644</v>
      </c>
      <c r="K981" s="33" t="s">
        <v>3427</v>
      </c>
      <c r="L981" s="33" t="s">
        <v>3428</v>
      </c>
      <c r="M981" s="33" t="s">
        <v>3429</v>
      </c>
      <c r="N981" s="44">
        <v>42161637</v>
      </c>
      <c r="O981" s="33" t="s">
        <v>3500</v>
      </c>
      <c r="P981" s="33" t="s">
        <v>3501</v>
      </c>
      <c r="Q981" s="34" t="s">
        <v>1494</v>
      </c>
      <c r="R981" s="34" t="s">
        <v>1494</v>
      </c>
    </row>
    <row r="982" spans="1:18" ht="15" customHeight="1" x14ac:dyDescent="0.25">
      <c r="A982" t="str">
        <f>IFERROR(RANK(B982,$B:$B,1)+COUNTIF($B$1:B981,B982),"")</f>
        <v/>
      </c>
      <c r="B982" t="str">
        <f>IFERROR(SEARCH(#REF!,Table4[[#This Row],[Commodity Title]],1),"")</f>
        <v/>
      </c>
      <c r="C982" s="35">
        <v>42161638</v>
      </c>
      <c r="D982" s="33" t="s">
        <v>1495</v>
      </c>
      <c r="E982" s="33" t="s">
        <v>1496</v>
      </c>
      <c r="F982" s="33" t="s">
        <v>1497</v>
      </c>
      <c r="G982" s="33" t="s">
        <v>3381</v>
      </c>
      <c r="H982" s="33" t="s">
        <v>3382</v>
      </c>
      <c r="I982" s="33" t="s">
        <v>3383</v>
      </c>
      <c r="J982" s="33">
        <v>202645</v>
      </c>
      <c r="K982" s="33" t="s">
        <v>3427</v>
      </c>
      <c r="L982" s="33" t="s">
        <v>3428</v>
      </c>
      <c r="M982" s="33" t="s">
        <v>3429</v>
      </c>
      <c r="N982" s="44">
        <v>42161638</v>
      </c>
      <c r="O982" s="33" t="s">
        <v>3502</v>
      </c>
      <c r="P982" s="33" t="s">
        <v>3503</v>
      </c>
      <c r="Q982" s="34" t="s">
        <v>1494</v>
      </c>
      <c r="R982" s="34" t="s">
        <v>1494</v>
      </c>
    </row>
    <row r="983" spans="1:18" ht="15" customHeight="1" x14ac:dyDescent="0.25">
      <c r="A983" t="str">
        <f>IFERROR(RANK(B983,$B:$B,1)+COUNTIF($B$1:B982,B983),"")</f>
        <v/>
      </c>
      <c r="B983" t="str">
        <f>IFERROR(SEARCH(#REF!,Table4[[#This Row],[Commodity Title]],1),"")</f>
        <v/>
      </c>
      <c r="C983" s="35">
        <v>42161639</v>
      </c>
      <c r="D983" s="33" t="s">
        <v>1495</v>
      </c>
      <c r="E983" s="33" t="s">
        <v>1496</v>
      </c>
      <c r="F983" s="33" t="s">
        <v>1497</v>
      </c>
      <c r="G983" s="33" t="s">
        <v>3381</v>
      </c>
      <c r="H983" s="33" t="s">
        <v>3382</v>
      </c>
      <c r="I983" s="33" t="s">
        <v>3383</v>
      </c>
      <c r="J983" s="33">
        <v>202646</v>
      </c>
      <c r="K983" s="33" t="s">
        <v>3427</v>
      </c>
      <c r="L983" s="33" t="s">
        <v>3428</v>
      </c>
      <c r="M983" s="33" t="s">
        <v>3429</v>
      </c>
      <c r="N983" s="44">
        <v>42161639</v>
      </c>
      <c r="O983" s="33" t="s">
        <v>3504</v>
      </c>
      <c r="P983" s="33" t="s">
        <v>3505</v>
      </c>
      <c r="Q983" s="34" t="s">
        <v>1494</v>
      </c>
      <c r="R983" s="34" t="s">
        <v>1494</v>
      </c>
    </row>
    <row r="984" spans="1:18" ht="15" customHeight="1" x14ac:dyDescent="0.25">
      <c r="A984" t="str">
        <f>IFERROR(RANK(B984,$B:$B,1)+COUNTIF($B$1:B983,B984),"")</f>
        <v/>
      </c>
      <c r="B984" t="str">
        <f>IFERROR(SEARCH(#REF!,Table4[[#This Row],[Commodity Title]],1),"")</f>
        <v/>
      </c>
      <c r="C984" s="35">
        <v>42161640</v>
      </c>
      <c r="D984" s="33" t="s">
        <v>1495</v>
      </c>
      <c r="E984" s="33" t="s">
        <v>1496</v>
      </c>
      <c r="F984" s="33" t="s">
        <v>1497</v>
      </c>
      <c r="G984" s="33" t="s">
        <v>3381</v>
      </c>
      <c r="H984" s="33" t="s">
        <v>3382</v>
      </c>
      <c r="I984" s="33" t="s">
        <v>3383</v>
      </c>
      <c r="J984" s="33">
        <v>202647</v>
      </c>
      <c r="K984" s="33" t="s">
        <v>3427</v>
      </c>
      <c r="L984" s="33" t="s">
        <v>3428</v>
      </c>
      <c r="M984" s="33" t="s">
        <v>3429</v>
      </c>
      <c r="N984" s="44">
        <v>42161640</v>
      </c>
      <c r="O984" s="33" t="s">
        <v>3506</v>
      </c>
      <c r="P984" s="33" t="s">
        <v>3507</v>
      </c>
      <c r="Q984" s="34" t="s">
        <v>1494</v>
      </c>
      <c r="R984" s="34" t="s">
        <v>1494</v>
      </c>
    </row>
    <row r="985" spans="1:18" ht="15" customHeight="1" x14ac:dyDescent="0.25">
      <c r="A985" t="str">
        <f>IFERROR(RANK(B985,$B:$B,1)+COUNTIF($B$1:B984,B985),"")</f>
        <v/>
      </c>
      <c r="B985" t="str">
        <f>IFERROR(SEARCH(#REF!,Table4[[#This Row],[Commodity Title]],1),"")</f>
        <v/>
      </c>
      <c r="C985" s="35">
        <v>42161641</v>
      </c>
      <c r="D985" s="33" t="s">
        <v>1495</v>
      </c>
      <c r="E985" s="33" t="s">
        <v>1496</v>
      </c>
      <c r="F985" s="33" t="s">
        <v>1497</v>
      </c>
      <c r="G985" s="33" t="s">
        <v>3381</v>
      </c>
      <c r="H985" s="33" t="s">
        <v>3382</v>
      </c>
      <c r="I985" s="33" t="s">
        <v>3383</v>
      </c>
      <c r="J985" s="33">
        <v>202648</v>
      </c>
      <c r="K985" s="33" t="s">
        <v>3427</v>
      </c>
      <c r="L985" s="33" t="s">
        <v>3428</v>
      </c>
      <c r="M985" s="33" t="s">
        <v>3429</v>
      </c>
      <c r="N985" s="44">
        <v>42161641</v>
      </c>
      <c r="O985" s="33" t="s">
        <v>3508</v>
      </c>
      <c r="P985" s="33" t="s">
        <v>3509</v>
      </c>
      <c r="Q985" s="34" t="s">
        <v>1494</v>
      </c>
      <c r="R985" s="34" t="s">
        <v>1494</v>
      </c>
    </row>
    <row r="986" spans="1:18" ht="15" customHeight="1" x14ac:dyDescent="0.25">
      <c r="A986" t="str">
        <f>IFERROR(RANK(B986,$B:$B,1)+COUNTIF($B$1:B985,B986),"")</f>
        <v/>
      </c>
      <c r="B986" t="str">
        <f>IFERROR(SEARCH(#REF!,Table4[[#This Row],[Commodity Title]],1),"")</f>
        <v/>
      </c>
      <c r="C986" s="35">
        <v>42161642</v>
      </c>
      <c r="D986" s="33" t="s">
        <v>1495</v>
      </c>
      <c r="E986" s="33" t="s">
        <v>1496</v>
      </c>
      <c r="F986" s="33" t="s">
        <v>1497</v>
      </c>
      <c r="G986" s="33" t="s">
        <v>3381</v>
      </c>
      <c r="H986" s="33" t="s">
        <v>3382</v>
      </c>
      <c r="I986" s="33" t="s">
        <v>3383</v>
      </c>
      <c r="J986" s="33">
        <v>202649</v>
      </c>
      <c r="K986" s="33" t="s">
        <v>3427</v>
      </c>
      <c r="L986" s="33" t="s">
        <v>3428</v>
      </c>
      <c r="M986" s="33" t="s">
        <v>3429</v>
      </c>
      <c r="N986" s="44">
        <v>42161642</v>
      </c>
      <c r="O986" s="33" t="s">
        <v>3510</v>
      </c>
      <c r="P986" s="33" t="s">
        <v>3511</v>
      </c>
      <c r="Q986" s="34" t="s">
        <v>1494</v>
      </c>
      <c r="R986" s="34" t="s">
        <v>1494</v>
      </c>
    </row>
    <row r="987" spans="1:18" ht="15" customHeight="1" x14ac:dyDescent="0.25">
      <c r="A987" t="str">
        <f>IFERROR(RANK(B987,$B:$B,1)+COUNTIF($B$1:B986,B987),"")</f>
        <v/>
      </c>
      <c r="B987" t="str">
        <f>IFERROR(SEARCH(#REF!,Table4[[#This Row],[Commodity Title]],1),"")</f>
        <v/>
      </c>
      <c r="C987" s="35">
        <v>42161643</v>
      </c>
      <c r="D987" s="33" t="s">
        <v>1495</v>
      </c>
      <c r="E987" s="33" t="s">
        <v>1496</v>
      </c>
      <c r="F987" s="33" t="s">
        <v>1497</v>
      </c>
      <c r="G987" s="33" t="s">
        <v>3381</v>
      </c>
      <c r="H987" s="33" t="s">
        <v>3382</v>
      </c>
      <c r="I987" s="33" t="s">
        <v>3383</v>
      </c>
      <c r="J987" s="33">
        <v>202650</v>
      </c>
      <c r="K987" s="33" t="s">
        <v>3427</v>
      </c>
      <c r="L987" s="33" t="s">
        <v>3428</v>
      </c>
      <c r="M987" s="33" t="s">
        <v>3429</v>
      </c>
      <c r="N987" s="44">
        <v>42161643</v>
      </c>
      <c r="O987" s="33" t="s">
        <v>3512</v>
      </c>
      <c r="P987" s="33" t="s">
        <v>3513</v>
      </c>
      <c r="Q987" s="34" t="s">
        <v>1494</v>
      </c>
      <c r="R987" s="34" t="s">
        <v>1494</v>
      </c>
    </row>
    <row r="988" spans="1:18" ht="15" customHeight="1" x14ac:dyDescent="0.25">
      <c r="A988" t="str">
        <f>IFERROR(RANK(B988,$B:$B,1)+COUNTIF($B$1:B987,B988),"")</f>
        <v/>
      </c>
      <c r="B988" t="str">
        <f>IFERROR(SEARCH(#REF!,Table4[[#This Row],[Commodity Title]],1),"")</f>
        <v/>
      </c>
      <c r="C988" s="35">
        <v>42161644</v>
      </c>
      <c r="D988" s="33" t="s">
        <v>1495</v>
      </c>
      <c r="E988" s="33" t="s">
        <v>1496</v>
      </c>
      <c r="F988" s="33" t="s">
        <v>1497</v>
      </c>
      <c r="G988" s="33" t="s">
        <v>3381</v>
      </c>
      <c r="H988" s="33" t="s">
        <v>3382</v>
      </c>
      <c r="I988" s="33" t="s">
        <v>3383</v>
      </c>
      <c r="J988" s="33">
        <v>202651</v>
      </c>
      <c r="K988" s="33" t="s">
        <v>3427</v>
      </c>
      <c r="L988" s="33" t="s">
        <v>3428</v>
      </c>
      <c r="M988" s="33" t="s">
        <v>3429</v>
      </c>
      <c r="N988" s="44">
        <v>42161644</v>
      </c>
      <c r="O988" s="33" t="s">
        <v>3514</v>
      </c>
      <c r="P988" s="33" t="s">
        <v>3515</v>
      </c>
      <c r="Q988" s="34" t="s">
        <v>1494</v>
      </c>
      <c r="R988" s="34" t="s">
        <v>1494</v>
      </c>
    </row>
    <row r="989" spans="1:18" ht="15" customHeight="1" x14ac:dyDescent="0.25">
      <c r="A989" t="str">
        <f>IFERROR(RANK(B989,$B:$B,1)+COUNTIF($B$1:B988,B989),"")</f>
        <v/>
      </c>
      <c r="B989" t="str">
        <f>IFERROR(SEARCH(#REF!,Table4[[#This Row],[Commodity Title]],1),"")</f>
        <v/>
      </c>
      <c r="C989" s="35">
        <v>42161645</v>
      </c>
      <c r="D989" s="33" t="s">
        <v>1495</v>
      </c>
      <c r="E989" s="33" t="s">
        <v>1496</v>
      </c>
      <c r="F989" s="33" t="s">
        <v>1497</v>
      </c>
      <c r="G989" s="33" t="s">
        <v>3381</v>
      </c>
      <c r="H989" s="33" t="s">
        <v>3382</v>
      </c>
      <c r="I989" s="33" t="s">
        <v>3383</v>
      </c>
      <c r="J989" s="33">
        <v>202652</v>
      </c>
      <c r="K989" s="33" t="s">
        <v>3427</v>
      </c>
      <c r="L989" s="33" t="s">
        <v>3428</v>
      </c>
      <c r="M989" s="33" t="s">
        <v>3429</v>
      </c>
      <c r="N989" s="44">
        <v>42161645</v>
      </c>
      <c r="O989" s="33" t="s">
        <v>3516</v>
      </c>
      <c r="P989" s="33" t="s">
        <v>3517</v>
      </c>
      <c r="Q989" s="34" t="s">
        <v>1494</v>
      </c>
      <c r="R989" s="34" t="s">
        <v>1494</v>
      </c>
    </row>
    <row r="990" spans="1:18" ht="15" customHeight="1" x14ac:dyDescent="0.25">
      <c r="A990" t="str">
        <f>IFERROR(RANK(B990,$B:$B,1)+COUNTIF($B$1:B989,B990),"")</f>
        <v/>
      </c>
      <c r="B990" t="str">
        <f>IFERROR(SEARCH(#REF!,Table4[[#This Row],[Commodity Title]],1),"")</f>
        <v/>
      </c>
      <c r="C990" s="35">
        <v>42161646</v>
      </c>
      <c r="D990" s="33" t="s">
        <v>1495</v>
      </c>
      <c r="E990" s="33" t="s">
        <v>1496</v>
      </c>
      <c r="F990" s="33" t="s">
        <v>1497</v>
      </c>
      <c r="G990" s="33" t="s">
        <v>3381</v>
      </c>
      <c r="H990" s="33" t="s">
        <v>3382</v>
      </c>
      <c r="I990" s="33" t="s">
        <v>3383</v>
      </c>
      <c r="J990" s="33">
        <v>202653</v>
      </c>
      <c r="K990" s="33" t="s">
        <v>3427</v>
      </c>
      <c r="L990" s="33" t="s">
        <v>3428</v>
      </c>
      <c r="M990" s="33" t="s">
        <v>3429</v>
      </c>
      <c r="N990" s="44">
        <v>42161646</v>
      </c>
      <c r="O990" s="33" t="s">
        <v>3518</v>
      </c>
      <c r="P990" s="33" t="s">
        <v>3519</v>
      </c>
      <c r="Q990" s="34" t="s">
        <v>1494</v>
      </c>
      <c r="R990" s="34" t="s">
        <v>1494</v>
      </c>
    </row>
    <row r="991" spans="1:18" ht="15" customHeight="1" x14ac:dyDescent="0.25">
      <c r="A991" t="str">
        <f>IFERROR(RANK(B991,$B:$B,1)+COUNTIF($B$1:B990,B991),"")</f>
        <v/>
      </c>
      <c r="B991" t="str">
        <f>IFERROR(SEARCH(#REF!,Table4[[#This Row],[Commodity Title]],1),"")</f>
        <v/>
      </c>
      <c r="C991" s="35">
        <v>42161647</v>
      </c>
      <c r="D991" s="33" t="s">
        <v>1495</v>
      </c>
      <c r="E991" s="33" t="s">
        <v>1496</v>
      </c>
      <c r="F991" s="33" t="s">
        <v>1497</v>
      </c>
      <c r="G991" s="33" t="s">
        <v>3381</v>
      </c>
      <c r="H991" s="33" t="s">
        <v>3382</v>
      </c>
      <c r="I991" s="33" t="s">
        <v>3383</v>
      </c>
      <c r="J991" s="33">
        <v>202654</v>
      </c>
      <c r="K991" s="33" t="s">
        <v>3427</v>
      </c>
      <c r="L991" s="33" t="s">
        <v>3428</v>
      </c>
      <c r="M991" s="33" t="s">
        <v>3429</v>
      </c>
      <c r="N991" s="44">
        <v>42161647</v>
      </c>
      <c r="O991" s="33" t="s">
        <v>3520</v>
      </c>
      <c r="P991" s="33" t="s">
        <v>3521</v>
      </c>
      <c r="Q991" s="34" t="s">
        <v>1494</v>
      </c>
      <c r="R991" s="34" t="s">
        <v>1494</v>
      </c>
    </row>
    <row r="992" spans="1:18" ht="15" customHeight="1" x14ac:dyDescent="0.25">
      <c r="A992" t="str">
        <f>IFERROR(RANK(B992,$B:$B,1)+COUNTIF($B$1:B991,B992),"")</f>
        <v/>
      </c>
      <c r="B992" t="str">
        <f>IFERROR(SEARCH(#REF!,Table4[[#This Row],[Commodity Title]],1),"")</f>
        <v/>
      </c>
      <c r="C992" s="35">
        <v>42161648</v>
      </c>
      <c r="D992" s="33" t="s">
        <v>1495</v>
      </c>
      <c r="E992" s="33" t="s">
        <v>1496</v>
      </c>
      <c r="F992" s="33" t="s">
        <v>1497</v>
      </c>
      <c r="G992" s="33" t="s">
        <v>3381</v>
      </c>
      <c r="H992" s="33" t="s">
        <v>3382</v>
      </c>
      <c r="I992" s="33" t="s">
        <v>3383</v>
      </c>
      <c r="J992" s="33">
        <v>202655</v>
      </c>
      <c r="K992" s="33" t="s">
        <v>3427</v>
      </c>
      <c r="L992" s="33" t="s">
        <v>3428</v>
      </c>
      <c r="M992" s="33" t="s">
        <v>3429</v>
      </c>
      <c r="N992" s="44">
        <v>42161648</v>
      </c>
      <c r="O992" s="33" t="s">
        <v>3522</v>
      </c>
      <c r="P992" s="33" t="s">
        <v>3523</v>
      </c>
      <c r="Q992" s="34" t="s">
        <v>1494</v>
      </c>
      <c r="R992" s="34" t="s">
        <v>1494</v>
      </c>
    </row>
    <row r="993" spans="1:18" ht="15" customHeight="1" x14ac:dyDescent="0.25">
      <c r="A993" t="str">
        <f>IFERROR(RANK(B993,$B:$B,1)+COUNTIF($B$1:B992,B993),"")</f>
        <v/>
      </c>
      <c r="B993" t="str">
        <f>IFERROR(SEARCH(#REF!,Table4[[#This Row],[Commodity Title]],1),"")</f>
        <v/>
      </c>
      <c r="C993" s="35">
        <v>42161649</v>
      </c>
      <c r="D993" s="33" t="s">
        <v>1495</v>
      </c>
      <c r="E993" s="33" t="s">
        <v>1496</v>
      </c>
      <c r="F993" s="33" t="s">
        <v>1497</v>
      </c>
      <c r="G993" s="33" t="s">
        <v>3381</v>
      </c>
      <c r="H993" s="33" t="s">
        <v>3382</v>
      </c>
      <c r="I993" s="33" t="s">
        <v>3383</v>
      </c>
      <c r="J993" s="33">
        <v>202656</v>
      </c>
      <c r="K993" s="33" t="s">
        <v>3427</v>
      </c>
      <c r="L993" s="33" t="s">
        <v>3428</v>
      </c>
      <c r="M993" s="33" t="s">
        <v>3429</v>
      </c>
      <c r="N993" s="44">
        <v>42161649</v>
      </c>
      <c r="O993" s="33" t="s">
        <v>3524</v>
      </c>
      <c r="P993" s="33" t="s">
        <v>3525</v>
      </c>
      <c r="Q993" s="34" t="s">
        <v>1494</v>
      </c>
      <c r="R993" s="34" t="s">
        <v>1494</v>
      </c>
    </row>
    <row r="994" spans="1:18" ht="15" customHeight="1" x14ac:dyDescent="0.25">
      <c r="A994" t="str">
        <f>IFERROR(RANK(B994,$B:$B,1)+COUNTIF($B$1:B993,B994),"")</f>
        <v/>
      </c>
      <c r="B994" t="str">
        <f>IFERROR(SEARCH(#REF!,Table4[[#This Row],[Commodity Title]],1),"")</f>
        <v/>
      </c>
      <c r="C994" s="35">
        <v>42161650</v>
      </c>
      <c r="D994" s="33" t="s">
        <v>1495</v>
      </c>
      <c r="E994" s="33" t="s">
        <v>1496</v>
      </c>
      <c r="F994" s="33" t="s">
        <v>1497</v>
      </c>
      <c r="G994" s="33" t="s">
        <v>3381</v>
      </c>
      <c r="H994" s="33" t="s">
        <v>3382</v>
      </c>
      <c r="I994" s="33" t="s">
        <v>3383</v>
      </c>
      <c r="J994" s="33">
        <v>202657</v>
      </c>
      <c r="K994" s="33" t="s">
        <v>3427</v>
      </c>
      <c r="L994" s="33" t="s">
        <v>3428</v>
      </c>
      <c r="M994" s="33" t="s">
        <v>3429</v>
      </c>
      <c r="N994" s="44">
        <v>42161650</v>
      </c>
      <c r="O994" s="33" t="s">
        <v>3526</v>
      </c>
      <c r="P994" s="33" t="s">
        <v>3527</v>
      </c>
      <c r="Q994" s="34" t="s">
        <v>1494</v>
      </c>
      <c r="R994" s="34" t="s">
        <v>1494</v>
      </c>
    </row>
    <row r="995" spans="1:18" ht="15" customHeight="1" x14ac:dyDescent="0.25">
      <c r="A995" t="str">
        <f>IFERROR(RANK(B995,$B:$B,1)+COUNTIF($B$1:B994,B995),"")</f>
        <v/>
      </c>
      <c r="B995" t="str">
        <f>IFERROR(SEARCH(#REF!,Table4[[#This Row],[Commodity Title]],1),"")</f>
        <v/>
      </c>
      <c r="C995" s="35">
        <v>42161651</v>
      </c>
      <c r="D995" s="33" t="s">
        <v>1495</v>
      </c>
      <c r="E995" s="33" t="s">
        <v>1496</v>
      </c>
      <c r="F995" s="33" t="s">
        <v>1497</v>
      </c>
      <c r="G995" s="33" t="s">
        <v>3381</v>
      </c>
      <c r="H995" s="33" t="s">
        <v>3382</v>
      </c>
      <c r="I995" s="33" t="s">
        <v>3383</v>
      </c>
      <c r="J995" s="33">
        <v>202658</v>
      </c>
      <c r="K995" s="33" t="s">
        <v>3427</v>
      </c>
      <c r="L995" s="33" t="s">
        <v>3428</v>
      </c>
      <c r="M995" s="33" t="s">
        <v>3429</v>
      </c>
      <c r="N995" s="44">
        <v>42161651</v>
      </c>
      <c r="O995" s="33" t="s">
        <v>3528</v>
      </c>
      <c r="P995" s="33" t="s">
        <v>3529</v>
      </c>
      <c r="Q995" s="34" t="s">
        <v>1494</v>
      </c>
      <c r="R995" s="34" t="s">
        <v>1494</v>
      </c>
    </row>
    <row r="996" spans="1:18" ht="15" customHeight="1" x14ac:dyDescent="0.25">
      <c r="A996" t="str">
        <f>IFERROR(RANK(B996,$B:$B,1)+COUNTIF($B$1:B995,B996),"")</f>
        <v/>
      </c>
      <c r="B996" t="str">
        <f>IFERROR(SEARCH(#REF!,Table4[[#This Row],[Commodity Title]],1),"")</f>
        <v/>
      </c>
      <c r="C996" s="35">
        <v>42161652</v>
      </c>
      <c r="D996" s="33" t="s">
        <v>1495</v>
      </c>
      <c r="E996" s="33" t="s">
        <v>1496</v>
      </c>
      <c r="F996" s="33" t="s">
        <v>1497</v>
      </c>
      <c r="G996" s="33" t="s">
        <v>3381</v>
      </c>
      <c r="H996" s="33" t="s">
        <v>3382</v>
      </c>
      <c r="I996" s="33" t="s">
        <v>3383</v>
      </c>
      <c r="J996" s="33">
        <v>202659</v>
      </c>
      <c r="K996" s="33" t="s">
        <v>3427</v>
      </c>
      <c r="L996" s="33" t="s">
        <v>3428</v>
      </c>
      <c r="M996" s="33" t="s">
        <v>3429</v>
      </c>
      <c r="N996" s="44">
        <v>42161652</v>
      </c>
      <c r="O996" s="33" t="s">
        <v>3530</v>
      </c>
      <c r="P996" s="33" t="s">
        <v>3531</v>
      </c>
      <c r="Q996" s="34" t="s">
        <v>1494</v>
      </c>
      <c r="R996" s="34" t="s">
        <v>1494</v>
      </c>
    </row>
    <row r="997" spans="1:18" ht="15" customHeight="1" x14ac:dyDescent="0.25">
      <c r="A997" t="str">
        <f>IFERROR(RANK(B997,$B:$B,1)+COUNTIF($B$1:B996,B997),"")</f>
        <v/>
      </c>
      <c r="B997" t="str">
        <f>IFERROR(SEARCH(#REF!,Table4[[#This Row],[Commodity Title]],1),"")</f>
        <v/>
      </c>
      <c r="C997" s="35">
        <v>42161653</v>
      </c>
      <c r="D997" s="33" t="s">
        <v>1495</v>
      </c>
      <c r="E997" s="33" t="s">
        <v>1496</v>
      </c>
      <c r="F997" s="33" t="s">
        <v>1497</v>
      </c>
      <c r="G997" s="33" t="s">
        <v>3381</v>
      </c>
      <c r="H997" s="33" t="s">
        <v>3382</v>
      </c>
      <c r="I997" s="33" t="s">
        <v>3383</v>
      </c>
      <c r="J997" s="33">
        <v>202660</v>
      </c>
      <c r="K997" s="33" t="s">
        <v>3427</v>
      </c>
      <c r="L997" s="33" t="s">
        <v>3428</v>
      </c>
      <c r="M997" s="33" t="s">
        <v>3429</v>
      </c>
      <c r="N997" s="44">
        <v>42161653</v>
      </c>
      <c r="O997" s="33" t="s">
        <v>3532</v>
      </c>
      <c r="P997" s="33" t="s">
        <v>3533</v>
      </c>
      <c r="Q997" s="34" t="s">
        <v>1494</v>
      </c>
      <c r="R997" s="34" t="s">
        <v>1494</v>
      </c>
    </row>
    <row r="998" spans="1:18" ht="15" customHeight="1" x14ac:dyDescent="0.25">
      <c r="A998" t="str">
        <f>IFERROR(RANK(B998,$B:$B,1)+COUNTIF($B$1:B997,B998),"")</f>
        <v/>
      </c>
      <c r="B998" t="str">
        <f>IFERROR(SEARCH(#REF!,Table4[[#This Row],[Commodity Title]],1),"")</f>
        <v/>
      </c>
      <c r="C998" s="35">
        <v>42161654</v>
      </c>
      <c r="D998" s="33" t="s">
        <v>1495</v>
      </c>
      <c r="E998" s="33" t="s">
        <v>1496</v>
      </c>
      <c r="F998" s="33" t="s">
        <v>1497</v>
      </c>
      <c r="G998" s="33" t="s">
        <v>3381</v>
      </c>
      <c r="H998" s="33" t="s">
        <v>3382</v>
      </c>
      <c r="I998" s="33" t="s">
        <v>3383</v>
      </c>
      <c r="J998" s="33">
        <v>202661</v>
      </c>
      <c r="K998" s="33" t="s">
        <v>3427</v>
      </c>
      <c r="L998" s="33" t="s">
        <v>3428</v>
      </c>
      <c r="M998" s="33" t="s">
        <v>3429</v>
      </c>
      <c r="N998" s="44">
        <v>42161654</v>
      </c>
      <c r="O998" s="33" t="s">
        <v>3534</v>
      </c>
      <c r="P998" s="33" t="s">
        <v>3535</v>
      </c>
      <c r="Q998" s="34" t="s">
        <v>1494</v>
      </c>
      <c r="R998" s="34" t="s">
        <v>1494</v>
      </c>
    </row>
    <row r="999" spans="1:18" ht="15" customHeight="1" x14ac:dyDescent="0.25">
      <c r="A999" t="str">
        <f>IFERROR(RANK(B999,$B:$B,1)+COUNTIF($B$1:B998,B999),"")</f>
        <v/>
      </c>
      <c r="B999" t="str">
        <f>IFERROR(SEARCH(#REF!,Table4[[#This Row],[Commodity Title]],1),"")</f>
        <v/>
      </c>
      <c r="C999" s="35">
        <v>42161655</v>
      </c>
      <c r="D999" s="33" t="s">
        <v>1495</v>
      </c>
      <c r="E999" s="33" t="s">
        <v>1496</v>
      </c>
      <c r="F999" s="33" t="s">
        <v>1497</v>
      </c>
      <c r="G999" s="33" t="s">
        <v>3381</v>
      </c>
      <c r="H999" s="33" t="s">
        <v>3382</v>
      </c>
      <c r="I999" s="33" t="s">
        <v>3383</v>
      </c>
      <c r="J999" s="33">
        <v>202662</v>
      </c>
      <c r="K999" s="33" t="s">
        <v>3427</v>
      </c>
      <c r="L999" s="33" t="s">
        <v>3428</v>
      </c>
      <c r="M999" s="33" t="s">
        <v>3429</v>
      </c>
      <c r="N999" s="44">
        <v>42161655</v>
      </c>
      <c r="O999" s="33" t="s">
        <v>3536</v>
      </c>
      <c r="P999" s="33" t="s">
        <v>3537</v>
      </c>
      <c r="Q999" s="34" t="s">
        <v>1494</v>
      </c>
      <c r="R999" s="34" t="s">
        <v>1494</v>
      </c>
    </row>
    <row r="1000" spans="1:18" ht="15" customHeight="1" x14ac:dyDescent="0.25">
      <c r="A1000" t="str">
        <f>IFERROR(RANK(B1000,$B:$B,1)+COUNTIF($B$1:B999,B1000),"")</f>
        <v/>
      </c>
      <c r="B1000" t="str">
        <f>IFERROR(SEARCH(#REF!,Table4[[#This Row],[Commodity Title]],1),"")</f>
        <v/>
      </c>
      <c r="C1000" s="35">
        <v>42161656</v>
      </c>
      <c r="D1000" s="33" t="s">
        <v>1495</v>
      </c>
      <c r="E1000" s="33" t="s">
        <v>1496</v>
      </c>
      <c r="F1000" s="33" t="s">
        <v>1497</v>
      </c>
      <c r="G1000" s="33" t="s">
        <v>3381</v>
      </c>
      <c r="H1000" s="33" t="s">
        <v>3382</v>
      </c>
      <c r="I1000" s="33" t="s">
        <v>3383</v>
      </c>
      <c r="J1000" s="33">
        <v>202663</v>
      </c>
      <c r="K1000" s="33" t="s">
        <v>3427</v>
      </c>
      <c r="L1000" s="33" t="s">
        <v>3428</v>
      </c>
      <c r="M1000" s="33" t="s">
        <v>3429</v>
      </c>
      <c r="N1000" s="44">
        <v>42161656</v>
      </c>
      <c r="O1000" s="33" t="s">
        <v>3538</v>
      </c>
      <c r="P1000" s="33" t="s">
        <v>3539</v>
      </c>
      <c r="Q1000" s="34" t="s">
        <v>1494</v>
      </c>
      <c r="R1000" s="34" t="s">
        <v>1494</v>
      </c>
    </row>
    <row r="1001" spans="1:18" ht="15" customHeight="1" x14ac:dyDescent="0.25">
      <c r="A1001" t="str">
        <f>IFERROR(RANK(B1001,$B:$B,1)+COUNTIF($B$1:B1000,B1001),"")</f>
        <v/>
      </c>
      <c r="B1001" t="str">
        <f>IFERROR(SEARCH(#REF!,Table4[[#This Row],[Commodity Title]],1),"")</f>
        <v/>
      </c>
      <c r="C1001" s="35">
        <v>42161657</v>
      </c>
      <c r="D1001" s="33" t="s">
        <v>1495</v>
      </c>
      <c r="E1001" s="33" t="s">
        <v>1496</v>
      </c>
      <c r="F1001" s="33" t="s">
        <v>1497</v>
      </c>
      <c r="G1001" s="33" t="s">
        <v>3381</v>
      </c>
      <c r="H1001" s="33" t="s">
        <v>3382</v>
      </c>
      <c r="I1001" s="33" t="s">
        <v>3383</v>
      </c>
      <c r="J1001" s="33">
        <v>202664</v>
      </c>
      <c r="K1001" s="33" t="s">
        <v>3427</v>
      </c>
      <c r="L1001" s="33" t="s">
        <v>3428</v>
      </c>
      <c r="M1001" s="33" t="s">
        <v>3429</v>
      </c>
      <c r="N1001" s="44">
        <v>42161657</v>
      </c>
      <c r="O1001" s="33" t="s">
        <v>3540</v>
      </c>
      <c r="P1001" s="33" t="s">
        <v>3541</v>
      </c>
      <c r="Q1001" s="34" t="s">
        <v>1494</v>
      </c>
      <c r="R1001" s="34" t="s">
        <v>1494</v>
      </c>
    </row>
    <row r="1002" spans="1:18" ht="15" customHeight="1" x14ac:dyDescent="0.25">
      <c r="A1002" t="str">
        <f>IFERROR(RANK(B1002,$B:$B,1)+COUNTIF($B$1:B1001,B1002),"")</f>
        <v/>
      </c>
      <c r="B1002" t="str">
        <f>IFERROR(SEARCH(#REF!,Table4[[#This Row],[Commodity Title]],1),"")</f>
        <v/>
      </c>
      <c r="C1002" s="35">
        <v>42161658</v>
      </c>
      <c r="D1002" s="33" t="s">
        <v>1495</v>
      </c>
      <c r="E1002" s="33" t="s">
        <v>1496</v>
      </c>
      <c r="F1002" s="33" t="s">
        <v>1497</v>
      </c>
      <c r="G1002" s="33" t="s">
        <v>3381</v>
      </c>
      <c r="H1002" s="33" t="s">
        <v>3382</v>
      </c>
      <c r="I1002" s="33" t="s">
        <v>3383</v>
      </c>
      <c r="J1002" s="33">
        <v>202665</v>
      </c>
      <c r="K1002" s="33" t="s">
        <v>3427</v>
      </c>
      <c r="L1002" s="33" t="s">
        <v>3428</v>
      </c>
      <c r="M1002" s="33" t="s">
        <v>3429</v>
      </c>
      <c r="N1002" s="44">
        <v>42161658</v>
      </c>
      <c r="O1002" s="33" t="s">
        <v>3542</v>
      </c>
      <c r="P1002" s="33" t="s">
        <v>3543</v>
      </c>
      <c r="Q1002" s="34" t="s">
        <v>1494</v>
      </c>
      <c r="R1002" s="34" t="s">
        <v>1494</v>
      </c>
    </row>
    <row r="1003" spans="1:18" ht="15" customHeight="1" x14ac:dyDescent="0.25">
      <c r="A1003" t="str">
        <f>IFERROR(RANK(B1003,$B:$B,1)+COUNTIF($B$1:B1002,B1003),"")</f>
        <v/>
      </c>
      <c r="B1003" t="str">
        <f>IFERROR(SEARCH(#REF!,Table4[[#This Row],[Commodity Title]],1),"")</f>
        <v/>
      </c>
      <c r="C1003" s="35">
        <v>42161659</v>
      </c>
      <c r="D1003" s="33" t="s">
        <v>1495</v>
      </c>
      <c r="E1003" s="33" t="s">
        <v>1496</v>
      </c>
      <c r="F1003" s="33" t="s">
        <v>1497</v>
      </c>
      <c r="G1003" s="33" t="s">
        <v>3381</v>
      </c>
      <c r="H1003" s="33" t="s">
        <v>3382</v>
      </c>
      <c r="I1003" s="33" t="s">
        <v>3383</v>
      </c>
      <c r="J1003" s="33">
        <v>176721</v>
      </c>
      <c r="K1003" s="33" t="s">
        <v>3427</v>
      </c>
      <c r="L1003" s="33" t="s">
        <v>3428</v>
      </c>
      <c r="M1003" s="33" t="s">
        <v>3429</v>
      </c>
      <c r="N1003" s="44">
        <v>42161659</v>
      </c>
      <c r="O1003" s="33" t="s">
        <v>3544</v>
      </c>
      <c r="P1003" s="33" t="s">
        <v>3545</v>
      </c>
      <c r="Q1003" s="34" t="s">
        <v>1494</v>
      </c>
      <c r="R1003" s="34" t="s">
        <v>1494</v>
      </c>
    </row>
    <row r="1004" spans="1:18" ht="15" customHeight="1" x14ac:dyDescent="0.25">
      <c r="A1004" t="str">
        <f>IFERROR(RANK(B1004,$B:$B,1)+COUNTIF($B$1:B1003,B1004),"")</f>
        <v/>
      </c>
      <c r="B1004" t="str">
        <f>IFERROR(SEARCH(#REF!,Table4[[#This Row],[Commodity Title]],1),"")</f>
        <v/>
      </c>
      <c r="C1004" s="35">
        <v>42161660</v>
      </c>
      <c r="D1004" s="33" t="s">
        <v>1495</v>
      </c>
      <c r="E1004" s="33" t="s">
        <v>1496</v>
      </c>
      <c r="F1004" s="33" t="s">
        <v>1497</v>
      </c>
      <c r="G1004" s="33" t="s">
        <v>3381</v>
      </c>
      <c r="H1004" s="33" t="s">
        <v>3382</v>
      </c>
      <c r="I1004" s="33" t="s">
        <v>3383</v>
      </c>
      <c r="J1004" s="33">
        <v>208415</v>
      </c>
      <c r="K1004" s="33" t="s">
        <v>3427</v>
      </c>
      <c r="L1004" s="33" t="s">
        <v>3428</v>
      </c>
      <c r="M1004" s="33" t="s">
        <v>3429</v>
      </c>
      <c r="N1004" s="44">
        <v>42161660</v>
      </c>
      <c r="O1004" s="33" t="s">
        <v>3546</v>
      </c>
      <c r="P1004" s="33" t="s">
        <v>3547</v>
      </c>
      <c r="Q1004" s="34" t="s">
        <v>1494</v>
      </c>
      <c r="R1004" s="34" t="s">
        <v>1494</v>
      </c>
    </row>
    <row r="1005" spans="1:18" ht="15" customHeight="1" x14ac:dyDescent="0.25">
      <c r="A1005" t="str">
        <f>IFERROR(RANK(B1005,$B:$B,1)+COUNTIF($B$1:B1004,B1005),"")</f>
        <v/>
      </c>
      <c r="B1005" t="str">
        <f>IFERROR(SEARCH(#REF!,Table4[[#This Row],[Commodity Title]],1),"")</f>
        <v/>
      </c>
      <c r="C1005" s="33" t="s">
        <v>1494</v>
      </c>
      <c r="D1005" s="33" t="s">
        <v>1495</v>
      </c>
      <c r="E1005" s="33" t="s">
        <v>1496</v>
      </c>
      <c r="F1005" s="33" t="s">
        <v>1497</v>
      </c>
      <c r="G1005" s="33" t="s">
        <v>3381</v>
      </c>
      <c r="H1005" s="33" t="s">
        <v>3382</v>
      </c>
      <c r="I1005" s="33" t="s">
        <v>3383</v>
      </c>
      <c r="J1005" s="33">
        <v>115214</v>
      </c>
      <c r="K1005" s="33" t="s">
        <v>3548</v>
      </c>
      <c r="L1005" s="33" t="s">
        <v>3549</v>
      </c>
      <c r="M1005" s="33" t="s">
        <v>3550</v>
      </c>
      <c r="N1005" s="44" t="s">
        <v>1494</v>
      </c>
      <c r="O1005" s="33" t="s">
        <v>1494</v>
      </c>
      <c r="P1005" s="33" t="s">
        <v>1494</v>
      </c>
      <c r="Q1005" s="34" t="s">
        <v>1494</v>
      </c>
      <c r="R1005" s="34" t="s">
        <v>1494</v>
      </c>
    </row>
    <row r="1006" spans="1:18" ht="15" customHeight="1" x14ac:dyDescent="0.25">
      <c r="A1006" t="str">
        <f>IFERROR(RANK(B1006,$B:$B,1)+COUNTIF($B$1:B1005,B1006),"")</f>
        <v/>
      </c>
      <c r="B1006" t="str">
        <f>IFERROR(SEARCH(#REF!,Table4[[#This Row],[Commodity Title]],1),"")</f>
        <v/>
      </c>
      <c r="C1006" s="35">
        <v>42161701</v>
      </c>
      <c r="D1006" s="33" t="s">
        <v>1495</v>
      </c>
      <c r="E1006" s="33" t="s">
        <v>1496</v>
      </c>
      <c r="F1006" s="33" t="s">
        <v>1497</v>
      </c>
      <c r="G1006" s="33" t="s">
        <v>3381</v>
      </c>
      <c r="H1006" s="33" t="s">
        <v>3382</v>
      </c>
      <c r="I1006" s="33" t="s">
        <v>3383</v>
      </c>
      <c r="J1006" s="33">
        <v>104521</v>
      </c>
      <c r="K1006" s="33" t="s">
        <v>3548</v>
      </c>
      <c r="L1006" s="33" t="s">
        <v>3549</v>
      </c>
      <c r="M1006" s="33" t="s">
        <v>3550</v>
      </c>
      <c r="N1006" s="44">
        <v>42161701</v>
      </c>
      <c r="O1006" s="33" t="s">
        <v>3551</v>
      </c>
      <c r="P1006" s="33" t="s">
        <v>3552</v>
      </c>
      <c r="Q1006" s="34" t="s">
        <v>1494</v>
      </c>
      <c r="R1006" s="34" t="s">
        <v>1494</v>
      </c>
    </row>
    <row r="1007" spans="1:18" ht="15" customHeight="1" x14ac:dyDescent="0.25">
      <c r="A1007" t="str">
        <f>IFERROR(RANK(B1007,$B:$B,1)+COUNTIF($B$1:B1006,B1007),"")</f>
        <v/>
      </c>
      <c r="B1007" t="str">
        <f>IFERROR(SEARCH(#REF!,Table4[[#This Row],[Commodity Title]],1),"")</f>
        <v/>
      </c>
      <c r="C1007" s="35">
        <v>42161702</v>
      </c>
      <c r="D1007" s="33" t="s">
        <v>1495</v>
      </c>
      <c r="E1007" s="33" t="s">
        <v>1496</v>
      </c>
      <c r="F1007" s="33" t="s">
        <v>1497</v>
      </c>
      <c r="G1007" s="33" t="s">
        <v>3381</v>
      </c>
      <c r="H1007" s="33" t="s">
        <v>3382</v>
      </c>
      <c r="I1007" s="33" t="s">
        <v>3383</v>
      </c>
      <c r="J1007" s="33">
        <v>115216</v>
      </c>
      <c r="K1007" s="33" t="s">
        <v>3548</v>
      </c>
      <c r="L1007" s="33" t="s">
        <v>3549</v>
      </c>
      <c r="M1007" s="33" t="s">
        <v>3550</v>
      </c>
      <c r="N1007" s="44">
        <v>42161702</v>
      </c>
      <c r="O1007" s="33" t="s">
        <v>3553</v>
      </c>
      <c r="P1007" s="33" t="s">
        <v>3554</v>
      </c>
      <c r="Q1007" s="34" t="s">
        <v>1494</v>
      </c>
      <c r="R1007" s="34" t="s">
        <v>1494</v>
      </c>
    </row>
    <row r="1008" spans="1:18" ht="15" customHeight="1" x14ac:dyDescent="0.25">
      <c r="A1008" t="str">
        <f>IFERROR(RANK(B1008,$B:$B,1)+COUNTIF($B$1:B1007,B1008),"")</f>
        <v/>
      </c>
      <c r="B1008" t="str">
        <f>IFERROR(SEARCH(#REF!,Table4[[#This Row],[Commodity Title]],1),"")</f>
        <v/>
      </c>
      <c r="C1008" s="35">
        <v>42161703</v>
      </c>
      <c r="D1008" s="33" t="s">
        <v>1495</v>
      </c>
      <c r="E1008" s="33" t="s">
        <v>1496</v>
      </c>
      <c r="F1008" s="33" t="s">
        <v>1497</v>
      </c>
      <c r="G1008" s="33" t="s">
        <v>3381</v>
      </c>
      <c r="H1008" s="33" t="s">
        <v>3382</v>
      </c>
      <c r="I1008" s="33" t="s">
        <v>3383</v>
      </c>
      <c r="J1008" s="33">
        <v>115217</v>
      </c>
      <c r="K1008" s="33" t="s">
        <v>3548</v>
      </c>
      <c r="L1008" s="33" t="s">
        <v>3549</v>
      </c>
      <c r="M1008" s="33" t="s">
        <v>3550</v>
      </c>
      <c r="N1008" s="44">
        <v>42161703</v>
      </c>
      <c r="O1008" s="33" t="s">
        <v>3555</v>
      </c>
      <c r="P1008" s="33" t="s">
        <v>3556</v>
      </c>
      <c r="Q1008" s="34" t="s">
        <v>1494</v>
      </c>
      <c r="R1008" s="34" t="s">
        <v>1494</v>
      </c>
    </row>
    <row r="1009" spans="1:18" ht="15" customHeight="1" x14ac:dyDescent="0.25">
      <c r="A1009" t="str">
        <f>IFERROR(RANK(B1009,$B:$B,1)+COUNTIF($B$1:B1008,B1009),"")</f>
        <v/>
      </c>
      <c r="B1009" t="str">
        <f>IFERROR(SEARCH(#REF!,Table4[[#This Row],[Commodity Title]],1),"")</f>
        <v/>
      </c>
      <c r="C1009" s="35">
        <v>42161704</v>
      </c>
      <c r="D1009" s="33" t="s">
        <v>1495</v>
      </c>
      <c r="E1009" s="33" t="s">
        <v>1496</v>
      </c>
      <c r="F1009" s="33" t="s">
        <v>1497</v>
      </c>
      <c r="G1009" s="33" t="s">
        <v>3381</v>
      </c>
      <c r="H1009" s="33" t="s">
        <v>3382</v>
      </c>
      <c r="I1009" s="33" t="s">
        <v>3383</v>
      </c>
      <c r="J1009" s="33">
        <v>115218</v>
      </c>
      <c r="K1009" s="33" t="s">
        <v>3548</v>
      </c>
      <c r="L1009" s="33" t="s">
        <v>3549</v>
      </c>
      <c r="M1009" s="33" t="s">
        <v>3550</v>
      </c>
      <c r="N1009" s="44">
        <v>42161704</v>
      </c>
      <c r="O1009" s="33" t="s">
        <v>3557</v>
      </c>
      <c r="P1009" s="33" t="s">
        <v>3558</v>
      </c>
      <c r="Q1009" s="34" t="s">
        <v>1494</v>
      </c>
      <c r="R1009" s="34" t="s">
        <v>1494</v>
      </c>
    </row>
    <row r="1010" spans="1:18" ht="15" customHeight="1" x14ac:dyDescent="0.25">
      <c r="A1010" t="str">
        <f>IFERROR(RANK(B1010,$B:$B,1)+COUNTIF($B$1:B1009,B1010),"")</f>
        <v/>
      </c>
      <c r="B1010" t="str">
        <f>IFERROR(SEARCH(#REF!,Table4[[#This Row],[Commodity Title]],1),"")</f>
        <v/>
      </c>
      <c r="C1010" s="33" t="s">
        <v>1494</v>
      </c>
      <c r="D1010" s="33" t="s">
        <v>1495</v>
      </c>
      <c r="E1010" s="33" t="s">
        <v>1496</v>
      </c>
      <c r="F1010" s="33" t="s">
        <v>1497</v>
      </c>
      <c r="G1010" s="33" t="s">
        <v>3381</v>
      </c>
      <c r="H1010" s="33" t="s">
        <v>3382</v>
      </c>
      <c r="I1010" s="33" t="s">
        <v>3383</v>
      </c>
      <c r="J1010" s="33">
        <v>115219</v>
      </c>
      <c r="K1010" s="33" t="s">
        <v>3559</v>
      </c>
      <c r="L1010" s="33" t="s">
        <v>3560</v>
      </c>
      <c r="M1010" s="33" t="s">
        <v>3561</v>
      </c>
      <c r="N1010" s="44" t="s">
        <v>1494</v>
      </c>
      <c r="O1010" s="33" t="s">
        <v>1494</v>
      </c>
      <c r="P1010" s="33" t="s">
        <v>1494</v>
      </c>
      <c r="Q1010" s="34" t="s">
        <v>1494</v>
      </c>
      <c r="R1010" s="34" t="s">
        <v>1494</v>
      </c>
    </row>
    <row r="1011" spans="1:18" ht="15" customHeight="1" x14ac:dyDescent="0.25">
      <c r="A1011" t="str">
        <f>IFERROR(RANK(B1011,$B:$B,1)+COUNTIF($B$1:B1010,B1011),"")</f>
        <v/>
      </c>
      <c r="B1011" t="str">
        <f>IFERROR(SEARCH(#REF!,Table4[[#This Row],[Commodity Title]],1),"")</f>
        <v/>
      </c>
      <c r="C1011" s="35">
        <v>42161801</v>
      </c>
      <c r="D1011" s="33" t="s">
        <v>1495</v>
      </c>
      <c r="E1011" s="33" t="s">
        <v>1496</v>
      </c>
      <c r="F1011" s="33" t="s">
        <v>1497</v>
      </c>
      <c r="G1011" s="33" t="s">
        <v>3381</v>
      </c>
      <c r="H1011" s="33" t="s">
        <v>3382</v>
      </c>
      <c r="I1011" s="33" t="s">
        <v>3383</v>
      </c>
      <c r="J1011" s="33">
        <v>115220</v>
      </c>
      <c r="K1011" s="33" t="s">
        <v>3559</v>
      </c>
      <c r="L1011" s="33" t="s">
        <v>3560</v>
      </c>
      <c r="M1011" s="33" t="s">
        <v>3561</v>
      </c>
      <c r="N1011" s="44">
        <v>42161801</v>
      </c>
      <c r="O1011" s="33" t="s">
        <v>3562</v>
      </c>
      <c r="P1011" s="33" t="s">
        <v>3563</v>
      </c>
      <c r="Q1011" s="34" t="s">
        <v>1494</v>
      </c>
      <c r="R1011" s="34" t="s">
        <v>1494</v>
      </c>
    </row>
    <row r="1012" spans="1:18" ht="15" customHeight="1" x14ac:dyDescent="0.25">
      <c r="A1012" t="str">
        <f>IFERROR(RANK(B1012,$B:$B,1)+COUNTIF($B$1:B1011,B1012),"")</f>
        <v/>
      </c>
      <c r="B1012" t="str">
        <f>IFERROR(SEARCH(#REF!,Table4[[#This Row],[Commodity Title]],1),"")</f>
        <v/>
      </c>
      <c r="C1012" s="35">
        <v>42161802</v>
      </c>
      <c r="D1012" s="33" t="s">
        <v>1495</v>
      </c>
      <c r="E1012" s="33" t="s">
        <v>1496</v>
      </c>
      <c r="F1012" s="33" t="s">
        <v>1497</v>
      </c>
      <c r="G1012" s="33" t="s">
        <v>3381</v>
      </c>
      <c r="H1012" s="33" t="s">
        <v>3382</v>
      </c>
      <c r="I1012" s="33" t="s">
        <v>3383</v>
      </c>
      <c r="J1012" s="33">
        <v>115221</v>
      </c>
      <c r="K1012" s="33" t="s">
        <v>3559</v>
      </c>
      <c r="L1012" s="33" t="s">
        <v>3560</v>
      </c>
      <c r="M1012" s="33" t="s">
        <v>3561</v>
      </c>
      <c r="N1012" s="44">
        <v>42161802</v>
      </c>
      <c r="O1012" s="33" t="s">
        <v>3564</v>
      </c>
      <c r="P1012" s="33" t="s">
        <v>3565</v>
      </c>
      <c r="Q1012" s="34" t="s">
        <v>1494</v>
      </c>
      <c r="R1012" s="34" t="s">
        <v>1494</v>
      </c>
    </row>
    <row r="1013" spans="1:18" ht="15" customHeight="1" x14ac:dyDescent="0.25">
      <c r="A1013" t="str">
        <f>IFERROR(RANK(B1013,$B:$B,1)+COUNTIF($B$1:B1012,B1013),"")</f>
        <v/>
      </c>
      <c r="B1013" t="str">
        <f>IFERROR(SEARCH(#REF!,Table4[[#This Row],[Commodity Title]],1),"")</f>
        <v/>
      </c>
      <c r="C1013" s="35">
        <v>42161803</v>
      </c>
      <c r="D1013" s="33" t="s">
        <v>1495</v>
      </c>
      <c r="E1013" s="33" t="s">
        <v>1496</v>
      </c>
      <c r="F1013" s="33" t="s">
        <v>1497</v>
      </c>
      <c r="G1013" s="33" t="s">
        <v>3381</v>
      </c>
      <c r="H1013" s="33" t="s">
        <v>3382</v>
      </c>
      <c r="I1013" s="33" t="s">
        <v>3383</v>
      </c>
      <c r="J1013" s="33">
        <v>115222</v>
      </c>
      <c r="K1013" s="33" t="s">
        <v>3559</v>
      </c>
      <c r="L1013" s="33" t="s">
        <v>3560</v>
      </c>
      <c r="M1013" s="33" t="s">
        <v>3561</v>
      </c>
      <c r="N1013" s="44">
        <v>42161803</v>
      </c>
      <c r="O1013" s="33" t="s">
        <v>3566</v>
      </c>
      <c r="P1013" s="33" t="s">
        <v>3567</v>
      </c>
      <c r="Q1013" s="34" t="s">
        <v>1494</v>
      </c>
      <c r="R1013" s="34" t="s">
        <v>1494</v>
      </c>
    </row>
    <row r="1014" spans="1:18" ht="15" customHeight="1" x14ac:dyDescent="0.25">
      <c r="A1014" t="str">
        <f>IFERROR(RANK(B1014,$B:$B,1)+COUNTIF($B$1:B1013,B1014),"")</f>
        <v/>
      </c>
      <c r="B1014" t="str">
        <f>IFERROR(SEARCH(#REF!,Table4[[#This Row],[Commodity Title]],1),"")</f>
        <v/>
      </c>
      <c r="C1014" s="35">
        <v>42161804</v>
      </c>
      <c r="D1014" s="33" t="s">
        <v>1495</v>
      </c>
      <c r="E1014" s="33" t="s">
        <v>1496</v>
      </c>
      <c r="F1014" s="33" t="s">
        <v>1497</v>
      </c>
      <c r="G1014" s="33" t="s">
        <v>3381</v>
      </c>
      <c r="H1014" s="33" t="s">
        <v>3382</v>
      </c>
      <c r="I1014" s="33" t="s">
        <v>3383</v>
      </c>
      <c r="J1014" s="33">
        <v>115223</v>
      </c>
      <c r="K1014" s="33" t="s">
        <v>3559</v>
      </c>
      <c r="L1014" s="33" t="s">
        <v>3560</v>
      </c>
      <c r="M1014" s="33" t="s">
        <v>3561</v>
      </c>
      <c r="N1014" s="44">
        <v>42161804</v>
      </c>
      <c r="O1014" s="33" t="s">
        <v>3568</v>
      </c>
      <c r="P1014" s="33" t="s">
        <v>3569</v>
      </c>
      <c r="Q1014" s="34" t="s">
        <v>1494</v>
      </c>
      <c r="R1014" s="34" t="s">
        <v>1494</v>
      </c>
    </row>
    <row r="1015" spans="1:18" ht="15" customHeight="1" x14ac:dyDescent="0.25">
      <c r="A1015" t="str">
        <f>IFERROR(RANK(B1015,$B:$B,1)+COUNTIF($B$1:B1014,B1015),"")</f>
        <v/>
      </c>
      <c r="B1015" t="str">
        <f>IFERROR(SEARCH(#REF!,Table4[[#This Row],[Commodity Title]],1),"")</f>
        <v/>
      </c>
      <c r="C1015" s="35">
        <v>42161805</v>
      </c>
      <c r="D1015" s="33" t="s">
        <v>1495</v>
      </c>
      <c r="E1015" s="33" t="s">
        <v>1496</v>
      </c>
      <c r="F1015" s="33" t="s">
        <v>1497</v>
      </c>
      <c r="G1015" s="33" t="s">
        <v>3381</v>
      </c>
      <c r="H1015" s="33" t="s">
        <v>3382</v>
      </c>
      <c r="I1015" s="33" t="s">
        <v>3383</v>
      </c>
      <c r="J1015" s="33">
        <v>208335</v>
      </c>
      <c r="K1015" s="33" t="s">
        <v>3559</v>
      </c>
      <c r="L1015" s="33" t="s">
        <v>3560</v>
      </c>
      <c r="M1015" s="33" t="s">
        <v>3561</v>
      </c>
      <c r="N1015" s="44">
        <v>42161805</v>
      </c>
      <c r="O1015" s="33" t="s">
        <v>3570</v>
      </c>
      <c r="P1015" s="33" t="s">
        <v>3571</v>
      </c>
      <c r="Q1015" s="34" t="s">
        <v>1494</v>
      </c>
      <c r="R1015" s="34" t="s">
        <v>1494</v>
      </c>
    </row>
    <row r="1016" spans="1:18" ht="15" customHeight="1" x14ac:dyDescent="0.25">
      <c r="A1016" t="str">
        <f>IFERROR(RANK(B1016,$B:$B,1)+COUNTIF($B$1:B1015,B1016),"")</f>
        <v/>
      </c>
      <c r="B1016" t="str">
        <f>IFERROR(SEARCH(#REF!,Table4[[#This Row],[Commodity Title]],1),"")</f>
        <v/>
      </c>
      <c r="C1016" s="35">
        <v>42161806</v>
      </c>
      <c r="D1016" s="33" t="s">
        <v>1495</v>
      </c>
      <c r="E1016" s="33" t="s">
        <v>1496</v>
      </c>
      <c r="F1016" s="33" t="s">
        <v>1497</v>
      </c>
      <c r="G1016" s="33" t="s">
        <v>3381</v>
      </c>
      <c r="H1016" s="33" t="s">
        <v>3382</v>
      </c>
      <c r="I1016" s="33" t="s">
        <v>3383</v>
      </c>
      <c r="J1016" s="33">
        <v>208336</v>
      </c>
      <c r="K1016" s="33" t="s">
        <v>3559</v>
      </c>
      <c r="L1016" s="33" t="s">
        <v>3560</v>
      </c>
      <c r="M1016" s="33" t="s">
        <v>3561</v>
      </c>
      <c r="N1016" s="44">
        <v>42161806</v>
      </c>
      <c r="O1016" s="33" t="s">
        <v>3572</v>
      </c>
      <c r="P1016" s="33" t="s">
        <v>3573</v>
      </c>
      <c r="Q1016" s="34" t="s">
        <v>1494</v>
      </c>
      <c r="R1016" s="34" t="s">
        <v>1494</v>
      </c>
    </row>
    <row r="1017" spans="1:18" ht="15" customHeight="1" x14ac:dyDescent="0.25">
      <c r="A1017" t="str">
        <f>IFERROR(RANK(B1017,$B:$B,1)+COUNTIF($B$1:B1016,B1017),"")</f>
        <v/>
      </c>
      <c r="B1017" t="str">
        <f>IFERROR(SEARCH(#REF!,Table4[[#This Row],[Commodity Title]],1),"")</f>
        <v/>
      </c>
      <c r="C1017" s="33" t="s">
        <v>1494</v>
      </c>
      <c r="D1017" s="33" t="s">
        <v>1495</v>
      </c>
      <c r="E1017" s="33" t="s">
        <v>1496</v>
      </c>
      <c r="F1017" s="33" t="s">
        <v>1497</v>
      </c>
      <c r="G1017" s="33" t="s">
        <v>3381</v>
      </c>
      <c r="H1017" s="33" t="s">
        <v>3382</v>
      </c>
      <c r="I1017" s="33" t="s">
        <v>3383</v>
      </c>
      <c r="J1017" s="33">
        <v>164862</v>
      </c>
      <c r="K1017" s="33" t="s">
        <v>3574</v>
      </c>
      <c r="L1017" s="33" t="s">
        <v>3575</v>
      </c>
      <c r="M1017" s="33" t="s">
        <v>3576</v>
      </c>
      <c r="N1017" s="44" t="s">
        <v>1494</v>
      </c>
      <c r="O1017" s="33" t="s">
        <v>1494</v>
      </c>
      <c r="P1017" s="33" t="s">
        <v>1494</v>
      </c>
      <c r="Q1017" s="34" t="s">
        <v>1494</v>
      </c>
      <c r="R1017" s="34" t="s">
        <v>1494</v>
      </c>
    </row>
    <row r="1018" spans="1:18" ht="15" customHeight="1" x14ac:dyDescent="0.25">
      <c r="A1018" t="str">
        <f>IFERROR(RANK(B1018,$B:$B,1)+COUNTIF($B$1:B1017,B1018),"")</f>
        <v/>
      </c>
      <c r="B1018" t="str">
        <f>IFERROR(SEARCH(#REF!,Table4[[#This Row],[Commodity Title]],1),"")</f>
        <v/>
      </c>
      <c r="C1018" s="35">
        <v>42161901</v>
      </c>
      <c r="D1018" s="33" t="s">
        <v>1495</v>
      </c>
      <c r="E1018" s="33" t="s">
        <v>1496</v>
      </c>
      <c r="F1018" s="33" t="s">
        <v>1497</v>
      </c>
      <c r="G1018" s="33" t="s">
        <v>3381</v>
      </c>
      <c r="H1018" s="33" t="s">
        <v>3382</v>
      </c>
      <c r="I1018" s="33" t="s">
        <v>3383</v>
      </c>
      <c r="J1018" s="33">
        <v>164863</v>
      </c>
      <c r="K1018" s="33" t="s">
        <v>3574</v>
      </c>
      <c r="L1018" s="33" t="s">
        <v>3575</v>
      </c>
      <c r="M1018" s="33" t="s">
        <v>3576</v>
      </c>
      <c r="N1018" s="44">
        <v>42161901</v>
      </c>
      <c r="O1018" s="33" t="s">
        <v>3577</v>
      </c>
      <c r="P1018" s="33" t="s">
        <v>3578</v>
      </c>
      <c r="Q1018" s="34" t="s">
        <v>1494</v>
      </c>
      <c r="R1018" s="34" t="s">
        <v>1494</v>
      </c>
    </row>
    <row r="1019" spans="1:18" ht="15" customHeight="1" x14ac:dyDescent="0.25">
      <c r="A1019" t="str">
        <f>IFERROR(RANK(B1019,$B:$B,1)+COUNTIF($B$1:B1018,B1019),"")</f>
        <v/>
      </c>
      <c r="B1019" t="str">
        <f>IFERROR(SEARCH(#REF!,Table4[[#This Row],[Commodity Title]],1),"")</f>
        <v/>
      </c>
      <c r="C1019" s="35">
        <v>42161902</v>
      </c>
      <c r="D1019" s="33" t="s">
        <v>1495</v>
      </c>
      <c r="E1019" s="33" t="s">
        <v>1496</v>
      </c>
      <c r="F1019" s="33" t="s">
        <v>1497</v>
      </c>
      <c r="G1019" s="33" t="s">
        <v>3381</v>
      </c>
      <c r="H1019" s="33" t="s">
        <v>3382</v>
      </c>
      <c r="I1019" s="33" t="s">
        <v>3383</v>
      </c>
      <c r="J1019" s="33">
        <v>202666</v>
      </c>
      <c r="K1019" s="33" t="s">
        <v>3574</v>
      </c>
      <c r="L1019" s="33" t="s">
        <v>3575</v>
      </c>
      <c r="M1019" s="33" t="s">
        <v>3576</v>
      </c>
      <c r="N1019" s="44">
        <v>42161902</v>
      </c>
      <c r="O1019" s="33" t="s">
        <v>3579</v>
      </c>
      <c r="P1019" s="33" t="s">
        <v>2308</v>
      </c>
      <c r="Q1019" s="34" t="s">
        <v>1494</v>
      </c>
      <c r="R1019" s="34" t="s">
        <v>1494</v>
      </c>
    </row>
    <row r="1020" spans="1:18" ht="15" customHeight="1" x14ac:dyDescent="0.25">
      <c r="A1020" t="str">
        <f>IFERROR(RANK(B1020,$B:$B,1)+COUNTIF($B$1:B1019,B1020),"")</f>
        <v/>
      </c>
      <c r="B1020" t="str">
        <f>IFERROR(SEARCH(#REF!,Table4[[#This Row],[Commodity Title]],1),"")</f>
        <v/>
      </c>
      <c r="C1020" s="35">
        <v>42161903</v>
      </c>
      <c r="D1020" s="33" t="s">
        <v>1495</v>
      </c>
      <c r="E1020" s="33" t="s">
        <v>1496</v>
      </c>
      <c r="F1020" s="33" t="s">
        <v>1497</v>
      </c>
      <c r="G1020" s="33" t="s">
        <v>3381</v>
      </c>
      <c r="H1020" s="33" t="s">
        <v>3382</v>
      </c>
      <c r="I1020" s="33" t="s">
        <v>3383</v>
      </c>
      <c r="J1020" s="33">
        <v>202667</v>
      </c>
      <c r="K1020" s="33" t="s">
        <v>3574</v>
      </c>
      <c r="L1020" s="33" t="s">
        <v>3575</v>
      </c>
      <c r="M1020" s="33" t="s">
        <v>3576</v>
      </c>
      <c r="N1020" s="44">
        <v>42161903</v>
      </c>
      <c r="O1020" s="33" t="s">
        <v>3580</v>
      </c>
      <c r="P1020" s="33" t="s">
        <v>3581</v>
      </c>
      <c r="Q1020" s="34" t="s">
        <v>1494</v>
      </c>
      <c r="R1020" s="34" t="s">
        <v>1494</v>
      </c>
    </row>
    <row r="1021" spans="1:18" ht="15" customHeight="1" x14ac:dyDescent="0.25">
      <c r="A1021" t="str">
        <f>IFERROR(RANK(B1021,$B:$B,1)+COUNTIF($B$1:B1020,B1021),"")</f>
        <v/>
      </c>
      <c r="B1021" t="str">
        <f>IFERROR(SEARCH(#REF!,Table4[[#This Row],[Commodity Title]],1),"")</f>
        <v/>
      </c>
      <c r="C1021" s="35">
        <v>42161904</v>
      </c>
      <c r="D1021" s="33" t="s">
        <v>1495</v>
      </c>
      <c r="E1021" s="33" t="s">
        <v>1496</v>
      </c>
      <c r="F1021" s="33" t="s">
        <v>1497</v>
      </c>
      <c r="G1021" s="33" t="s">
        <v>3381</v>
      </c>
      <c r="H1021" s="33" t="s">
        <v>3382</v>
      </c>
      <c r="I1021" s="33" t="s">
        <v>3383</v>
      </c>
      <c r="J1021" s="33">
        <v>202668</v>
      </c>
      <c r="K1021" s="33" t="s">
        <v>3574</v>
      </c>
      <c r="L1021" s="33" t="s">
        <v>3575</v>
      </c>
      <c r="M1021" s="33" t="s">
        <v>3576</v>
      </c>
      <c r="N1021" s="44">
        <v>42161904</v>
      </c>
      <c r="O1021" s="33" t="s">
        <v>3582</v>
      </c>
      <c r="P1021" s="33" t="s">
        <v>3583</v>
      </c>
      <c r="Q1021" s="34" t="s">
        <v>1494</v>
      </c>
      <c r="R1021" s="34" t="s">
        <v>1494</v>
      </c>
    </row>
    <row r="1022" spans="1:18" ht="15" customHeight="1" x14ac:dyDescent="0.25">
      <c r="A1022" t="str">
        <f>IFERROR(RANK(B1022,$B:$B,1)+COUNTIF($B$1:B1021,B1022),"")</f>
        <v/>
      </c>
      <c r="B1022" t="str">
        <f>IFERROR(SEARCH(#REF!,Table4[[#This Row],[Commodity Title]],1),"")</f>
        <v/>
      </c>
      <c r="C1022" s="35">
        <v>42161905</v>
      </c>
      <c r="D1022" s="33" t="s">
        <v>1495</v>
      </c>
      <c r="E1022" s="33" t="s">
        <v>1496</v>
      </c>
      <c r="F1022" s="33" t="s">
        <v>1497</v>
      </c>
      <c r="G1022" s="33" t="s">
        <v>3381</v>
      </c>
      <c r="H1022" s="33" t="s">
        <v>3382</v>
      </c>
      <c r="I1022" s="33" t="s">
        <v>3383</v>
      </c>
      <c r="J1022" s="33">
        <v>202669</v>
      </c>
      <c r="K1022" s="33" t="s">
        <v>3574</v>
      </c>
      <c r="L1022" s="33" t="s">
        <v>3575</v>
      </c>
      <c r="M1022" s="33" t="s">
        <v>3576</v>
      </c>
      <c r="N1022" s="44">
        <v>42161905</v>
      </c>
      <c r="O1022" s="33" t="s">
        <v>3584</v>
      </c>
      <c r="P1022" s="33" t="s">
        <v>3585</v>
      </c>
      <c r="Q1022" s="34" t="s">
        <v>1494</v>
      </c>
      <c r="R1022" s="34" t="s">
        <v>1494</v>
      </c>
    </row>
    <row r="1023" spans="1:18" ht="15" customHeight="1" x14ac:dyDescent="0.25">
      <c r="A1023" t="str">
        <f>IFERROR(RANK(B1023,$B:$B,1)+COUNTIF($B$1:B1022,B1023),"")</f>
        <v/>
      </c>
      <c r="B1023" t="str">
        <f>IFERROR(SEARCH(#REF!,Table4[[#This Row],[Commodity Title]],1),"")</f>
        <v/>
      </c>
      <c r="C1023" s="35">
        <v>42161906</v>
      </c>
      <c r="D1023" s="33" t="s">
        <v>1495</v>
      </c>
      <c r="E1023" s="33" t="s">
        <v>1496</v>
      </c>
      <c r="F1023" s="33" t="s">
        <v>1497</v>
      </c>
      <c r="G1023" s="33" t="s">
        <v>3381</v>
      </c>
      <c r="H1023" s="33" t="s">
        <v>3382</v>
      </c>
      <c r="I1023" s="33" t="s">
        <v>3383</v>
      </c>
      <c r="J1023" s="33">
        <v>202670</v>
      </c>
      <c r="K1023" s="33" t="s">
        <v>3574</v>
      </c>
      <c r="L1023" s="33" t="s">
        <v>3575</v>
      </c>
      <c r="M1023" s="33" t="s">
        <v>3576</v>
      </c>
      <c r="N1023" s="44">
        <v>42161906</v>
      </c>
      <c r="O1023" s="33" t="s">
        <v>3586</v>
      </c>
      <c r="P1023" s="33" t="s">
        <v>3587</v>
      </c>
      <c r="Q1023" s="34" t="s">
        <v>1494</v>
      </c>
      <c r="R1023" s="34" t="s">
        <v>1494</v>
      </c>
    </row>
    <row r="1024" spans="1:18" ht="15" customHeight="1" x14ac:dyDescent="0.25">
      <c r="A1024" t="str">
        <f>IFERROR(RANK(B1024,$B:$B,1)+COUNTIF($B$1:B1023,B1024),"")</f>
        <v/>
      </c>
      <c r="B1024" t="str">
        <f>IFERROR(SEARCH(#REF!,Table4[[#This Row],[Commodity Title]],1),"")</f>
        <v/>
      </c>
      <c r="C1024" s="35">
        <v>42161907</v>
      </c>
      <c r="D1024" s="33" t="s">
        <v>1495</v>
      </c>
      <c r="E1024" s="33" t="s">
        <v>1496</v>
      </c>
      <c r="F1024" s="33" t="s">
        <v>1497</v>
      </c>
      <c r="G1024" s="33" t="s">
        <v>3381</v>
      </c>
      <c r="H1024" s="33" t="s">
        <v>3382</v>
      </c>
      <c r="I1024" s="33" t="s">
        <v>3383</v>
      </c>
      <c r="J1024" s="33">
        <v>202671</v>
      </c>
      <c r="K1024" s="33" t="s">
        <v>3574</v>
      </c>
      <c r="L1024" s="33" t="s">
        <v>3575</v>
      </c>
      <c r="M1024" s="33" t="s">
        <v>3576</v>
      </c>
      <c r="N1024" s="44">
        <v>42161907</v>
      </c>
      <c r="O1024" s="33" t="s">
        <v>3588</v>
      </c>
      <c r="P1024" s="33" t="s">
        <v>3589</v>
      </c>
      <c r="Q1024" s="34" t="s">
        <v>1494</v>
      </c>
      <c r="R1024" s="34" t="s">
        <v>1494</v>
      </c>
    </row>
    <row r="1025" spans="1:18" ht="15" customHeight="1" x14ac:dyDescent="0.25">
      <c r="A1025" t="str">
        <f>IFERROR(RANK(B1025,$B:$B,1)+COUNTIF($B$1:B1024,B1025),"")</f>
        <v/>
      </c>
      <c r="B1025" t="str">
        <f>IFERROR(SEARCH(#REF!,Table4[[#This Row],[Commodity Title]],1),"")</f>
        <v/>
      </c>
      <c r="C1025" s="35">
        <v>42161908</v>
      </c>
      <c r="D1025" s="33" t="s">
        <v>1495</v>
      </c>
      <c r="E1025" s="33" t="s">
        <v>1496</v>
      </c>
      <c r="F1025" s="33" t="s">
        <v>1497</v>
      </c>
      <c r="G1025" s="33" t="s">
        <v>3381</v>
      </c>
      <c r="H1025" s="33" t="s">
        <v>3382</v>
      </c>
      <c r="I1025" s="33" t="s">
        <v>3383</v>
      </c>
      <c r="J1025" s="33">
        <v>202672</v>
      </c>
      <c r="K1025" s="33" t="s">
        <v>3574</v>
      </c>
      <c r="L1025" s="33" t="s">
        <v>3575</v>
      </c>
      <c r="M1025" s="33" t="s">
        <v>3576</v>
      </c>
      <c r="N1025" s="44">
        <v>42161908</v>
      </c>
      <c r="O1025" s="33" t="s">
        <v>3590</v>
      </c>
      <c r="P1025" s="33" t="s">
        <v>3591</v>
      </c>
      <c r="Q1025" s="34" t="s">
        <v>1494</v>
      </c>
      <c r="R1025" s="34" t="s">
        <v>1494</v>
      </c>
    </row>
    <row r="1026" spans="1:18" ht="15" customHeight="1" x14ac:dyDescent="0.25">
      <c r="A1026" t="str">
        <f>IFERROR(RANK(B1026,$B:$B,1)+COUNTIF($B$1:B1025,B1026),"")</f>
        <v/>
      </c>
      <c r="B1026" t="str">
        <f>IFERROR(SEARCH(#REF!,Table4[[#This Row],[Commodity Title]],1),"")</f>
        <v/>
      </c>
      <c r="C1026" s="35">
        <v>42161909</v>
      </c>
      <c r="D1026" s="33" t="s">
        <v>1495</v>
      </c>
      <c r="E1026" s="33" t="s">
        <v>1496</v>
      </c>
      <c r="F1026" s="33" t="s">
        <v>1497</v>
      </c>
      <c r="G1026" s="33" t="s">
        <v>3381</v>
      </c>
      <c r="H1026" s="33" t="s">
        <v>3382</v>
      </c>
      <c r="I1026" s="33" t="s">
        <v>3383</v>
      </c>
      <c r="J1026" s="33">
        <v>202673</v>
      </c>
      <c r="K1026" s="33" t="s">
        <v>3574</v>
      </c>
      <c r="L1026" s="33" t="s">
        <v>3575</v>
      </c>
      <c r="M1026" s="33" t="s">
        <v>3576</v>
      </c>
      <c r="N1026" s="44">
        <v>42161909</v>
      </c>
      <c r="O1026" s="33" t="s">
        <v>3592</v>
      </c>
      <c r="P1026" s="33" t="s">
        <v>3593</v>
      </c>
      <c r="Q1026" s="34" t="s">
        <v>1494</v>
      </c>
      <c r="R1026" s="34" t="s">
        <v>1494</v>
      </c>
    </row>
    <row r="1027" spans="1:18" ht="15" customHeight="1" x14ac:dyDescent="0.25">
      <c r="A1027" t="str">
        <f>IFERROR(RANK(B1027,$B:$B,1)+COUNTIF($B$1:B1026,B1027),"")</f>
        <v/>
      </c>
      <c r="B1027" t="str">
        <f>IFERROR(SEARCH(#REF!,Table4[[#This Row],[Commodity Title]],1),"")</f>
        <v/>
      </c>
      <c r="C1027" s="35">
        <v>42161910</v>
      </c>
      <c r="D1027" s="33" t="s">
        <v>1495</v>
      </c>
      <c r="E1027" s="33" t="s">
        <v>1496</v>
      </c>
      <c r="F1027" s="33" t="s">
        <v>1497</v>
      </c>
      <c r="G1027" s="33" t="s">
        <v>3381</v>
      </c>
      <c r="H1027" s="33" t="s">
        <v>3382</v>
      </c>
      <c r="I1027" s="33" t="s">
        <v>3383</v>
      </c>
      <c r="J1027" s="33">
        <v>202674</v>
      </c>
      <c r="K1027" s="33" t="s">
        <v>3574</v>
      </c>
      <c r="L1027" s="33" t="s">
        <v>3575</v>
      </c>
      <c r="M1027" s="33" t="s">
        <v>3576</v>
      </c>
      <c r="N1027" s="44">
        <v>42161910</v>
      </c>
      <c r="O1027" s="33" t="s">
        <v>3594</v>
      </c>
      <c r="P1027" s="33" t="s">
        <v>3595</v>
      </c>
      <c r="Q1027" s="34" t="s">
        <v>1494</v>
      </c>
      <c r="R1027" s="34" t="s">
        <v>1494</v>
      </c>
    </row>
    <row r="1028" spans="1:18" ht="15" customHeight="1" x14ac:dyDescent="0.25">
      <c r="A1028" t="str">
        <f>IFERROR(RANK(B1028,$B:$B,1)+COUNTIF($B$1:B1027,B1028),"")</f>
        <v/>
      </c>
      <c r="B1028" t="str">
        <f>IFERROR(SEARCH(#REF!,Table4[[#This Row],[Commodity Title]],1),"")</f>
        <v/>
      </c>
      <c r="C1028" s="35">
        <v>42161911</v>
      </c>
      <c r="D1028" s="33" t="s">
        <v>1495</v>
      </c>
      <c r="E1028" s="33" t="s">
        <v>1496</v>
      </c>
      <c r="F1028" s="33" t="s">
        <v>1497</v>
      </c>
      <c r="G1028" s="33" t="s">
        <v>3381</v>
      </c>
      <c r="H1028" s="33" t="s">
        <v>3382</v>
      </c>
      <c r="I1028" s="33" t="s">
        <v>3383</v>
      </c>
      <c r="J1028" s="33">
        <v>202675</v>
      </c>
      <c r="K1028" s="33" t="s">
        <v>3574</v>
      </c>
      <c r="L1028" s="33" t="s">
        <v>3575</v>
      </c>
      <c r="M1028" s="33" t="s">
        <v>3576</v>
      </c>
      <c r="N1028" s="44">
        <v>42161911</v>
      </c>
      <c r="O1028" s="33" t="s">
        <v>3596</v>
      </c>
      <c r="P1028" s="33" t="s">
        <v>3597</v>
      </c>
      <c r="Q1028" s="34" t="s">
        <v>1494</v>
      </c>
      <c r="R1028" s="34" t="s">
        <v>1494</v>
      </c>
    </row>
    <row r="1029" spans="1:18" ht="15" customHeight="1" x14ac:dyDescent="0.25">
      <c r="A1029" t="str">
        <f>IFERROR(RANK(B1029,$B:$B,1)+COUNTIF($B$1:B1028,B1029),"")</f>
        <v/>
      </c>
      <c r="B1029" t="str">
        <f>IFERROR(SEARCH(#REF!,Table4[[#This Row],[Commodity Title]],1),"")</f>
        <v/>
      </c>
      <c r="C1029" s="35">
        <v>42161912</v>
      </c>
      <c r="D1029" s="33" t="s">
        <v>1495</v>
      </c>
      <c r="E1029" s="33" t="s">
        <v>1496</v>
      </c>
      <c r="F1029" s="33" t="s">
        <v>1497</v>
      </c>
      <c r="G1029" s="33" t="s">
        <v>3381</v>
      </c>
      <c r="H1029" s="33" t="s">
        <v>3382</v>
      </c>
      <c r="I1029" s="33" t="s">
        <v>3383</v>
      </c>
      <c r="J1029" s="33">
        <v>202676</v>
      </c>
      <c r="K1029" s="33" t="s">
        <v>3574</v>
      </c>
      <c r="L1029" s="33" t="s">
        <v>3575</v>
      </c>
      <c r="M1029" s="33" t="s">
        <v>3576</v>
      </c>
      <c r="N1029" s="44">
        <v>42161912</v>
      </c>
      <c r="O1029" s="33" t="s">
        <v>3598</v>
      </c>
      <c r="P1029" s="33" t="s">
        <v>3599</v>
      </c>
      <c r="Q1029" s="34" t="s">
        <v>1494</v>
      </c>
      <c r="R1029" s="34" t="s">
        <v>1494</v>
      </c>
    </row>
    <row r="1030" spans="1:18" ht="15" customHeight="1" x14ac:dyDescent="0.25">
      <c r="A1030" t="str">
        <f>IFERROR(RANK(B1030,$B:$B,1)+COUNTIF($B$1:B1029,B1030),"")</f>
        <v/>
      </c>
      <c r="B1030" t="str">
        <f>IFERROR(SEARCH(#REF!,Table4[[#This Row],[Commodity Title]],1),"")</f>
        <v/>
      </c>
      <c r="C1030" s="35">
        <v>42161913</v>
      </c>
      <c r="D1030" s="33" t="s">
        <v>1495</v>
      </c>
      <c r="E1030" s="33" t="s">
        <v>1496</v>
      </c>
      <c r="F1030" s="33" t="s">
        <v>1497</v>
      </c>
      <c r="G1030" s="33" t="s">
        <v>3381</v>
      </c>
      <c r="H1030" s="33" t="s">
        <v>3382</v>
      </c>
      <c r="I1030" s="33" t="s">
        <v>3383</v>
      </c>
      <c r="J1030" s="33">
        <v>202677</v>
      </c>
      <c r="K1030" s="33" t="s">
        <v>3574</v>
      </c>
      <c r="L1030" s="33" t="s">
        <v>3575</v>
      </c>
      <c r="M1030" s="33" t="s">
        <v>3576</v>
      </c>
      <c r="N1030" s="44">
        <v>42161913</v>
      </c>
      <c r="O1030" s="33" t="s">
        <v>3600</v>
      </c>
      <c r="P1030" s="33" t="s">
        <v>3601</v>
      </c>
      <c r="Q1030" s="34" t="s">
        <v>1494</v>
      </c>
      <c r="R1030" s="34" t="s">
        <v>1494</v>
      </c>
    </row>
    <row r="1031" spans="1:18" ht="15" customHeight="1" x14ac:dyDescent="0.25">
      <c r="A1031" t="str">
        <f>IFERROR(RANK(B1031,$B:$B,1)+COUNTIF($B$1:B1030,B1031),"")</f>
        <v/>
      </c>
      <c r="B1031" t="str">
        <f>IFERROR(SEARCH(#REF!,Table4[[#This Row],[Commodity Title]],1),"")</f>
        <v/>
      </c>
      <c r="C1031" s="35">
        <v>42161914</v>
      </c>
      <c r="D1031" s="33" t="s">
        <v>1495</v>
      </c>
      <c r="E1031" s="33" t="s">
        <v>1496</v>
      </c>
      <c r="F1031" s="33" t="s">
        <v>1497</v>
      </c>
      <c r="G1031" s="33" t="s">
        <v>3381</v>
      </c>
      <c r="H1031" s="33" t="s">
        <v>3382</v>
      </c>
      <c r="I1031" s="33" t="s">
        <v>3383</v>
      </c>
      <c r="J1031" s="33">
        <v>202678</v>
      </c>
      <c r="K1031" s="33" t="s">
        <v>3574</v>
      </c>
      <c r="L1031" s="33" t="s">
        <v>3575</v>
      </c>
      <c r="M1031" s="33" t="s">
        <v>3576</v>
      </c>
      <c r="N1031" s="44">
        <v>42161914</v>
      </c>
      <c r="O1031" s="33" t="s">
        <v>3602</v>
      </c>
      <c r="P1031" s="33" t="s">
        <v>3603</v>
      </c>
      <c r="Q1031" s="34" t="s">
        <v>1494</v>
      </c>
      <c r="R1031" s="34" t="s">
        <v>1494</v>
      </c>
    </row>
    <row r="1032" spans="1:18" ht="15" customHeight="1" x14ac:dyDescent="0.25">
      <c r="A1032" t="str">
        <f>IFERROR(RANK(B1032,$B:$B,1)+COUNTIF($B$1:B1031,B1032),"")</f>
        <v/>
      </c>
      <c r="B1032" t="str">
        <f>IFERROR(SEARCH(#REF!,Table4[[#This Row],[Commodity Title]],1),"")</f>
        <v/>
      </c>
      <c r="C1032" s="35">
        <v>42161915</v>
      </c>
      <c r="D1032" s="33" t="s">
        <v>1495</v>
      </c>
      <c r="E1032" s="33" t="s">
        <v>1496</v>
      </c>
      <c r="F1032" s="33" t="s">
        <v>1497</v>
      </c>
      <c r="G1032" s="33" t="s">
        <v>3381</v>
      </c>
      <c r="H1032" s="33" t="s">
        <v>3382</v>
      </c>
      <c r="I1032" s="33" t="s">
        <v>3383</v>
      </c>
      <c r="J1032" s="33">
        <v>202679</v>
      </c>
      <c r="K1032" s="33" t="s">
        <v>3574</v>
      </c>
      <c r="L1032" s="33" t="s">
        <v>3575</v>
      </c>
      <c r="M1032" s="33" t="s">
        <v>3576</v>
      </c>
      <c r="N1032" s="44">
        <v>42161915</v>
      </c>
      <c r="O1032" s="33" t="s">
        <v>3604</v>
      </c>
      <c r="P1032" s="33" t="s">
        <v>3605</v>
      </c>
      <c r="Q1032" s="34" t="s">
        <v>1494</v>
      </c>
      <c r="R1032" s="34" t="s">
        <v>1494</v>
      </c>
    </row>
    <row r="1033" spans="1:18" ht="15" customHeight="1" x14ac:dyDescent="0.25">
      <c r="A1033" t="str">
        <f>IFERROR(RANK(B1033,$B:$B,1)+COUNTIF($B$1:B1032,B1033),"")</f>
        <v/>
      </c>
      <c r="B1033" t="str">
        <f>IFERROR(SEARCH(#REF!,Table4[[#This Row],[Commodity Title]],1),"")</f>
        <v/>
      </c>
      <c r="C1033" s="35">
        <v>42161916</v>
      </c>
      <c r="D1033" s="33" t="s">
        <v>1495</v>
      </c>
      <c r="E1033" s="33" t="s">
        <v>1496</v>
      </c>
      <c r="F1033" s="33" t="s">
        <v>1497</v>
      </c>
      <c r="G1033" s="33" t="s">
        <v>3381</v>
      </c>
      <c r="H1033" s="33" t="s">
        <v>3382</v>
      </c>
      <c r="I1033" s="33" t="s">
        <v>3383</v>
      </c>
      <c r="J1033" s="33">
        <v>202680</v>
      </c>
      <c r="K1033" s="33" t="s">
        <v>3574</v>
      </c>
      <c r="L1033" s="33" t="s">
        <v>3575</v>
      </c>
      <c r="M1033" s="33" t="s">
        <v>3576</v>
      </c>
      <c r="N1033" s="44">
        <v>42161916</v>
      </c>
      <c r="O1033" s="33" t="s">
        <v>3606</v>
      </c>
      <c r="P1033" s="33" t="s">
        <v>3607</v>
      </c>
      <c r="Q1033" s="34" t="s">
        <v>1494</v>
      </c>
      <c r="R1033" s="34" t="s">
        <v>1494</v>
      </c>
    </row>
    <row r="1034" spans="1:18" ht="15" customHeight="1" x14ac:dyDescent="0.25">
      <c r="A1034" t="str">
        <f>IFERROR(RANK(B1034,$B:$B,1)+COUNTIF($B$1:B1033,B1034),"")</f>
        <v/>
      </c>
      <c r="B1034" t="str">
        <f>IFERROR(SEARCH(#REF!,Table4[[#This Row],[Commodity Title]],1),"")</f>
        <v/>
      </c>
      <c r="C1034" s="33" t="s">
        <v>1494</v>
      </c>
      <c r="D1034" s="33" t="s">
        <v>1495</v>
      </c>
      <c r="E1034" s="33" t="s">
        <v>1496</v>
      </c>
      <c r="F1034" s="33" t="s">
        <v>1497</v>
      </c>
      <c r="G1034" s="33" t="s">
        <v>3608</v>
      </c>
      <c r="H1034" s="33" t="s">
        <v>3609</v>
      </c>
      <c r="I1034" s="33" t="s">
        <v>3610</v>
      </c>
      <c r="J1034" s="33">
        <v>115224</v>
      </c>
      <c r="K1034" s="33" t="s">
        <v>1494</v>
      </c>
      <c r="L1034" s="33" t="s">
        <v>1494</v>
      </c>
      <c r="M1034" s="33" t="s">
        <v>1494</v>
      </c>
      <c r="N1034" s="44" t="s">
        <v>1494</v>
      </c>
      <c r="O1034" s="33" t="s">
        <v>1494</v>
      </c>
      <c r="P1034" s="33" t="s">
        <v>1494</v>
      </c>
      <c r="Q1034" s="34" t="s">
        <v>1494</v>
      </c>
      <c r="R1034" s="34" t="s">
        <v>1494</v>
      </c>
    </row>
    <row r="1035" spans="1:18" ht="15" customHeight="1" x14ac:dyDescent="0.25">
      <c r="A1035" t="str">
        <f>IFERROR(RANK(B1035,$B:$B,1)+COUNTIF($B$1:B1034,B1035),"")</f>
        <v/>
      </c>
      <c r="B1035" t="str">
        <f>IFERROR(SEARCH(#REF!,Table4[[#This Row],[Commodity Title]],1),"")</f>
        <v/>
      </c>
      <c r="C1035" s="33" t="s">
        <v>1494</v>
      </c>
      <c r="D1035" s="33" t="s">
        <v>1495</v>
      </c>
      <c r="E1035" s="33" t="s">
        <v>1496</v>
      </c>
      <c r="F1035" s="33" t="s">
        <v>1497</v>
      </c>
      <c r="G1035" s="33" t="s">
        <v>3608</v>
      </c>
      <c r="H1035" s="33" t="s">
        <v>3609</v>
      </c>
      <c r="I1035" s="33" t="s">
        <v>3610</v>
      </c>
      <c r="J1035" s="33">
        <v>115225</v>
      </c>
      <c r="K1035" s="33" t="s">
        <v>3611</v>
      </c>
      <c r="L1035" s="33" t="s">
        <v>3612</v>
      </c>
      <c r="M1035" s="33" t="s">
        <v>3613</v>
      </c>
      <c r="N1035" s="44" t="s">
        <v>1494</v>
      </c>
      <c r="O1035" s="33" t="s">
        <v>1494</v>
      </c>
      <c r="P1035" s="33" t="s">
        <v>1494</v>
      </c>
      <c r="Q1035" s="34" t="s">
        <v>1494</v>
      </c>
      <c r="R1035" s="34" t="s">
        <v>1494</v>
      </c>
    </row>
    <row r="1036" spans="1:18" ht="15" customHeight="1" x14ac:dyDescent="0.25">
      <c r="A1036" t="str">
        <f>IFERROR(RANK(B1036,$B:$B,1)+COUNTIF($B$1:B1035,B1036),"")</f>
        <v/>
      </c>
      <c r="B1036" t="str">
        <f>IFERROR(SEARCH(#REF!,Table4[[#This Row],[Commodity Title]],1),"")</f>
        <v/>
      </c>
      <c r="C1036" s="35">
        <v>42171501</v>
      </c>
      <c r="D1036" s="33" t="s">
        <v>1495</v>
      </c>
      <c r="E1036" s="33" t="s">
        <v>1496</v>
      </c>
      <c r="F1036" s="33" t="s">
        <v>1497</v>
      </c>
      <c r="G1036" s="33" t="s">
        <v>3608</v>
      </c>
      <c r="H1036" s="33" t="s">
        <v>3609</v>
      </c>
      <c r="I1036" s="33" t="s">
        <v>3610</v>
      </c>
      <c r="J1036" s="33">
        <v>115226</v>
      </c>
      <c r="K1036" s="33" t="s">
        <v>3611</v>
      </c>
      <c r="L1036" s="33" t="s">
        <v>3612</v>
      </c>
      <c r="M1036" s="33" t="s">
        <v>3613</v>
      </c>
      <c r="N1036" s="44">
        <v>42171501</v>
      </c>
      <c r="O1036" s="33" t="s">
        <v>3614</v>
      </c>
      <c r="P1036" s="33" t="s">
        <v>3615</v>
      </c>
      <c r="Q1036" s="34" t="s">
        <v>1494</v>
      </c>
      <c r="R1036" s="34" t="s">
        <v>1494</v>
      </c>
    </row>
    <row r="1037" spans="1:18" ht="15" customHeight="1" x14ac:dyDescent="0.25">
      <c r="A1037" t="str">
        <f>IFERROR(RANK(B1037,$B:$B,1)+COUNTIF($B$1:B1036,B1037),"")</f>
        <v/>
      </c>
      <c r="B1037" t="str">
        <f>IFERROR(SEARCH(#REF!,Table4[[#This Row],[Commodity Title]],1),"")</f>
        <v/>
      </c>
      <c r="C1037" s="35">
        <v>42171502</v>
      </c>
      <c r="D1037" s="33" t="s">
        <v>1495</v>
      </c>
      <c r="E1037" s="33" t="s">
        <v>1496</v>
      </c>
      <c r="F1037" s="33" t="s">
        <v>1497</v>
      </c>
      <c r="G1037" s="33" t="s">
        <v>3608</v>
      </c>
      <c r="H1037" s="33" t="s">
        <v>3609</v>
      </c>
      <c r="I1037" s="33" t="s">
        <v>3610</v>
      </c>
      <c r="J1037" s="33">
        <v>115227</v>
      </c>
      <c r="K1037" s="33" t="s">
        <v>3611</v>
      </c>
      <c r="L1037" s="33" t="s">
        <v>3612</v>
      </c>
      <c r="M1037" s="33" t="s">
        <v>3613</v>
      </c>
      <c r="N1037" s="44">
        <v>42171502</v>
      </c>
      <c r="O1037" s="33" t="s">
        <v>3616</v>
      </c>
      <c r="P1037" s="33" t="s">
        <v>3617</v>
      </c>
      <c r="Q1037" s="34" t="s">
        <v>1494</v>
      </c>
      <c r="R1037" s="34" t="s">
        <v>1494</v>
      </c>
    </row>
    <row r="1038" spans="1:18" ht="15" customHeight="1" x14ac:dyDescent="0.25">
      <c r="A1038" t="str">
        <f>IFERROR(RANK(B1038,$B:$B,1)+COUNTIF($B$1:B1037,B1038),"")</f>
        <v/>
      </c>
      <c r="B1038" t="str">
        <f>IFERROR(SEARCH(#REF!,Table4[[#This Row],[Commodity Title]],1),"")</f>
        <v/>
      </c>
      <c r="C1038" s="35">
        <v>42171503</v>
      </c>
      <c r="D1038" s="33" t="s">
        <v>1495</v>
      </c>
      <c r="E1038" s="33" t="s">
        <v>1496</v>
      </c>
      <c r="F1038" s="33" t="s">
        <v>1497</v>
      </c>
      <c r="G1038" s="33" t="s">
        <v>3608</v>
      </c>
      <c r="H1038" s="33" t="s">
        <v>3609</v>
      </c>
      <c r="I1038" s="33" t="s">
        <v>3610</v>
      </c>
      <c r="J1038" s="33">
        <v>142556</v>
      </c>
      <c r="K1038" s="33" t="s">
        <v>3611</v>
      </c>
      <c r="L1038" s="33" t="s">
        <v>3612</v>
      </c>
      <c r="M1038" s="33" t="s">
        <v>3613</v>
      </c>
      <c r="N1038" s="44">
        <v>42171503</v>
      </c>
      <c r="O1038" s="33" t="s">
        <v>3618</v>
      </c>
      <c r="P1038" s="33" t="s">
        <v>3619</v>
      </c>
      <c r="Q1038" s="34" t="s">
        <v>1494</v>
      </c>
      <c r="R1038" s="34" t="s">
        <v>1494</v>
      </c>
    </row>
    <row r="1039" spans="1:18" ht="15" customHeight="1" x14ac:dyDescent="0.25">
      <c r="A1039" t="str">
        <f>IFERROR(RANK(B1039,$B:$B,1)+COUNTIF($B$1:B1038,B1039),"")</f>
        <v/>
      </c>
      <c r="B1039" t="str">
        <f>IFERROR(SEARCH(#REF!,Table4[[#This Row],[Commodity Title]],1),"")</f>
        <v/>
      </c>
      <c r="C1039" s="35">
        <v>42171504</v>
      </c>
      <c r="D1039" s="33" t="s">
        <v>1495</v>
      </c>
      <c r="E1039" s="33" t="s">
        <v>1496</v>
      </c>
      <c r="F1039" s="33" t="s">
        <v>1497</v>
      </c>
      <c r="G1039" s="33" t="s">
        <v>3608</v>
      </c>
      <c r="H1039" s="33" t="s">
        <v>3609</v>
      </c>
      <c r="I1039" s="33" t="s">
        <v>3610</v>
      </c>
      <c r="J1039" s="33">
        <v>202681</v>
      </c>
      <c r="K1039" s="33" t="s">
        <v>3611</v>
      </c>
      <c r="L1039" s="33" t="s">
        <v>3612</v>
      </c>
      <c r="M1039" s="33" t="s">
        <v>3613</v>
      </c>
      <c r="N1039" s="44">
        <v>42171504</v>
      </c>
      <c r="O1039" s="33" t="s">
        <v>3620</v>
      </c>
      <c r="P1039" s="33" t="s">
        <v>3621</v>
      </c>
      <c r="Q1039" s="34" t="s">
        <v>1494</v>
      </c>
      <c r="R1039" s="34" t="s">
        <v>1494</v>
      </c>
    </row>
    <row r="1040" spans="1:18" ht="15" customHeight="1" x14ac:dyDescent="0.25">
      <c r="A1040" t="str">
        <f>IFERROR(RANK(B1040,$B:$B,1)+COUNTIF($B$1:B1039,B1040),"")</f>
        <v/>
      </c>
      <c r="B1040" t="str">
        <f>IFERROR(SEARCH(#REF!,Table4[[#This Row],[Commodity Title]],1),"")</f>
        <v/>
      </c>
      <c r="C1040" s="35">
        <v>42171505</v>
      </c>
      <c r="D1040" s="33" t="s">
        <v>1495</v>
      </c>
      <c r="E1040" s="33" t="s">
        <v>1496</v>
      </c>
      <c r="F1040" s="33" t="s">
        <v>1497</v>
      </c>
      <c r="G1040" s="33" t="s">
        <v>3608</v>
      </c>
      <c r="H1040" s="33" t="s">
        <v>3609</v>
      </c>
      <c r="I1040" s="33" t="s">
        <v>3610</v>
      </c>
      <c r="J1040" s="33">
        <v>202682</v>
      </c>
      <c r="K1040" s="33" t="s">
        <v>3611</v>
      </c>
      <c r="L1040" s="33" t="s">
        <v>3612</v>
      </c>
      <c r="M1040" s="33" t="s">
        <v>3613</v>
      </c>
      <c r="N1040" s="44">
        <v>42171505</v>
      </c>
      <c r="O1040" s="33" t="s">
        <v>3622</v>
      </c>
      <c r="P1040" s="33" t="s">
        <v>3623</v>
      </c>
      <c r="Q1040" s="34" t="s">
        <v>1494</v>
      </c>
      <c r="R1040" s="34" t="s">
        <v>1494</v>
      </c>
    </row>
    <row r="1041" spans="1:18" ht="15" customHeight="1" x14ac:dyDescent="0.25">
      <c r="A1041" t="str">
        <f>IFERROR(RANK(B1041,$B:$B,1)+COUNTIF($B$1:B1040,B1041),"")</f>
        <v/>
      </c>
      <c r="B1041" t="str">
        <f>IFERROR(SEARCH(#REF!,Table4[[#This Row],[Commodity Title]],1),"")</f>
        <v/>
      </c>
      <c r="C1041" s="33" t="s">
        <v>1494</v>
      </c>
      <c r="D1041" s="33" t="s">
        <v>1495</v>
      </c>
      <c r="E1041" s="33" t="s">
        <v>1496</v>
      </c>
      <c r="F1041" s="33" t="s">
        <v>1497</v>
      </c>
      <c r="G1041" s="33" t="s">
        <v>3608</v>
      </c>
      <c r="H1041" s="33" t="s">
        <v>3609</v>
      </c>
      <c r="I1041" s="33" t="s">
        <v>3610</v>
      </c>
      <c r="J1041" s="33">
        <v>115228</v>
      </c>
      <c r="K1041" s="33" t="s">
        <v>3624</v>
      </c>
      <c r="L1041" s="33" t="s">
        <v>3625</v>
      </c>
      <c r="M1041" s="33" t="s">
        <v>3626</v>
      </c>
      <c r="N1041" s="44" t="s">
        <v>1494</v>
      </c>
      <c r="O1041" s="33" t="s">
        <v>1494</v>
      </c>
      <c r="P1041" s="33" t="s">
        <v>1494</v>
      </c>
      <c r="Q1041" s="34" t="s">
        <v>1494</v>
      </c>
      <c r="R1041" s="34" t="s">
        <v>1494</v>
      </c>
    </row>
    <row r="1042" spans="1:18" ht="15" customHeight="1" x14ac:dyDescent="0.25">
      <c r="A1042" t="str">
        <f>IFERROR(RANK(B1042,$B:$B,1)+COUNTIF($B$1:B1041,B1042),"")</f>
        <v/>
      </c>
      <c r="B1042" t="str">
        <f>IFERROR(SEARCH(#REF!,Table4[[#This Row],[Commodity Title]],1),"")</f>
        <v/>
      </c>
      <c r="C1042" s="35">
        <v>42171601</v>
      </c>
      <c r="D1042" s="33" t="s">
        <v>1495</v>
      </c>
      <c r="E1042" s="33" t="s">
        <v>1496</v>
      </c>
      <c r="F1042" s="33" t="s">
        <v>1497</v>
      </c>
      <c r="G1042" s="33" t="s">
        <v>3608</v>
      </c>
      <c r="H1042" s="33" t="s">
        <v>3609</v>
      </c>
      <c r="I1042" s="33" t="s">
        <v>3610</v>
      </c>
      <c r="J1042" s="33">
        <v>115229</v>
      </c>
      <c r="K1042" s="33" t="s">
        <v>3624</v>
      </c>
      <c r="L1042" s="33" t="s">
        <v>3625</v>
      </c>
      <c r="M1042" s="33" t="s">
        <v>3626</v>
      </c>
      <c r="N1042" s="44">
        <v>42171601</v>
      </c>
      <c r="O1042" s="33" t="s">
        <v>3627</v>
      </c>
      <c r="P1042" s="33" t="s">
        <v>3628</v>
      </c>
      <c r="Q1042" s="34" t="s">
        <v>1494</v>
      </c>
      <c r="R1042" s="34" t="s">
        <v>1494</v>
      </c>
    </row>
    <row r="1043" spans="1:18" ht="15" customHeight="1" x14ac:dyDescent="0.25">
      <c r="A1043" t="str">
        <f>IFERROR(RANK(B1043,$B:$B,1)+COUNTIF($B$1:B1042,B1043),"")</f>
        <v/>
      </c>
      <c r="B1043" t="str">
        <f>IFERROR(SEARCH(#REF!,Table4[[#This Row],[Commodity Title]],1),"")</f>
        <v/>
      </c>
      <c r="C1043" s="35">
        <v>42171602</v>
      </c>
      <c r="D1043" s="33" t="s">
        <v>1495</v>
      </c>
      <c r="E1043" s="33" t="s">
        <v>1496</v>
      </c>
      <c r="F1043" s="33" t="s">
        <v>1497</v>
      </c>
      <c r="G1043" s="33" t="s">
        <v>3608</v>
      </c>
      <c r="H1043" s="33" t="s">
        <v>3609</v>
      </c>
      <c r="I1043" s="33" t="s">
        <v>3610</v>
      </c>
      <c r="J1043" s="33">
        <v>115230</v>
      </c>
      <c r="K1043" s="33" t="s">
        <v>3624</v>
      </c>
      <c r="L1043" s="33" t="s">
        <v>3625</v>
      </c>
      <c r="M1043" s="33" t="s">
        <v>3626</v>
      </c>
      <c r="N1043" s="44">
        <v>42171602</v>
      </c>
      <c r="O1043" s="33" t="s">
        <v>3629</v>
      </c>
      <c r="P1043" s="33" t="s">
        <v>3630</v>
      </c>
      <c r="Q1043" s="34" t="s">
        <v>1494</v>
      </c>
      <c r="R1043" s="34" t="s">
        <v>1494</v>
      </c>
    </row>
    <row r="1044" spans="1:18" ht="15" customHeight="1" x14ac:dyDescent="0.25">
      <c r="A1044" t="str">
        <f>IFERROR(RANK(B1044,$B:$B,1)+COUNTIF($B$1:B1043,B1044),"")</f>
        <v/>
      </c>
      <c r="B1044" t="str">
        <f>IFERROR(SEARCH(#REF!,Table4[[#This Row],[Commodity Title]],1),"")</f>
        <v/>
      </c>
      <c r="C1044" s="35">
        <v>42171603</v>
      </c>
      <c r="D1044" s="33" t="s">
        <v>1495</v>
      </c>
      <c r="E1044" s="33" t="s">
        <v>1496</v>
      </c>
      <c r="F1044" s="33" t="s">
        <v>1497</v>
      </c>
      <c r="G1044" s="33" t="s">
        <v>3608</v>
      </c>
      <c r="H1044" s="33" t="s">
        <v>3609</v>
      </c>
      <c r="I1044" s="33" t="s">
        <v>3610</v>
      </c>
      <c r="J1044" s="33">
        <v>115231</v>
      </c>
      <c r="K1044" s="33" t="s">
        <v>3624</v>
      </c>
      <c r="L1044" s="33" t="s">
        <v>3625</v>
      </c>
      <c r="M1044" s="33" t="s">
        <v>3626</v>
      </c>
      <c r="N1044" s="44">
        <v>42171603</v>
      </c>
      <c r="O1044" s="33" t="s">
        <v>3631</v>
      </c>
      <c r="P1044" s="33" t="s">
        <v>3632</v>
      </c>
      <c r="Q1044" s="34" t="s">
        <v>1494</v>
      </c>
      <c r="R1044" s="34" t="s">
        <v>1494</v>
      </c>
    </row>
    <row r="1045" spans="1:18" ht="15" customHeight="1" x14ac:dyDescent="0.25">
      <c r="A1045" t="str">
        <f>IFERROR(RANK(B1045,$B:$B,1)+COUNTIF($B$1:B1044,B1045),"")</f>
        <v/>
      </c>
      <c r="B1045" t="str">
        <f>IFERROR(SEARCH(#REF!,Table4[[#This Row],[Commodity Title]],1),"")</f>
        <v/>
      </c>
      <c r="C1045" s="35">
        <v>42171604</v>
      </c>
      <c r="D1045" s="33" t="s">
        <v>1495</v>
      </c>
      <c r="E1045" s="33" t="s">
        <v>1496</v>
      </c>
      <c r="F1045" s="33" t="s">
        <v>1497</v>
      </c>
      <c r="G1045" s="33" t="s">
        <v>3608</v>
      </c>
      <c r="H1045" s="33" t="s">
        <v>3609</v>
      </c>
      <c r="I1045" s="33" t="s">
        <v>3610</v>
      </c>
      <c r="J1045" s="33">
        <v>115232</v>
      </c>
      <c r="K1045" s="33" t="s">
        <v>3624</v>
      </c>
      <c r="L1045" s="33" t="s">
        <v>3625</v>
      </c>
      <c r="M1045" s="33" t="s">
        <v>3626</v>
      </c>
      <c r="N1045" s="44">
        <v>42171604</v>
      </c>
      <c r="O1045" s="33" t="s">
        <v>3633</v>
      </c>
      <c r="P1045" s="33" t="s">
        <v>3634</v>
      </c>
      <c r="Q1045" s="34" t="s">
        <v>1494</v>
      </c>
      <c r="R1045" s="34" t="s">
        <v>1494</v>
      </c>
    </row>
    <row r="1046" spans="1:18" ht="15" customHeight="1" x14ac:dyDescent="0.25">
      <c r="A1046" t="str">
        <f>IFERROR(RANK(B1046,$B:$B,1)+COUNTIF($B$1:B1045,B1046),"")</f>
        <v/>
      </c>
      <c r="B1046" t="str">
        <f>IFERROR(SEARCH(#REF!,Table4[[#This Row],[Commodity Title]],1),"")</f>
        <v/>
      </c>
      <c r="C1046" s="35">
        <v>42171605</v>
      </c>
      <c r="D1046" s="33" t="s">
        <v>1495</v>
      </c>
      <c r="E1046" s="33" t="s">
        <v>1496</v>
      </c>
      <c r="F1046" s="33" t="s">
        <v>1497</v>
      </c>
      <c r="G1046" s="33" t="s">
        <v>3608</v>
      </c>
      <c r="H1046" s="33" t="s">
        <v>3609</v>
      </c>
      <c r="I1046" s="33" t="s">
        <v>3610</v>
      </c>
      <c r="J1046" s="33">
        <v>115233</v>
      </c>
      <c r="K1046" s="33" t="s">
        <v>3624</v>
      </c>
      <c r="L1046" s="33" t="s">
        <v>3625</v>
      </c>
      <c r="M1046" s="33" t="s">
        <v>3626</v>
      </c>
      <c r="N1046" s="44">
        <v>42171605</v>
      </c>
      <c r="O1046" s="33" t="s">
        <v>3635</v>
      </c>
      <c r="P1046" s="33" t="s">
        <v>3636</v>
      </c>
      <c r="Q1046" s="34" t="s">
        <v>1494</v>
      </c>
      <c r="R1046" s="34" t="s">
        <v>1494</v>
      </c>
    </row>
    <row r="1047" spans="1:18" ht="15" customHeight="1" x14ac:dyDescent="0.25">
      <c r="A1047" t="str">
        <f>IFERROR(RANK(B1047,$B:$B,1)+COUNTIF($B$1:B1046,B1047),"")</f>
        <v/>
      </c>
      <c r="B1047" t="str">
        <f>IFERROR(SEARCH(#REF!,Table4[[#This Row],[Commodity Title]],1),"")</f>
        <v/>
      </c>
      <c r="C1047" s="35">
        <v>42171606</v>
      </c>
      <c r="D1047" s="33" t="s">
        <v>1495</v>
      </c>
      <c r="E1047" s="33" t="s">
        <v>1496</v>
      </c>
      <c r="F1047" s="33" t="s">
        <v>1497</v>
      </c>
      <c r="G1047" s="33" t="s">
        <v>3608</v>
      </c>
      <c r="H1047" s="33" t="s">
        <v>3609</v>
      </c>
      <c r="I1047" s="33" t="s">
        <v>3610</v>
      </c>
      <c r="J1047" s="33">
        <v>115234</v>
      </c>
      <c r="K1047" s="33" t="s">
        <v>3624</v>
      </c>
      <c r="L1047" s="33" t="s">
        <v>3625</v>
      </c>
      <c r="M1047" s="33" t="s">
        <v>3626</v>
      </c>
      <c r="N1047" s="44">
        <v>42171606</v>
      </c>
      <c r="O1047" s="33" t="s">
        <v>3637</v>
      </c>
      <c r="P1047" s="33" t="s">
        <v>3638</v>
      </c>
      <c r="Q1047" s="34" t="s">
        <v>1494</v>
      </c>
      <c r="R1047" s="34" t="s">
        <v>1494</v>
      </c>
    </row>
    <row r="1048" spans="1:18" ht="15" customHeight="1" x14ac:dyDescent="0.25">
      <c r="A1048" t="str">
        <f>IFERROR(RANK(B1048,$B:$B,1)+COUNTIF($B$1:B1047,B1048),"")</f>
        <v/>
      </c>
      <c r="B1048" t="str">
        <f>IFERROR(SEARCH(#REF!,Table4[[#This Row],[Commodity Title]],1),"")</f>
        <v/>
      </c>
      <c r="C1048" s="35">
        <v>42171607</v>
      </c>
      <c r="D1048" s="33" t="s">
        <v>1495</v>
      </c>
      <c r="E1048" s="33" t="s">
        <v>1496</v>
      </c>
      <c r="F1048" s="33" t="s">
        <v>1497</v>
      </c>
      <c r="G1048" s="33" t="s">
        <v>3608</v>
      </c>
      <c r="H1048" s="33" t="s">
        <v>3609</v>
      </c>
      <c r="I1048" s="33" t="s">
        <v>3610</v>
      </c>
      <c r="J1048" s="33">
        <v>115235</v>
      </c>
      <c r="K1048" s="33" t="s">
        <v>3624</v>
      </c>
      <c r="L1048" s="33" t="s">
        <v>3625</v>
      </c>
      <c r="M1048" s="33" t="s">
        <v>3626</v>
      </c>
      <c r="N1048" s="44">
        <v>42171607</v>
      </c>
      <c r="O1048" s="33" t="s">
        <v>3639</v>
      </c>
      <c r="P1048" s="33" t="s">
        <v>3640</v>
      </c>
      <c r="Q1048" s="34" t="s">
        <v>1494</v>
      </c>
      <c r="R1048" s="34" t="s">
        <v>1494</v>
      </c>
    </row>
    <row r="1049" spans="1:18" ht="15" customHeight="1" x14ac:dyDescent="0.25">
      <c r="A1049" t="str">
        <f>IFERROR(RANK(B1049,$B:$B,1)+COUNTIF($B$1:B1048,B1049),"")</f>
        <v/>
      </c>
      <c r="B1049" t="str">
        <f>IFERROR(SEARCH(#REF!,Table4[[#This Row],[Commodity Title]],1),"")</f>
        <v/>
      </c>
      <c r="C1049" s="35">
        <v>42171608</v>
      </c>
      <c r="D1049" s="33" t="s">
        <v>1495</v>
      </c>
      <c r="E1049" s="33" t="s">
        <v>1496</v>
      </c>
      <c r="F1049" s="33" t="s">
        <v>1497</v>
      </c>
      <c r="G1049" s="33" t="s">
        <v>3608</v>
      </c>
      <c r="H1049" s="33" t="s">
        <v>3609</v>
      </c>
      <c r="I1049" s="33" t="s">
        <v>3610</v>
      </c>
      <c r="J1049" s="33">
        <v>115236</v>
      </c>
      <c r="K1049" s="33" t="s">
        <v>3624</v>
      </c>
      <c r="L1049" s="33" t="s">
        <v>3625</v>
      </c>
      <c r="M1049" s="33" t="s">
        <v>3626</v>
      </c>
      <c r="N1049" s="44">
        <v>42171608</v>
      </c>
      <c r="O1049" s="33" t="s">
        <v>3641</v>
      </c>
      <c r="P1049" s="33" t="s">
        <v>3642</v>
      </c>
      <c r="Q1049" s="34" t="s">
        <v>1494</v>
      </c>
      <c r="R1049" s="34" t="s">
        <v>1494</v>
      </c>
    </row>
    <row r="1050" spans="1:18" ht="15" customHeight="1" x14ac:dyDescent="0.25">
      <c r="A1050" t="str">
        <f>IFERROR(RANK(B1050,$B:$B,1)+COUNTIF($B$1:B1049,B1050),"")</f>
        <v/>
      </c>
      <c r="B1050" t="str">
        <f>IFERROR(SEARCH(#REF!,Table4[[#This Row],[Commodity Title]],1),"")</f>
        <v/>
      </c>
      <c r="C1050" s="35">
        <v>42171609</v>
      </c>
      <c r="D1050" s="33" t="s">
        <v>1495</v>
      </c>
      <c r="E1050" s="33" t="s">
        <v>1496</v>
      </c>
      <c r="F1050" s="33" t="s">
        <v>1497</v>
      </c>
      <c r="G1050" s="33" t="s">
        <v>3608</v>
      </c>
      <c r="H1050" s="33" t="s">
        <v>3609</v>
      </c>
      <c r="I1050" s="33" t="s">
        <v>3610</v>
      </c>
      <c r="J1050" s="33">
        <v>115237</v>
      </c>
      <c r="K1050" s="33" t="s">
        <v>3624</v>
      </c>
      <c r="L1050" s="33" t="s">
        <v>3625</v>
      </c>
      <c r="M1050" s="33" t="s">
        <v>3626</v>
      </c>
      <c r="N1050" s="44">
        <v>42171609</v>
      </c>
      <c r="O1050" s="33" t="s">
        <v>3643</v>
      </c>
      <c r="P1050" s="33" t="s">
        <v>3644</v>
      </c>
      <c r="Q1050" s="34" t="s">
        <v>1494</v>
      </c>
      <c r="R1050" s="34" t="s">
        <v>1494</v>
      </c>
    </row>
    <row r="1051" spans="1:18" ht="15" customHeight="1" x14ac:dyDescent="0.25">
      <c r="A1051" t="str">
        <f>IFERROR(RANK(B1051,$B:$B,1)+COUNTIF($B$1:B1050,B1051),"")</f>
        <v/>
      </c>
      <c r="B1051" t="str">
        <f>IFERROR(SEARCH(#REF!,Table4[[#This Row],[Commodity Title]],1),"")</f>
        <v/>
      </c>
      <c r="C1051" s="35">
        <v>42171610</v>
      </c>
      <c r="D1051" s="33" t="s">
        <v>1495</v>
      </c>
      <c r="E1051" s="33" t="s">
        <v>1496</v>
      </c>
      <c r="F1051" s="33" t="s">
        <v>1497</v>
      </c>
      <c r="G1051" s="33" t="s">
        <v>3608</v>
      </c>
      <c r="H1051" s="33" t="s">
        <v>3609</v>
      </c>
      <c r="I1051" s="33" t="s">
        <v>3610</v>
      </c>
      <c r="J1051" s="33">
        <v>115238</v>
      </c>
      <c r="K1051" s="33" t="s">
        <v>3624</v>
      </c>
      <c r="L1051" s="33" t="s">
        <v>3625</v>
      </c>
      <c r="M1051" s="33" t="s">
        <v>3626</v>
      </c>
      <c r="N1051" s="44">
        <v>42171610</v>
      </c>
      <c r="O1051" s="33" t="s">
        <v>3645</v>
      </c>
      <c r="P1051" s="33" t="s">
        <v>3646</v>
      </c>
      <c r="Q1051" s="34" t="s">
        <v>1494</v>
      </c>
      <c r="R1051" s="34" t="s">
        <v>1494</v>
      </c>
    </row>
    <row r="1052" spans="1:18" ht="15" customHeight="1" x14ac:dyDescent="0.25">
      <c r="A1052" t="str">
        <f>IFERROR(RANK(B1052,$B:$B,1)+COUNTIF($B$1:B1051,B1052),"")</f>
        <v/>
      </c>
      <c r="B1052" t="str">
        <f>IFERROR(SEARCH(#REF!,Table4[[#This Row],[Commodity Title]],1),"")</f>
        <v/>
      </c>
      <c r="C1052" s="35">
        <v>42171611</v>
      </c>
      <c r="D1052" s="33" t="s">
        <v>1495</v>
      </c>
      <c r="E1052" s="33" t="s">
        <v>1496</v>
      </c>
      <c r="F1052" s="33" t="s">
        <v>1497</v>
      </c>
      <c r="G1052" s="33" t="s">
        <v>3608</v>
      </c>
      <c r="H1052" s="33" t="s">
        <v>3609</v>
      </c>
      <c r="I1052" s="33" t="s">
        <v>3610</v>
      </c>
      <c r="J1052" s="33">
        <v>115239</v>
      </c>
      <c r="K1052" s="33" t="s">
        <v>3624</v>
      </c>
      <c r="L1052" s="33" t="s">
        <v>3625</v>
      </c>
      <c r="M1052" s="33" t="s">
        <v>3626</v>
      </c>
      <c r="N1052" s="44">
        <v>42171611</v>
      </c>
      <c r="O1052" s="33" t="s">
        <v>3647</v>
      </c>
      <c r="P1052" s="33" t="s">
        <v>3648</v>
      </c>
      <c r="Q1052" s="34" t="s">
        <v>1494</v>
      </c>
      <c r="R1052" s="34" t="s">
        <v>1494</v>
      </c>
    </row>
    <row r="1053" spans="1:18" ht="15" customHeight="1" x14ac:dyDescent="0.25">
      <c r="A1053" t="str">
        <f>IFERROR(RANK(B1053,$B:$B,1)+COUNTIF($B$1:B1052,B1053),"")</f>
        <v/>
      </c>
      <c r="B1053" t="str">
        <f>IFERROR(SEARCH(#REF!,Table4[[#This Row],[Commodity Title]],1),"")</f>
        <v/>
      </c>
      <c r="C1053" s="35">
        <v>42171612</v>
      </c>
      <c r="D1053" s="33" t="s">
        <v>1495</v>
      </c>
      <c r="E1053" s="33" t="s">
        <v>1496</v>
      </c>
      <c r="F1053" s="33" t="s">
        <v>1497</v>
      </c>
      <c r="G1053" s="33" t="s">
        <v>3608</v>
      </c>
      <c r="H1053" s="33" t="s">
        <v>3609</v>
      </c>
      <c r="I1053" s="33" t="s">
        <v>3610</v>
      </c>
      <c r="J1053" s="33">
        <v>115240</v>
      </c>
      <c r="K1053" s="33" t="s">
        <v>3624</v>
      </c>
      <c r="L1053" s="33" t="s">
        <v>3625</v>
      </c>
      <c r="M1053" s="33" t="s">
        <v>3626</v>
      </c>
      <c r="N1053" s="44">
        <v>42171612</v>
      </c>
      <c r="O1053" s="33" t="s">
        <v>3649</v>
      </c>
      <c r="P1053" s="33" t="s">
        <v>3650</v>
      </c>
      <c r="Q1053" s="34" t="s">
        <v>1494</v>
      </c>
      <c r="R1053" s="34" t="s">
        <v>1494</v>
      </c>
    </row>
    <row r="1054" spans="1:18" ht="15" customHeight="1" x14ac:dyDescent="0.25">
      <c r="A1054" t="str">
        <f>IFERROR(RANK(B1054,$B:$B,1)+COUNTIF($B$1:B1053,B1054),"")</f>
        <v/>
      </c>
      <c r="B1054" t="str">
        <f>IFERROR(SEARCH(#REF!,Table4[[#This Row],[Commodity Title]],1),"")</f>
        <v/>
      </c>
      <c r="C1054" s="35">
        <v>42171613</v>
      </c>
      <c r="D1054" s="33" t="s">
        <v>1495</v>
      </c>
      <c r="E1054" s="33" t="s">
        <v>1496</v>
      </c>
      <c r="F1054" s="33" t="s">
        <v>1497</v>
      </c>
      <c r="G1054" s="33" t="s">
        <v>3608</v>
      </c>
      <c r="H1054" s="33" t="s">
        <v>3609</v>
      </c>
      <c r="I1054" s="33" t="s">
        <v>3610</v>
      </c>
      <c r="J1054" s="33">
        <v>115241</v>
      </c>
      <c r="K1054" s="33" t="s">
        <v>3624</v>
      </c>
      <c r="L1054" s="33" t="s">
        <v>3625</v>
      </c>
      <c r="M1054" s="33" t="s">
        <v>3626</v>
      </c>
      <c r="N1054" s="44">
        <v>42171613</v>
      </c>
      <c r="O1054" s="33" t="s">
        <v>3651</v>
      </c>
      <c r="P1054" s="33" t="s">
        <v>3652</v>
      </c>
      <c r="Q1054" s="34" t="s">
        <v>1494</v>
      </c>
      <c r="R1054" s="34" t="s">
        <v>1494</v>
      </c>
    </row>
    <row r="1055" spans="1:18" ht="15" customHeight="1" x14ac:dyDescent="0.25">
      <c r="A1055" t="str">
        <f>IFERROR(RANK(B1055,$B:$B,1)+COUNTIF($B$1:B1054,B1055),"")</f>
        <v/>
      </c>
      <c r="B1055" t="str">
        <f>IFERROR(SEARCH(#REF!,Table4[[#This Row],[Commodity Title]],1),"")</f>
        <v/>
      </c>
      <c r="C1055" s="35">
        <v>42171614</v>
      </c>
      <c r="D1055" s="33" t="s">
        <v>1495</v>
      </c>
      <c r="E1055" s="33" t="s">
        <v>1496</v>
      </c>
      <c r="F1055" s="33" t="s">
        <v>1497</v>
      </c>
      <c r="G1055" s="33" t="s">
        <v>3608</v>
      </c>
      <c r="H1055" s="33" t="s">
        <v>3609</v>
      </c>
      <c r="I1055" s="33" t="s">
        <v>3610</v>
      </c>
      <c r="J1055" s="33">
        <v>115242</v>
      </c>
      <c r="K1055" s="33" t="s">
        <v>3624</v>
      </c>
      <c r="L1055" s="33" t="s">
        <v>3625</v>
      </c>
      <c r="M1055" s="33" t="s">
        <v>3626</v>
      </c>
      <c r="N1055" s="44">
        <v>42171614</v>
      </c>
      <c r="O1055" s="33" t="s">
        <v>3653</v>
      </c>
      <c r="P1055" s="33" t="s">
        <v>3654</v>
      </c>
      <c r="Q1055" s="34" t="s">
        <v>1494</v>
      </c>
      <c r="R1055" s="34" t="s">
        <v>1494</v>
      </c>
    </row>
    <row r="1056" spans="1:18" ht="15" customHeight="1" x14ac:dyDescent="0.25">
      <c r="A1056" t="str">
        <f>IFERROR(RANK(B1056,$B:$B,1)+COUNTIF($B$1:B1055,B1056),"")</f>
        <v/>
      </c>
      <c r="B1056" t="str">
        <f>IFERROR(SEARCH(#REF!,Table4[[#This Row],[Commodity Title]],1),"")</f>
        <v/>
      </c>
      <c r="C1056" s="35">
        <v>42171615</v>
      </c>
      <c r="D1056" s="33" t="s">
        <v>1495</v>
      </c>
      <c r="E1056" s="33" t="s">
        <v>1496</v>
      </c>
      <c r="F1056" s="33" t="s">
        <v>1497</v>
      </c>
      <c r="G1056" s="33" t="s">
        <v>3608</v>
      </c>
      <c r="H1056" s="33" t="s">
        <v>3609</v>
      </c>
      <c r="I1056" s="33" t="s">
        <v>3610</v>
      </c>
      <c r="J1056" s="33">
        <v>208416</v>
      </c>
      <c r="K1056" s="33" t="s">
        <v>3624</v>
      </c>
      <c r="L1056" s="33" t="s">
        <v>3625</v>
      </c>
      <c r="M1056" s="33" t="s">
        <v>3626</v>
      </c>
      <c r="N1056" s="44">
        <v>42171615</v>
      </c>
      <c r="O1056" s="33" t="s">
        <v>3655</v>
      </c>
      <c r="P1056" s="33" t="s">
        <v>3656</v>
      </c>
      <c r="Q1056" s="34" t="s">
        <v>1494</v>
      </c>
      <c r="R1056" s="34" t="s">
        <v>1494</v>
      </c>
    </row>
    <row r="1057" spans="1:18" ht="15" customHeight="1" x14ac:dyDescent="0.25">
      <c r="A1057" t="str">
        <f>IFERROR(RANK(B1057,$B:$B,1)+COUNTIF($B$1:B1056,B1057),"")</f>
        <v/>
      </c>
      <c r="B1057" t="str">
        <f>IFERROR(SEARCH(#REF!,Table4[[#This Row],[Commodity Title]],1),"")</f>
        <v/>
      </c>
      <c r="C1057" s="35">
        <v>42171616</v>
      </c>
      <c r="D1057" s="33" t="s">
        <v>1495</v>
      </c>
      <c r="E1057" s="33" t="s">
        <v>1496</v>
      </c>
      <c r="F1057" s="33" t="s">
        <v>1497</v>
      </c>
      <c r="G1057" s="33" t="s">
        <v>3608</v>
      </c>
      <c r="H1057" s="33" t="s">
        <v>3609</v>
      </c>
      <c r="I1057" s="33" t="s">
        <v>3610</v>
      </c>
      <c r="J1057" s="33">
        <v>208417</v>
      </c>
      <c r="K1057" s="33" t="s">
        <v>3624</v>
      </c>
      <c r="L1057" s="33" t="s">
        <v>3625</v>
      </c>
      <c r="M1057" s="33" t="s">
        <v>3626</v>
      </c>
      <c r="N1057" s="44">
        <v>42171616</v>
      </c>
      <c r="O1057" s="33" t="s">
        <v>3657</v>
      </c>
      <c r="P1057" s="33" t="s">
        <v>3658</v>
      </c>
      <c r="Q1057" s="34" t="s">
        <v>1494</v>
      </c>
      <c r="R1057" s="34" t="s">
        <v>1494</v>
      </c>
    </row>
    <row r="1058" spans="1:18" ht="15" customHeight="1" x14ac:dyDescent="0.25">
      <c r="A1058" t="str">
        <f>IFERROR(RANK(B1058,$B:$B,1)+COUNTIF($B$1:B1057,B1058),"")</f>
        <v/>
      </c>
      <c r="B1058" t="str">
        <f>IFERROR(SEARCH(#REF!,Table4[[#This Row],[Commodity Title]],1),"")</f>
        <v/>
      </c>
      <c r="C1058" s="35">
        <v>42171617</v>
      </c>
      <c r="D1058" s="33" t="s">
        <v>1495</v>
      </c>
      <c r="E1058" s="33" t="s">
        <v>1496</v>
      </c>
      <c r="F1058" s="33" t="s">
        <v>1497</v>
      </c>
      <c r="G1058" s="33" t="s">
        <v>3608</v>
      </c>
      <c r="H1058" s="33" t="s">
        <v>3609</v>
      </c>
      <c r="I1058" s="33" t="s">
        <v>3610</v>
      </c>
      <c r="J1058" s="33">
        <v>208418</v>
      </c>
      <c r="K1058" s="33" t="s">
        <v>3624</v>
      </c>
      <c r="L1058" s="33" t="s">
        <v>3625</v>
      </c>
      <c r="M1058" s="33" t="s">
        <v>3626</v>
      </c>
      <c r="N1058" s="44">
        <v>42171617</v>
      </c>
      <c r="O1058" s="33" t="s">
        <v>3659</v>
      </c>
      <c r="P1058" s="33" t="s">
        <v>3660</v>
      </c>
      <c r="Q1058" s="34" t="s">
        <v>1494</v>
      </c>
      <c r="R1058" s="34" t="s">
        <v>1494</v>
      </c>
    </row>
    <row r="1059" spans="1:18" ht="15" customHeight="1" x14ac:dyDescent="0.25">
      <c r="A1059" t="str">
        <f>IFERROR(RANK(B1059,$B:$B,1)+COUNTIF($B$1:B1058,B1059),"")</f>
        <v/>
      </c>
      <c r="B1059" t="str">
        <f>IFERROR(SEARCH(#REF!,Table4[[#This Row],[Commodity Title]],1),"")</f>
        <v/>
      </c>
      <c r="C1059" s="35">
        <v>42171618</v>
      </c>
      <c r="D1059" s="33" t="s">
        <v>1495</v>
      </c>
      <c r="E1059" s="33" t="s">
        <v>1496</v>
      </c>
      <c r="F1059" s="33" t="s">
        <v>1497</v>
      </c>
      <c r="G1059" s="33" t="s">
        <v>3608</v>
      </c>
      <c r="H1059" s="33" t="s">
        <v>3609</v>
      </c>
      <c r="I1059" s="33" t="s">
        <v>3610</v>
      </c>
      <c r="J1059" s="33">
        <v>208419</v>
      </c>
      <c r="K1059" s="33" t="s">
        <v>3624</v>
      </c>
      <c r="L1059" s="33" t="s">
        <v>3625</v>
      </c>
      <c r="M1059" s="33" t="s">
        <v>3626</v>
      </c>
      <c r="N1059" s="44">
        <v>42171618</v>
      </c>
      <c r="O1059" s="33" t="s">
        <v>3661</v>
      </c>
      <c r="P1059" s="33" t="s">
        <v>3662</v>
      </c>
      <c r="Q1059" s="34" t="s">
        <v>1494</v>
      </c>
      <c r="R1059" s="34" t="s">
        <v>1494</v>
      </c>
    </row>
    <row r="1060" spans="1:18" ht="15" customHeight="1" x14ac:dyDescent="0.25">
      <c r="A1060" t="str">
        <f>IFERROR(RANK(B1060,$B:$B,1)+COUNTIF($B$1:B1059,B1060),"")</f>
        <v/>
      </c>
      <c r="B1060" t="str">
        <f>IFERROR(SEARCH(#REF!,Table4[[#This Row],[Commodity Title]],1),"")</f>
        <v/>
      </c>
      <c r="C1060" s="35">
        <v>42171619</v>
      </c>
      <c r="D1060" s="33" t="s">
        <v>1495</v>
      </c>
      <c r="E1060" s="33" t="s">
        <v>1496</v>
      </c>
      <c r="F1060" s="33" t="s">
        <v>1497</v>
      </c>
      <c r="G1060" s="33" t="s">
        <v>3608</v>
      </c>
      <c r="H1060" s="33" t="s">
        <v>3609</v>
      </c>
      <c r="I1060" s="33" t="s">
        <v>3610</v>
      </c>
      <c r="J1060" s="33">
        <v>208420</v>
      </c>
      <c r="K1060" s="33" t="s">
        <v>3624</v>
      </c>
      <c r="L1060" s="33" t="s">
        <v>3625</v>
      </c>
      <c r="M1060" s="33" t="s">
        <v>3626</v>
      </c>
      <c r="N1060" s="44">
        <v>42171619</v>
      </c>
      <c r="O1060" s="33" t="s">
        <v>3663</v>
      </c>
      <c r="P1060" s="33" t="s">
        <v>3664</v>
      </c>
      <c r="Q1060" s="34" t="s">
        <v>1494</v>
      </c>
      <c r="R1060" s="34" t="s">
        <v>1494</v>
      </c>
    </row>
    <row r="1061" spans="1:18" ht="15" customHeight="1" x14ac:dyDescent="0.25">
      <c r="A1061" t="str">
        <f>IFERROR(RANK(B1061,$B:$B,1)+COUNTIF($B$1:B1060,B1061),"")</f>
        <v/>
      </c>
      <c r="B1061" t="str">
        <f>IFERROR(SEARCH(#REF!,Table4[[#This Row],[Commodity Title]],1),"")</f>
        <v/>
      </c>
      <c r="C1061" s="33" t="s">
        <v>1494</v>
      </c>
      <c r="D1061" s="33" t="s">
        <v>1495</v>
      </c>
      <c r="E1061" s="33" t="s">
        <v>1496</v>
      </c>
      <c r="F1061" s="33" t="s">
        <v>1497</v>
      </c>
      <c r="G1061" s="33" t="s">
        <v>3608</v>
      </c>
      <c r="H1061" s="33" t="s">
        <v>3609</v>
      </c>
      <c r="I1061" s="33" t="s">
        <v>3610</v>
      </c>
      <c r="J1061" s="33">
        <v>115243</v>
      </c>
      <c r="K1061" s="33" t="s">
        <v>3665</v>
      </c>
      <c r="L1061" s="33" t="s">
        <v>3666</v>
      </c>
      <c r="M1061" s="33" t="s">
        <v>3667</v>
      </c>
      <c r="N1061" s="44" t="s">
        <v>1494</v>
      </c>
      <c r="O1061" s="33" t="s">
        <v>1494</v>
      </c>
      <c r="P1061" s="33" t="s">
        <v>1494</v>
      </c>
      <c r="Q1061" s="34" t="s">
        <v>1494</v>
      </c>
      <c r="R1061" s="34" t="s">
        <v>1494</v>
      </c>
    </row>
    <row r="1062" spans="1:18" ht="15" customHeight="1" x14ac:dyDescent="0.25">
      <c r="A1062" t="str">
        <f>IFERROR(RANK(B1062,$B:$B,1)+COUNTIF($B$1:B1061,B1062),"")</f>
        <v/>
      </c>
      <c r="B1062" t="str">
        <f>IFERROR(SEARCH(#REF!,Table4[[#This Row],[Commodity Title]],1),"")</f>
        <v/>
      </c>
      <c r="C1062" s="35">
        <v>42171701</v>
      </c>
      <c r="D1062" s="33" t="s">
        <v>1495</v>
      </c>
      <c r="E1062" s="33" t="s">
        <v>1496</v>
      </c>
      <c r="F1062" s="33" t="s">
        <v>1497</v>
      </c>
      <c r="G1062" s="33" t="s">
        <v>3608</v>
      </c>
      <c r="H1062" s="33" t="s">
        <v>3609</v>
      </c>
      <c r="I1062" s="33" t="s">
        <v>3610</v>
      </c>
      <c r="J1062" s="33">
        <v>115244</v>
      </c>
      <c r="K1062" s="33" t="s">
        <v>3665</v>
      </c>
      <c r="L1062" s="33" t="s">
        <v>3666</v>
      </c>
      <c r="M1062" s="33" t="s">
        <v>3667</v>
      </c>
      <c r="N1062" s="44">
        <v>42171701</v>
      </c>
      <c r="O1062" s="33" t="s">
        <v>3668</v>
      </c>
      <c r="P1062" s="33" t="s">
        <v>3669</v>
      </c>
      <c r="Q1062" s="34" t="s">
        <v>1494</v>
      </c>
      <c r="R1062" s="34" t="s">
        <v>1494</v>
      </c>
    </row>
    <row r="1063" spans="1:18" ht="15" customHeight="1" x14ac:dyDescent="0.25">
      <c r="A1063" t="str">
        <f>IFERROR(RANK(B1063,$B:$B,1)+COUNTIF($B$1:B1062,B1063),"")</f>
        <v/>
      </c>
      <c r="B1063" t="str">
        <f>IFERROR(SEARCH(#REF!,Table4[[#This Row],[Commodity Title]],1),"")</f>
        <v/>
      </c>
      <c r="C1063" s="35">
        <v>42171702</v>
      </c>
      <c r="D1063" s="33" t="s">
        <v>1495</v>
      </c>
      <c r="E1063" s="33" t="s">
        <v>1496</v>
      </c>
      <c r="F1063" s="33" t="s">
        <v>1497</v>
      </c>
      <c r="G1063" s="33" t="s">
        <v>3608</v>
      </c>
      <c r="H1063" s="33" t="s">
        <v>3609</v>
      </c>
      <c r="I1063" s="33" t="s">
        <v>3610</v>
      </c>
      <c r="J1063" s="33">
        <v>115245</v>
      </c>
      <c r="K1063" s="33" t="s">
        <v>3665</v>
      </c>
      <c r="L1063" s="33" t="s">
        <v>3666</v>
      </c>
      <c r="M1063" s="33" t="s">
        <v>3667</v>
      </c>
      <c r="N1063" s="44">
        <v>42171702</v>
      </c>
      <c r="O1063" s="33" t="s">
        <v>3670</v>
      </c>
      <c r="P1063" s="33" t="s">
        <v>3671</v>
      </c>
      <c r="Q1063" s="34" t="s">
        <v>1494</v>
      </c>
      <c r="R1063" s="34" t="s">
        <v>1494</v>
      </c>
    </row>
    <row r="1064" spans="1:18" ht="15" customHeight="1" x14ac:dyDescent="0.25">
      <c r="A1064" t="str">
        <f>IFERROR(RANK(B1064,$B:$B,1)+COUNTIF($B$1:B1063,B1064),"")</f>
        <v/>
      </c>
      <c r="B1064" t="str">
        <f>IFERROR(SEARCH(#REF!,Table4[[#This Row],[Commodity Title]],1),"")</f>
        <v/>
      </c>
      <c r="C1064" s="35">
        <v>42171703</v>
      </c>
      <c r="D1064" s="33" t="s">
        <v>1495</v>
      </c>
      <c r="E1064" s="33" t="s">
        <v>1496</v>
      </c>
      <c r="F1064" s="33" t="s">
        <v>1497</v>
      </c>
      <c r="G1064" s="33" t="s">
        <v>3608</v>
      </c>
      <c r="H1064" s="33" t="s">
        <v>3609</v>
      </c>
      <c r="I1064" s="33" t="s">
        <v>3610</v>
      </c>
      <c r="J1064" s="33">
        <v>115246</v>
      </c>
      <c r="K1064" s="33" t="s">
        <v>3665</v>
      </c>
      <c r="L1064" s="33" t="s">
        <v>3666</v>
      </c>
      <c r="M1064" s="33" t="s">
        <v>3667</v>
      </c>
      <c r="N1064" s="44">
        <v>42171703</v>
      </c>
      <c r="O1064" s="33" t="s">
        <v>3672</v>
      </c>
      <c r="P1064" s="33" t="s">
        <v>3673</v>
      </c>
      <c r="Q1064" s="34" t="s">
        <v>1494</v>
      </c>
      <c r="R1064" s="34" t="s">
        <v>1494</v>
      </c>
    </row>
    <row r="1065" spans="1:18" ht="15" customHeight="1" x14ac:dyDescent="0.25">
      <c r="A1065" t="str">
        <f>IFERROR(RANK(B1065,$B:$B,1)+COUNTIF($B$1:B1064,B1065),"")</f>
        <v/>
      </c>
      <c r="B1065" t="str">
        <f>IFERROR(SEARCH(#REF!,Table4[[#This Row],[Commodity Title]],1),"")</f>
        <v/>
      </c>
      <c r="C1065" s="35">
        <v>42171704</v>
      </c>
      <c r="D1065" s="33" t="s">
        <v>1495</v>
      </c>
      <c r="E1065" s="33" t="s">
        <v>1496</v>
      </c>
      <c r="F1065" s="33" t="s">
        <v>1497</v>
      </c>
      <c r="G1065" s="33" t="s">
        <v>3608</v>
      </c>
      <c r="H1065" s="33" t="s">
        <v>3609</v>
      </c>
      <c r="I1065" s="33" t="s">
        <v>3610</v>
      </c>
      <c r="J1065" s="33">
        <v>115247</v>
      </c>
      <c r="K1065" s="33" t="s">
        <v>3665</v>
      </c>
      <c r="L1065" s="33" t="s">
        <v>3666</v>
      </c>
      <c r="M1065" s="33" t="s">
        <v>3667</v>
      </c>
      <c r="N1065" s="44">
        <v>42171704</v>
      </c>
      <c r="O1065" s="33" t="s">
        <v>3674</v>
      </c>
      <c r="P1065" s="33" t="s">
        <v>3675</v>
      </c>
      <c r="Q1065" s="34" t="s">
        <v>1494</v>
      </c>
      <c r="R1065" s="34" t="s">
        <v>1494</v>
      </c>
    </row>
    <row r="1066" spans="1:18" ht="15" customHeight="1" x14ac:dyDescent="0.25">
      <c r="A1066" t="str">
        <f>IFERROR(RANK(B1066,$B:$B,1)+COUNTIF($B$1:B1065,B1066),"")</f>
        <v/>
      </c>
      <c r="B1066" t="str">
        <f>IFERROR(SEARCH(#REF!,Table4[[#This Row],[Commodity Title]],1),"")</f>
        <v/>
      </c>
      <c r="C1066" s="33" t="s">
        <v>1494</v>
      </c>
      <c r="D1066" s="33" t="s">
        <v>1495</v>
      </c>
      <c r="E1066" s="33" t="s">
        <v>1496</v>
      </c>
      <c r="F1066" s="33" t="s">
        <v>1497</v>
      </c>
      <c r="G1066" s="33" t="s">
        <v>3608</v>
      </c>
      <c r="H1066" s="33" t="s">
        <v>3609</v>
      </c>
      <c r="I1066" s="33" t="s">
        <v>3610</v>
      </c>
      <c r="J1066" s="33">
        <v>115248</v>
      </c>
      <c r="K1066" s="33" t="s">
        <v>3676</v>
      </c>
      <c r="L1066" s="33" t="s">
        <v>3677</v>
      </c>
      <c r="M1066" s="33" t="s">
        <v>3678</v>
      </c>
      <c r="N1066" s="44" t="s">
        <v>1494</v>
      </c>
      <c r="O1066" s="33" t="s">
        <v>1494</v>
      </c>
      <c r="P1066" s="33" t="s">
        <v>1494</v>
      </c>
      <c r="Q1066" s="34" t="s">
        <v>1494</v>
      </c>
      <c r="R1066" s="34" t="s">
        <v>1494</v>
      </c>
    </row>
    <row r="1067" spans="1:18" ht="15" customHeight="1" x14ac:dyDescent="0.25">
      <c r="A1067" t="str">
        <f>IFERROR(RANK(B1067,$B:$B,1)+COUNTIF($B$1:B1066,B1067),"")</f>
        <v/>
      </c>
      <c r="B1067" t="str">
        <f>IFERROR(SEARCH(#REF!,Table4[[#This Row],[Commodity Title]],1),"")</f>
        <v/>
      </c>
      <c r="C1067" s="35">
        <v>42171801</v>
      </c>
      <c r="D1067" s="33" t="s">
        <v>1495</v>
      </c>
      <c r="E1067" s="33" t="s">
        <v>1496</v>
      </c>
      <c r="F1067" s="33" t="s">
        <v>1497</v>
      </c>
      <c r="G1067" s="33" t="s">
        <v>3608</v>
      </c>
      <c r="H1067" s="33" t="s">
        <v>3609</v>
      </c>
      <c r="I1067" s="33" t="s">
        <v>3610</v>
      </c>
      <c r="J1067" s="33">
        <v>115249</v>
      </c>
      <c r="K1067" s="33" t="s">
        <v>3676</v>
      </c>
      <c r="L1067" s="33" t="s">
        <v>3677</v>
      </c>
      <c r="M1067" s="33" t="s">
        <v>3678</v>
      </c>
      <c r="N1067" s="44">
        <v>42171801</v>
      </c>
      <c r="O1067" s="33" t="s">
        <v>3679</v>
      </c>
      <c r="P1067" s="33" t="s">
        <v>3680</v>
      </c>
      <c r="Q1067" s="34" t="s">
        <v>1494</v>
      </c>
      <c r="R1067" s="34" t="s">
        <v>1494</v>
      </c>
    </row>
    <row r="1068" spans="1:18" ht="15" customHeight="1" x14ac:dyDescent="0.25">
      <c r="A1068" t="str">
        <f>IFERROR(RANK(B1068,$B:$B,1)+COUNTIF($B$1:B1067,B1068),"")</f>
        <v/>
      </c>
      <c r="B1068" t="str">
        <f>IFERROR(SEARCH(#REF!,Table4[[#This Row],[Commodity Title]],1),"")</f>
        <v/>
      </c>
      <c r="C1068" s="35">
        <v>42171805</v>
      </c>
      <c r="D1068" s="33" t="s">
        <v>1495</v>
      </c>
      <c r="E1068" s="33" t="s">
        <v>1496</v>
      </c>
      <c r="F1068" s="33" t="s">
        <v>1497</v>
      </c>
      <c r="G1068" s="33" t="s">
        <v>3608</v>
      </c>
      <c r="H1068" s="33" t="s">
        <v>3609</v>
      </c>
      <c r="I1068" s="33" t="s">
        <v>3610</v>
      </c>
      <c r="J1068" s="33">
        <v>115253</v>
      </c>
      <c r="K1068" s="33" t="s">
        <v>3676</v>
      </c>
      <c r="L1068" s="33" t="s">
        <v>3677</v>
      </c>
      <c r="M1068" s="33" t="s">
        <v>3678</v>
      </c>
      <c r="N1068" s="44">
        <v>42171805</v>
      </c>
      <c r="O1068" s="33" t="s">
        <v>3681</v>
      </c>
      <c r="P1068" s="33" t="s">
        <v>3682</v>
      </c>
      <c r="Q1068" s="34" t="s">
        <v>1494</v>
      </c>
      <c r="R1068" s="34" t="s">
        <v>1494</v>
      </c>
    </row>
    <row r="1069" spans="1:18" ht="15" customHeight="1" x14ac:dyDescent="0.25">
      <c r="A1069" t="str">
        <f>IFERROR(RANK(B1069,$B:$B,1)+COUNTIF($B$1:B1068,B1069),"")</f>
        <v/>
      </c>
      <c r="B1069" t="str">
        <f>IFERROR(SEARCH(#REF!,Table4[[#This Row],[Commodity Title]],1),"")</f>
        <v/>
      </c>
      <c r="C1069" s="35">
        <v>42171807</v>
      </c>
      <c r="D1069" s="33" t="s">
        <v>1495</v>
      </c>
      <c r="E1069" s="33" t="s">
        <v>1496</v>
      </c>
      <c r="F1069" s="33" t="s">
        <v>1497</v>
      </c>
      <c r="G1069" s="33" t="s">
        <v>3608</v>
      </c>
      <c r="H1069" s="33" t="s">
        <v>3609</v>
      </c>
      <c r="I1069" s="33" t="s">
        <v>3610</v>
      </c>
      <c r="J1069" s="33">
        <v>202683</v>
      </c>
      <c r="K1069" s="33" t="s">
        <v>3676</v>
      </c>
      <c r="L1069" s="33" t="s">
        <v>3677</v>
      </c>
      <c r="M1069" s="33" t="s">
        <v>3678</v>
      </c>
      <c r="N1069" s="44">
        <v>42171807</v>
      </c>
      <c r="O1069" s="33" t="s">
        <v>3683</v>
      </c>
      <c r="P1069" s="33" t="s">
        <v>3684</v>
      </c>
      <c r="Q1069" s="34" t="s">
        <v>1494</v>
      </c>
      <c r="R1069" s="34" t="s">
        <v>1494</v>
      </c>
    </row>
    <row r="1070" spans="1:18" ht="15" customHeight="1" x14ac:dyDescent="0.25">
      <c r="A1070" t="str">
        <f>IFERROR(RANK(B1070,$B:$B,1)+COUNTIF($B$1:B1069,B1070),"")</f>
        <v/>
      </c>
      <c r="B1070" t="str">
        <f>IFERROR(SEARCH(#REF!,Table4[[#This Row],[Commodity Title]],1),"")</f>
        <v/>
      </c>
      <c r="C1070" s="35">
        <v>42171808</v>
      </c>
      <c r="D1070" s="33" t="s">
        <v>1495</v>
      </c>
      <c r="E1070" s="33" t="s">
        <v>1496</v>
      </c>
      <c r="F1070" s="33" t="s">
        <v>1497</v>
      </c>
      <c r="G1070" s="33" t="s">
        <v>3608</v>
      </c>
      <c r="H1070" s="33" t="s">
        <v>3609</v>
      </c>
      <c r="I1070" s="33" t="s">
        <v>3610</v>
      </c>
      <c r="J1070" s="33">
        <v>202684</v>
      </c>
      <c r="K1070" s="33" t="s">
        <v>3676</v>
      </c>
      <c r="L1070" s="33" t="s">
        <v>3677</v>
      </c>
      <c r="M1070" s="33" t="s">
        <v>3678</v>
      </c>
      <c r="N1070" s="44">
        <v>42171808</v>
      </c>
      <c r="O1070" s="33" t="s">
        <v>3685</v>
      </c>
      <c r="P1070" s="33" t="s">
        <v>3686</v>
      </c>
      <c r="Q1070" s="34" t="s">
        <v>1494</v>
      </c>
      <c r="R1070" s="34" t="s">
        <v>1494</v>
      </c>
    </row>
    <row r="1071" spans="1:18" ht="15" customHeight="1" x14ac:dyDescent="0.25">
      <c r="A1071" t="str">
        <f>IFERROR(RANK(B1071,$B:$B,1)+COUNTIF($B$1:B1070,B1071),"")</f>
        <v/>
      </c>
      <c r="B1071" t="str">
        <f>IFERROR(SEARCH(#REF!,Table4[[#This Row],[Commodity Title]],1),"")</f>
        <v/>
      </c>
      <c r="C1071" s="35">
        <v>42171809</v>
      </c>
      <c r="D1071" s="33" t="s">
        <v>1495</v>
      </c>
      <c r="E1071" s="33" t="s">
        <v>1496</v>
      </c>
      <c r="F1071" s="33" t="s">
        <v>1497</v>
      </c>
      <c r="G1071" s="33" t="s">
        <v>3608</v>
      </c>
      <c r="H1071" s="33" t="s">
        <v>3609</v>
      </c>
      <c r="I1071" s="33" t="s">
        <v>3610</v>
      </c>
      <c r="J1071" s="33">
        <v>202685</v>
      </c>
      <c r="K1071" s="33" t="s">
        <v>3676</v>
      </c>
      <c r="L1071" s="33" t="s">
        <v>3677</v>
      </c>
      <c r="M1071" s="33" t="s">
        <v>3678</v>
      </c>
      <c r="N1071" s="44">
        <v>42171809</v>
      </c>
      <c r="O1071" s="33" t="s">
        <v>3687</v>
      </c>
      <c r="P1071" s="33" t="s">
        <v>3688</v>
      </c>
      <c r="Q1071" s="34" t="s">
        <v>1494</v>
      </c>
      <c r="R1071" s="34" t="s">
        <v>1494</v>
      </c>
    </row>
    <row r="1072" spans="1:18" ht="15" customHeight="1" x14ac:dyDescent="0.25">
      <c r="A1072" t="str">
        <f>IFERROR(RANK(B1072,$B:$B,1)+COUNTIF($B$1:B1071,B1072),"")</f>
        <v/>
      </c>
      <c r="B1072" t="str">
        <f>IFERROR(SEARCH(#REF!,Table4[[#This Row],[Commodity Title]],1),"")</f>
        <v/>
      </c>
      <c r="C1072" s="35">
        <v>42171810</v>
      </c>
      <c r="D1072" s="33" t="s">
        <v>1495</v>
      </c>
      <c r="E1072" s="33" t="s">
        <v>1496</v>
      </c>
      <c r="F1072" s="33" t="s">
        <v>1497</v>
      </c>
      <c r="G1072" s="33" t="s">
        <v>3608</v>
      </c>
      <c r="H1072" s="33" t="s">
        <v>3609</v>
      </c>
      <c r="I1072" s="33" t="s">
        <v>3610</v>
      </c>
      <c r="J1072" s="33">
        <v>202686</v>
      </c>
      <c r="K1072" s="33" t="s">
        <v>3676</v>
      </c>
      <c r="L1072" s="33" t="s">
        <v>3677</v>
      </c>
      <c r="M1072" s="33" t="s">
        <v>3678</v>
      </c>
      <c r="N1072" s="44">
        <v>42171810</v>
      </c>
      <c r="O1072" s="33" t="s">
        <v>3689</v>
      </c>
      <c r="P1072" s="33" t="s">
        <v>3690</v>
      </c>
      <c r="Q1072" s="34" t="s">
        <v>1494</v>
      </c>
      <c r="R1072" s="34" t="s">
        <v>1494</v>
      </c>
    </row>
    <row r="1073" spans="1:18" ht="15" customHeight="1" x14ac:dyDescent="0.25">
      <c r="A1073" t="str">
        <f>IFERROR(RANK(B1073,$B:$B,1)+COUNTIF($B$1:B1072,B1073),"")</f>
        <v/>
      </c>
      <c r="B1073" t="str">
        <f>IFERROR(SEARCH(#REF!,Table4[[#This Row],[Commodity Title]],1),"")</f>
        <v/>
      </c>
      <c r="C1073" s="33" t="s">
        <v>1494</v>
      </c>
      <c r="D1073" s="33" t="s">
        <v>1495</v>
      </c>
      <c r="E1073" s="33" t="s">
        <v>1496</v>
      </c>
      <c r="F1073" s="33" t="s">
        <v>1497</v>
      </c>
      <c r="G1073" s="33" t="s">
        <v>3608</v>
      </c>
      <c r="H1073" s="33" t="s">
        <v>3609</v>
      </c>
      <c r="I1073" s="33" t="s">
        <v>3610</v>
      </c>
      <c r="J1073" s="33">
        <v>115255</v>
      </c>
      <c r="K1073" s="33" t="s">
        <v>3691</v>
      </c>
      <c r="L1073" s="33" t="s">
        <v>3692</v>
      </c>
      <c r="M1073" s="33" t="s">
        <v>3693</v>
      </c>
      <c r="N1073" s="44" t="s">
        <v>1494</v>
      </c>
      <c r="O1073" s="33" t="s">
        <v>1494</v>
      </c>
      <c r="P1073" s="33" t="s">
        <v>1494</v>
      </c>
      <c r="Q1073" s="34" t="s">
        <v>1494</v>
      </c>
      <c r="R1073" s="34" t="s">
        <v>1494</v>
      </c>
    </row>
    <row r="1074" spans="1:18" ht="15" customHeight="1" x14ac:dyDescent="0.25">
      <c r="A1074" t="str">
        <f>IFERROR(RANK(B1074,$B:$B,1)+COUNTIF($B$1:B1073,B1074),"")</f>
        <v/>
      </c>
      <c r="B1074" t="str">
        <f>IFERROR(SEARCH(#REF!,Table4[[#This Row],[Commodity Title]],1),"")</f>
        <v/>
      </c>
      <c r="C1074" s="35">
        <v>42171921</v>
      </c>
      <c r="D1074" s="33" t="s">
        <v>1495</v>
      </c>
      <c r="E1074" s="33" t="s">
        <v>1496</v>
      </c>
      <c r="F1074" s="33" t="s">
        <v>1497</v>
      </c>
      <c r="G1074" s="33" t="s">
        <v>3608</v>
      </c>
      <c r="H1074" s="33" t="s">
        <v>3609</v>
      </c>
      <c r="I1074" s="33" t="s">
        <v>3610</v>
      </c>
      <c r="J1074" s="33">
        <v>142303</v>
      </c>
      <c r="K1074" s="33" t="s">
        <v>3691</v>
      </c>
      <c r="L1074" s="33" t="s">
        <v>3692</v>
      </c>
      <c r="M1074" s="33" t="s">
        <v>3693</v>
      </c>
      <c r="N1074" s="44">
        <v>42171921</v>
      </c>
      <c r="O1074" s="33" t="s">
        <v>3694</v>
      </c>
      <c r="P1074" s="33" t="s">
        <v>3695</v>
      </c>
      <c r="Q1074" s="34" t="s">
        <v>1494</v>
      </c>
      <c r="R1074" s="34" t="s">
        <v>1494</v>
      </c>
    </row>
    <row r="1075" spans="1:18" ht="15" customHeight="1" x14ac:dyDescent="0.25">
      <c r="A1075" t="str">
        <f>IFERROR(RANK(B1075,$B:$B,1)+COUNTIF($B$1:B1074,B1075),"")</f>
        <v/>
      </c>
      <c r="B1075" t="str">
        <f>IFERROR(SEARCH(#REF!,Table4[[#This Row],[Commodity Title]],1),"")</f>
        <v/>
      </c>
      <c r="C1075" s="35">
        <v>42171922</v>
      </c>
      <c r="D1075" s="33" t="s">
        <v>1495</v>
      </c>
      <c r="E1075" s="33" t="s">
        <v>1496</v>
      </c>
      <c r="F1075" s="33" t="s">
        <v>1497</v>
      </c>
      <c r="G1075" s="33" t="s">
        <v>3608</v>
      </c>
      <c r="H1075" s="33" t="s">
        <v>3609</v>
      </c>
      <c r="I1075" s="33" t="s">
        <v>3610</v>
      </c>
      <c r="J1075" s="33">
        <v>142654</v>
      </c>
      <c r="K1075" s="33" t="s">
        <v>3691</v>
      </c>
      <c r="L1075" s="33" t="s">
        <v>3692</v>
      </c>
      <c r="M1075" s="33" t="s">
        <v>3693</v>
      </c>
      <c r="N1075" s="44">
        <v>42171922</v>
      </c>
      <c r="O1075" s="33" t="s">
        <v>3696</v>
      </c>
      <c r="P1075" s="33" t="s">
        <v>3697</v>
      </c>
      <c r="Q1075" s="34" t="s">
        <v>1494</v>
      </c>
      <c r="R1075" s="34" t="s">
        <v>1494</v>
      </c>
    </row>
    <row r="1076" spans="1:18" ht="15" customHeight="1" x14ac:dyDescent="0.25">
      <c r="A1076" t="str">
        <f>IFERROR(RANK(B1076,$B:$B,1)+COUNTIF($B$1:B1075,B1076),"")</f>
        <v/>
      </c>
      <c r="B1076" t="str">
        <f>IFERROR(SEARCH(#REF!,Table4[[#This Row],[Commodity Title]],1),"")</f>
        <v/>
      </c>
      <c r="C1076" s="35">
        <v>42171923</v>
      </c>
      <c r="D1076" s="33" t="s">
        <v>1495</v>
      </c>
      <c r="E1076" s="33" t="s">
        <v>1496</v>
      </c>
      <c r="F1076" s="33" t="s">
        <v>1497</v>
      </c>
      <c r="G1076" s="33" t="s">
        <v>3608</v>
      </c>
      <c r="H1076" s="33" t="s">
        <v>3609</v>
      </c>
      <c r="I1076" s="33" t="s">
        <v>3610</v>
      </c>
      <c r="J1076" s="33">
        <v>208345</v>
      </c>
      <c r="K1076" s="33" t="s">
        <v>3691</v>
      </c>
      <c r="L1076" s="33" t="s">
        <v>3692</v>
      </c>
      <c r="M1076" s="33" t="s">
        <v>3693</v>
      </c>
      <c r="N1076" s="44">
        <v>42171923</v>
      </c>
      <c r="O1076" s="33" t="s">
        <v>3698</v>
      </c>
      <c r="P1076" s="33" t="s">
        <v>3699</v>
      </c>
      <c r="Q1076" s="34" t="s">
        <v>1494</v>
      </c>
      <c r="R1076" s="34" t="s">
        <v>1494</v>
      </c>
    </row>
    <row r="1077" spans="1:18" ht="15" customHeight="1" x14ac:dyDescent="0.25">
      <c r="A1077" t="str">
        <f>IFERROR(RANK(B1077,$B:$B,1)+COUNTIF($B$1:B1076,B1077),"")</f>
        <v/>
      </c>
      <c r="B1077" t="str">
        <f>IFERROR(SEARCH(#REF!,Table4[[#This Row],[Commodity Title]],1),"")</f>
        <v/>
      </c>
      <c r="C1077" s="35">
        <v>42171924</v>
      </c>
      <c r="D1077" s="33" t="s">
        <v>1495</v>
      </c>
      <c r="E1077" s="33" t="s">
        <v>1496</v>
      </c>
      <c r="F1077" s="33" t="s">
        <v>1497</v>
      </c>
      <c r="G1077" s="33" t="s">
        <v>3608</v>
      </c>
      <c r="H1077" s="33" t="s">
        <v>3609</v>
      </c>
      <c r="I1077" s="33" t="s">
        <v>3610</v>
      </c>
      <c r="J1077" s="33">
        <v>208421</v>
      </c>
      <c r="K1077" s="33" t="s">
        <v>3691</v>
      </c>
      <c r="L1077" s="33" t="s">
        <v>3692</v>
      </c>
      <c r="M1077" s="33" t="s">
        <v>3693</v>
      </c>
      <c r="N1077" s="44">
        <v>42171924</v>
      </c>
      <c r="O1077" s="33" t="s">
        <v>3700</v>
      </c>
      <c r="P1077" s="33" t="s">
        <v>3701</v>
      </c>
      <c r="Q1077" s="34" t="s">
        <v>1494</v>
      </c>
      <c r="R1077" s="34" t="s">
        <v>1494</v>
      </c>
    </row>
    <row r="1078" spans="1:18" ht="15" customHeight="1" x14ac:dyDescent="0.25">
      <c r="A1078" t="str">
        <f>IFERROR(RANK(B1078,$B:$B,1)+COUNTIF($B$1:B1077,B1078),"")</f>
        <v/>
      </c>
      <c r="B1078" t="str">
        <f>IFERROR(SEARCH(#REF!,Table4[[#This Row],[Commodity Title]],1),"")</f>
        <v/>
      </c>
      <c r="C1078" s="33" t="s">
        <v>1494</v>
      </c>
      <c r="D1078" s="33" t="s">
        <v>1495</v>
      </c>
      <c r="E1078" s="33" t="s">
        <v>1496</v>
      </c>
      <c r="F1078" s="33" t="s">
        <v>1497</v>
      </c>
      <c r="G1078" s="33" t="s">
        <v>3608</v>
      </c>
      <c r="H1078" s="33" t="s">
        <v>3609</v>
      </c>
      <c r="I1078" s="33" t="s">
        <v>3610</v>
      </c>
      <c r="J1078" s="33">
        <v>115271</v>
      </c>
      <c r="K1078" s="33" t="s">
        <v>3702</v>
      </c>
      <c r="L1078" s="33" t="s">
        <v>3703</v>
      </c>
      <c r="M1078" s="33" t="s">
        <v>3704</v>
      </c>
      <c r="N1078" s="44" t="s">
        <v>1494</v>
      </c>
      <c r="O1078" s="33" t="s">
        <v>1494</v>
      </c>
      <c r="P1078" s="33" t="s">
        <v>1494</v>
      </c>
      <c r="Q1078" s="34" t="s">
        <v>1494</v>
      </c>
      <c r="R1078" s="34" t="s">
        <v>1494</v>
      </c>
    </row>
    <row r="1079" spans="1:18" ht="15" customHeight="1" x14ac:dyDescent="0.25">
      <c r="A1079" t="str">
        <f>IFERROR(RANK(B1079,$B:$B,1)+COUNTIF($B$1:B1078,B1079),"")</f>
        <v/>
      </c>
      <c r="B1079" t="str">
        <f>IFERROR(SEARCH(#REF!,Table4[[#This Row],[Commodity Title]],1),"")</f>
        <v/>
      </c>
      <c r="C1079" s="35">
        <v>42172001</v>
      </c>
      <c r="D1079" s="33" t="s">
        <v>1495</v>
      </c>
      <c r="E1079" s="33" t="s">
        <v>1496</v>
      </c>
      <c r="F1079" s="33" t="s">
        <v>1497</v>
      </c>
      <c r="G1079" s="33" t="s">
        <v>3608</v>
      </c>
      <c r="H1079" s="33" t="s">
        <v>3609</v>
      </c>
      <c r="I1079" s="33" t="s">
        <v>3610</v>
      </c>
      <c r="J1079" s="33">
        <v>115272</v>
      </c>
      <c r="K1079" s="33" t="s">
        <v>3702</v>
      </c>
      <c r="L1079" s="33" t="s">
        <v>3703</v>
      </c>
      <c r="M1079" s="33" t="s">
        <v>3704</v>
      </c>
      <c r="N1079" s="44">
        <v>42172001</v>
      </c>
      <c r="O1079" s="33" t="s">
        <v>3705</v>
      </c>
      <c r="P1079" s="33" t="s">
        <v>3706</v>
      </c>
      <c r="Q1079" s="34" t="s">
        <v>1494</v>
      </c>
      <c r="R1079" s="34" t="s">
        <v>1494</v>
      </c>
    </row>
    <row r="1080" spans="1:18" ht="15" customHeight="1" x14ac:dyDescent="0.25">
      <c r="A1080" t="str">
        <f>IFERROR(RANK(B1080,$B:$B,1)+COUNTIF($B$1:B1079,B1080),"")</f>
        <v/>
      </c>
      <c r="B1080" t="str">
        <f>IFERROR(SEARCH(#REF!,Table4[[#This Row],[Commodity Title]],1),"")</f>
        <v/>
      </c>
      <c r="C1080" s="35">
        <v>42172002</v>
      </c>
      <c r="D1080" s="33" t="s">
        <v>1495</v>
      </c>
      <c r="E1080" s="33" t="s">
        <v>1496</v>
      </c>
      <c r="F1080" s="33" t="s">
        <v>1497</v>
      </c>
      <c r="G1080" s="33" t="s">
        <v>3608</v>
      </c>
      <c r="H1080" s="33" t="s">
        <v>3609</v>
      </c>
      <c r="I1080" s="33" t="s">
        <v>3610</v>
      </c>
      <c r="J1080" s="33">
        <v>115273</v>
      </c>
      <c r="K1080" s="33" t="s">
        <v>3702</v>
      </c>
      <c r="L1080" s="33" t="s">
        <v>3703</v>
      </c>
      <c r="M1080" s="33" t="s">
        <v>3704</v>
      </c>
      <c r="N1080" s="44">
        <v>42172002</v>
      </c>
      <c r="O1080" s="33" t="s">
        <v>3707</v>
      </c>
      <c r="P1080" s="33" t="s">
        <v>3708</v>
      </c>
      <c r="Q1080" s="34" t="s">
        <v>1494</v>
      </c>
      <c r="R1080" s="34" t="s">
        <v>1494</v>
      </c>
    </row>
    <row r="1081" spans="1:18" ht="15" customHeight="1" x14ac:dyDescent="0.25">
      <c r="A1081" t="str">
        <f>IFERROR(RANK(B1081,$B:$B,1)+COUNTIF($B$1:B1080,B1081),"")</f>
        <v/>
      </c>
      <c r="B1081" t="str">
        <f>IFERROR(SEARCH(#REF!,Table4[[#This Row],[Commodity Title]],1),"")</f>
        <v/>
      </c>
      <c r="C1081" s="35">
        <v>42172003</v>
      </c>
      <c r="D1081" s="33" t="s">
        <v>1495</v>
      </c>
      <c r="E1081" s="33" t="s">
        <v>1496</v>
      </c>
      <c r="F1081" s="33" t="s">
        <v>1497</v>
      </c>
      <c r="G1081" s="33" t="s">
        <v>3608</v>
      </c>
      <c r="H1081" s="33" t="s">
        <v>3609</v>
      </c>
      <c r="I1081" s="33" t="s">
        <v>3610</v>
      </c>
      <c r="J1081" s="33">
        <v>115274</v>
      </c>
      <c r="K1081" s="33" t="s">
        <v>3702</v>
      </c>
      <c r="L1081" s="33" t="s">
        <v>3703</v>
      </c>
      <c r="M1081" s="33" t="s">
        <v>3704</v>
      </c>
      <c r="N1081" s="44">
        <v>42172003</v>
      </c>
      <c r="O1081" s="33" t="s">
        <v>3709</v>
      </c>
      <c r="P1081" s="33" t="s">
        <v>3710</v>
      </c>
      <c r="Q1081" s="34" t="s">
        <v>1494</v>
      </c>
      <c r="R1081" s="34" t="s">
        <v>1494</v>
      </c>
    </row>
    <row r="1082" spans="1:18" ht="15" customHeight="1" x14ac:dyDescent="0.25">
      <c r="A1082" t="str">
        <f>IFERROR(RANK(B1082,$B:$B,1)+COUNTIF($B$1:B1081,B1082),"")</f>
        <v/>
      </c>
      <c r="B1082" t="str">
        <f>IFERROR(SEARCH(#REF!,Table4[[#This Row],[Commodity Title]],1),"")</f>
        <v/>
      </c>
      <c r="C1082" s="35">
        <v>42172004</v>
      </c>
      <c r="D1082" s="33" t="s">
        <v>1495</v>
      </c>
      <c r="E1082" s="33" t="s">
        <v>1496</v>
      </c>
      <c r="F1082" s="33" t="s">
        <v>1497</v>
      </c>
      <c r="G1082" s="33" t="s">
        <v>3608</v>
      </c>
      <c r="H1082" s="33" t="s">
        <v>3609</v>
      </c>
      <c r="I1082" s="33" t="s">
        <v>3610</v>
      </c>
      <c r="J1082" s="33">
        <v>115275</v>
      </c>
      <c r="K1082" s="33" t="s">
        <v>3702</v>
      </c>
      <c r="L1082" s="33" t="s">
        <v>3703</v>
      </c>
      <c r="M1082" s="33" t="s">
        <v>3704</v>
      </c>
      <c r="N1082" s="44">
        <v>42172004</v>
      </c>
      <c r="O1082" s="33" t="s">
        <v>3711</v>
      </c>
      <c r="P1082" s="33" t="s">
        <v>3712</v>
      </c>
      <c r="Q1082" s="34" t="s">
        <v>1494</v>
      </c>
      <c r="R1082" s="34" t="s">
        <v>1494</v>
      </c>
    </row>
    <row r="1083" spans="1:18" ht="15" customHeight="1" x14ac:dyDescent="0.25">
      <c r="A1083" t="str">
        <f>IFERROR(RANK(B1083,$B:$B,1)+COUNTIF($B$1:B1082,B1083),"")</f>
        <v/>
      </c>
      <c r="B1083" t="str">
        <f>IFERROR(SEARCH(#REF!,Table4[[#This Row],[Commodity Title]],1),"")</f>
        <v/>
      </c>
      <c r="C1083" s="35">
        <v>42172005</v>
      </c>
      <c r="D1083" s="33" t="s">
        <v>1495</v>
      </c>
      <c r="E1083" s="33" t="s">
        <v>1496</v>
      </c>
      <c r="F1083" s="33" t="s">
        <v>1497</v>
      </c>
      <c r="G1083" s="33" t="s">
        <v>3608</v>
      </c>
      <c r="H1083" s="33" t="s">
        <v>3609</v>
      </c>
      <c r="I1083" s="33" t="s">
        <v>3610</v>
      </c>
      <c r="J1083" s="33">
        <v>115276</v>
      </c>
      <c r="K1083" s="33" t="s">
        <v>3702</v>
      </c>
      <c r="L1083" s="33" t="s">
        <v>3703</v>
      </c>
      <c r="M1083" s="33" t="s">
        <v>3704</v>
      </c>
      <c r="N1083" s="44">
        <v>42172005</v>
      </c>
      <c r="O1083" s="33" t="s">
        <v>3713</v>
      </c>
      <c r="P1083" s="33" t="s">
        <v>3714</v>
      </c>
      <c r="Q1083" s="34" t="s">
        <v>1494</v>
      </c>
      <c r="R1083" s="34" t="s">
        <v>1494</v>
      </c>
    </row>
    <row r="1084" spans="1:18" ht="15" customHeight="1" x14ac:dyDescent="0.25">
      <c r="A1084" t="str">
        <f>IFERROR(RANK(B1084,$B:$B,1)+COUNTIF($B$1:B1083,B1084),"")</f>
        <v/>
      </c>
      <c r="B1084" t="str">
        <f>IFERROR(SEARCH(#REF!,Table4[[#This Row],[Commodity Title]],1),"")</f>
        <v/>
      </c>
      <c r="C1084" s="35">
        <v>42172006</v>
      </c>
      <c r="D1084" s="33" t="s">
        <v>1495</v>
      </c>
      <c r="E1084" s="33" t="s">
        <v>1496</v>
      </c>
      <c r="F1084" s="33" t="s">
        <v>1497</v>
      </c>
      <c r="G1084" s="33" t="s">
        <v>3608</v>
      </c>
      <c r="H1084" s="33" t="s">
        <v>3609</v>
      </c>
      <c r="I1084" s="33" t="s">
        <v>3610</v>
      </c>
      <c r="J1084" s="33">
        <v>115277</v>
      </c>
      <c r="K1084" s="33" t="s">
        <v>3702</v>
      </c>
      <c r="L1084" s="33" t="s">
        <v>3703</v>
      </c>
      <c r="M1084" s="33" t="s">
        <v>3704</v>
      </c>
      <c r="N1084" s="44">
        <v>42172006</v>
      </c>
      <c r="O1084" s="33" t="s">
        <v>3715</v>
      </c>
      <c r="P1084" s="33" t="s">
        <v>3716</v>
      </c>
      <c r="Q1084" s="34" t="s">
        <v>1494</v>
      </c>
      <c r="R1084" s="34" t="s">
        <v>1494</v>
      </c>
    </row>
    <row r="1085" spans="1:18" ht="15" customHeight="1" x14ac:dyDescent="0.25">
      <c r="A1085" t="str">
        <f>IFERROR(RANK(B1085,$B:$B,1)+COUNTIF($B$1:B1084,B1085),"")</f>
        <v/>
      </c>
      <c r="B1085" t="str">
        <f>IFERROR(SEARCH(#REF!,Table4[[#This Row],[Commodity Title]],1),"")</f>
        <v/>
      </c>
      <c r="C1085" s="35">
        <v>42172008</v>
      </c>
      <c r="D1085" s="33" t="s">
        <v>1495</v>
      </c>
      <c r="E1085" s="33" t="s">
        <v>1496</v>
      </c>
      <c r="F1085" s="33" t="s">
        <v>1497</v>
      </c>
      <c r="G1085" s="33" t="s">
        <v>3608</v>
      </c>
      <c r="H1085" s="33" t="s">
        <v>3609</v>
      </c>
      <c r="I1085" s="33" t="s">
        <v>3610</v>
      </c>
      <c r="J1085" s="33">
        <v>115279</v>
      </c>
      <c r="K1085" s="33" t="s">
        <v>3702</v>
      </c>
      <c r="L1085" s="33" t="s">
        <v>3703</v>
      </c>
      <c r="M1085" s="33" t="s">
        <v>3704</v>
      </c>
      <c r="N1085" s="44">
        <v>42172008</v>
      </c>
      <c r="O1085" s="33" t="s">
        <v>3717</v>
      </c>
      <c r="P1085" s="33" t="s">
        <v>3718</v>
      </c>
      <c r="Q1085" s="34" t="s">
        <v>1494</v>
      </c>
      <c r="R1085" s="34" t="s">
        <v>1494</v>
      </c>
    </row>
    <row r="1086" spans="1:18" ht="15" customHeight="1" x14ac:dyDescent="0.25">
      <c r="A1086" t="str">
        <f>IFERROR(RANK(B1086,$B:$B,1)+COUNTIF($B$1:B1085,B1086),"")</f>
        <v/>
      </c>
      <c r="B1086" t="str">
        <f>IFERROR(SEARCH(#REF!,Table4[[#This Row],[Commodity Title]],1),"")</f>
        <v/>
      </c>
      <c r="C1086" s="35">
        <v>42172009</v>
      </c>
      <c r="D1086" s="33" t="s">
        <v>1495</v>
      </c>
      <c r="E1086" s="33" t="s">
        <v>1496</v>
      </c>
      <c r="F1086" s="33" t="s">
        <v>1497</v>
      </c>
      <c r="G1086" s="33" t="s">
        <v>3608</v>
      </c>
      <c r="H1086" s="33" t="s">
        <v>3609</v>
      </c>
      <c r="I1086" s="33" t="s">
        <v>3610</v>
      </c>
      <c r="J1086" s="33">
        <v>115280</v>
      </c>
      <c r="K1086" s="33" t="s">
        <v>3702</v>
      </c>
      <c r="L1086" s="33" t="s">
        <v>3703</v>
      </c>
      <c r="M1086" s="33" t="s">
        <v>3704</v>
      </c>
      <c r="N1086" s="44">
        <v>42172009</v>
      </c>
      <c r="O1086" s="33" t="s">
        <v>3719</v>
      </c>
      <c r="P1086" s="33" t="s">
        <v>3720</v>
      </c>
      <c r="Q1086" s="34" t="s">
        <v>1494</v>
      </c>
      <c r="R1086" s="34" t="s">
        <v>1494</v>
      </c>
    </row>
    <row r="1087" spans="1:18" ht="15" customHeight="1" x14ac:dyDescent="0.25">
      <c r="A1087" t="str">
        <f>IFERROR(RANK(B1087,$B:$B,1)+COUNTIF($B$1:B1086,B1087),"")</f>
        <v/>
      </c>
      <c r="B1087" t="str">
        <f>IFERROR(SEARCH(#REF!,Table4[[#This Row],[Commodity Title]],1),"")</f>
        <v/>
      </c>
      <c r="C1087" s="35">
        <v>42172010</v>
      </c>
      <c r="D1087" s="33" t="s">
        <v>1495</v>
      </c>
      <c r="E1087" s="33" t="s">
        <v>1496</v>
      </c>
      <c r="F1087" s="33" t="s">
        <v>1497</v>
      </c>
      <c r="G1087" s="33" t="s">
        <v>3608</v>
      </c>
      <c r="H1087" s="33" t="s">
        <v>3609</v>
      </c>
      <c r="I1087" s="33" t="s">
        <v>3610</v>
      </c>
      <c r="J1087" s="33">
        <v>115281</v>
      </c>
      <c r="K1087" s="33" t="s">
        <v>3702</v>
      </c>
      <c r="L1087" s="33" t="s">
        <v>3703</v>
      </c>
      <c r="M1087" s="33" t="s">
        <v>3704</v>
      </c>
      <c r="N1087" s="44">
        <v>42172010</v>
      </c>
      <c r="O1087" s="33" t="s">
        <v>3721</v>
      </c>
      <c r="P1087" s="33" t="s">
        <v>3722</v>
      </c>
      <c r="Q1087" s="34" t="s">
        <v>1494</v>
      </c>
      <c r="R1087" s="34" t="s">
        <v>1494</v>
      </c>
    </row>
    <row r="1088" spans="1:18" ht="15" customHeight="1" x14ac:dyDescent="0.25">
      <c r="A1088" t="str">
        <f>IFERROR(RANK(B1088,$B:$B,1)+COUNTIF($B$1:B1087,B1088),"")</f>
        <v/>
      </c>
      <c r="B1088" t="str">
        <f>IFERROR(SEARCH(#REF!,Table4[[#This Row],[Commodity Title]],1),"")</f>
        <v/>
      </c>
      <c r="C1088" s="35">
        <v>42172011</v>
      </c>
      <c r="D1088" s="33" t="s">
        <v>1495</v>
      </c>
      <c r="E1088" s="33" t="s">
        <v>1496</v>
      </c>
      <c r="F1088" s="33" t="s">
        <v>1497</v>
      </c>
      <c r="G1088" s="33" t="s">
        <v>3608</v>
      </c>
      <c r="H1088" s="33" t="s">
        <v>3609</v>
      </c>
      <c r="I1088" s="33" t="s">
        <v>3610</v>
      </c>
      <c r="J1088" s="33">
        <v>115282</v>
      </c>
      <c r="K1088" s="33" t="s">
        <v>3702</v>
      </c>
      <c r="L1088" s="33" t="s">
        <v>3703</v>
      </c>
      <c r="M1088" s="33" t="s">
        <v>3704</v>
      </c>
      <c r="N1088" s="44">
        <v>42172011</v>
      </c>
      <c r="O1088" s="33" t="s">
        <v>3723</v>
      </c>
      <c r="P1088" s="33" t="s">
        <v>3724</v>
      </c>
      <c r="Q1088" s="34" t="s">
        <v>1494</v>
      </c>
      <c r="R1088" s="34" t="s">
        <v>1494</v>
      </c>
    </row>
    <row r="1089" spans="1:18" ht="15" customHeight="1" x14ac:dyDescent="0.25">
      <c r="A1089" t="str">
        <f>IFERROR(RANK(B1089,$B:$B,1)+COUNTIF($B$1:B1088,B1089),"")</f>
        <v/>
      </c>
      <c r="B1089" t="str">
        <f>IFERROR(SEARCH(#REF!,Table4[[#This Row],[Commodity Title]],1),"")</f>
        <v/>
      </c>
      <c r="C1089" s="35">
        <v>42172014</v>
      </c>
      <c r="D1089" s="33" t="s">
        <v>1495</v>
      </c>
      <c r="E1089" s="33" t="s">
        <v>1496</v>
      </c>
      <c r="F1089" s="33" t="s">
        <v>1497</v>
      </c>
      <c r="G1089" s="33" t="s">
        <v>3608</v>
      </c>
      <c r="H1089" s="33" t="s">
        <v>3609</v>
      </c>
      <c r="I1089" s="33" t="s">
        <v>3610</v>
      </c>
      <c r="J1089" s="33">
        <v>142457</v>
      </c>
      <c r="K1089" s="33" t="s">
        <v>3702</v>
      </c>
      <c r="L1089" s="33" t="s">
        <v>3703</v>
      </c>
      <c r="M1089" s="33" t="s">
        <v>3704</v>
      </c>
      <c r="N1089" s="44">
        <v>42172014</v>
      </c>
      <c r="O1089" s="33" t="s">
        <v>3725</v>
      </c>
      <c r="P1089" s="33" t="s">
        <v>3726</v>
      </c>
      <c r="Q1089" s="34" t="s">
        <v>1494</v>
      </c>
      <c r="R1089" s="34" t="s">
        <v>1494</v>
      </c>
    </row>
    <row r="1090" spans="1:18" ht="15" customHeight="1" x14ac:dyDescent="0.25">
      <c r="A1090" t="str">
        <f>IFERROR(RANK(B1090,$B:$B,1)+COUNTIF($B$1:B1089,B1090),"")</f>
        <v/>
      </c>
      <c r="B1090" t="str">
        <f>IFERROR(SEARCH(#REF!,Table4[[#This Row],[Commodity Title]],1),"")</f>
        <v/>
      </c>
      <c r="C1090" s="35">
        <v>42172015</v>
      </c>
      <c r="D1090" s="33" t="s">
        <v>1495</v>
      </c>
      <c r="E1090" s="33" t="s">
        <v>1496</v>
      </c>
      <c r="F1090" s="33" t="s">
        <v>1497</v>
      </c>
      <c r="G1090" s="33" t="s">
        <v>3608</v>
      </c>
      <c r="H1090" s="33" t="s">
        <v>3609</v>
      </c>
      <c r="I1090" s="33" t="s">
        <v>3610</v>
      </c>
      <c r="J1090" s="33">
        <v>142458</v>
      </c>
      <c r="K1090" s="33" t="s">
        <v>3702</v>
      </c>
      <c r="L1090" s="33" t="s">
        <v>3703</v>
      </c>
      <c r="M1090" s="33" t="s">
        <v>3704</v>
      </c>
      <c r="N1090" s="44">
        <v>42172015</v>
      </c>
      <c r="O1090" s="33" t="s">
        <v>3727</v>
      </c>
      <c r="P1090" s="33" t="s">
        <v>3728</v>
      </c>
      <c r="Q1090" s="34" t="s">
        <v>1494</v>
      </c>
      <c r="R1090" s="34" t="s">
        <v>1494</v>
      </c>
    </row>
    <row r="1091" spans="1:18" ht="15" customHeight="1" x14ac:dyDescent="0.25">
      <c r="A1091" t="str">
        <f>IFERROR(RANK(B1091,$B:$B,1)+COUNTIF($B$1:B1090,B1091),"")</f>
        <v/>
      </c>
      <c r="B1091" t="str">
        <f>IFERROR(SEARCH(#REF!,Table4[[#This Row],[Commodity Title]],1),"")</f>
        <v/>
      </c>
      <c r="C1091" s="35">
        <v>42172016</v>
      </c>
      <c r="D1091" s="33" t="s">
        <v>1495</v>
      </c>
      <c r="E1091" s="33" t="s">
        <v>1496</v>
      </c>
      <c r="F1091" s="33" t="s">
        <v>1497</v>
      </c>
      <c r="G1091" s="33" t="s">
        <v>3608</v>
      </c>
      <c r="H1091" s="33" t="s">
        <v>3609</v>
      </c>
      <c r="I1091" s="33" t="s">
        <v>3610</v>
      </c>
      <c r="J1091" s="33">
        <v>142459</v>
      </c>
      <c r="K1091" s="33" t="s">
        <v>3702</v>
      </c>
      <c r="L1091" s="33" t="s">
        <v>3703</v>
      </c>
      <c r="M1091" s="33" t="s">
        <v>3704</v>
      </c>
      <c r="N1091" s="44">
        <v>42172016</v>
      </c>
      <c r="O1091" s="33" t="s">
        <v>3729</v>
      </c>
      <c r="P1091" s="33" t="s">
        <v>3730</v>
      </c>
      <c r="Q1091" s="34" t="s">
        <v>1494</v>
      </c>
      <c r="R1091" s="34" t="s">
        <v>1494</v>
      </c>
    </row>
    <row r="1092" spans="1:18" ht="15" customHeight="1" x14ac:dyDescent="0.25">
      <c r="A1092" t="str">
        <f>IFERROR(RANK(B1092,$B:$B,1)+COUNTIF($B$1:B1091,B1092),"")</f>
        <v/>
      </c>
      <c r="B1092" t="str">
        <f>IFERROR(SEARCH(#REF!,Table4[[#This Row],[Commodity Title]],1),"")</f>
        <v/>
      </c>
      <c r="C1092" s="35">
        <v>42172017</v>
      </c>
      <c r="D1092" s="33" t="s">
        <v>1495</v>
      </c>
      <c r="E1092" s="33" t="s">
        <v>1496</v>
      </c>
      <c r="F1092" s="33" t="s">
        <v>1497</v>
      </c>
      <c r="G1092" s="33" t="s">
        <v>3608</v>
      </c>
      <c r="H1092" s="33" t="s">
        <v>3609</v>
      </c>
      <c r="I1092" s="33" t="s">
        <v>3610</v>
      </c>
      <c r="J1092" s="33">
        <v>142460</v>
      </c>
      <c r="K1092" s="33" t="s">
        <v>3702</v>
      </c>
      <c r="L1092" s="33" t="s">
        <v>3703</v>
      </c>
      <c r="M1092" s="33" t="s">
        <v>3704</v>
      </c>
      <c r="N1092" s="44">
        <v>42172017</v>
      </c>
      <c r="O1092" s="33" t="s">
        <v>3731</v>
      </c>
      <c r="P1092" s="33" t="s">
        <v>3732</v>
      </c>
      <c r="Q1092" s="34" t="s">
        <v>1494</v>
      </c>
      <c r="R1092" s="34" t="s">
        <v>1494</v>
      </c>
    </row>
    <row r="1093" spans="1:18" ht="15" customHeight="1" x14ac:dyDescent="0.25">
      <c r="A1093" t="str">
        <f>IFERROR(RANK(B1093,$B:$B,1)+COUNTIF($B$1:B1092,B1093),"")</f>
        <v/>
      </c>
      <c r="B1093" t="str">
        <f>IFERROR(SEARCH(#REF!,Table4[[#This Row],[Commodity Title]],1),"")</f>
        <v/>
      </c>
      <c r="C1093" s="33" t="s">
        <v>1494</v>
      </c>
      <c r="D1093" s="33" t="s">
        <v>1495</v>
      </c>
      <c r="E1093" s="33" t="s">
        <v>1496</v>
      </c>
      <c r="F1093" s="33" t="s">
        <v>1497</v>
      </c>
      <c r="G1093" s="33" t="s">
        <v>3608</v>
      </c>
      <c r="H1093" s="33" t="s">
        <v>3609</v>
      </c>
      <c r="I1093" s="33" t="s">
        <v>3610</v>
      </c>
      <c r="J1093" s="33">
        <v>115283</v>
      </c>
      <c r="K1093" s="33" t="s">
        <v>3733</v>
      </c>
      <c r="L1093" s="33" t="s">
        <v>3734</v>
      </c>
      <c r="M1093" s="33" t="s">
        <v>3735</v>
      </c>
      <c r="N1093" s="44" t="s">
        <v>1494</v>
      </c>
      <c r="O1093" s="33" t="s">
        <v>1494</v>
      </c>
      <c r="P1093" s="33" t="s">
        <v>1494</v>
      </c>
      <c r="Q1093" s="34" t="s">
        <v>1494</v>
      </c>
      <c r="R1093" s="34" t="s">
        <v>1494</v>
      </c>
    </row>
    <row r="1094" spans="1:18" ht="15" customHeight="1" x14ac:dyDescent="0.25">
      <c r="A1094" t="str">
        <f>IFERROR(RANK(B1094,$B:$B,1)+COUNTIF($B$1:B1093,B1094),"")</f>
        <v/>
      </c>
      <c r="B1094" t="str">
        <f>IFERROR(SEARCH(#REF!,Table4[[#This Row],[Commodity Title]],1),"")</f>
        <v/>
      </c>
      <c r="C1094" s="35">
        <v>42172101</v>
      </c>
      <c r="D1094" s="33" t="s">
        <v>1495</v>
      </c>
      <c r="E1094" s="33" t="s">
        <v>1496</v>
      </c>
      <c r="F1094" s="33" t="s">
        <v>1497</v>
      </c>
      <c r="G1094" s="33" t="s">
        <v>3608</v>
      </c>
      <c r="H1094" s="33" t="s">
        <v>3609</v>
      </c>
      <c r="I1094" s="33" t="s">
        <v>3610</v>
      </c>
      <c r="J1094" s="33">
        <v>115284</v>
      </c>
      <c r="K1094" s="33" t="s">
        <v>3733</v>
      </c>
      <c r="L1094" s="33" t="s">
        <v>3734</v>
      </c>
      <c r="M1094" s="33" t="s">
        <v>3735</v>
      </c>
      <c r="N1094" s="44">
        <v>42172101</v>
      </c>
      <c r="O1094" s="33" t="s">
        <v>3736</v>
      </c>
      <c r="P1094" s="33" t="s">
        <v>3737</v>
      </c>
      <c r="Q1094" s="34" t="s">
        <v>1494</v>
      </c>
      <c r="R1094" s="34" t="s">
        <v>1494</v>
      </c>
    </row>
    <row r="1095" spans="1:18" ht="15" customHeight="1" x14ac:dyDescent="0.25">
      <c r="A1095" t="str">
        <f>IFERROR(RANK(B1095,$B:$B,1)+COUNTIF($B$1:B1094,B1095),"")</f>
        <v/>
      </c>
      <c r="B1095" t="str">
        <f>IFERROR(SEARCH(#REF!,Table4[[#This Row],[Commodity Title]],1),"")</f>
        <v/>
      </c>
      <c r="C1095" s="35">
        <v>42172103</v>
      </c>
      <c r="D1095" s="33" t="s">
        <v>1495</v>
      </c>
      <c r="E1095" s="33" t="s">
        <v>1496</v>
      </c>
      <c r="F1095" s="33" t="s">
        <v>1497</v>
      </c>
      <c r="G1095" s="33" t="s">
        <v>3608</v>
      </c>
      <c r="H1095" s="33" t="s">
        <v>3609</v>
      </c>
      <c r="I1095" s="33" t="s">
        <v>3610</v>
      </c>
      <c r="J1095" s="33">
        <v>142461</v>
      </c>
      <c r="K1095" s="33" t="s">
        <v>3733</v>
      </c>
      <c r="L1095" s="33" t="s">
        <v>3734</v>
      </c>
      <c r="M1095" s="33" t="s">
        <v>3735</v>
      </c>
      <c r="N1095" s="44">
        <v>42172103</v>
      </c>
      <c r="O1095" s="33" t="s">
        <v>3738</v>
      </c>
      <c r="P1095" s="33" t="s">
        <v>3739</v>
      </c>
      <c r="Q1095" s="34" t="s">
        <v>1494</v>
      </c>
      <c r="R1095" s="34" t="s">
        <v>1494</v>
      </c>
    </row>
    <row r="1096" spans="1:18" ht="15" customHeight="1" x14ac:dyDescent="0.25">
      <c r="A1096" t="str">
        <f>IFERROR(RANK(B1096,$B:$B,1)+COUNTIF($B$1:B1095,B1096),"")</f>
        <v/>
      </c>
      <c r="B1096" t="str">
        <f>IFERROR(SEARCH(#REF!,Table4[[#This Row],[Commodity Title]],1),"")</f>
        <v/>
      </c>
      <c r="C1096" s="35">
        <v>42172104</v>
      </c>
      <c r="D1096" s="33" t="s">
        <v>1495</v>
      </c>
      <c r="E1096" s="33" t="s">
        <v>1496</v>
      </c>
      <c r="F1096" s="33" t="s">
        <v>1497</v>
      </c>
      <c r="G1096" s="33" t="s">
        <v>3608</v>
      </c>
      <c r="H1096" s="33" t="s">
        <v>3609</v>
      </c>
      <c r="I1096" s="33" t="s">
        <v>3610</v>
      </c>
      <c r="J1096" s="33">
        <v>150697</v>
      </c>
      <c r="K1096" s="33" t="s">
        <v>3733</v>
      </c>
      <c r="L1096" s="33" t="s">
        <v>3734</v>
      </c>
      <c r="M1096" s="33" t="s">
        <v>3735</v>
      </c>
      <c r="N1096" s="44">
        <v>42172104</v>
      </c>
      <c r="O1096" s="33" t="s">
        <v>3740</v>
      </c>
      <c r="P1096" s="33" t="s">
        <v>3741</v>
      </c>
      <c r="Q1096" s="34" t="s">
        <v>1494</v>
      </c>
      <c r="R1096" s="34" t="s">
        <v>1494</v>
      </c>
    </row>
    <row r="1097" spans="1:18" ht="15" customHeight="1" x14ac:dyDescent="0.25">
      <c r="A1097" t="str">
        <f>IFERROR(RANK(B1097,$B:$B,1)+COUNTIF($B$1:B1096,B1097),"")</f>
        <v/>
      </c>
      <c r="B1097" t="str">
        <f>IFERROR(SEARCH(#REF!,Table4[[#This Row],[Commodity Title]],1),"")</f>
        <v/>
      </c>
      <c r="C1097" s="35">
        <v>42172105</v>
      </c>
      <c r="D1097" s="33" t="s">
        <v>1495</v>
      </c>
      <c r="E1097" s="33" t="s">
        <v>1496</v>
      </c>
      <c r="F1097" s="33" t="s">
        <v>1497</v>
      </c>
      <c r="G1097" s="33" t="s">
        <v>3608</v>
      </c>
      <c r="H1097" s="33" t="s">
        <v>3609</v>
      </c>
      <c r="I1097" s="33" t="s">
        <v>3610</v>
      </c>
      <c r="J1097" s="33">
        <v>164864</v>
      </c>
      <c r="K1097" s="33" t="s">
        <v>3733</v>
      </c>
      <c r="L1097" s="33" t="s">
        <v>3734</v>
      </c>
      <c r="M1097" s="33" t="s">
        <v>3735</v>
      </c>
      <c r="N1097" s="44">
        <v>42172105</v>
      </c>
      <c r="O1097" s="33" t="s">
        <v>3742</v>
      </c>
      <c r="P1097" s="33" t="s">
        <v>3743</v>
      </c>
      <c r="Q1097" s="34" t="s">
        <v>1494</v>
      </c>
      <c r="R1097" s="34" t="s">
        <v>1494</v>
      </c>
    </row>
    <row r="1098" spans="1:18" ht="15" customHeight="1" x14ac:dyDescent="0.25">
      <c r="A1098" t="str">
        <f>IFERROR(RANK(B1098,$B:$B,1)+COUNTIF($B$1:B1097,B1098),"")</f>
        <v/>
      </c>
      <c r="B1098" t="str">
        <f>IFERROR(SEARCH(#REF!,Table4[[#This Row],[Commodity Title]],1),"")</f>
        <v/>
      </c>
      <c r="C1098" s="35">
        <v>42172106</v>
      </c>
      <c r="D1098" s="33" t="s">
        <v>1495</v>
      </c>
      <c r="E1098" s="33" t="s">
        <v>1496</v>
      </c>
      <c r="F1098" s="33" t="s">
        <v>1497</v>
      </c>
      <c r="G1098" s="33" t="s">
        <v>3608</v>
      </c>
      <c r="H1098" s="33" t="s">
        <v>3609</v>
      </c>
      <c r="I1098" s="33" t="s">
        <v>3610</v>
      </c>
      <c r="J1098" s="33">
        <v>202687</v>
      </c>
      <c r="K1098" s="33" t="s">
        <v>3733</v>
      </c>
      <c r="L1098" s="33" t="s">
        <v>3734</v>
      </c>
      <c r="M1098" s="33" t="s">
        <v>3735</v>
      </c>
      <c r="N1098" s="44">
        <v>42172106</v>
      </c>
      <c r="O1098" s="33" t="s">
        <v>3744</v>
      </c>
      <c r="P1098" s="33" t="s">
        <v>3745</v>
      </c>
      <c r="Q1098" s="34" t="s">
        <v>1494</v>
      </c>
      <c r="R1098" s="34" t="s">
        <v>1494</v>
      </c>
    </row>
    <row r="1099" spans="1:18" ht="15" customHeight="1" x14ac:dyDescent="0.25">
      <c r="A1099" t="str">
        <f>IFERROR(RANK(B1099,$B:$B,1)+COUNTIF($B$1:B1098,B1099),"")</f>
        <v/>
      </c>
      <c r="B1099" t="str">
        <f>IFERROR(SEARCH(#REF!,Table4[[#This Row],[Commodity Title]],1),"")</f>
        <v/>
      </c>
      <c r="C1099" s="35">
        <v>42172107</v>
      </c>
      <c r="D1099" s="33" t="s">
        <v>1495</v>
      </c>
      <c r="E1099" s="33" t="s">
        <v>1496</v>
      </c>
      <c r="F1099" s="33" t="s">
        <v>1497</v>
      </c>
      <c r="G1099" s="33" t="s">
        <v>3608</v>
      </c>
      <c r="H1099" s="33" t="s">
        <v>3609</v>
      </c>
      <c r="I1099" s="33" t="s">
        <v>3610</v>
      </c>
      <c r="J1099" s="33">
        <v>202688</v>
      </c>
      <c r="K1099" s="33" t="s">
        <v>3733</v>
      </c>
      <c r="L1099" s="33" t="s">
        <v>3734</v>
      </c>
      <c r="M1099" s="33" t="s">
        <v>3735</v>
      </c>
      <c r="N1099" s="44">
        <v>42172107</v>
      </c>
      <c r="O1099" s="33" t="s">
        <v>3746</v>
      </c>
      <c r="P1099" s="33" t="s">
        <v>3747</v>
      </c>
      <c r="Q1099" s="34" t="s">
        <v>1494</v>
      </c>
      <c r="R1099" s="34" t="s">
        <v>1494</v>
      </c>
    </row>
    <row r="1100" spans="1:18" ht="15" customHeight="1" x14ac:dyDescent="0.25">
      <c r="A1100" t="str">
        <f>IFERROR(RANK(B1100,$B:$B,1)+COUNTIF($B$1:B1099,B1100),"")</f>
        <v/>
      </c>
      <c r="B1100" t="str">
        <f>IFERROR(SEARCH(#REF!,Table4[[#This Row],[Commodity Title]],1),"")</f>
        <v/>
      </c>
      <c r="C1100" s="33" t="s">
        <v>1494</v>
      </c>
      <c r="D1100" s="33" t="s">
        <v>1495</v>
      </c>
      <c r="E1100" s="33" t="s">
        <v>1496</v>
      </c>
      <c r="F1100" s="33" t="s">
        <v>1497</v>
      </c>
      <c r="G1100" s="33" t="s">
        <v>3748</v>
      </c>
      <c r="H1100" s="33" t="s">
        <v>3749</v>
      </c>
      <c r="I1100" s="33" t="s">
        <v>3750</v>
      </c>
      <c r="J1100" s="33">
        <v>115288</v>
      </c>
      <c r="K1100" s="33" t="s">
        <v>1494</v>
      </c>
      <c r="L1100" s="33" t="s">
        <v>1494</v>
      </c>
      <c r="M1100" s="33" t="s">
        <v>1494</v>
      </c>
      <c r="N1100" s="44" t="s">
        <v>1494</v>
      </c>
      <c r="O1100" s="33" t="s">
        <v>1494</v>
      </c>
      <c r="P1100" s="33" t="s">
        <v>1494</v>
      </c>
      <c r="Q1100" s="34" t="s">
        <v>1494</v>
      </c>
      <c r="R1100" s="34" t="s">
        <v>1494</v>
      </c>
    </row>
    <row r="1101" spans="1:18" ht="15" customHeight="1" x14ac:dyDescent="0.25">
      <c r="A1101" t="str">
        <f>IFERROR(RANK(B1101,$B:$B,1)+COUNTIF($B$1:B1100,B1101),"")</f>
        <v/>
      </c>
      <c r="B1101" t="str">
        <f>IFERROR(SEARCH(#REF!,Table4[[#This Row],[Commodity Title]],1),"")</f>
        <v/>
      </c>
      <c r="C1101" s="33" t="s">
        <v>1494</v>
      </c>
      <c r="D1101" s="33" t="s">
        <v>1495</v>
      </c>
      <c r="E1101" s="33" t="s">
        <v>1496</v>
      </c>
      <c r="F1101" s="33" t="s">
        <v>1497</v>
      </c>
      <c r="G1101" s="33" t="s">
        <v>3748</v>
      </c>
      <c r="H1101" s="33" t="s">
        <v>3749</v>
      </c>
      <c r="I1101" s="33" t="s">
        <v>3750</v>
      </c>
      <c r="J1101" s="33">
        <v>115289</v>
      </c>
      <c r="K1101" s="33" t="s">
        <v>3751</v>
      </c>
      <c r="L1101" s="33" t="s">
        <v>3752</v>
      </c>
      <c r="M1101" s="33" t="s">
        <v>3753</v>
      </c>
      <c r="N1101" s="44" t="s">
        <v>1494</v>
      </c>
      <c r="O1101" s="33" t="s">
        <v>1494</v>
      </c>
      <c r="P1101" s="33" t="s">
        <v>1494</v>
      </c>
      <c r="Q1101" s="34" t="s">
        <v>1494</v>
      </c>
      <c r="R1101" s="34" t="s">
        <v>1494</v>
      </c>
    </row>
    <row r="1102" spans="1:18" ht="15" customHeight="1" x14ac:dyDescent="0.25">
      <c r="A1102" t="str">
        <f>IFERROR(RANK(B1102,$B:$B,1)+COUNTIF($B$1:B1101,B1102),"")</f>
        <v/>
      </c>
      <c r="B1102" t="str">
        <f>IFERROR(SEARCH(#REF!,Table4[[#This Row],[Commodity Title]],1),"")</f>
        <v/>
      </c>
      <c r="C1102" s="35">
        <v>42181501</v>
      </c>
      <c r="D1102" s="33" t="s">
        <v>1495</v>
      </c>
      <c r="E1102" s="33" t="s">
        <v>1496</v>
      </c>
      <c r="F1102" s="33" t="s">
        <v>1497</v>
      </c>
      <c r="G1102" s="33" t="s">
        <v>3748</v>
      </c>
      <c r="H1102" s="33" t="s">
        <v>3749</v>
      </c>
      <c r="I1102" s="33" t="s">
        <v>3750</v>
      </c>
      <c r="J1102" s="33">
        <v>115290</v>
      </c>
      <c r="K1102" s="33" t="s">
        <v>3751</v>
      </c>
      <c r="L1102" s="33" t="s">
        <v>3752</v>
      </c>
      <c r="M1102" s="33" t="s">
        <v>3753</v>
      </c>
      <c r="N1102" s="44">
        <v>42181501</v>
      </c>
      <c r="O1102" s="33" t="s">
        <v>3754</v>
      </c>
      <c r="P1102" s="33" t="s">
        <v>3755</v>
      </c>
      <c r="Q1102" s="34" t="s">
        <v>1494</v>
      </c>
      <c r="R1102" s="34" t="s">
        <v>1494</v>
      </c>
    </row>
    <row r="1103" spans="1:18" ht="15" customHeight="1" x14ac:dyDescent="0.25">
      <c r="A1103" t="str">
        <f>IFERROR(RANK(B1103,$B:$B,1)+COUNTIF($B$1:B1102,B1103),"")</f>
        <v/>
      </c>
      <c r="B1103" t="str">
        <f>IFERROR(SEARCH(#REF!,Table4[[#This Row],[Commodity Title]],1),"")</f>
        <v/>
      </c>
      <c r="C1103" s="35">
        <v>42181502</v>
      </c>
      <c r="D1103" s="33" t="s">
        <v>1495</v>
      </c>
      <c r="E1103" s="33" t="s">
        <v>1496</v>
      </c>
      <c r="F1103" s="33" t="s">
        <v>1497</v>
      </c>
      <c r="G1103" s="33" t="s">
        <v>3748</v>
      </c>
      <c r="H1103" s="33" t="s">
        <v>3749</v>
      </c>
      <c r="I1103" s="33" t="s">
        <v>3750</v>
      </c>
      <c r="J1103" s="33">
        <v>115291</v>
      </c>
      <c r="K1103" s="33" t="s">
        <v>3751</v>
      </c>
      <c r="L1103" s="33" t="s">
        <v>3752</v>
      </c>
      <c r="M1103" s="33" t="s">
        <v>3753</v>
      </c>
      <c r="N1103" s="44">
        <v>42181502</v>
      </c>
      <c r="O1103" s="33" t="s">
        <v>3756</v>
      </c>
      <c r="P1103" s="33" t="s">
        <v>3757</v>
      </c>
      <c r="Q1103" s="34" t="s">
        <v>1494</v>
      </c>
      <c r="R1103" s="34" t="s">
        <v>1494</v>
      </c>
    </row>
    <row r="1104" spans="1:18" ht="15" customHeight="1" x14ac:dyDescent="0.25">
      <c r="A1104" t="str">
        <f>IFERROR(RANK(B1104,$B:$B,1)+COUNTIF($B$1:B1103,B1104),"")</f>
        <v/>
      </c>
      <c r="B1104" t="str">
        <f>IFERROR(SEARCH(#REF!,Table4[[#This Row],[Commodity Title]],1),"")</f>
        <v/>
      </c>
      <c r="C1104" s="35">
        <v>42181503</v>
      </c>
      <c r="D1104" s="33" t="s">
        <v>1495</v>
      </c>
      <c r="E1104" s="33" t="s">
        <v>1496</v>
      </c>
      <c r="F1104" s="33" t="s">
        <v>1497</v>
      </c>
      <c r="G1104" s="33" t="s">
        <v>3748</v>
      </c>
      <c r="H1104" s="33" t="s">
        <v>3749</v>
      </c>
      <c r="I1104" s="33" t="s">
        <v>3750</v>
      </c>
      <c r="J1104" s="33">
        <v>115292</v>
      </c>
      <c r="K1104" s="33" t="s">
        <v>3751</v>
      </c>
      <c r="L1104" s="33" t="s">
        <v>3752</v>
      </c>
      <c r="M1104" s="33" t="s">
        <v>3753</v>
      </c>
      <c r="N1104" s="44">
        <v>42181503</v>
      </c>
      <c r="O1104" s="33" t="s">
        <v>3758</v>
      </c>
      <c r="P1104" s="33" t="s">
        <v>3759</v>
      </c>
      <c r="Q1104" s="34" t="s">
        <v>1494</v>
      </c>
      <c r="R1104" s="34" t="s">
        <v>1494</v>
      </c>
    </row>
    <row r="1105" spans="1:18" ht="15" customHeight="1" x14ac:dyDescent="0.25">
      <c r="A1105" t="str">
        <f>IFERROR(RANK(B1105,$B:$B,1)+COUNTIF($B$1:B1104,B1105),"")</f>
        <v/>
      </c>
      <c r="B1105" t="str">
        <f>IFERROR(SEARCH(#REF!,Table4[[#This Row],[Commodity Title]],1),"")</f>
        <v/>
      </c>
      <c r="C1105" s="35">
        <v>42181504</v>
      </c>
      <c r="D1105" s="33" t="s">
        <v>1495</v>
      </c>
      <c r="E1105" s="33" t="s">
        <v>1496</v>
      </c>
      <c r="F1105" s="33" t="s">
        <v>1497</v>
      </c>
      <c r="G1105" s="33" t="s">
        <v>3748</v>
      </c>
      <c r="H1105" s="33" t="s">
        <v>3749</v>
      </c>
      <c r="I1105" s="33" t="s">
        <v>3750</v>
      </c>
      <c r="J1105" s="33">
        <v>142467</v>
      </c>
      <c r="K1105" s="33" t="s">
        <v>3751</v>
      </c>
      <c r="L1105" s="33" t="s">
        <v>3752</v>
      </c>
      <c r="M1105" s="33" t="s">
        <v>3753</v>
      </c>
      <c r="N1105" s="44">
        <v>42181504</v>
      </c>
      <c r="O1105" s="33" t="s">
        <v>3760</v>
      </c>
      <c r="P1105" s="33" t="s">
        <v>3761</v>
      </c>
      <c r="Q1105" s="34" t="s">
        <v>1494</v>
      </c>
      <c r="R1105" s="34" t="s">
        <v>1494</v>
      </c>
    </row>
    <row r="1106" spans="1:18" ht="15" customHeight="1" x14ac:dyDescent="0.25">
      <c r="A1106" t="str">
        <f>IFERROR(RANK(B1106,$B:$B,1)+COUNTIF($B$1:B1105,B1106),"")</f>
        <v/>
      </c>
      <c r="B1106" t="str">
        <f>IFERROR(SEARCH(#REF!,Table4[[#This Row],[Commodity Title]],1),"")</f>
        <v/>
      </c>
      <c r="C1106" s="35">
        <v>42181505</v>
      </c>
      <c r="D1106" s="33" t="s">
        <v>1495</v>
      </c>
      <c r="E1106" s="33" t="s">
        <v>1496</v>
      </c>
      <c r="F1106" s="33" t="s">
        <v>1497</v>
      </c>
      <c r="G1106" s="33" t="s">
        <v>3748</v>
      </c>
      <c r="H1106" s="33" t="s">
        <v>3749</v>
      </c>
      <c r="I1106" s="33" t="s">
        <v>3750</v>
      </c>
      <c r="J1106" s="33">
        <v>142468</v>
      </c>
      <c r="K1106" s="33" t="s">
        <v>3751</v>
      </c>
      <c r="L1106" s="33" t="s">
        <v>3752</v>
      </c>
      <c r="M1106" s="33" t="s">
        <v>3753</v>
      </c>
      <c r="N1106" s="44">
        <v>42181505</v>
      </c>
      <c r="O1106" s="33" t="s">
        <v>3762</v>
      </c>
      <c r="P1106" s="33" t="s">
        <v>3763</v>
      </c>
      <c r="Q1106" s="34" t="s">
        <v>1494</v>
      </c>
      <c r="R1106" s="34" t="s">
        <v>1494</v>
      </c>
    </row>
    <row r="1107" spans="1:18" ht="15" customHeight="1" x14ac:dyDescent="0.25">
      <c r="A1107" t="str">
        <f>IFERROR(RANK(B1107,$B:$B,1)+COUNTIF($B$1:B1106,B1107),"")</f>
        <v/>
      </c>
      <c r="B1107" t="str">
        <f>IFERROR(SEARCH(#REF!,Table4[[#This Row],[Commodity Title]],1),"")</f>
        <v/>
      </c>
      <c r="C1107" s="35">
        <v>42181506</v>
      </c>
      <c r="D1107" s="33" t="s">
        <v>1495</v>
      </c>
      <c r="E1107" s="33" t="s">
        <v>1496</v>
      </c>
      <c r="F1107" s="33" t="s">
        <v>1497</v>
      </c>
      <c r="G1107" s="33" t="s">
        <v>3748</v>
      </c>
      <c r="H1107" s="33" t="s">
        <v>3749</v>
      </c>
      <c r="I1107" s="33" t="s">
        <v>3750</v>
      </c>
      <c r="J1107" s="33">
        <v>142469</v>
      </c>
      <c r="K1107" s="33" t="s">
        <v>3751</v>
      </c>
      <c r="L1107" s="33" t="s">
        <v>3752</v>
      </c>
      <c r="M1107" s="33" t="s">
        <v>3753</v>
      </c>
      <c r="N1107" s="44">
        <v>42181506</v>
      </c>
      <c r="O1107" s="33" t="s">
        <v>3764</v>
      </c>
      <c r="P1107" s="33" t="s">
        <v>3765</v>
      </c>
      <c r="Q1107" s="34" t="s">
        <v>1494</v>
      </c>
      <c r="R1107" s="34" t="s">
        <v>1494</v>
      </c>
    </row>
    <row r="1108" spans="1:18" ht="15" customHeight="1" x14ac:dyDescent="0.25">
      <c r="A1108" t="str">
        <f>IFERROR(RANK(B1108,$B:$B,1)+COUNTIF($B$1:B1107,B1108),"")</f>
        <v/>
      </c>
      <c r="B1108" t="str">
        <f>IFERROR(SEARCH(#REF!,Table4[[#This Row],[Commodity Title]],1),"")</f>
        <v/>
      </c>
      <c r="C1108" s="35">
        <v>42181507</v>
      </c>
      <c r="D1108" s="33" t="s">
        <v>1495</v>
      </c>
      <c r="E1108" s="33" t="s">
        <v>1496</v>
      </c>
      <c r="F1108" s="33" t="s">
        <v>1497</v>
      </c>
      <c r="G1108" s="33" t="s">
        <v>3748</v>
      </c>
      <c r="H1108" s="33" t="s">
        <v>3749</v>
      </c>
      <c r="I1108" s="33" t="s">
        <v>3750</v>
      </c>
      <c r="J1108" s="33">
        <v>142470</v>
      </c>
      <c r="K1108" s="33" t="s">
        <v>3751</v>
      </c>
      <c r="L1108" s="33" t="s">
        <v>3752</v>
      </c>
      <c r="M1108" s="33" t="s">
        <v>3753</v>
      </c>
      <c r="N1108" s="44">
        <v>42181507</v>
      </c>
      <c r="O1108" s="33" t="s">
        <v>3766</v>
      </c>
      <c r="P1108" s="33" t="s">
        <v>3767</v>
      </c>
      <c r="Q1108" s="34" t="s">
        <v>1494</v>
      </c>
      <c r="R1108" s="34" t="s">
        <v>1494</v>
      </c>
    </row>
    <row r="1109" spans="1:18" ht="15" customHeight="1" x14ac:dyDescent="0.25">
      <c r="A1109" t="str">
        <f>IFERROR(RANK(B1109,$B:$B,1)+COUNTIF($B$1:B1108,B1109),"")</f>
        <v/>
      </c>
      <c r="B1109" t="str">
        <f>IFERROR(SEARCH(#REF!,Table4[[#This Row],[Commodity Title]],1),"")</f>
        <v/>
      </c>
      <c r="C1109" s="35">
        <v>42181508</v>
      </c>
      <c r="D1109" s="33" t="s">
        <v>1495</v>
      </c>
      <c r="E1109" s="33" t="s">
        <v>1496</v>
      </c>
      <c r="F1109" s="33" t="s">
        <v>1497</v>
      </c>
      <c r="G1109" s="33" t="s">
        <v>3748</v>
      </c>
      <c r="H1109" s="33" t="s">
        <v>3749</v>
      </c>
      <c r="I1109" s="33" t="s">
        <v>3750</v>
      </c>
      <c r="J1109" s="33">
        <v>142471</v>
      </c>
      <c r="K1109" s="33" t="s">
        <v>3751</v>
      </c>
      <c r="L1109" s="33" t="s">
        <v>3752</v>
      </c>
      <c r="M1109" s="33" t="s">
        <v>3753</v>
      </c>
      <c r="N1109" s="44">
        <v>42181508</v>
      </c>
      <c r="O1109" s="33" t="s">
        <v>3768</v>
      </c>
      <c r="P1109" s="33" t="s">
        <v>3769</v>
      </c>
      <c r="Q1109" s="34" t="s">
        <v>1494</v>
      </c>
      <c r="R1109" s="34" t="s">
        <v>1494</v>
      </c>
    </row>
    <row r="1110" spans="1:18" ht="15" customHeight="1" x14ac:dyDescent="0.25">
      <c r="A1110" t="str">
        <f>IFERROR(RANK(B1110,$B:$B,1)+COUNTIF($B$1:B1109,B1110),"")</f>
        <v/>
      </c>
      <c r="B1110" t="str">
        <f>IFERROR(SEARCH(#REF!,Table4[[#This Row],[Commodity Title]],1),"")</f>
        <v/>
      </c>
      <c r="C1110" s="35">
        <v>42181509</v>
      </c>
      <c r="D1110" s="33" t="s">
        <v>1495</v>
      </c>
      <c r="E1110" s="33" t="s">
        <v>1496</v>
      </c>
      <c r="F1110" s="33" t="s">
        <v>1497</v>
      </c>
      <c r="G1110" s="33" t="s">
        <v>3748</v>
      </c>
      <c r="H1110" s="33" t="s">
        <v>3749</v>
      </c>
      <c r="I1110" s="33" t="s">
        <v>3750</v>
      </c>
      <c r="J1110" s="33">
        <v>142472</v>
      </c>
      <c r="K1110" s="33" t="s">
        <v>3751</v>
      </c>
      <c r="L1110" s="33" t="s">
        <v>3752</v>
      </c>
      <c r="M1110" s="33" t="s">
        <v>3753</v>
      </c>
      <c r="N1110" s="44">
        <v>42181509</v>
      </c>
      <c r="O1110" s="33" t="s">
        <v>3770</v>
      </c>
      <c r="P1110" s="33" t="s">
        <v>3771</v>
      </c>
      <c r="Q1110" s="34" t="s">
        <v>1494</v>
      </c>
      <c r="R1110" s="34" t="s">
        <v>1494</v>
      </c>
    </row>
    <row r="1111" spans="1:18" ht="15" customHeight="1" x14ac:dyDescent="0.25">
      <c r="A1111" t="str">
        <f>IFERROR(RANK(B1111,$B:$B,1)+COUNTIF($B$1:B1110,B1111),"")</f>
        <v/>
      </c>
      <c r="B1111" t="str">
        <f>IFERROR(SEARCH(#REF!,Table4[[#This Row],[Commodity Title]],1),"")</f>
        <v/>
      </c>
      <c r="C1111" s="35">
        <v>42181510</v>
      </c>
      <c r="D1111" s="33" t="s">
        <v>1495</v>
      </c>
      <c r="E1111" s="33" t="s">
        <v>1496</v>
      </c>
      <c r="F1111" s="33" t="s">
        <v>1497</v>
      </c>
      <c r="G1111" s="33" t="s">
        <v>3748</v>
      </c>
      <c r="H1111" s="33" t="s">
        <v>3749</v>
      </c>
      <c r="I1111" s="33" t="s">
        <v>3750</v>
      </c>
      <c r="J1111" s="33">
        <v>142473</v>
      </c>
      <c r="K1111" s="33" t="s">
        <v>3751</v>
      </c>
      <c r="L1111" s="33" t="s">
        <v>3752</v>
      </c>
      <c r="M1111" s="33" t="s">
        <v>3753</v>
      </c>
      <c r="N1111" s="44">
        <v>42181510</v>
      </c>
      <c r="O1111" s="33" t="s">
        <v>3772</v>
      </c>
      <c r="P1111" s="33" t="s">
        <v>3773</v>
      </c>
      <c r="Q1111" s="34" t="s">
        <v>1494</v>
      </c>
      <c r="R1111" s="34" t="s">
        <v>1494</v>
      </c>
    </row>
    <row r="1112" spans="1:18" ht="15" customHeight="1" x14ac:dyDescent="0.25">
      <c r="A1112" t="str">
        <f>IFERROR(RANK(B1112,$B:$B,1)+COUNTIF($B$1:B1111,B1112),"")</f>
        <v/>
      </c>
      <c r="B1112" t="str">
        <f>IFERROR(SEARCH(#REF!,Table4[[#This Row],[Commodity Title]],1),"")</f>
        <v/>
      </c>
      <c r="C1112" s="35">
        <v>42181511</v>
      </c>
      <c r="D1112" s="33" t="s">
        <v>1495</v>
      </c>
      <c r="E1112" s="33" t="s">
        <v>1496</v>
      </c>
      <c r="F1112" s="33" t="s">
        <v>1497</v>
      </c>
      <c r="G1112" s="33" t="s">
        <v>3748</v>
      </c>
      <c r="H1112" s="33" t="s">
        <v>3749</v>
      </c>
      <c r="I1112" s="33" t="s">
        <v>3750</v>
      </c>
      <c r="J1112" s="33">
        <v>142474</v>
      </c>
      <c r="K1112" s="33" t="s">
        <v>3751</v>
      </c>
      <c r="L1112" s="33" t="s">
        <v>3752</v>
      </c>
      <c r="M1112" s="33" t="s">
        <v>3753</v>
      </c>
      <c r="N1112" s="44">
        <v>42181511</v>
      </c>
      <c r="O1112" s="33" t="s">
        <v>3774</v>
      </c>
      <c r="P1112" s="33" t="s">
        <v>3775</v>
      </c>
      <c r="Q1112" s="34" t="s">
        <v>1494</v>
      </c>
      <c r="R1112" s="34" t="s">
        <v>1494</v>
      </c>
    </row>
    <row r="1113" spans="1:18" ht="15" customHeight="1" x14ac:dyDescent="0.25">
      <c r="A1113" t="str">
        <f>IFERROR(RANK(B1113,$B:$B,1)+COUNTIF($B$1:B1112,B1113),"")</f>
        <v/>
      </c>
      <c r="B1113" t="str">
        <f>IFERROR(SEARCH(#REF!,Table4[[#This Row],[Commodity Title]],1),"")</f>
        <v/>
      </c>
      <c r="C1113" s="35">
        <v>42181512</v>
      </c>
      <c r="D1113" s="33" t="s">
        <v>1495</v>
      </c>
      <c r="E1113" s="33" t="s">
        <v>1496</v>
      </c>
      <c r="F1113" s="33" t="s">
        <v>1497</v>
      </c>
      <c r="G1113" s="33" t="s">
        <v>3748</v>
      </c>
      <c r="H1113" s="33" t="s">
        <v>3749</v>
      </c>
      <c r="I1113" s="33" t="s">
        <v>3750</v>
      </c>
      <c r="J1113" s="33">
        <v>142475</v>
      </c>
      <c r="K1113" s="33" t="s">
        <v>3751</v>
      </c>
      <c r="L1113" s="33" t="s">
        <v>3752</v>
      </c>
      <c r="M1113" s="33" t="s">
        <v>3753</v>
      </c>
      <c r="N1113" s="44">
        <v>42181512</v>
      </c>
      <c r="O1113" s="33" t="s">
        <v>3776</v>
      </c>
      <c r="P1113" s="33" t="s">
        <v>3777</v>
      </c>
      <c r="Q1113" s="34" t="s">
        <v>1494</v>
      </c>
      <c r="R1113" s="34" t="s">
        <v>1494</v>
      </c>
    </row>
    <row r="1114" spans="1:18" ht="15" customHeight="1" x14ac:dyDescent="0.25">
      <c r="A1114" t="str">
        <f>IFERROR(RANK(B1114,$B:$B,1)+COUNTIF($B$1:B1113,B1114),"")</f>
        <v/>
      </c>
      <c r="B1114" t="str">
        <f>IFERROR(SEARCH(#REF!,Table4[[#This Row],[Commodity Title]],1),"")</f>
        <v/>
      </c>
      <c r="C1114" s="35">
        <v>42181513</v>
      </c>
      <c r="D1114" s="33" t="s">
        <v>1495</v>
      </c>
      <c r="E1114" s="33" t="s">
        <v>1496</v>
      </c>
      <c r="F1114" s="33" t="s">
        <v>1497</v>
      </c>
      <c r="G1114" s="33" t="s">
        <v>3748</v>
      </c>
      <c r="H1114" s="33" t="s">
        <v>3749</v>
      </c>
      <c r="I1114" s="33" t="s">
        <v>3750</v>
      </c>
      <c r="J1114" s="33">
        <v>142476</v>
      </c>
      <c r="K1114" s="33" t="s">
        <v>3751</v>
      </c>
      <c r="L1114" s="33" t="s">
        <v>3752</v>
      </c>
      <c r="M1114" s="33" t="s">
        <v>3753</v>
      </c>
      <c r="N1114" s="44">
        <v>42181513</v>
      </c>
      <c r="O1114" s="33" t="s">
        <v>3778</v>
      </c>
      <c r="P1114" s="33" t="s">
        <v>3779</v>
      </c>
      <c r="Q1114" s="34" t="s">
        <v>1494</v>
      </c>
      <c r="R1114" s="34" t="s">
        <v>1494</v>
      </c>
    </row>
    <row r="1115" spans="1:18" ht="15" customHeight="1" x14ac:dyDescent="0.25">
      <c r="A1115" t="str">
        <f>IFERROR(RANK(B1115,$B:$B,1)+COUNTIF($B$1:B1114,B1115),"")</f>
        <v/>
      </c>
      <c r="B1115" t="str">
        <f>IFERROR(SEARCH(#REF!,Table4[[#This Row],[Commodity Title]],1),"")</f>
        <v/>
      </c>
      <c r="C1115" s="35">
        <v>42181514</v>
      </c>
      <c r="D1115" s="33" t="s">
        <v>1495</v>
      </c>
      <c r="E1115" s="33" t="s">
        <v>1496</v>
      </c>
      <c r="F1115" s="33" t="s">
        <v>1497</v>
      </c>
      <c r="G1115" s="33" t="s">
        <v>3748</v>
      </c>
      <c r="H1115" s="33" t="s">
        <v>3749</v>
      </c>
      <c r="I1115" s="33" t="s">
        <v>3750</v>
      </c>
      <c r="J1115" s="33">
        <v>142477</v>
      </c>
      <c r="K1115" s="33" t="s">
        <v>3751</v>
      </c>
      <c r="L1115" s="33" t="s">
        <v>3752</v>
      </c>
      <c r="M1115" s="33" t="s">
        <v>3753</v>
      </c>
      <c r="N1115" s="44">
        <v>42181514</v>
      </c>
      <c r="O1115" s="33" t="s">
        <v>3780</v>
      </c>
      <c r="P1115" s="33" t="s">
        <v>3781</v>
      </c>
      <c r="Q1115" s="34" t="s">
        <v>1494</v>
      </c>
      <c r="R1115" s="34" t="s">
        <v>1494</v>
      </c>
    </row>
    <row r="1116" spans="1:18" ht="15" customHeight="1" x14ac:dyDescent="0.25">
      <c r="A1116" t="str">
        <f>IFERROR(RANK(B1116,$B:$B,1)+COUNTIF($B$1:B1115,B1116),"")</f>
        <v/>
      </c>
      <c r="B1116" t="str">
        <f>IFERROR(SEARCH(#REF!,Table4[[#This Row],[Commodity Title]],1),"")</f>
        <v/>
      </c>
      <c r="C1116" s="35">
        <v>42181515</v>
      </c>
      <c r="D1116" s="33" t="s">
        <v>1495</v>
      </c>
      <c r="E1116" s="33" t="s">
        <v>1496</v>
      </c>
      <c r="F1116" s="33" t="s">
        <v>1497</v>
      </c>
      <c r="G1116" s="33" t="s">
        <v>3748</v>
      </c>
      <c r="H1116" s="33" t="s">
        <v>3749</v>
      </c>
      <c r="I1116" s="33" t="s">
        <v>3750</v>
      </c>
      <c r="J1116" s="33">
        <v>143486</v>
      </c>
      <c r="K1116" s="33" t="s">
        <v>3751</v>
      </c>
      <c r="L1116" s="33" t="s">
        <v>3752</v>
      </c>
      <c r="M1116" s="33" t="s">
        <v>3753</v>
      </c>
      <c r="N1116" s="44">
        <v>42181515</v>
      </c>
      <c r="O1116" s="33" t="s">
        <v>3782</v>
      </c>
      <c r="P1116" s="33" t="s">
        <v>3783</v>
      </c>
      <c r="Q1116" s="34" t="s">
        <v>1494</v>
      </c>
      <c r="R1116" s="34" t="s">
        <v>1494</v>
      </c>
    </row>
    <row r="1117" spans="1:18" ht="15" customHeight="1" x14ac:dyDescent="0.25">
      <c r="A1117" t="str">
        <f>IFERROR(RANK(B1117,$B:$B,1)+COUNTIF($B$1:B1116,B1117),"")</f>
        <v/>
      </c>
      <c r="B1117" t="str">
        <f>IFERROR(SEARCH(#REF!,Table4[[#This Row],[Commodity Title]],1),"")</f>
        <v/>
      </c>
      <c r="C1117" s="35">
        <v>42181516</v>
      </c>
      <c r="D1117" s="33" t="s">
        <v>1495</v>
      </c>
      <c r="E1117" s="33" t="s">
        <v>1496</v>
      </c>
      <c r="F1117" s="33" t="s">
        <v>1497</v>
      </c>
      <c r="G1117" s="33" t="s">
        <v>3748</v>
      </c>
      <c r="H1117" s="33" t="s">
        <v>3749</v>
      </c>
      <c r="I1117" s="33" t="s">
        <v>3750</v>
      </c>
      <c r="J1117" s="33">
        <v>143487</v>
      </c>
      <c r="K1117" s="33" t="s">
        <v>3751</v>
      </c>
      <c r="L1117" s="33" t="s">
        <v>3752</v>
      </c>
      <c r="M1117" s="33" t="s">
        <v>3753</v>
      </c>
      <c r="N1117" s="44">
        <v>42181516</v>
      </c>
      <c r="O1117" s="33" t="s">
        <v>3784</v>
      </c>
      <c r="P1117" s="33" t="s">
        <v>3785</v>
      </c>
      <c r="Q1117" s="34" t="s">
        <v>1494</v>
      </c>
      <c r="R1117" s="34" t="s">
        <v>1494</v>
      </c>
    </row>
    <row r="1118" spans="1:18" ht="15" customHeight="1" x14ac:dyDescent="0.25">
      <c r="A1118" t="str">
        <f>IFERROR(RANK(B1118,$B:$B,1)+COUNTIF($B$1:B1117,B1118),"")</f>
        <v/>
      </c>
      <c r="B1118" t="str">
        <f>IFERROR(SEARCH(#REF!,Table4[[#This Row],[Commodity Title]],1),"")</f>
        <v/>
      </c>
      <c r="C1118" s="35">
        <v>42181520</v>
      </c>
      <c r="D1118" s="33" t="s">
        <v>1495</v>
      </c>
      <c r="E1118" s="33" t="s">
        <v>1496</v>
      </c>
      <c r="F1118" s="33" t="s">
        <v>1497</v>
      </c>
      <c r="G1118" s="33" t="s">
        <v>3748</v>
      </c>
      <c r="H1118" s="33" t="s">
        <v>3749</v>
      </c>
      <c r="I1118" s="33" t="s">
        <v>3750</v>
      </c>
      <c r="J1118" s="33">
        <v>174333</v>
      </c>
      <c r="K1118" s="33" t="s">
        <v>3751</v>
      </c>
      <c r="L1118" s="33" t="s">
        <v>3752</v>
      </c>
      <c r="M1118" s="33" t="s">
        <v>3753</v>
      </c>
      <c r="N1118" s="44">
        <v>42181520</v>
      </c>
      <c r="O1118" s="33" t="s">
        <v>3786</v>
      </c>
      <c r="P1118" s="33" t="s">
        <v>3787</v>
      </c>
      <c r="Q1118" s="34" t="s">
        <v>1494</v>
      </c>
      <c r="R1118" s="34" t="s">
        <v>1494</v>
      </c>
    </row>
    <row r="1119" spans="1:18" ht="15" customHeight="1" x14ac:dyDescent="0.25">
      <c r="A1119" t="str">
        <f>IFERROR(RANK(B1119,$B:$B,1)+COUNTIF($B$1:B1118,B1119),"")</f>
        <v/>
      </c>
      <c r="B1119" t="str">
        <f>IFERROR(SEARCH(#REF!,Table4[[#This Row],[Commodity Title]],1),"")</f>
        <v/>
      </c>
      <c r="C1119" s="35">
        <v>42181521</v>
      </c>
      <c r="D1119" s="33" t="s">
        <v>1495</v>
      </c>
      <c r="E1119" s="33" t="s">
        <v>1496</v>
      </c>
      <c r="F1119" s="33" t="s">
        <v>1497</v>
      </c>
      <c r="G1119" s="33" t="s">
        <v>3748</v>
      </c>
      <c r="H1119" s="33" t="s">
        <v>3749</v>
      </c>
      <c r="I1119" s="33" t="s">
        <v>3750</v>
      </c>
      <c r="J1119" s="33">
        <v>174334</v>
      </c>
      <c r="K1119" s="33" t="s">
        <v>3751</v>
      </c>
      <c r="L1119" s="33" t="s">
        <v>3752</v>
      </c>
      <c r="M1119" s="33" t="s">
        <v>3753</v>
      </c>
      <c r="N1119" s="44">
        <v>42181521</v>
      </c>
      <c r="O1119" s="33" t="s">
        <v>3788</v>
      </c>
      <c r="P1119" s="33" t="s">
        <v>3789</v>
      </c>
      <c r="Q1119" s="34" t="s">
        <v>1494</v>
      </c>
      <c r="R1119" s="34" t="s">
        <v>1494</v>
      </c>
    </row>
    <row r="1120" spans="1:18" ht="15" customHeight="1" x14ac:dyDescent="0.25">
      <c r="A1120" t="str">
        <f>IFERROR(RANK(B1120,$B:$B,1)+COUNTIF($B$1:B1119,B1120),"")</f>
        <v/>
      </c>
      <c r="B1120" t="str">
        <f>IFERROR(SEARCH(#REF!,Table4[[#This Row],[Commodity Title]],1),"")</f>
        <v/>
      </c>
      <c r="C1120" s="35">
        <v>42181522</v>
      </c>
      <c r="D1120" s="33" t="s">
        <v>1495</v>
      </c>
      <c r="E1120" s="33" t="s">
        <v>1496</v>
      </c>
      <c r="F1120" s="33" t="s">
        <v>1497</v>
      </c>
      <c r="G1120" s="33" t="s">
        <v>3748</v>
      </c>
      <c r="H1120" s="33" t="s">
        <v>3749</v>
      </c>
      <c r="I1120" s="33" t="s">
        <v>3750</v>
      </c>
      <c r="J1120" s="33">
        <v>174335</v>
      </c>
      <c r="K1120" s="33" t="s">
        <v>3751</v>
      </c>
      <c r="L1120" s="33" t="s">
        <v>3752</v>
      </c>
      <c r="M1120" s="33" t="s">
        <v>3753</v>
      </c>
      <c r="N1120" s="44">
        <v>42181522</v>
      </c>
      <c r="O1120" s="33" t="s">
        <v>3790</v>
      </c>
      <c r="P1120" s="33" t="s">
        <v>3791</v>
      </c>
      <c r="Q1120" s="34" t="s">
        <v>1494</v>
      </c>
      <c r="R1120" s="34" t="s">
        <v>1494</v>
      </c>
    </row>
    <row r="1121" spans="1:18" ht="15" customHeight="1" x14ac:dyDescent="0.25">
      <c r="A1121" t="str">
        <f>IFERROR(RANK(B1121,$B:$B,1)+COUNTIF($B$1:B1120,B1121),"")</f>
        <v/>
      </c>
      <c r="B1121" t="str">
        <f>IFERROR(SEARCH(#REF!,Table4[[#This Row],[Commodity Title]],1),"")</f>
        <v/>
      </c>
      <c r="C1121" s="35">
        <v>42181523</v>
      </c>
      <c r="D1121" s="33" t="s">
        <v>1495</v>
      </c>
      <c r="E1121" s="33" t="s">
        <v>1496</v>
      </c>
      <c r="F1121" s="33" t="s">
        <v>1497</v>
      </c>
      <c r="G1121" s="33" t="s">
        <v>3748</v>
      </c>
      <c r="H1121" s="33" t="s">
        <v>3749</v>
      </c>
      <c r="I1121" s="33" t="s">
        <v>3750</v>
      </c>
      <c r="J1121" s="33">
        <v>174336</v>
      </c>
      <c r="K1121" s="33" t="s">
        <v>3751</v>
      </c>
      <c r="L1121" s="33" t="s">
        <v>3752</v>
      </c>
      <c r="M1121" s="33" t="s">
        <v>3753</v>
      </c>
      <c r="N1121" s="44">
        <v>42181523</v>
      </c>
      <c r="O1121" s="33" t="s">
        <v>3792</v>
      </c>
      <c r="P1121" s="33" t="s">
        <v>3793</v>
      </c>
      <c r="Q1121" s="34" t="s">
        <v>1494</v>
      </c>
      <c r="R1121" s="34" t="s">
        <v>1494</v>
      </c>
    </row>
    <row r="1122" spans="1:18" ht="15" customHeight="1" x14ac:dyDescent="0.25">
      <c r="A1122" t="str">
        <f>IFERROR(RANK(B1122,$B:$B,1)+COUNTIF($B$1:B1121,B1122),"")</f>
        <v/>
      </c>
      <c r="B1122" t="str">
        <f>IFERROR(SEARCH(#REF!,Table4[[#This Row],[Commodity Title]],1),"")</f>
        <v/>
      </c>
      <c r="C1122" s="35">
        <v>42181524</v>
      </c>
      <c r="D1122" s="33" t="s">
        <v>1495</v>
      </c>
      <c r="E1122" s="33" t="s">
        <v>1496</v>
      </c>
      <c r="F1122" s="33" t="s">
        <v>1497</v>
      </c>
      <c r="G1122" s="33" t="s">
        <v>3748</v>
      </c>
      <c r="H1122" s="33" t="s">
        <v>3749</v>
      </c>
      <c r="I1122" s="33" t="s">
        <v>3750</v>
      </c>
      <c r="J1122" s="33">
        <v>174337</v>
      </c>
      <c r="K1122" s="33" t="s">
        <v>3751</v>
      </c>
      <c r="L1122" s="33" t="s">
        <v>3752</v>
      </c>
      <c r="M1122" s="33" t="s">
        <v>3753</v>
      </c>
      <c r="N1122" s="44">
        <v>42181524</v>
      </c>
      <c r="O1122" s="33" t="s">
        <v>3794</v>
      </c>
      <c r="P1122" s="33" t="s">
        <v>3795</v>
      </c>
      <c r="Q1122" s="34" t="s">
        <v>1494</v>
      </c>
      <c r="R1122" s="34" t="s">
        <v>1494</v>
      </c>
    </row>
    <row r="1123" spans="1:18" ht="15" customHeight="1" x14ac:dyDescent="0.25">
      <c r="A1123" t="str">
        <f>IFERROR(RANK(B1123,$B:$B,1)+COUNTIF($B$1:B1122,B1123),"")</f>
        <v/>
      </c>
      <c r="B1123" t="str">
        <f>IFERROR(SEARCH(#REF!,Table4[[#This Row],[Commodity Title]],1),"")</f>
        <v/>
      </c>
      <c r="C1123" s="35">
        <v>42181525</v>
      </c>
      <c r="D1123" s="33" t="s">
        <v>1495</v>
      </c>
      <c r="E1123" s="33" t="s">
        <v>1496</v>
      </c>
      <c r="F1123" s="33" t="s">
        <v>1497</v>
      </c>
      <c r="G1123" s="33" t="s">
        <v>3748</v>
      </c>
      <c r="H1123" s="33" t="s">
        <v>3749</v>
      </c>
      <c r="I1123" s="33" t="s">
        <v>3750</v>
      </c>
      <c r="J1123" s="33">
        <v>174338</v>
      </c>
      <c r="K1123" s="33" t="s">
        <v>3751</v>
      </c>
      <c r="L1123" s="33" t="s">
        <v>3752</v>
      </c>
      <c r="M1123" s="33" t="s">
        <v>3753</v>
      </c>
      <c r="N1123" s="44">
        <v>42181525</v>
      </c>
      <c r="O1123" s="33" t="s">
        <v>3796</v>
      </c>
      <c r="P1123" s="33" t="s">
        <v>3797</v>
      </c>
      <c r="Q1123" s="34" t="s">
        <v>1494</v>
      </c>
      <c r="R1123" s="34" t="s">
        <v>1494</v>
      </c>
    </row>
    <row r="1124" spans="1:18" ht="15" customHeight="1" x14ac:dyDescent="0.25">
      <c r="A1124" t="str">
        <f>IFERROR(RANK(B1124,$B:$B,1)+COUNTIF($B$1:B1123,B1124),"")</f>
        <v/>
      </c>
      <c r="B1124" t="str">
        <f>IFERROR(SEARCH(#REF!,Table4[[#This Row],[Commodity Title]],1),"")</f>
        <v/>
      </c>
      <c r="C1124" s="35">
        <v>42181527</v>
      </c>
      <c r="D1124" s="33" t="s">
        <v>1495</v>
      </c>
      <c r="E1124" s="33" t="s">
        <v>1496</v>
      </c>
      <c r="F1124" s="33" t="s">
        <v>1497</v>
      </c>
      <c r="G1124" s="33" t="s">
        <v>3748</v>
      </c>
      <c r="H1124" s="33" t="s">
        <v>3749</v>
      </c>
      <c r="I1124" s="33" t="s">
        <v>3750</v>
      </c>
      <c r="J1124" s="33">
        <v>174340</v>
      </c>
      <c r="K1124" s="33" t="s">
        <v>3751</v>
      </c>
      <c r="L1124" s="33" t="s">
        <v>3752</v>
      </c>
      <c r="M1124" s="33" t="s">
        <v>3753</v>
      </c>
      <c r="N1124" s="44">
        <v>42181527</v>
      </c>
      <c r="O1124" s="33" t="s">
        <v>3798</v>
      </c>
      <c r="P1124" s="33" t="s">
        <v>3799</v>
      </c>
      <c r="Q1124" s="34" t="s">
        <v>1494</v>
      </c>
      <c r="R1124" s="34" t="s">
        <v>1494</v>
      </c>
    </row>
    <row r="1125" spans="1:18" ht="15" customHeight="1" x14ac:dyDescent="0.25">
      <c r="A1125" t="str">
        <f>IFERROR(RANK(B1125,$B:$B,1)+COUNTIF($B$1:B1124,B1125),"")</f>
        <v/>
      </c>
      <c r="B1125" t="str">
        <f>IFERROR(SEARCH(#REF!,Table4[[#This Row],[Commodity Title]],1),"")</f>
        <v/>
      </c>
      <c r="C1125" s="35">
        <v>42181528</v>
      </c>
      <c r="D1125" s="33" t="s">
        <v>1495</v>
      </c>
      <c r="E1125" s="33" t="s">
        <v>1496</v>
      </c>
      <c r="F1125" s="33" t="s">
        <v>1497</v>
      </c>
      <c r="G1125" s="33" t="s">
        <v>3748</v>
      </c>
      <c r="H1125" s="33" t="s">
        <v>3749</v>
      </c>
      <c r="I1125" s="33" t="s">
        <v>3750</v>
      </c>
      <c r="J1125" s="33">
        <v>174341</v>
      </c>
      <c r="K1125" s="33" t="s">
        <v>3751</v>
      </c>
      <c r="L1125" s="33" t="s">
        <v>3752</v>
      </c>
      <c r="M1125" s="33" t="s">
        <v>3753</v>
      </c>
      <c r="N1125" s="44">
        <v>42181528</v>
      </c>
      <c r="O1125" s="33" t="s">
        <v>3800</v>
      </c>
      <c r="P1125" s="33" t="s">
        <v>3801</v>
      </c>
      <c r="Q1125" s="34" t="s">
        <v>1494</v>
      </c>
      <c r="R1125" s="34" t="s">
        <v>1494</v>
      </c>
    </row>
    <row r="1126" spans="1:18" ht="15" customHeight="1" x14ac:dyDescent="0.25">
      <c r="A1126" t="str">
        <f>IFERROR(RANK(B1126,$B:$B,1)+COUNTIF($B$1:B1125,B1126),"")</f>
        <v/>
      </c>
      <c r="B1126" t="str">
        <f>IFERROR(SEARCH(#REF!,Table4[[#This Row],[Commodity Title]],1),"")</f>
        <v/>
      </c>
      <c r="C1126" s="35">
        <v>42181529</v>
      </c>
      <c r="D1126" s="33" t="s">
        <v>1495</v>
      </c>
      <c r="E1126" s="33" t="s">
        <v>1496</v>
      </c>
      <c r="F1126" s="33" t="s">
        <v>1497</v>
      </c>
      <c r="G1126" s="33" t="s">
        <v>3748</v>
      </c>
      <c r="H1126" s="33" t="s">
        <v>3749</v>
      </c>
      <c r="I1126" s="33" t="s">
        <v>3750</v>
      </c>
      <c r="J1126" s="33">
        <v>174342</v>
      </c>
      <c r="K1126" s="33" t="s">
        <v>3751</v>
      </c>
      <c r="L1126" s="33" t="s">
        <v>3752</v>
      </c>
      <c r="M1126" s="33" t="s">
        <v>3753</v>
      </c>
      <c r="N1126" s="44">
        <v>42181529</v>
      </c>
      <c r="O1126" s="33" t="s">
        <v>3802</v>
      </c>
      <c r="P1126" s="33" t="s">
        <v>3803</v>
      </c>
      <c r="Q1126" s="34" t="s">
        <v>1494</v>
      </c>
      <c r="R1126" s="34" t="s">
        <v>1494</v>
      </c>
    </row>
    <row r="1127" spans="1:18" ht="15" customHeight="1" x14ac:dyDescent="0.25">
      <c r="A1127" t="str">
        <f>IFERROR(RANK(B1127,$B:$B,1)+COUNTIF($B$1:B1126,B1127),"")</f>
        <v/>
      </c>
      <c r="B1127" t="str">
        <f>IFERROR(SEARCH(#REF!,Table4[[#This Row],[Commodity Title]],1),"")</f>
        <v/>
      </c>
      <c r="C1127" s="35">
        <v>42181530</v>
      </c>
      <c r="D1127" s="33" t="s">
        <v>1495</v>
      </c>
      <c r="E1127" s="33" t="s">
        <v>1496</v>
      </c>
      <c r="F1127" s="33" t="s">
        <v>1497</v>
      </c>
      <c r="G1127" s="33" t="s">
        <v>3748</v>
      </c>
      <c r="H1127" s="33" t="s">
        <v>3749</v>
      </c>
      <c r="I1127" s="33" t="s">
        <v>3750</v>
      </c>
      <c r="J1127" s="33">
        <v>174343</v>
      </c>
      <c r="K1127" s="33" t="s">
        <v>3751</v>
      </c>
      <c r="L1127" s="33" t="s">
        <v>3752</v>
      </c>
      <c r="M1127" s="33" t="s">
        <v>3753</v>
      </c>
      <c r="N1127" s="44">
        <v>42181530</v>
      </c>
      <c r="O1127" s="33" t="s">
        <v>3804</v>
      </c>
      <c r="P1127" s="33" t="s">
        <v>3805</v>
      </c>
      <c r="Q1127" s="34" t="s">
        <v>1494</v>
      </c>
      <c r="R1127" s="34" t="s">
        <v>1494</v>
      </c>
    </row>
    <row r="1128" spans="1:18" ht="15" customHeight="1" x14ac:dyDescent="0.25">
      <c r="A1128" t="str">
        <f>IFERROR(RANK(B1128,$B:$B,1)+COUNTIF($B$1:B1127,B1128),"")</f>
        <v/>
      </c>
      <c r="B1128" t="str">
        <f>IFERROR(SEARCH(#REF!,Table4[[#This Row],[Commodity Title]],1),"")</f>
        <v/>
      </c>
      <c r="C1128" s="35">
        <v>42181533</v>
      </c>
      <c r="D1128" s="33" t="s">
        <v>1495</v>
      </c>
      <c r="E1128" s="33" t="s">
        <v>1496</v>
      </c>
      <c r="F1128" s="33" t="s">
        <v>1497</v>
      </c>
      <c r="G1128" s="33" t="s">
        <v>3748</v>
      </c>
      <c r="H1128" s="33" t="s">
        <v>3749</v>
      </c>
      <c r="I1128" s="33" t="s">
        <v>3750</v>
      </c>
      <c r="J1128" s="33">
        <v>174346</v>
      </c>
      <c r="K1128" s="33" t="s">
        <v>3751</v>
      </c>
      <c r="L1128" s="33" t="s">
        <v>3752</v>
      </c>
      <c r="M1128" s="33" t="s">
        <v>3753</v>
      </c>
      <c r="N1128" s="44">
        <v>42181533</v>
      </c>
      <c r="O1128" s="33" t="s">
        <v>3806</v>
      </c>
      <c r="P1128" s="33" t="s">
        <v>3807</v>
      </c>
      <c r="Q1128" s="34" t="s">
        <v>1494</v>
      </c>
      <c r="R1128" s="34" t="s">
        <v>1494</v>
      </c>
    </row>
    <row r="1129" spans="1:18" ht="15" customHeight="1" x14ac:dyDescent="0.25">
      <c r="A1129" t="str">
        <f>IFERROR(RANK(B1129,$B:$B,1)+COUNTIF($B$1:B1128,B1129),"")</f>
        <v/>
      </c>
      <c r="B1129" t="str">
        <f>IFERROR(SEARCH(#REF!,Table4[[#This Row],[Commodity Title]],1),"")</f>
        <v/>
      </c>
      <c r="C1129" s="35">
        <v>42181534</v>
      </c>
      <c r="D1129" s="33" t="s">
        <v>1495</v>
      </c>
      <c r="E1129" s="33" t="s">
        <v>1496</v>
      </c>
      <c r="F1129" s="33" t="s">
        <v>1497</v>
      </c>
      <c r="G1129" s="33" t="s">
        <v>3748</v>
      </c>
      <c r="H1129" s="33" t="s">
        <v>3749</v>
      </c>
      <c r="I1129" s="33" t="s">
        <v>3750</v>
      </c>
      <c r="J1129" s="33">
        <v>174347</v>
      </c>
      <c r="K1129" s="33" t="s">
        <v>3751</v>
      </c>
      <c r="L1129" s="33" t="s">
        <v>3752</v>
      </c>
      <c r="M1129" s="33" t="s">
        <v>3753</v>
      </c>
      <c r="N1129" s="44">
        <v>42181534</v>
      </c>
      <c r="O1129" s="33" t="s">
        <v>3808</v>
      </c>
      <c r="P1129" s="33" t="s">
        <v>3809</v>
      </c>
      <c r="Q1129" s="34" t="s">
        <v>1494</v>
      </c>
      <c r="R1129" s="34" t="s">
        <v>1494</v>
      </c>
    </row>
    <row r="1130" spans="1:18" ht="15" customHeight="1" x14ac:dyDescent="0.25">
      <c r="A1130" t="str">
        <f>IFERROR(RANK(B1130,$B:$B,1)+COUNTIF($B$1:B1129,B1130),"")</f>
        <v/>
      </c>
      <c r="B1130" t="str">
        <f>IFERROR(SEARCH(#REF!,Table4[[#This Row],[Commodity Title]],1),"")</f>
        <v/>
      </c>
      <c r="C1130" s="35">
        <v>42181535</v>
      </c>
      <c r="D1130" s="33" t="s">
        <v>1495</v>
      </c>
      <c r="E1130" s="33" t="s">
        <v>1496</v>
      </c>
      <c r="F1130" s="33" t="s">
        <v>1497</v>
      </c>
      <c r="G1130" s="33" t="s">
        <v>3748</v>
      </c>
      <c r="H1130" s="33" t="s">
        <v>3749</v>
      </c>
      <c r="I1130" s="33" t="s">
        <v>3750</v>
      </c>
      <c r="J1130" s="33">
        <v>174348</v>
      </c>
      <c r="K1130" s="33" t="s">
        <v>3751</v>
      </c>
      <c r="L1130" s="33" t="s">
        <v>3752</v>
      </c>
      <c r="M1130" s="33" t="s">
        <v>3753</v>
      </c>
      <c r="N1130" s="44">
        <v>42181535</v>
      </c>
      <c r="O1130" s="33" t="s">
        <v>3810</v>
      </c>
      <c r="P1130" s="33" t="s">
        <v>3811</v>
      </c>
      <c r="Q1130" s="34" t="s">
        <v>1494</v>
      </c>
      <c r="R1130" s="34" t="s">
        <v>1494</v>
      </c>
    </row>
    <row r="1131" spans="1:18" ht="15" customHeight="1" x14ac:dyDescent="0.25">
      <c r="A1131" t="str">
        <f>IFERROR(RANK(B1131,$B:$B,1)+COUNTIF($B$1:B1130,B1131),"")</f>
        <v/>
      </c>
      <c r="B1131" t="str">
        <f>IFERROR(SEARCH(#REF!,Table4[[#This Row],[Commodity Title]],1),"")</f>
        <v/>
      </c>
      <c r="C1131" s="35">
        <v>42181539</v>
      </c>
      <c r="D1131" s="33" t="s">
        <v>1495</v>
      </c>
      <c r="E1131" s="33" t="s">
        <v>1496</v>
      </c>
      <c r="F1131" s="33" t="s">
        <v>1497</v>
      </c>
      <c r="G1131" s="33" t="s">
        <v>3748</v>
      </c>
      <c r="H1131" s="33" t="s">
        <v>3749</v>
      </c>
      <c r="I1131" s="33" t="s">
        <v>3750</v>
      </c>
      <c r="J1131" s="33">
        <v>202689</v>
      </c>
      <c r="K1131" s="33" t="s">
        <v>3751</v>
      </c>
      <c r="L1131" s="33" t="s">
        <v>3752</v>
      </c>
      <c r="M1131" s="33" t="s">
        <v>3753</v>
      </c>
      <c r="N1131" s="44">
        <v>42181539</v>
      </c>
      <c r="O1131" s="33" t="s">
        <v>3812</v>
      </c>
      <c r="P1131" s="33" t="s">
        <v>3813</v>
      </c>
      <c r="Q1131" s="34" t="s">
        <v>1494</v>
      </c>
      <c r="R1131" s="34" t="s">
        <v>1494</v>
      </c>
    </row>
    <row r="1132" spans="1:18" ht="15" customHeight="1" x14ac:dyDescent="0.25">
      <c r="A1132" t="str">
        <f>IFERROR(RANK(B1132,$B:$B,1)+COUNTIF($B$1:B1131,B1132),"")</f>
        <v/>
      </c>
      <c r="B1132" t="str">
        <f>IFERROR(SEARCH(#REF!,Table4[[#This Row],[Commodity Title]],1),"")</f>
        <v/>
      </c>
      <c r="C1132" s="35">
        <v>42181540</v>
      </c>
      <c r="D1132" s="33" t="s">
        <v>1495</v>
      </c>
      <c r="E1132" s="33" t="s">
        <v>1496</v>
      </c>
      <c r="F1132" s="33" t="s">
        <v>1497</v>
      </c>
      <c r="G1132" s="33" t="s">
        <v>3748</v>
      </c>
      <c r="H1132" s="33" t="s">
        <v>3749</v>
      </c>
      <c r="I1132" s="33" t="s">
        <v>3750</v>
      </c>
      <c r="J1132" s="33">
        <v>115987</v>
      </c>
      <c r="K1132" s="33" t="s">
        <v>3751</v>
      </c>
      <c r="L1132" s="33" t="s">
        <v>3752</v>
      </c>
      <c r="M1132" s="33" t="s">
        <v>3753</v>
      </c>
      <c r="N1132" s="44">
        <v>42181540</v>
      </c>
      <c r="O1132" s="33" t="s">
        <v>3814</v>
      </c>
      <c r="P1132" s="33" t="s">
        <v>3815</v>
      </c>
      <c r="Q1132" s="34" t="s">
        <v>1494</v>
      </c>
      <c r="R1132" s="34" t="s">
        <v>1494</v>
      </c>
    </row>
    <row r="1133" spans="1:18" ht="15" customHeight="1" x14ac:dyDescent="0.25">
      <c r="A1133" t="str">
        <f>IFERROR(RANK(B1133,$B:$B,1)+COUNTIF($B$1:B1132,B1133),"")</f>
        <v/>
      </c>
      <c r="B1133" t="str">
        <f>IFERROR(SEARCH(#REF!,Table4[[#This Row],[Commodity Title]],1),"")</f>
        <v/>
      </c>
      <c r="C1133" s="35">
        <v>42181541</v>
      </c>
      <c r="D1133" s="33" t="s">
        <v>1495</v>
      </c>
      <c r="E1133" s="33" t="s">
        <v>1496</v>
      </c>
      <c r="F1133" s="33" t="s">
        <v>1497</v>
      </c>
      <c r="G1133" s="33" t="s">
        <v>3748</v>
      </c>
      <c r="H1133" s="33" t="s">
        <v>3749</v>
      </c>
      <c r="I1133" s="33" t="s">
        <v>3750</v>
      </c>
      <c r="J1133" s="33">
        <v>142511</v>
      </c>
      <c r="K1133" s="33" t="s">
        <v>3751</v>
      </c>
      <c r="L1133" s="33" t="s">
        <v>3752</v>
      </c>
      <c r="M1133" s="33" t="s">
        <v>3753</v>
      </c>
      <c r="N1133" s="44">
        <v>42181541</v>
      </c>
      <c r="O1133" s="33" t="s">
        <v>3816</v>
      </c>
      <c r="P1133" s="33" t="s">
        <v>3817</v>
      </c>
      <c r="Q1133" s="34" t="s">
        <v>1494</v>
      </c>
      <c r="R1133" s="34" t="s">
        <v>1494</v>
      </c>
    </row>
    <row r="1134" spans="1:18" ht="15" customHeight="1" x14ac:dyDescent="0.25">
      <c r="A1134" t="str">
        <f>IFERROR(RANK(B1134,$B:$B,1)+COUNTIF($B$1:B1133,B1134),"")</f>
        <v/>
      </c>
      <c r="B1134" t="str">
        <f>IFERROR(SEARCH(#REF!,Table4[[#This Row],[Commodity Title]],1),"")</f>
        <v/>
      </c>
      <c r="C1134" s="35">
        <v>42181542</v>
      </c>
      <c r="D1134" s="33" t="s">
        <v>1495</v>
      </c>
      <c r="E1134" s="33" t="s">
        <v>1496</v>
      </c>
      <c r="F1134" s="33" t="s">
        <v>1497</v>
      </c>
      <c r="G1134" s="33" t="s">
        <v>3748</v>
      </c>
      <c r="H1134" s="33" t="s">
        <v>3749</v>
      </c>
      <c r="I1134" s="33" t="s">
        <v>3750</v>
      </c>
      <c r="J1134" s="33">
        <v>202690</v>
      </c>
      <c r="K1134" s="33" t="s">
        <v>3751</v>
      </c>
      <c r="L1134" s="33" t="s">
        <v>3752</v>
      </c>
      <c r="M1134" s="33" t="s">
        <v>3753</v>
      </c>
      <c r="N1134" s="44">
        <v>42181542</v>
      </c>
      <c r="O1134" s="33" t="s">
        <v>3818</v>
      </c>
      <c r="P1134" s="33" t="s">
        <v>3819</v>
      </c>
      <c r="Q1134" s="34" t="s">
        <v>1494</v>
      </c>
      <c r="R1134" s="34" t="s">
        <v>1494</v>
      </c>
    </row>
    <row r="1135" spans="1:18" ht="15" customHeight="1" x14ac:dyDescent="0.25">
      <c r="A1135" t="str">
        <f>IFERROR(RANK(B1135,$B:$B,1)+COUNTIF($B$1:B1134,B1135),"")</f>
        <v/>
      </c>
      <c r="B1135" t="str">
        <f>IFERROR(SEARCH(#REF!,Table4[[#This Row],[Commodity Title]],1),"")</f>
        <v/>
      </c>
      <c r="C1135" s="35">
        <v>42181543</v>
      </c>
      <c r="D1135" s="33" t="s">
        <v>1495</v>
      </c>
      <c r="E1135" s="33" t="s">
        <v>1496</v>
      </c>
      <c r="F1135" s="33" t="s">
        <v>1497</v>
      </c>
      <c r="G1135" s="33" t="s">
        <v>3748</v>
      </c>
      <c r="H1135" s="33" t="s">
        <v>3749</v>
      </c>
      <c r="I1135" s="33" t="s">
        <v>3750</v>
      </c>
      <c r="J1135" s="33">
        <v>202691</v>
      </c>
      <c r="K1135" s="33" t="s">
        <v>3751</v>
      </c>
      <c r="L1135" s="33" t="s">
        <v>3752</v>
      </c>
      <c r="M1135" s="33" t="s">
        <v>3753</v>
      </c>
      <c r="N1135" s="44">
        <v>42181543</v>
      </c>
      <c r="O1135" s="33" t="s">
        <v>3820</v>
      </c>
      <c r="P1135" s="33" t="s">
        <v>3821</v>
      </c>
      <c r="Q1135" s="34" t="s">
        <v>1494</v>
      </c>
      <c r="R1135" s="34" t="s">
        <v>1494</v>
      </c>
    </row>
    <row r="1136" spans="1:18" ht="15" customHeight="1" x14ac:dyDescent="0.25">
      <c r="A1136" t="str">
        <f>IFERROR(RANK(B1136,$B:$B,1)+COUNTIF($B$1:B1135,B1136),"")</f>
        <v/>
      </c>
      <c r="B1136" t="str">
        <f>IFERROR(SEARCH(#REF!,Table4[[#This Row],[Commodity Title]],1),"")</f>
        <v/>
      </c>
      <c r="C1136" s="35">
        <v>42181544</v>
      </c>
      <c r="D1136" s="33" t="s">
        <v>1495</v>
      </c>
      <c r="E1136" s="33" t="s">
        <v>1496</v>
      </c>
      <c r="F1136" s="33" t="s">
        <v>1497</v>
      </c>
      <c r="G1136" s="33" t="s">
        <v>3748</v>
      </c>
      <c r="H1136" s="33" t="s">
        <v>3749</v>
      </c>
      <c r="I1136" s="33" t="s">
        <v>3750</v>
      </c>
      <c r="J1136" s="33">
        <v>117270</v>
      </c>
      <c r="K1136" s="33" t="s">
        <v>3751</v>
      </c>
      <c r="L1136" s="33" t="s">
        <v>3752</v>
      </c>
      <c r="M1136" s="33" t="s">
        <v>3753</v>
      </c>
      <c r="N1136" s="44">
        <v>42181544</v>
      </c>
      <c r="O1136" s="33" t="s">
        <v>3822</v>
      </c>
      <c r="P1136" s="33" t="s">
        <v>3823</v>
      </c>
      <c r="Q1136" s="34" t="s">
        <v>1494</v>
      </c>
      <c r="R1136" s="34" t="s">
        <v>1494</v>
      </c>
    </row>
    <row r="1137" spans="1:18" ht="15" customHeight="1" x14ac:dyDescent="0.25">
      <c r="A1137" t="str">
        <f>IFERROR(RANK(B1137,$B:$B,1)+COUNTIF($B$1:B1136,B1137),"")</f>
        <v/>
      </c>
      <c r="B1137" t="str">
        <f>IFERROR(SEARCH(#REF!,Table4[[#This Row],[Commodity Title]],1),"")</f>
        <v/>
      </c>
      <c r="C1137" s="35">
        <v>42181545</v>
      </c>
      <c r="D1137" s="33" t="s">
        <v>1495</v>
      </c>
      <c r="E1137" s="33" t="s">
        <v>1496</v>
      </c>
      <c r="F1137" s="33" t="s">
        <v>1497</v>
      </c>
      <c r="G1137" s="33" t="s">
        <v>3748</v>
      </c>
      <c r="H1137" s="33" t="s">
        <v>3749</v>
      </c>
      <c r="I1137" s="33" t="s">
        <v>3750</v>
      </c>
      <c r="J1137" s="33">
        <v>208422</v>
      </c>
      <c r="K1137" s="33" t="s">
        <v>3751</v>
      </c>
      <c r="L1137" s="33" t="s">
        <v>3752</v>
      </c>
      <c r="M1137" s="33" t="s">
        <v>3753</v>
      </c>
      <c r="N1137" s="44">
        <v>42181545</v>
      </c>
      <c r="O1137" s="33" t="s">
        <v>3824</v>
      </c>
      <c r="P1137" s="33" t="s">
        <v>3825</v>
      </c>
      <c r="Q1137" s="34" t="s">
        <v>1494</v>
      </c>
      <c r="R1137" s="34" t="s">
        <v>1494</v>
      </c>
    </row>
    <row r="1138" spans="1:18" ht="15" customHeight="1" x14ac:dyDescent="0.25">
      <c r="A1138" t="str">
        <f>IFERROR(RANK(B1138,$B:$B,1)+COUNTIF($B$1:B1137,B1138),"")</f>
        <v/>
      </c>
      <c r="B1138" t="str">
        <f>IFERROR(SEARCH(#REF!,Table4[[#This Row],[Commodity Title]],1),"")</f>
        <v/>
      </c>
      <c r="C1138" s="33" t="s">
        <v>1494</v>
      </c>
      <c r="D1138" s="33" t="s">
        <v>1495</v>
      </c>
      <c r="E1138" s="33" t="s">
        <v>1496</v>
      </c>
      <c r="F1138" s="33" t="s">
        <v>1497</v>
      </c>
      <c r="G1138" s="33" t="s">
        <v>3748</v>
      </c>
      <c r="H1138" s="33" t="s">
        <v>3749</v>
      </c>
      <c r="I1138" s="33" t="s">
        <v>3750</v>
      </c>
      <c r="J1138" s="33">
        <v>104489</v>
      </c>
      <c r="K1138" s="33" t="s">
        <v>3826</v>
      </c>
      <c r="L1138" s="33" t="s">
        <v>3827</v>
      </c>
      <c r="M1138" s="33" t="s">
        <v>3828</v>
      </c>
      <c r="N1138" s="44" t="s">
        <v>1494</v>
      </c>
      <c r="O1138" s="33" t="s">
        <v>1494</v>
      </c>
      <c r="P1138" s="33" t="s">
        <v>1494</v>
      </c>
      <c r="Q1138" s="34" t="s">
        <v>1494</v>
      </c>
      <c r="R1138" s="34" t="s">
        <v>1494</v>
      </c>
    </row>
    <row r="1139" spans="1:18" ht="15" customHeight="1" x14ac:dyDescent="0.25">
      <c r="A1139" t="str">
        <f>IFERROR(RANK(B1139,$B:$B,1)+COUNTIF($B$1:B1138,B1139),"")</f>
        <v/>
      </c>
      <c r="B1139" t="str">
        <f>IFERROR(SEARCH(#REF!,Table4[[#This Row],[Commodity Title]],1),"")</f>
        <v/>
      </c>
      <c r="C1139" s="35">
        <v>42181601</v>
      </c>
      <c r="D1139" s="33" t="s">
        <v>1495</v>
      </c>
      <c r="E1139" s="33" t="s">
        <v>1496</v>
      </c>
      <c r="F1139" s="33" t="s">
        <v>1497</v>
      </c>
      <c r="G1139" s="33" t="s">
        <v>3748</v>
      </c>
      <c r="H1139" s="33" t="s">
        <v>3749</v>
      </c>
      <c r="I1139" s="33" t="s">
        <v>3750</v>
      </c>
      <c r="J1139" s="33">
        <v>115294</v>
      </c>
      <c r="K1139" s="33" t="s">
        <v>3826</v>
      </c>
      <c r="L1139" s="33" t="s">
        <v>3827</v>
      </c>
      <c r="M1139" s="33" t="s">
        <v>3828</v>
      </c>
      <c r="N1139" s="44">
        <v>42181601</v>
      </c>
      <c r="O1139" s="33" t="s">
        <v>3829</v>
      </c>
      <c r="P1139" s="33" t="s">
        <v>3830</v>
      </c>
      <c r="Q1139" s="34" t="s">
        <v>1494</v>
      </c>
      <c r="R1139" s="34" t="s">
        <v>1494</v>
      </c>
    </row>
    <row r="1140" spans="1:18" ht="15" customHeight="1" x14ac:dyDescent="0.25">
      <c r="A1140" t="str">
        <f>IFERROR(RANK(B1140,$B:$B,1)+COUNTIF($B$1:B1139,B1140),"")</f>
        <v/>
      </c>
      <c r="B1140" t="str">
        <f>IFERROR(SEARCH(#REF!,Table4[[#This Row],[Commodity Title]],1),"")</f>
        <v/>
      </c>
      <c r="C1140" s="35">
        <v>42181602</v>
      </c>
      <c r="D1140" s="33" t="s">
        <v>1495</v>
      </c>
      <c r="E1140" s="33" t="s">
        <v>1496</v>
      </c>
      <c r="F1140" s="33" t="s">
        <v>1497</v>
      </c>
      <c r="G1140" s="33" t="s">
        <v>3748</v>
      </c>
      <c r="H1140" s="33" t="s">
        <v>3749</v>
      </c>
      <c r="I1140" s="33" t="s">
        <v>3750</v>
      </c>
      <c r="J1140" s="33">
        <v>115295</v>
      </c>
      <c r="K1140" s="33" t="s">
        <v>3826</v>
      </c>
      <c r="L1140" s="33" t="s">
        <v>3827</v>
      </c>
      <c r="M1140" s="33" t="s">
        <v>3828</v>
      </c>
      <c r="N1140" s="44">
        <v>42181602</v>
      </c>
      <c r="O1140" s="33" t="s">
        <v>3831</v>
      </c>
      <c r="P1140" s="33" t="s">
        <v>3832</v>
      </c>
      <c r="Q1140" s="34" t="s">
        <v>1494</v>
      </c>
      <c r="R1140" s="34" t="s">
        <v>1494</v>
      </c>
    </row>
    <row r="1141" spans="1:18" ht="15" customHeight="1" x14ac:dyDescent="0.25">
      <c r="A1141" t="str">
        <f>IFERROR(RANK(B1141,$B:$B,1)+COUNTIF($B$1:B1140,B1141),"")</f>
        <v/>
      </c>
      <c r="B1141" t="str">
        <f>IFERROR(SEARCH(#REF!,Table4[[#This Row],[Commodity Title]],1),"")</f>
        <v/>
      </c>
      <c r="C1141" s="35">
        <v>42181603</v>
      </c>
      <c r="D1141" s="33" t="s">
        <v>1495</v>
      </c>
      <c r="E1141" s="33" t="s">
        <v>1496</v>
      </c>
      <c r="F1141" s="33" t="s">
        <v>1497</v>
      </c>
      <c r="G1141" s="33" t="s">
        <v>3748</v>
      </c>
      <c r="H1141" s="33" t="s">
        <v>3749</v>
      </c>
      <c r="I1141" s="33" t="s">
        <v>3750</v>
      </c>
      <c r="J1141" s="33">
        <v>115296</v>
      </c>
      <c r="K1141" s="33" t="s">
        <v>3826</v>
      </c>
      <c r="L1141" s="33" t="s">
        <v>3827</v>
      </c>
      <c r="M1141" s="33" t="s">
        <v>3828</v>
      </c>
      <c r="N1141" s="44">
        <v>42181603</v>
      </c>
      <c r="O1141" s="33" t="s">
        <v>3833</v>
      </c>
      <c r="P1141" s="33" t="s">
        <v>3834</v>
      </c>
      <c r="Q1141" s="34" t="s">
        <v>1494</v>
      </c>
      <c r="R1141" s="34" t="s">
        <v>1494</v>
      </c>
    </row>
    <row r="1142" spans="1:18" ht="15" customHeight="1" x14ac:dyDescent="0.25">
      <c r="A1142" t="str">
        <f>IFERROR(RANK(B1142,$B:$B,1)+COUNTIF($B$1:B1141,B1142),"")</f>
        <v/>
      </c>
      <c r="B1142" t="str">
        <f>IFERROR(SEARCH(#REF!,Table4[[#This Row],[Commodity Title]],1),"")</f>
        <v/>
      </c>
      <c r="C1142" s="35">
        <v>42181604</v>
      </c>
      <c r="D1142" s="33" t="s">
        <v>1495</v>
      </c>
      <c r="E1142" s="33" t="s">
        <v>1496</v>
      </c>
      <c r="F1142" s="33" t="s">
        <v>1497</v>
      </c>
      <c r="G1142" s="33" t="s">
        <v>3748</v>
      </c>
      <c r="H1142" s="33" t="s">
        <v>3749</v>
      </c>
      <c r="I1142" s="33" t="s">
        <v>3750</v>
      </c>
      <c r="J1142" s="33">
        <v>115297</v>
      </c>
      <c r="K1142" s="33" t="s">
        <v>3826</v>
      </c>
      <c r="L1142" s="33" t="s">
        <v>3827</v>
      </c>
      <c r="M1142" s="33" t="s">
        <v>3828</v>
      </c>
      <c r="N1142" s="44">
        <v>42181604</v>
      </c>
      <c r="O1142" s="33" t="s">
        <v>3835</v>
      </c>
      <c r="P1142" s="33" t="s">
        <v>3836</v>
      </c>
      <c r="Q1142" s="34" t="s">
        <v>1494</v>
      </c>
      <c r="R1142" s="34" t="s">
        <v>1494</v>
      </c>
    </row>
    <row r="1143" spans="1:18" ht="15" customHeight="1" x14ac:dyDescent="0.25">
      <c r="A1143" t="str">
        <f>IFERROR(RANK(B1143,$B:$B,1)+COUNTIF($B$1:B1142,B1143),"")</f>
        <v/>
      </c>
      <c r="B1143" t="str">
        <f>IFERROR(SEARCH(#REF!,Table4[[#This Row],[Commodity Title]],1),"")</f>
        <v/>
      </c>
      <c r="C1143" s="35">
        <v>42181605</v>
      </c>
      <c r="D1143" s="33" t="s">
        <v>1495</v>
      </c>
      <c r="E1143" s="33" t="s">
        <v>1496</v>
      </c>
      <c r="F1143" s="33" t="s">
        <v>1497</v>
      </c>
      <c r="G1143" s="33" t="s">
        <v>3748</v>
      </c>
      <c r="H1143" s="33" t="s">
        <v>3749</v>
      </c>
      <c r="I1143" s="33" t="s">
        <v>3750</v>
      </c>
      <c r="J1143" s="33">
        <v>115298</v>
      </c>
      <c r="K1143" s="33" t="s">
        <v>3826</v>
      </c>
      <c r="L1143" s="33" t="s">
        <v>3827</v>
      </c>
      <c r="M1143" s="33" t="s">
        <v>3828</v>
      </c>
      <c r="N1143" s="44">
        <v>42181605</v>
      </c>
      <c r="O1143" s="33" t="s">
        <v>3837</v>
      </c>
      <c r="P1143" s="33" t="s">
        <v>3838</v>
      </c>
      <c r="Q1143" s="34" t="s">
        <v>1494</v>
      </c>
      <c r="R1143" s="34" t="s">
        <v>1494</v>
      </c>
    </row>
    <row r="1144" spans="1:18" ht="15" customHeight="1" x14ac:dyDescent="0.25">
      <c r="A1144" t="str">
        <f>IFERROR(RANK(B1144,$B:$B,1)+COUNTIF($B$1:B1143,B1144),"")</f>
        <v/>
      </c>
      <c r="B1144" t="str">
        <f>IFERROR(SEARCH(#REF!,Table4[[#This Row],[Commodity Title]],1),"")</f>
        <v/>
      </c>
      <c r="C1144" s="35">
        <v>42181606</v>
      </c>
      <c r="D1144" s="33" t="s">
        <v>1495</v>
      </c>
      <c r="E1144" s="33" t="s">
        <v>1496</v>
      </c>
      <c r="F1144" s="33" t="s">
        <v>1497</v>
      </c>
      <c r="G1144" s="33" t="s">
        <v>3748</v>
      </c>
      <c r="H1144" s="33" t="s">
        <v>3749</v>
      </c>
      <c r="I1144" s="33" t="s">
        <v>3750</v>
      </c>
      <c r="J1144" s="33">
        <v>115299</v>
      </c>
      <c r="K1144" s="33" t="s">
        <v>3826</v>
      </c>
      <c r="L1144" s="33" t="s">
        <v>3827</v>
      </c>
      <c r="M1144" s="33" t="s">
        <v>3828</v>
      </c>
      <c r="N1144" s="44">
        <v>42181606</v>
      </c>
      <c r="O1144" s="33" t="s">
        <v>3839</v>
      </c>
      <c r="P1144" s="33" t="s">
        <v>3840</v>
      </c>
      <c r="Q1144" s="34" t="s">
        <v>1494</v>
      </c>
      <c r="R1144" s="34" t="s">
        <v>1494</v>
      </c>
    </row>
    <row r="1145" spans="1:18" ht="15" customHeight="1" x14ac:dyDescent="0.25">
      <c r="A1145" t="str">
        <f>IFERROR(RANK(B1145,$B:$B,1)+COUNTIF($B$1:B1144,B1145),"")</f>
        <v/>
      </c>
      <c r="B1145" t="str">
        <f>IFERROR(SEARCH(#REF!,Table4[[#This Row],[Commodity Title]],1),"")</f>
        <v/>
      </c>
      <c r="C1145" s="35">
        <v>42181607</v>
      </c>
      <c r="D1145" s="33" t="s">
        <v>1495</v>
      </c>
      <c r="E1145" s="33" t="s">
        <v>1496</v>
      </c>
      <c r="F1145" s="33" t="s">
        <v>1497</v>
      </c>
      <c r="G1145" s="33" t="s">
        <v>3748</v>
      </c>
      <c r="H1145" s="33" t="s">
        <v>3749</v>
      </c>
      <c r="I1145" s="33" t="s">
        <v>3750</v>
      </c>
      <c r="J1145" s="33">
        <v>115300</v>
      </c>
      <c r="K1145" s="33" t="s">
        <v>3826</v>
      </c>
      <c r="L1145" s="33" t="s">
        <v>3827</v>
      </c>
      <c r="M1145" s="33" t="s">
        <v>3828</v>
      </c>
      <c r="N1145" s="44">
        <v>42181607</v>
      </c>
      <c r="O1145" s="33" t="s">
        <v>3841</v>
      </c>
      <c r="P1145" s="33" t="s">
        <v>3842</v>
      </c>
      <c r="Q1145" s="34" t="s">
        <v>1494</v>
      </c>
      <c r="R1145" s="34" t="s">
        <v>1494</v>
      </c>
    </row>
    <row r="1146" spans="1:18" ht="15" customHeight="1" x14ac:dyDescent="0.25">
      <c r="A1146" t="str">
        <f>IFERROR(RANK(B1146,$B:$B,1)+COUNTIF($B$1:B1145,B1146),"")</f>
        <v/>
      </c>
      <c r="B1146" t="str">
        <f>IFERROR(SEARCH(#REF!,Table4[[#This Row],[Commodity Title]],1),"")</f>
        <v/>
      </c>
      <c r="C1146" s="35">
        <v>42181608</v>
      </c>
      <c r="D1146" s="33" t="s">
        <v>1495</v>
      </c>
      <c r="E1146" s="33" t="s">
        <v>1496</v>
      </c>
      <c r="F1146" s="33" t="s">
        <v>1497</v>
      </c>
      <c r="G1146" s="33" t="s">
        <v>3748</v>
      </c>
      <c r="H1146" s="33" t="s">
        <v>3749</v>
      </c>
      <c r="I1146" s="33" t="s">
        <v>3750</v>
      </c>
      <c r="J1146" s="33">
        <v>142478</v>
      </c>
      <c r="K1146" s="33" t="s">
        <v>3826</v>
      </c>
      <c r="L1146" s="33" t="s">
        <v>3827</v>
      </c>
      <c r="M1146" s="33" t="s">
        <v>3828</v>
      </c>
      <c r="N1146" s="44">
        <v>42181608</v>
      </c>
      <c r="O1146" s="33" t="s">
        <v>3843</v>
      </c>
      <c r="P1146" s="33" t="s">
        <v>3844</v>
      </c>
      <c r="Q1146" s="34" t="s">
        <v>1494</v>
      </c>
      <c r="R1146" s="34" t="s">
        <v>1494</v>
      </c>
    </row>
    <row r="1147" spans="1:18" ht="15" customHeight="1" x14ac:dyDescent="0.25">
      <c r="A1147" t="str">
        <f>IFERROR(RANK(B1147,$B:$B,1)+COUNTIF($B$1:B1146,B1147),"")</f>
        <v/>
      </c>
      <c r="B1147" t="str">
        <f>IFERROR(SEARCH(#REF!,Table4[[#This Row],[Commodity Title]],1),"")</f>
        <v/>
      </c>
      <c r="C1147" s="35">
        <v>42181609</v>
      </c>
      <c r="D1147" s="33" t="s">
        <v>1495</v>
      </c>
      <c r="E1147" s="33" t="s">
        <v>1496</v>
      </c>
      <c r="F1147" s="33" t="s">
        <v>1497</v>
      </c>
      <c r="G1147" s="33" t="s">
        <v>3748</v>
      </c>
      <c r="H1147" s="33" t="s">
        <v>3749</v>
      </c>
      <c r="I1147" s="33" t="s">
        <v>3750</v>
      </c>
      <c r="J1147" s="33">
        <v>142479</v>
      </c>
      <c r="K1147" s="33" t="s">
        <v>3826</v>
      </c>
      <c r="L1147" s="33" t="s">
        <v>3827</v>
      </c>
      <c r="M1147" s="33" t="s">
        <v>3828</v>
      </c>
      <c r="N1147" s="44">
        <v>42181609</v>
      </c>
      <c r="O1147" s="33" t="s">
        <v>3845</v>
      </c>
      <c r="P1147" s="33" t="s">
        <v>3846</v>
      </c>
      <c r="Q1147" s="34" t="s">
        <v>1494</v>
      </c>
      <c r="R1147" s="34" t="s">
        <v>1494</v>
      </c>
    </row>
    <row r="1148" spans="1:18" ht="15" customHeight="1" x14ac:dyDescent="0.25">
      <c r="A1148" t="str">
        <f>IFERROR(RANK(B1148,$B:$B,1)+COUNTIF($B$1:B1147,B1148),"")</f>
        <v/>
      </c>
      <c r="B1148" t="str">
        <f>IFERROR(SEARCH(#REF!,Table4[[#This Row],[Commodity Title]],1),"")</f>
        <v/>
      </c>
      <c r="C1148" s="35">
        <v>42181610</v>
      </c>
      <c r="D1148" s="33" t="s">
        <v>1495</v>
      </c>
      <c r="E1148" s="33" t="s">
        <v>1496</v>
      </c>
      <c r="F1148" s="33" t="s">
        <v>1497</v>
      </c>
      <c r="G1148" s="33" t="s">
        <v>3748</v>
      </c>
      <c r="H1148" s="33" t="s">
        <v>3749</v>
      </c>
      <c r="I1148" s="33" t="s">
        <v>3750</v>
      </c>
      <c r="J1148" s="33">
        <v>142480</v>
      </c>
      <c r="K1148" s="33" t="s">
        <v>3826</v>
      </c>
      <c r="L1148" s="33" t="s">
        <v>3827</v>
      </c>
      <c r="M1148" s="33" t="s">
        <v>3828</v>
      </c>
      <c r="N1148" s="44">
        <v>42181610</v>
      </c>
      <c r="O1148" s="33" t="s">
        <v>3847</v>
      </c>
      <c r="P1148" s="33" t="s">
        <v>3848</v>
      </c>
      <c r="Q1148" s="34" t="s">
        <v>1494</v>
      </c>
      <c r="R1148" s="34" t="s">
        <v>1494</v>
      </c>
    </row>
    <row r="1149" spans="1:18" ht="15" customHeight="1" x14ac:dyDescent="0.25">
      <c r="A1149" t="str">
        <f>IFERROR(RANK(B1149,$B:$B,1)+COUNTIF($B$1:B1148,B1149),"")</f>
        <v/>
      </c>
      <c r="B1149" t="str">
        <f>IFERROR(SEARCH(#REF!,Table4[[#This Row],[Commodity Title]],1),"")</f>
        <v/>
      </c>
      <c r="C1149" s="35">
        <v>42181611</v>
      </c>
      <c r="D1149" s="33" t="s">
        <v>1495</v>
      </c>
      <c r="E1149" s="33" t="s">
        <v>1496</v>
      </c>
      <c r="F1149" s="33" t="s">
        <v>1497</v>
      </c>
      <c r="G1149" s="33" t="s">
        <v>3748</v>
      </c>
      <c r="H1149" s="33" t="s">
        <v>3749</v>
      </c>
      <c r="I1149" s="33" t="s">
        <v>3750</v>
      </c>
      <c r="J1149" s="33">
        <v>145082</v>
      </c>
      <c r="K1149" s="33" t="s">
        <v>3826</v>
      </c>
      <c r="L1149" s="33" t="s">
        <v>3827</v>
      </c>
      <c r="M1149" s="33" t="s">
        <v>3828</v>
      </c>
      <c r="N1149" s="44">
        <v>42181611</v>
      </c>
      <c r="O1149" s="33" t="s">
        <v>3849</v>
      </c>
      <c r="P1149" s="33" t="s">
        <v>3850</v>
      </c>
      <c r="Q1149" s="34" t="s">
        <v>1494</v>
      </c>
      <c r="R1149" s="34" t="s">
        <v>1494</v>
      </c>
    </row>
    <row r="1150" spans="1:18" ht="15" customHeight="1" x14ac:dyDescent="0.25">
      <c r="A1150" t="str">
        <f>IFERROR(RANK(B1150,$B:$B,1)+COUNTIF($B$1:B1149,B1150),"")</f>
        <v/>
      </c>
      <c r="B1150" t="str">
        <f>IFERROR(SEARCH(#REF!,Table4[[#This Row],[Commodity Title]],1),"")</f>
        <v/>
      </c>
      <c r="C1150" s="33" t="s">
        <v>1494</v>
      </c>
      <c r="D1150" s="33" t="s">
        <v>1495</v>
      </c>
      <c r="E1150" s="33" t="s">
        <v>1496</v>
      </c>
      <c r="F1150" s="33" t="s">
        <v>1497</v>
      </c>
      <c r="G1150" s="33" t="s">
        <v>3748</v>
      </c>
      <c r="H1150" s="33" t="s">
        <v>3749</v>
      </c>
      <c r="I1150" s="33" t="s">
        <v>3750</v>
      </c>
      <c r="J1150" s="33">
        <v>104473</v>
      </c>
      <c r="K1150" s="33" t="s">
        <v>3851</v>
      </c>
      <c r="L1150" s="33" t="s">
        <v>3852</v>
      </c>
      <c r="M1150" s="33" t="s">
        <v>3853</v>
      </c>
      <c r="N1150" s="44" t="s">
        <v>1494</v>
      </c>
      <c r="O1150" s="33" t="s">
        <v>1494</v>
      </c>
      <c r="P1150" s="33" t="s">
        <v>1494</v>
      </c>
      <c r="Q1150" s="34" t="s">
        <v>1494</v>
      </c>
      <c r="R1150" s="34" t="s">
        <v>1494</v>
      </c>
    </row>
    <row r="1151" spans="1:18" ht="15" customHeight="1" x14ac:dyDescent="0.25">
      <c r="A1151" t="str">
        <f>IFERROR(RANK(B1151,$B:$B,1)+COUNTIF($B$1:B1150,B1151),"")</f>
        <v/>
      </c>
      <c r="B1151" t="str">
        <f>IFERROR(SEARCH(#REF!,Table4[[#This Row],[Commodity Title]],1),"")</f>
        <v/>
      </c>
      <c r="C1151" s="35">
        <v>42181701</v>
      </c>
      <c r="D1151" s="33" t="s">
        <v>1495</v>
      </c>
      <c r="E1151" s="33" t="s">
        <v>1496</v>
      </c>
      <c r="F1151" s="33" t="s">
        <v>1497</v>
      </c>
      <c r="G1151" s="33" t="s">
        <v>3748</v>
      </c>
      <c r="H1151" s="33" t="s">
        <v>3749</v>
      </c>
      <c r="I1151" s="33" t="s">
        <v>3750</v>
      </c>
      <c r="J1151" s="33">
        <v>115302</v>
      </c>
      <c r="K1151" s="33" t="s">
        <v>3851</v>
      </c>
      <c r="L1151" s="33" t="s">
        <v>3852</v>
      </c>
      <c r="M1151" s="33" t="s">
        <v>3853</v>
      </c>
      <c r="N1151" s="44">
        <v>42181701</v>
      </c>
      <c r="O1151" s="33" t="s">
        <v>3854</v>
      </c>
      <c r="P1151" s="33" t="s">
        <v>3855</v>
      </c>
      <c r="Q1151" s="34" t="s">
        <v>1494</v>
      </c>
      <c r="R1151" s="34" t="s">
        <v>1494</v>
      </c>
    </row>
    <row r="1152" spans="1:18" ht="15" customHeight="1" x14ac:dyDescent="0.25">
      <c r="A1152" t="str">
        <f>IFERROR(RANK(B1152,$B:$B,1)+COUNTIF($B$1:B1151,B1152),"")</f>
        <v/>
      </c>
      <c r="B1152" t="str">
        <f>IFERROR(SEARCH(#REF!,Table4[[#This Row],[Commodity Title]],1),"")</f>
        <v/>
      </c>
      <c r="C1152" s="35">
        <v>42181702</v>
      </c>
      <c r="D1152" s="33" t="s">
        <v>1495</v>
      </c>
      <c r="E1152" s="33" t="s">
        <v>1496</v>
      </c>
      <c r="F1152" s="33" t="s">
        <v>1497</v>
      </c>
      <c r="G1152" s="33" t="s">
        <v>3748</v>
      </c>
      <c r="H1152" s="33" t="s">
        <v>3749</v>
      </c>
      <c r="I1152" s="33" t="s">
        <v>3750</v>
      </c>
      <c r="J1152" s="33">
        <v>115303</v>
      </c>
      <c r="K1152" s="33" t="s">
        <v>3851</v>
      </c>
      <c r="L1152" s="33" t="s">
        <v>3852</v>
      </c>
      <c r="M1152" s="33" t="s">
        <v>3853</v>
      </c>
      <c r="N1152" s="44">
        <v>42181702</v>
      </c>
      <c r="O1152" s="33" t="s">
        <v>3856</v>
      </c>
      <c r="P1152" s="33" t="s">
        <v>3857</v>
      </c>
      <c r="Q1152" s="34" t="s">
        <v>1494</v>
      </c>
      <c r="R1152" s="34" t="s">
        <v>1494</v>
      </c>
    </row>
    <row r="1153" spans="1:18" ht="15" customHeight="1" x14ac:dyDescent="0.25">
      <c r="A1153" t="str">
        <f>IFERROR(RANK(B1153,$B:$B,1)+COUNTIF($B$1:B1152,B1153),"")</f>
        <v/>
      </c>
      <c r="B1153" t="str">
        <f>IFERROR(SEARCH(#REF!,Table4[[#This Row],[Commodity Title]],1),"")</f>
        <v/>
      </c>
      <c r="C1153" s="35">
        <v>42181703</v>
      </c>
      <c r="D1153" s="33" t="s">
        <v>1495</v>
      </c>
      <c r="E1153" s="33" t="s">
        <v>1496</v>
      </c>
      <c r="F1153" s="33" t="s">
        <v>1497</v>
      </c>
      <c r="G1153" s="33" t="s">
        <v>3748</v>
      </c>
      <c r="H1153" s="33" t="s">
        <v>3749</v>
      </c>
      <c r="I1153" s="33" t="s">
        <v>3750</v>
      </c>
      <c r="J1153" s="33">
        <v>115304</v>
      </c>
      <c r="K1153" s="33" t="s">
        <v>3851</v>
      </c>
      <c r="L1153" s="33" t="s">
        <v>3852</v>
      </c>
      <c r="M1153" s="33" t="s">
        <v>3853</v>
      </c>
      <c r="N1153" s="44">
        <v>42181703</v>
      </c>
      <c r="O1153" s="33" t="s">
        <v>3858</v>
      </c>
      <c r="P1153" s="33" t="s">
        <v>3859</v>
      </c>
      <c r="Q1153" s="34" t="s">
        <v>1494</v>
      </c>
      <c r="R1153" s="34" t="s">
        <v>1494</v>
      </c>
    </row>
    <row r="1154" spans="1:18" ht="15" customHeight="1" x14ac:dyDescent="0.25">
      <c r="A1154" t="str">
        <f>IFERROR(RANK(B1154,$B:$B,1)+COUNTIF($B$1:B1153,B1154),"")</f>
        <v/>
      </c>
      <c r="B1154" t="str">
        <f>IFERROR(SEARCH(#REF!,Table4[[#This Row],[Commodity Title]],1),"")</f>
        <v/>
      </c>
      <c r="C1154" s="35">
        <v>42181704</v>
      </c>
      <c r="D1154" s="33" t="s">
        <v>1495</v>
      </c>
      <c r="E1154" s="33" t="s">
        <v>1496</v>
      </c>
      <c r="F1154" s="33" t="s">
        <v>1497</v>
      </c>
      <c r="G1154" s="33" t="s">
        <v>3748</v>
      </c>
      <c r="H1154" s="33" t="s">
        <v>3749</v>
      </c>
      <c r="I1154" s="33" t="s">
        <v>3750</v>
      </c>
      <c r="J1154" s="33">
        <v>115305</v>
      </c>
      <c r="K1154" s="33" t="s">
        <v>3851</v>
      </c>
      <c r="L1154" s="33" t="s">
        <v>3852</v>
      </c>
      <c r="M1154" s="33" t="s">
        <v>3853</v>
      </c>
      <c r="N1154" s="44">
        <v>42181704</v>
      </c>
      <c r="O1154" s="33" t="s">
        <v>3860</v>
      </c>
      <c r="P1154" s="33" t="s">
        <v>3861</v>
      </c>
      <c r="Q1154" s="34" t="s">
        <v>1494</v>
      </c>
      <c r="R1154" s="34" t="s">
        <v>1494</v>
      </c>
    </row>
    <row r="1155" spans="1:18" ht="15" customHeight="1" x14ac:dyDescent="0.25">
      <c r="A1155" t="str">
        <f>IFERROR(RANK(B1155,$B:$B,1)+COUNTIF($B$1:B1154,B1155),"")</f>
        <v/>
      </c>
      <c r="B1155" t="str">
        <f>IFERROR(SEARCH(#REF!,Table4[[#This Row],[Commodity Title]],1),"")</f>
        <v/>
      </c>
      <c r="C1155" s="35">
        <v>42181705</v>
      </c>
      <c r="D1155" s="33" t="s">
        <v>1495</v>
      </c>
      <c r="E1155" s="33" t="s">
        <v>1496</v>
      </c>
      <c r="F1155" s="33" t="s">
        <v>1497</v>
      </c>
      <c r="G1155" s="33" t="s">
        <v>3748</v>
      </c>
      <c r="H1155" s="33" t="s">
        <v>3749</v>
      </c>
      <c r="I1155" s="33" t="s">
        <v>3750</v>
      </c>
      <c r="J1155" s="33">
        <v>115306</v>
      </c>
      <c r="K1155" s="33" t="s">
        <v>3851</v>
      </c>
      <c r="L1155" s="33" t="s">
        <v>3852</v>
      </c>
      <c r="M1155" s="33" t="s">
        <v>3853</v>
      </c>
      <c r="N1155" s="44">
        <v>42181705</v>
      </c>
      <c r="O1155" s="33" t="s">
        <v>3862</v>
      </c>
      <c r="P1155" s="33" t="s">
        <v>3863</v>
      </c>
      <c r="Q1155" s="34" t="s">
        <v>1494</v>
      </c>
      <c r="R1155" s="34" t="s">
        <v>1494</v>
      </c>
    </row>
    <row r="1156" spans="1:18" ht="15" customHeight="1" x14ac:dyDescent="0.25">
      <c r="A1156" t="str">
        <f>IFERROR(RANK(B1156,$B:$B,1)+COUNTIF($B$1:B1155,B1156),"")</f>
        <v/>
      </c>
      <c r="B1156" t="str">
        <f>IFERROR(SEARCH(#REF!,Table4[[#This Row],[Commodity Title]],1),"")</f>
        <v/>
      </c>
      <c r="C1156" s="35">
        <v>42181706</v>
      </c>
      <c r="D1156" s="33" t="s">
        <v>1495</v>
      </c>
      <c r="E1156" s="33" t="s">
        <v>1496</v>
      </c>
      <c r="F1156" s="33" t="s">
        <v>1497</v>
      </c>
      <c r="G1156" s="33" t="s">
        <v>3748</v>
      </c>
      <c r="H1156" s="33" t="s">
        <v>3749</v>
      </c>
      <c r="I1156" s="33" t="s">
        <v>3750</v>
      </c>
      <c r="J1156" s="33">
        <v>115307</v>
      </c>
      <c r="K1156" s="33" t="s">
        <v>3851</v>
      </c>
      <c r="L1156" s="33" t="s">
        <v>3852</v>
      </c>
      <c r="M1156" s="33" t="s">
        <v>3853</v>
      </c>
      <c r="N1156" s="44">
        <v>42181706</v>
      </c>
      <c r="O1156" s="33" t="s">
        <v>3864</v>
      </c>
      <c r="P1156" s="33" t="s">
        <v>3865</v>
      </c>
      <c r="Q1156" s="34" t="s">
        <v>1494</v>
      </c>
      <c r="R1156" s="34" t="s">
        <v>1494</v>
      </c>
    </row>
    <row r="1157" spans="1:18" ht="15" customHeight="1" x14ac:dyDescent="0.25">
      <c r="A1157" t="str">
        <f>IFERROR(RANK(B1157,$B:$B,1)+COUNTIF($B$1:B1156,B1157),"")</f>
        <v/>
      </c>
      <c r="B1157" t="str">
        <f>IFERROR(SEARCH(#REF!,Table4[[#This Row],[Commodity Title]],1),"")</f>
        <v/>
      </c>
      <c r="C1157" s="35">
        <v>42181707</v>
      </c>
      <c r="D1157" s="33" t="s">
        <v>1495</v>
      </c>
      <c r="E1157" s="33" t="s">
        <v>1496</v>
      </c>
      <c r="F1157" s="33" t="s">
        <v>1497</v>
      </c>
      <c r="G1157" s="33" t="s">
        <v>3748</v>
      </c>
      <c r="H1157" s="33" t="s">
        <v>3749</v>
      </c>
      <c r="I1157" s="33" t="s">
        <v>3750</v>
      </c>
      <c r="J1157" s="33">
        <v>115308</v>
      </c>
      <c r="K1157" s="33" t="s">
        <v>3851</v>
      </c>
      <c r="L1157" s="33" t="s">
        <v>3852</v>
      </c>
      <c r="M1157" s="33" t="s">
        <v>3853</v>
      </c>
      <c r="N1157" s="44">
        <v>42181707</v>
      </c>
      <c r="O1157" s="33" t="s">
        <v>3866</v>
      </c>
      <c r="P1157" s="33" t="s">
        <v>3867</v>
      </c>
      <c r="Q1157" s="34" t="s">
        <v>1494</v>
      </c>
      <c r="R1157" s="34" t="s">
        <v>1494</v>
      </c>
    </row>
    <row r="1158" spans="1:18" ht="15" customHeight="1" x14ac:dyDescent="0.25">
      <c r="A1158" t="str">
        <f>IFERROR(RANK(B1158,$B:$B,1)+COUNTIF($B$1:B1157,B1158),"")</f>
        <v/>
      </c>
      <c r="B1158" t="str">
        <f>IFERROR(SEARCH(#REF!,Table4[[#This Row],[Commodity Title]],1),"")</f>
        <v/>
      </c>
      <c r="C1158" s="35">
        <v>42181708</v>
      </c>
      <c r="D1158" s="33" t="s">
        <v>1495</v>
      </c>
      <c r="E1158" s="33" t="s">
        <v>1496</v>
      </c>
      <c r="F1158" s="33" t="s">
        <v>1497</v>
      </c>
      <c r="G1158" s="33" t="s">
        <v>3748</v>
      </c>
      <c r="H1158" s="33" t="s">
        <v>3749</v>
      </c>
      <c r="I1158" s="33" t="s">
        <v>3750</v>
      </c>
      <c r="J1158" s="33">
        <v>115309</v>
      </c>
      <c r="K1158" s="33" t="s">
        <v>3851</v>
      </c>
      <c r="L1158" s="33" t="s">
        <v>3852</v>
      </c>
      <c r="M1158" s="33" t="s">
        <v>3853</v>
      </c>
      <c r="N1158" s="44">
        <v>42181708</v>
      </c>
      <c r="O1158" s="33" t="s">
        <v>3868</v>
      </c>
      <c r="P1158" s="33" t="s">
        <v>3869</v>
      </c>
      <c r="Q1158" s="34" t="s">
        <v>1494</v>
      </c>
      <c r="R1158" s="34" t="s">
        <v>1494</v>
      </c>
    </row>
    <row r="1159" spans="1:18" ht="15" customHeight="1" x14ac:dyDescent="0.25">
      <c r="A1159" t="str">
        <f>IFERROR(RANK(B1159,$B:$B,1)+COUNTIF($B$1:B1158,B1159),"")</f>
        <v/>
      </c>
      <c r="B1159" t="str">
        <f>IFERROR(SEARCH(#REF!,Table4[[#This Row],[Commodity Title]],1),"")</f>
        <v/>
      </c>
      <c r="C1159" s="35">
        <v>42181710</v>
      </c>
      <c r="D1159" s="33" t="s">
        <v>1495</v>
      </c>
      <c r="E1159" s="33" t="s">
        <v>1496</v>
      </c>
      <c r="F1159" s="33" t="s">
        <v>1497</v>
      </c>
      <c r="G1159" s="33" t="s">
        <v>3748</v>
      </c>
      <c r="H1159" s="33" t="s">
        <v>3749</v>
      </c>
      <c r="I1159" s="33" t="s">
        <v>3750</v>
      </c>
      <c r="J1159" s="33">
        <v>115311</v>
      </c>
      <c r="K1159" s="33" t="s">
        <v>3851</v>
      </c>
      <c r="L1159" s="33" t="s">
        <v>3852</v>
      </c>
      <c r="M1159" s="33" t="s">
        <v>3853</v>
      </c>
      <c r="N1159" s="44">
        <v>42181710</v>
      </c>
      <c r="O1159" s="33" t="s">
        <v>3870</v>
      </c>
      <c r="P1159" s="33" t="s">
        <v>3871</v>
      </c>
      <c r="Q1159" s="34" t="s">
        <v>1494</v>
      </c>
      <c r="R1159" s="34" t="s">
        <v>1494</v>
      </c>
    </row>
    <row r="1160" spans="1:18" ht="15" customHeight="1" x14ac:dyDescent="0.25">
      <c r="A1160" t="str">
        <f>IFERROR(RANK(B1160,$B:$B,1)+COUNTIF($B$1:B1159,B1160),"")</f>
        <v/>
      </c>
      <c r="B1160" t="str">
        <f>IFERROR(SEARCH(#REF!,Table4[[#This Row],[Commodity Title]],1),"")</f>
        <v/>
      </c>
      <c r="C1160" s="35">
        <v>42181711</v>
      </c>
      <c r="D1160" s="33" t="s">
        <v>1495</v>
      </c>
      <c r="E1160" s="33" t="s">
        <v>1496</v>
      </c>
      <c r="F1160" s="33" t="s">
        <v>1497</v>
      </c>
      <c r="G1160" s="33" t="s">
        <v>3748</v>
      </c>
      <c r="H1160" s="33" t="s">
        <v>3749</v>
      </c>
      <c r="I1160" s="33" t="s">
        <v>3750</v>
      </c>
      <c r="J1160" s="33">
        <v>115312</v>
      </c>
      <c r="K1160" s="33" t="s">
        <v>3851</v>
      </c>
      <c r="L1160" s="33" t="s">
        <v>3852</v>
      </c>
      <c r="M1160" s="33" t="s">
        <v>3853</v>
      </c>
      <c r="N1160" s="44">
        <v>42181711</v>
      </c>
      <c r="O1160" s="33" t="s">
        <v>3872</v>
      </c>
      <c r="P1160" s="33" t="s">
        <v>3873</v>
      </c>
      <c r="Q1160" s="34" t="s">
        <v>1494</v>
      </c>
      <c r="R1160" s="34" t="s">
        <v>1494</v>
      </c>
    </row>
    <row r="1161" spans="1:18" ht="15" customHeight="1" x14ac:dyDescent="0.25">
      <c r="A1161" t="str">
        <f>IFERROR(RANK(B1161,$B:$B,1)+COUNTIF($B$1:B1160,B1161),"")</f>
        <v/>
      </c>
      <c r="B1161" t="str">
        <f>IFERROR(SEARCH(#REF!,Table4[[#This Row],[Commodity Title]],1),"")</f>
        <v/>
      </c>
      <c r="C1161" s="35">
        <v>42181712</v>
      </c>
      <c r="D1161" s="33" t="s">
        <v>1495</v>
      </c>
      <c r="E1161" s="33" t="s">
        <v>1496</v>
      </c>
      <c r="F1161" s="33" t="s">
        <v>1497</v>
      </c>
      <c r="G1161" s="33" t="s">
        <v>3748</v>
      </c>
      <c r="H1161" s="33" t="s">
        <v>3749</v>
      </c>
      <c r="I1161" s="33" t="s">
        <v>3750</v>
      </c>
      <c r="J1161" s="33">
        <v>115313</v>
      </c>
      <c r="K1161" s="33" t="s">
        <v>3851</v>
      </c>
      <c r="L1161" s="33" t="s">
        <v>3852</v>
      </c>
      <c r="M1161" s="33" t="s">
        <v>3853</v>
      </c>
      <c r="N1161" s="44">
        <v>42181712</v>
      </c>
      <c r="O1161" s="33" t="s">
        <v>3874</v>
      </c>
      <c r="P1161" s="33" t="s">
        <v>3875</v>
      </c>
      <c r="Q1161" s="34" t="s">
        <v>1494</v>
      </c>
      <c r="R1161" s="34" t="s">
        <v>1494</v>
      </c>
    </row>
    <row r="1162" spans="1:18" ht="15" customHeight="1" x14ac:dyDescent="0.25">
      <c r="A1162" t="str">
        <f>IFERROR(RANK(B1162,$B:$B,1)+COUNTIF($B$1:B1161,B1162),"")</f>
        <v/>
      </c>
      <c r="B1162" t="str">
        <f>IFERROR(SEARCH(#REF!,Table4[[#This Row],[Commodity Title]],1),"")</f>
        <v/>
      </c>
      <c r="C1162" s="35">
        <v>42181713</v>
      </c>
      <c r="D1162" s="33" t="s">
        <v>1495</v>
      </c>
      <c r="E1162" s="33" t="s">
        <v>1496</v>
      </c>
      <c r="F1162" s="33" t="s">
        <v>1497</v>
      </c>
      <c r="G1162" s="33" t="s">
        <v>3748</v>
      </c>
      <c r="H1162" s="33" t="s">
        <v>3749</v>
      </c>
      <c r="I1162" s="33" t="s">
        <v>3750</v>
      </c>
      <c r="J1162" s="33">
        <v>115314</v>
      </c>
      <c r="K1162" s="33" t="s">
        <v>3851</v>
      </c>
      <c r="L1162" s="33" t="s">
        <v>3852</v>
      </c>
      <c r="M1162" s="33" t="s">
        <v>3853</v>
      </c>
      <c r="N1162" s="44">
        <v>42181713</v>
      </c>
      <c r="O1162" s="33" t="s">
        <v>3876</v>
      </c>
      <c r="P1162" s="33" t="s">
        <v>3877</v>
      </c>
      <c r="Q1162" s="34" t="s">
        <v>1494</v>
      </c>
      <c r="R1162" s="34" t="s">
        <v>1494</v>
      </c>
    </row>
    <row r="1163" spans="1:18" ht="15" customHeight="1" x14ac:dyDescent="0.25">
      <c r="A1163" t="str">
        <f>IFERROR(RANK(B1163,$B:$B,1)+COUNTIF($B$1:B1162,B1163),"")</f>
        <v/>
      </c>
      <c r="B1163" t="str">
        <f>IFERROR(SEARCH(#REF!,Table4[[#This Row],[Commodity Title]],1),"")</f>
        <v/>
      </c>
      <c r="C1163" s="35">
        <v>42181715</v>
      </c>
      <c r="D1163" s="33" t="s">
        <v>1495</v>
      </c>
      <c r="E1163" s="33" t="s">
        <v>1496</v>
      </c>
      <c r="F1163" s="33" t="s">
        <v>1497</v>
      </c>
      <c r="G1163" s="33" t="s">
        <v>3748</v>
      </c>
      <c r="H1163" s="33" t="s">
        <v>3749</v>
      </c>
      <c r="I1163" s="33" t="s">
        <v>3750</v>
      </c>
      <c r="J1163" s="33">
        <v>142482</v>
      </c>
      <c r="K1163" s="33" t="s">
        <v>3851</v>
      </c>
      <c r="L1163" s="33" t="s">
        <v>3852</v>
      </c>
      <c r="M1163" s="33" t="s">
        <v>3853</v>
      </c>
      <c r="N1163" s="44">
        <v>42181715</v>
      </c>
      <c r="O1163" s="33" t="s">
        <v>3878</v>
      </c>
      <c r="P1163" s="33" t="s">
        <v>3879</v>
      </c>
      <c r="Q1163" s="34" t="s">
        <v>1494</v>
      </c>
      <c r="R1163" s="34" t="s">
        <v>1494</v>
      </c>
    </row>
    <row r="1164" spans="1:18" ht="15" customHeight="1" x14ac:dyDescent="0.25">
      <c r="A1164" t="str">
        <f>IFERROR(RANK(B1164,$B:$B,1)+COUNTIF($B$1:B1163,B1164),"")</f>
        <v/>
      </c>
      <c r="B1164" t="str">
        <f>IFERROR(SEARCH(#REF!,Table4[[#This Row],[Commodity Title]],1),"")</f>
        <v/>
      </c>
      <c r="C1164" s="35">
        <v>42181716</v>
      </c>
      <c r="D1164" s="33" t="s">
        <v>1495</v>
      </c>
      <c r="E1164" s="33" t="s">
        <v>1496</v>
      </c>
      <c r="F1164" s="33" t="s">
        <v>1497</v>
      </c>
      <c r="G1164" s="33" t="s">
        <v>3748</v>
      </c>
      <c r="H1164" s="33" t="s">
        <v>3749</v>
      </c>
      <c r="I1164" s="33" t="s">
        <v>3750</v>
      </c>
      <c r="J1164" s="33">
        <v>142483</v>
      </c>
      <c r="K1164" s="33" t="s">
        <v>3851</v>
      </c>
      <c r="L1164" s="33" t="s">
        <v>3852</v>
      </c>
      <c r="M1164" s="33" t="s">
        <v>3853</v>
      </c>
      <c r="N1164" s="44">
        <v>42181716</v>
      </c>
      <c r="O1164" s="33" t="s">
        <v>3880</v>
      </c>
      <c r="P1164" s="33" t="s">
        <v>3881</v>
      </c>
      <c r="Q1164" s="34" t="s">
        <v>1494</v>
      </c>
      <c r="R1164" s="34" t="s">
        <v>1494</v>
      </c>
    </row>
    <row r="1165" spans="1:18" ht="15" customHeight="1" x14ac:dyDescent="0.25">
      <c r="A1165" t="str">
        <f>IFERROR(RANK(B1165,$B:$B,1)+COUNTIF($B$1:B1164,B1165),"")</f>
        <v/>
      </c>
      <c r="B1165" t="str">
        <f>IFERROR(SEARCH(#REF!,Table4[[#This Row],[Commodity Title]],1),"")</f>
        <v/>
      </c>
      <c r="C1165" s="35">
        <v>42181717</v>
      </c>
      <c r="D1165" s="33" t="s">
        <v>1495</v>
      </c>
      <c r="E1165" s="33" t="s">
        <v>1496</v>
      </c>
      <c r="F1165" s="33" t="s">
        <v>1497</v>
      </c>
      <c r="G1165" s="33" t="s">
        <v>3748</v>
      </c>
      <c r="H1165" s="33" t="s">
        <v>3749</v>
      </c>
      <c r="I1165" s="33" t="s">
        <v>3750</v>
      </c>
      <c r="J1165" s="33">
        <v>142484</v>
      </c>
      <c r="K1165" s="33" t="s">
        <v>3851</v>
      </c>
      <c r="L1165" s="33" t="s">
        <v>3852</v>
      </c>
      <c r="M1165" s="33" t="s">
        <v>3853</v>
      </c>
      <c r="N1165" s="44">
        <v>42181717</v>
      </c>
      <c r="O1165" s="33" t="s">
        <v>3882</v>
      </c>
      <c r="P1165" s="33" t="s">
        <v>3883</v>
      </c>
      <c r="Q1165" s="34" t="s">
        <v>1494</v>
      </c>
      <c r="R1165" s="34" t="s">
        <v>1494</v>
      </c>
    </row>
    <row r="1166" spans="1:18" ht="15" customHeight="1" x14ac:dyDescent="0.25">
      <c r="A1166" t="str">
        <f>IFERROR(RANK(B1166,$B:$B,1)+COUNTIF($B$1:B1165,B1166),"")</f>
        <v/>
      </c>
      <c r="B1166" t="str">
        <f>IFERROR(SEARCH(#REF!,Table4[[#This Row],[Commodity Title]],1),"")</f>
        <v/>
      </c>
      <c r="C1166" s="35">
        <v>42181718</v>
      </c>
      <c r="D1166" s="33" t="s">
        <v>1495</v>
      </c>
      <c r="E1166" s="33" t="s">
        <v>1496</v>
      </c>
      <c r="F1166" s="33" t="s">
        <v>1497</v>
      </c>
      <c r="G1166" s="33" t="s">
        <v>3748</v>
      </c>
      <c r="H1166" s="33" t="s">
        <v>3749</v>
      </c>
      <c r="I1166" s="33" t="s">
        <v>3750</v>
      </c>
      <c r="J1166" s="33">
        <v>142485</v>
      </c>
      <c r="K1166" s="33" t="s">
        <v>3851</v>
      </c>
      <c r="L1166" s="33" t="s">
        <v>3852</v>
      </c>
      <c r="M1166" s="33" t="s">
        <v>3853</v>
      </c>
      <c r="N1166" s="44">
        <v>42181718</v>
      </c>
      <c r="O1166" s="33" t="s">
        <v>3884</v>
      </c>
      <c r="P1166" s="33" t="s">
        <v>3885</v>
      </c>
      <c r="Q1166" s="34" t="s">
        <v>1494</v>
      </c>
      <c r="R1166" s="34" t="s">
        <v>1494</v>
      </c>
    </row>
    <row r="1167" spans="1:18" ht="15" customHeight="1" x14ac:dyDescent="0.25">
      <c r="A1167" t="str">
        <f>IFERROR(RANK(B1167,$B:$B,1)+COUNTIF($B$1:B1166,B1167),"")</f>
        <v/>
      </c>
      <c r="B1167" t="str">
        <f>IFERROR(SEARCH(#REF!,Table4[[#This Row],[Commodity Title]],1),"")</f>
        <v/>
      </c>
      <c r="C1167" s="35">
        <v>42181719</v>
      </c>
      <c r="D1167" s="33" t="s">
        <v>1495</v>
      </c>
      <c r="E1167" s="33" t="s">
        <v>1496</v>
      </c>
      <c r="F1167" s="33" t="s">
        <v>1497</v>
      </c>
      <c r="G1167" s="33" t="s">
        <v>3748</v>
      </c>
      <c r="H1167" s="33" t="s">
        <v>3749</v>
      </c>
      <c r="I1167" s="33" t="s">
        <v>3750</v>
      </c>
      <c r="J1167" s="33">
        <v>143489</v>
      </c>
      <c r="K1167" s="33" t="s">
        <v>3851</v>
      </c>
      <c r="L1167" s="33" t="s">
        <v>3852</v>
      </c>
      <c r="M1167" s="33" t="s">
        <v>3853</v>
      </c>
      <c r="N1167" s="44">
        <v>42181719</v>
      </c>
      <c r="O1167" s="33" t="s">
        <v>3886</v>
      </c>
      <c r="P1167" s="33" t="s">
        <v>3887</v>
      </c>
      <c r="Q1167" s="34" t="s">
        <v>1494</v>
      </c>
      <c r="R1167" s="34" t="s">
        <v>1494</v>
      </c>
    </row>
    <row r="1168" spans="1:18" ht="15" customHeight="1" x14ac:dyDescent="0.25">
      <c r="A1168" t="str">
        <f>IFERROR(RANK(B1168,$B:$B,1)+COUNTIF($B$1:B1167,B1168),"")</f>
        <v/>
      </c>
      <c r="B1168" t="str">
        <f>IFERROR(SEARCH(#REF!,Table4[[#This Row],[Commodity Title]],1),"")</f>
        <v/>
      </c>
      <c r="C1168" s="35">
        <v>42181720</v>
      </c>
      <c r="D1168" s="33" t="s">
        <v>1495</v>
      </c>
      <c r="E1168" s="33" t="s">
        <v>1496</v>
      </c>
      <c r="F1168" s="33" t="s">
        <v>1497</v>
      </c>
      <c r="G1168" s="33" t="s">
        <v>3748</v>
      </c>
      <c r="H1168" s="33" t="s">
        <v>3749</v>
      </c>
      <c r="I1168" s="33" t="s">
        <v>3750</v>
      </c>
      <c r="J1168" s="33">
        <v>174352</v>
      </c>
      <c r="K1168" s="33" t="s">
        <v>3851</v>
      </c>
      <c r="L1168" s="33" t="s">
        <v>3852</v>
      </c>
      <c r="M1168" s="33" t="s">
        <v>3853</v>
      </c>
      <c r="N1168" s="44">
        <v>42181720</v>
      </c>
      <c r="O1168" s="33" t="s">
        <v>3888</v>
      </c>
      <c r="P1168" s="33" t="s">
        <v>3889</v>
      </c>
      <c r="Q1168" s="34" t="s">
        <v>1494</v>
      </c>
      <c r="R1168" s="34" t="s">
        <v>1494</v>
      </c>
    </row>
    <row r="1169" spans="1:18" ht="15" customHeight="1" x14ac:dyDescent="0.25">
      <c r="A1169" t="str">
        <f>IFERROR(RANK(B1169,$B:$B,1)+COUNTIF($B$1:B1168,B1169),"")</f>
        <v/>
      </c>
      <c r="B1169" t="str">
        <f>IFERROR(SEARCH(#REF!,Table4[[#This Row],[Commodity Title]],1),"")</f>
        <v/>
      </c>
      <c r="C1169" s="35">
        <v>42181721</v>
      </c>
      <c r="D1169" s="33" t="s">
        <v>1495</v>
      </c>
      <c r="E1169" s="33" t="s">
        <v>1496</v>
      </c>
      <c r="F1169" s="33" t="s">
        <v>1497</v>
      </c>
      <c r="G1169" s="33" t="s">
        <v>3748</v>
      </c>
      <c r="H1169" s="33" t="s">
        <v>3749</v>
      </c>
      <c r="I1169" s="33" t="s">
        <v>3750</v>
      </c>
      <c r="J1169" s="33">
        <v>174353</v>
      </c>
      <c r="K1169" s="33" t="s">
        <v>3851</v>
      </c>
      <c r="L1169" s="33" t="s">
        <v>3852</v>
      </c>
      <c r="M1169" s="33" t="s">
        <v>3853</v>
      </c>
      <c r="N1169" s="44">
        <v>42181721</v>
      </c>
      <c r="O1169" s="33" t="s">
        <v>3890</v>
      </c>
      <c r="P1169" s="33" t="s">
        <v>3891</v>
      </c>
      <c r="Q1169" s="34" t="s">
        <v>1494</v>
      </c>
      <c r="R1169" s="34" t="s">
        <v>1494</v>
      </c>
    </row>
    <row r="1170" spans="1:18" ht="15" customHeight="1" x14ac:dyDescent="0.25">
      <c r="A1170" t="str">
        <f>IFERROR(RANK(B1170,$B:$B,1)+COUNTIF($B$1:B1169,B1170),"")</f>
        <v/>
      </c>
      <c r="B1170" t="str">
        <f>IFERROR(SEARCH(#REF!,Table4[[#This Row],[Commodity Title]],1),"")</f>
        <v/>
      </c>
      <c r="C1170" s="35">
        <v>42181722</v>
      </c>
      <c r="D1170" s="33" t="s">
        <v>1495</v>
      </c>
      <c r="E1170" s="33" t="s">
        <v>1496</v>
      </c>
      <c r="F1170" s="33" t="s">
        <v>1497</v>
      </c>
      <c r="G1170" s="33" t="s">
        <v>3748</v>
      </c>
      <c r="H1170" s="33" t="s">
        <v>3749</v>
      </c>
      <c r="I1170" s="33" t="s">
        <v>3750</v>
      </c>
      <c r="J1170" s="33">
        <v>174354</v>
      </c>
      <c r="K1170" s="33" t="s">
        <v>3851</v>
      </c>
      <c r="L1170" s="33" t="s">
        <v>3852</v>
      </c>
      <c r="M1170" s="33" t="s">
        <v>3853</v>
      </c>
      <c r="N1170" s="44">
        <v>42181722</v>
      </c>
      <c r="O1170" s="33" t="s">
        <v>3892</v>
      </c>
      <c r="P1170" s="33" t="s">
        <v>3893</v>
      </c>
      <c r="Q1170" s="34" t="s">
        <v>1494</v>
      </c>
      <c r="R1170" s="34" t="s">
        <v>1494</v>
      </c>
    </row>
    <row r="1171" spans="1:18" ht="15" customHeight="1" x14ac:dyDescent="0.25">
      <c r="A1171" t="str">
        <f>IFERROR(RANK(B1171,$B:$B,1)+COUNTIF($B$1:B1170,B1171),"")</f>
        <v/>
      </c>
      <c r="B1171" t="str">
        <f>IFERROR(SEARCH(#REF!,Table4[[#This Row],[Commodity Title]],1),"")</f>
        <v/>
      </c>
      <c r="C1171" s="35">
        <v>42181723</v>
      </c>
      <c r="D1171" s="33" t="s">
        <v>1495</v>
      </c>
      <c r="E1171" s="33" t="s">
        <v>1496</v>
      </c>
      <c r="F1171" s="33" t="s">
        <v>1497</v>
      </c>
      <c r="G1171" s="33" t="s">
        <v>3748</v>
      </c>
      <c r="H1171" s="33" t="s">
        <v>3749</v>
      </c>
      <c r="I1171" s="33" t="s">
        <v>3750</v>
      </c>
      <c r="J1171" s="33">
        <v>202692</v>
      </c>
      <c r="K1171" s="33" t="s">
        <v>3851</v>
      </c>
      <c r="L1171" s="33" t="s">
        <v>3852</v>
      </c>
      <c r="M1171" s="33" t="s">
        <v>3853</v>
      </c>
      <c r="N1171" s="44">
        <v>42181723</v>
      </c>
      <c r="O1171" s="33" t="s">
        <v>3894</v>
      </c>
      <c r="P1171" s="33" t="s">
        <v>3895</v>
      </c>
      <c r="Q1171" s="34" t="s">
        <v>1494</v>
      </c>
      <c r="R1171" s="34" t="s">
        <v>1494</v>
      </c>
    </row>
    <row r="1172" spans="1:18" ht="15" customHeight="1" x14ac:dyDescent="0.25">
      <c r="A1172" t="str">
        <f>IFERROR(RANK(B1172,$B:$B,1)+COUNTIF($B$1:B1171,B1172),"")</f>
        <v/>
      </c>
      <c r="B1172" t="str">
        <f>IFERROR(SEARCH(#REF!,Table4[[#This Row],[Commodity Title]],1),"")</f>
        <v/>
      </c>
      <c r="C1172" s="35">
        <v>42181724</v>
      </c>
      <c r="D1172" s="33" t="s">
        <v>1495</v>
      </c>
      <c r="E1172" s="33" t="s">
        <v>1496</v>
      </c>
      <c r="F1172" s="33" t="s">
        <v>1497</v>
      </c>
      <c r="G1172" s="33" t="s">
        <v>3748</v>
      </c>
      <c r="H1172" s="33" t="s">
        <v>3749</v>
      </c>
      <c r="I1172" s="33" t="s">
        <v>3750</v>
      </c>
      <c r="J1172" s="33">
        <v>202693</v>
      </c>
      <c r="K1172" s="33" t="s">
        <v>3851</v>
      </c>
      <c r="L1172" s="33" t="s">
        <v>3852</v>
      </c>
      <c r="M1172" s="33" t="s">
        <v>3853</v>
      </c>
      <c r="N1172" s="44">
        <v>42181724</v>
      </c>
      <c r="O1172" s="33" t="s">
        <v>3896</v>
      </c>
      <c r="P1172" s="33" t="s">
        <v>3897</v>
      </c>
      <c r="Q1172" s="34" t="s">
        <v>1494</v>
      </c>
      <c r="R1172" s="34" t="s">
        <v>1494</v>
      </c>
    </row>
    <row r="1173" spans="1:18" ht="15" customHeight="1" x14ac:dyDescent="0.25">
      <c r="A1173" t="str">
        <f>IFERROR(RANK(B1173,$B:$B,1)+COUNTIF($B$1:B1172,B1173),"")</f>
        <v/>
      </c>
      <c r="B1173" t="str">
        <f>IFERROR(SEARCH(#REF!,Table4[[#This Row],[Commodity Title]],1),"")</f>
        <v/>
      </c>
      <c r="C1173" s="33" t="s">
        <v>1494</v>
      </c>
      <c r="D1173" s="33" t="s">
        <v>1495</v>
      </c>
      <c r="E1173" s="33" t="s">
        <v>1496</v>
      </c>
      <c r="F1173" s="33" t="s">
        <v>1497</v>
      </c>
      <c r="G1173" s="33" t="s">
        <v>3748</v>
      </c>
      <c r="H1173" s="33" t="s">
        <v>3749</v>
      </c>
      <c r="I1173" s="33" t="s">
        <v>3750</v>
      </c>
      <c r="J1173" s="33">
        <v>115315</v>
      </c>
      <c r="K1173" s="33" t="s">
        <v>3898</v>
      </c>
      <c r="L1173" s="33" t="s">
        <v>3899</v>
      </c>
      <c r="M1173" s="33" t="s">
        <v>3900</v>
      </c>
      <c r="N1173" s="44" t="s">
        <v>1494</v>
      </c>
      <c r="O1173" s="33" t="s">
        <v>1494</v>
      </c>
      <c r="P1173" s="33" t="s">
        <v>1494</v>
      </c>
      <c r="Q1173" s="34" t="s">
        <v>1494</v>
      </c>
      <c r="R1173" s="34" t="s">
        <v>1494</v>
      </c>
    </row>
    <row r="1174" spans="1:18" ht="15" customHeight="1" x14ac:dyDescent="0.25">
      <c r="A1174" t="str">
        <f>IFERROR(RANK(B1174,$B:$B,1)+COUNTIF($B$1:B1173,B1174),"")</f>
        <v/>
      </c>
      <c r="B1174" t="str">
        <f>IFERROR(SEARCH(#REF!,Table4[[#This Row],[Commodity Title]],1),"")</f>
        <v/>
      </c>
      <c r="C1174" s="35">
        <v>42181801</v>
      </c>
      <c r="D1174" s="33" t="s">
        <v>1495</v>
      </c>
      <c r="E1174" s="33" t="s">
        <v>1496</v>
      </c>
      <c r="F1174" s="33" t="s">
        <v>1497</v>
      </c>
      <c r="G1174" s="33" t="s">
        <v>3748</v>
      </c>
      <c r="H1174" s="33" t="s">
        <v>3749</v>
      </c>
      <c r="I1174" s="33" t="s">
        <v>3750</v>
      </c>
      <c r="J1174" s="33">
        <v>115316</v>
      </c>
      <c r="K1174" s="33" t="s">
        <v>3898</v>
      </c>
      <c r="L1174" s="33" t="s">
        <v>3899</v>
      </c>
      <c r="M1174" s="33" t="s">
        <v>3900</v>
      </c>
      <c r="N1174" s="44">
        <v>42181801</v>
      </c>
      <c r="O1174" s="33" t="s">
        <v>3901</v>
      </c>
      <c r="P1174" s="33" t="s">
        <v>3902</v>
      </c>
      <c r="Q1174" s="34" t="s">
        <v>1494</v>
      </c>
      <c r="R1174" s="34" t="s">
        <v>1494</v>
      </c>
    </row>
    <row r="1175" spans="1:18" ht="15" customHeight="1" x14ac:dyDescent="0.25">
      <c r="A1175" t="str">
        <f>IFERROR(RANK(B1175,$B:$B,1)+COUNTIF($B$1:B1174,B1175),"")</f>
        <v/>
      </c>
      <c r="B1175" t="str">
        <f>IFERROR(SEARCH(#REF!,Table4[[#This Row],[Commodity Title]],1),"")</f>
        <v/>
      </c>
      <c r="C1175" s="35">
        <v>42181802</v>
      </c>
      <c r="D1175" s="33" t="s">
        <v>1495</v>
      </c>
      <c r="E1175" s="33" t="s">
        <v>1496</v>
      </c>
      <c r="F1175" s="33" t="s">
        <v>1497</v>
      </c>
      <c r="G1175" s="33" t="s">
        <v>3748</v>
      </c>
      <c r="H1175" s="33" t="s">
        <v>3749</v>
      </c>
      <c r="I1175" s="33" t="s">
        <v>3750</v>
      </c>
      <c r="J1175" s="33">
        <v>115317</v>
      </c>
      <c r="K1175" s="33" t="s">
        <v>3898</v>
      </c>
      <c r="L1175" s="33" t="s">
        <v>3899</v>
      </c>
      <c r="M1175" s="33" t="s">
        <v>3900</v>
      </c>
      <c r="N1175" s="44">
        <v>42181802</v>
      </c>
      <c r="O1175" s="33" t="s">
        <v>3903</v>
      </c>
      <c r="P1175" s="33" t="s">
        <v>3904</v>
      </c>
      <c r="Q1175" s="34" t="s">
        <v>1494</v>
      </c>
      <c r="R1175" s="34" t="s">
        <v>1494</v>
      </c>
    </row>
    <row r="1176" spans="1:18" ht="15" customHeight="1" x14ac:dyDescent="0.25">
      <c r="A1176" t="str">
        <f>IFERROR(RANK(B1176,$B:$B,1)+COUNTIF($B$1:B1175,B1176),"")</f>
        <v/>
      </c>
      <c r="B1176" t="str">
        <f>IFERROR(SEARCH(#REF!,Table4[[#This Row],[Commodity Title]],1),"")</f>
        <v/>
      </c>
      <c r="C1176" s="35">
        <v>42181803</v>
      </c>
      <c r="D1176" s="33" t="s">
        <v>1495</v>
      </c>
      <c r="E1176" s="33" t="s">
        <v>1496</v>
      </c>
      <c r="F1176" s="33" t="s">
        <v>1497</v>
      </c>
      <c r="G1176" s="33" t="s">
        <v>3748</v>
      </c>
      <c r="H1176" s="33" t="s">
        <v>3749</v>
      </c>
      <c r="I1176" s="33" t="s">
        <v>3750</v>
      </c>
      <c r="J1176" s="33">
        <v>115318</v>
      </c>
      <c r="K1176" s="33" t="s">
        <v>3898</v>
      </c>
      <c r="L1176" s="33" t="s">
        <v>3899</v>
      </c>
      <c r="M1176" s="33" t="s">
        <v>3900</v>
      </c>
      <c r="N1176" s="44">
        <v>42181803</v>
      </c>
      <c r="O1176" s="33" t="s">
        <v>3905</v>
      </c>
      <c r="P1176" s="33" t="s">
        <v>3906</v>
      </c>
      <c r="Q1176" s="34" t="s">
        <v>1494</v>
      </c>
      <c r="R1176" s="34" t="s">
        <v>1494</v>
      </c>
    </row>
    <row r="1177" spans="1:18" ht="15" customHeight="1" x14ac:dyDescent="0.25">
      <c r="A1177" t="str">
        <f>IFERROR(RANK(B1177,$B:$B,1)+COUNTIF($B$1:B1176,B1177),"")</f>
        <v/>
      </c>
      <c r="B1177" t="str">
        <f>IFERROR(SEARCH(#REF!,Table4[[#This Row],[Commodity Title]],1),"")</f>
        <v/>
      </c>
      <c r="C1177" s="35">
        <v>42181804</v>
      </c>
      <c r="D1177" s="33" t="s">
        <v>1495</v>
      </c>
      <c r="E1177" s="33" t="s">
        <v>1496</v>
      </c>
      <c r="F1177" s="33" t="s">
        <v>1497</v>
      </c>
      <c r="G1177" s="33" t="s">
        <v>3748</v>
      </c>
      <c r="H1177" s="33" t="s">
        <v>3749</v>
      </c>
      <c r="I1177" s="33" t="s">
        <v>3750</v>
      </c>
      <c r="J1177" s="33">
        <v>142487</v>
      </c>
      <c r="K1177" s="33" t="s">
        <v>3898</v>
      </c>
      <c r="L1177" s="33" t="s">
        <v>3899</v>
      </c>
      <c r="M1177" s="33" t="s">
        <v>3900</v>
      </c>
      <c r="N1177" s="44">
        <v>42181804</v>
      </c>
      <c r="O1177" s="33" t="s">
        <v>3907</v>
      </c>
      <c r="P1177" s="33" t="s">
        <v>3908</v>
      </c>
      <c r="Q1177" s="34" t="s">
        <v>1494</v>
      </c>
      <c r="R1177" s="34" t="s">
        <v>1494</v>
      </c>
    </row>
    <row r="1178" spans="1:18" ht="15" customHeight="1" x14ac:dyDescent="0.25">
      <c r="A1178" t="str">
        <f>IFERROR(RANK(B1178,$B:$B,1)+COUNTIF($B$1:B1177,B1178),"")</f>
        <v/>
      </c>
      <c r="B1178" t="str">
        <f>IFERROR(SEARCH(#REF!,Table4[[#This Row],[Commodity Title]],1),"")</f>
        <v/>
      </c>
      <c r="C1178" s="35">
        <v>42181805</v>
      </c>
      <c r="D1178" s="33" t="s">
        <v>1495</v>
      </c>
      <c r="E1178" s="33" t="s">
        <v>1496</v>
      </c>
      <c r="F1178" s="33" t="s">
        <v>1497</v>
      </c>
      <c r="G1178" s="33" t="s">
        <v>3748</v>
      </c>
      <c r="H1178" s="33" t="s">
        <v>3749</v>
      </c>
      <c r="I1178" s="33" t="s">
        <v>3750</v>
      </c>
      <c r="J1178" s="33">
        <v>143490</v>
      </c>
      <c r="K1178" s="33" t="s">
        <v>3898</v>
      </c>
      <c r="L1178" s="33" t="s">
        <v>3899</v>
      </c>
      <c r="M1178" s="33" t="s">
        <v>3900</v>
      </c>
      <c r="N1178" s="44">
        <v>42181805</v>
      </c>
      <c r="O1178" s="33" t="s">
        <v>3909</v>
      </c>
      <c r="P1178" s="33" t="s">
        <v>3910</v>
      </c>
      <c r="Q1178" s="34" t="s">
        <v>1494</v>
      </c>
      <c r="R1178" s="34" t="s">
        <v>1494</v>
      </c>
    </row>
    <row r="1179" spans="1:18" ht="15" customHeight="1" x14ac:dyDescent="0.25">
      <c r="A1179" t="str">
        <f>IFERROR(RANK(B1179,$B:$B,1)+COUNTIF($B$1:B1178,B1179),"")</f>
        <v/>
      </c>
      <c r="B1179" t="str">
        <f>IFERROR(SEARCH(#REF!,Table4[[#This Row],[Commodity Title]],1),"")</f>
        <v/>
      </c>
      <c r="C1179" s="33" t="s">
        <v>1494</v>
      </c>
      <c r="D1179" s="33" t="s">
        <v>1495</v>
      </c>
      <c r="E1179" s="33" t="s">
        <v>1496</v>
      </c>
      <c r="F1179" s="33" t="s">
        <v>1497</v>
      </c>
      <c r="G1179" s="33" t="s">
        <v>3748</v>
      </c>
      <c r="H1179" s="33" t="s">
        <v>3749</v>
      </c>
      <c r="I1179" s="33" t="s">
        <v>3750</v>
      </c>
      <c r="J1179" s="33">
        <v>115319</v>
      </c>
      <c r="K1179" s="33" t="s">
        <v>3911</v>
      </c>
      <c r="L1179" s="33" t="s">
        <v>3912</v>
      </c>
      <c r="M1179" s="33" t="s">
        <v>3913</v>
      </c>
      <c r="N1179" s="44" t="s">
        <v>1494</v>
      </c>
      <c r="O1179" s="33" t="s">
        <v>1494</v>
      </c>
      <c r="P1179" s="33" t="s">
        <v>1494</v>
      </c>
      <c r="Q1179" s="34" t="s">
        <v>1494</v>
      </c>
      <c r="R1179" s="34" t="s">
        <v>1494</v>
      </c>
    </row>
    <row r="1180" spans="1:18" ht="15" customHeight="1" x14ac:dyDescent="0.25">
      <c r="A1180" t="str">
        <f>IFERROR(RANK(B1180,$B:$B,1)+COUNTIF($B$1:B1179,B1180),"")</f>
        <v/>
      </c>
      <c r="B1180" t="str">
        <f>IFERROR(SEARCH(#REF!,Table4[[#This Row],[Commodity Title]],1),"")</f>
        <v/>
      </c>
      <c r="C1180" s="35">
        <v>42181902</v>
      </c>
      <c r="D1180" s="33" t="s">
        <v>1495</v>
      </c>
      <c r="E1180" s="33" t="s">
        <v>1496</v>
      </c>
      <c r="F1180" s="33" t="s">
        <v>1497</v>
      </c>
      <c r="G1180" s="33" t="s">
        <v>3748</v>
      </c>
      <c r="H1180" s="33" t="s">
        <v>3749</v>
      </c>
      <c r="I1180" s="33" t="s">
        <v>3750</v>
      </c>
      <c r="J1180" s="33">
        <v>115321</v>
      </c>
      <c r="K1180" s="33" t="s">
        <v>3911</v>
      </c>
      <c r="L1180" s="33" t="s">
        <v>3912</v>
      </c>
      <c r="M1180" s="33" t="s">
        <v>3913</v>
      </c>
      <c r="N1180" s="44">
        <v>42181902</v>
      </c>
      <c r="O1180" s="33" t="s">
        <v>3914</v>
      </c>
      <c r="P1180" s="33" t="s">
        <v>3915</v>
      </c>
      <c r="Q1180" s="34" t="s">
        <v>1494</v>
      </c>
      <c r="R1180" s="34" t="s">
        <v>1494</v>
      </c>
    </row>
    <row r="1181" spans="1:18" ht="15" customHeight="1" x14ac:dyDescent="0.25">
      <c r="A1181" t="str">
        <f>IFERROR(RANK(B1181,$B:$B,1)+COUNTIF($B$1:B1180,B1181),"")</f>
        <v/>
      </c>
      <c r="B1181" t="str">
        <f>IFERROR(SEARCH(#REF!,Table4[[#This Row],[Commodity Title]],1),"")</f>
        <v/>
      </c>
      <c r="C1181" s="35">
        <v>42181903</v>
      </c>
      <c r="D1181" s="33" t="s">
        <v>1495</v>
      </c>
      <c r="E1181" s="33" t="s">
        <v>1496</v>
      </c>
      <c r="F1181" s="33" t="s">
        <v>1497</v>
      </c>
      <c r="G1181" s="33" t="s">
        <v>3748</v>
      </c>
      <c r="H1181" s="33" t="s">
        <v>3749</v>
      </c>
      <c r="I1181" s="33" t="s">
        <v>3750</v>
      </c>
      <c r="J1181" s="33">
        <v>115322</v>
      </c>
      <c r="K1181" s="33" t="s">
        <v>3911</v>
      </c>
      <c r="L1181" s="33" t="s">
        <v>3912</v>
      </c>
      <c r="M1181" s="33" t="s">
        <v>3913</v>
      </c>
      <c r="N1181" s="44">
        <v>42181903</v>
      </c>
      <c r="O1181" s="33" t="s">
        <v>3916</v>
      </c>
      <c r="P1181" s="33" t="s">
        <v>3917</v>
      </c>
      <c r="Q1181" s="34" t="s">
        <v>1494</v>
      </c>
      <c r="R1181" s="34" t="s">
        <v>1494</v>
      </c>
    </row>
    <row r="1182" spans="1:18" ht="15" customHeight="1" x14ac:dyDescent="0.25">
      <c r="A1182" t="str">
        <f>IFERROR(RANK(B1182,$B:$B,1)+COUNTIF($B$1:B1181,B1182),"")</f>
        <v/>
      </c>
      <c r="B1182" t="str">
        <f>IFERROR(SEARCH(#REF!,Table4[[#This Row],[Commodity Title]],1),"")</f>
        <v/>
      </c>
      <c r="C1182" s="35">
        <v>42181904</v>
      </c>
      <c r="D1182" s="33" t="s">
        <v>1495</v>
      </c>
      <c r="E1182" s="33" t="s">
        <v>1496</v>
      </c>
      <c r="F1182" s="33" t="s">
        <v>1497</v>
      </c>
      <c r="G1182" s="33" t="s">
        <v>3748</v>
      </c>
      <c r="H1182" s="33" t="s">
        <v>3749</v>
      </c>
      <c r="I1182" s="33" t="s">
        <v>3750</v>
      </c>
      <c r="J1182" s="33">
        <v>115323</v>
      </c>
      <c r="K1182" s="33" t="s">
        <v>3911</v>
      </c>
      <c r="L1182" s="33" t="s">
        <v>3912</v>
      </c>
      <c r="M1182" s="33" t="s">
        <v>3913</v>
      </c>
      <c r="N1182" s="44">
        <v>42181904</v>
      </c>
      <c r="O1182" s="33" t="s">
        <v>3918</v>
      </c>
      <c r="P1182" s="33" t="s">
        <v>3919</v>
      </c>
      <c r="Q1182" s="34" t="s">
        <v>1494</v>
      </c>
      <c r="R1182" s="34" t="s">
        <v>1494</v>
      </c>
    </row>
    <row r="1183" spans="1:18" ht="15" customHeight="1" x14ac:dyDescent="0.25">
      <c r="A1183" t="str">
        <f>IFERROR(RANK(B1183,$B:$B,1)+COUNTIF($B$1:B1182,B1183),"")</f>
        <v/>
      </c>
      <c r="B1183" t="str">
        <f>IFERROR(SEARCH(#REF!,Table4[[#This Row],[Commodity Title]],1),"")</f>
        <v/>
      </c>
      <c r="C1183" s="35">
        <v>42181905</v>
      </c>
      <c r="D1183" s="33" t="s">
        <v>1495</v>
      </c>
      <c r="E1183" s="33" t="s">
        <v>1496</v>
      </c>
      <c r="F1183" s="33" t="s">
        <v>1497</v>
      </c>
      <c r="G1183" s="33" t="s">
        <v>3748</v>
      </c>
      <c r="H1183" s="33" t="s">
        <v>3749</v>
      </c>
      <c r="I1183" s="33" t="s">
        <v>3750</v>
      </c>
      <c r="J1183" s="33">
        <v>115324</v>
      </c>
      <c r="K1183" s="33" t="s">
        <v>3911</v>
      </c>
      <c r="L1183" s="33" t="s">
        <v>3912</v>
      </c>
      <c r="M1183" s="33" t="s">
        <v>3913</v>
      </c>
      <c r="N1183" s="44">
        <v>42181905</v>
      </c>
      <c r="O1183" s="33" t="s">
        <v>3920</v>
      </c>
      <c r="P1183" s="33" t="s">
        <v>3921</v>
      </c>
      <c r="Q1183" s="34" t="s">
        <v>1494</v>
      </c>
      <c r="R1183" s="34" t="s">
        <v>1494</v>
      </c>
    </row>
    <row r="1184" spans="1:18" ht="15" customHeight="1" x14ac:dyDescent="0.25">
      <c r="A1184" t="str">
        <f>IFERROR(RANK(B1184,$B:$B,1)+COUNTIF($B$1:B1183,B1184),"")</f>
        <v/>
      </c>
      <c r="B1184" t="str">
        <f>IFERROR(SEARCH(#REF!,Table4[[#This Row],[Commodity Title]],1),"")</f>
        <v/>
      </c>
      <c r="C1184" s="35">
        <v>42181907</v>
      </c>
      <c r="D1184" s="33" t="s">
        <v>1495</v>
      </c>
      <c r="E1184" s="33" t="s">
        <v>1496</v>
      </c>
      <c r="F1184" s="33" t="s">
        <v>1497</v>
      </c>
      <c r="G1184" s="33" t="s">
        <v>3748</v>
      </c>
      <c r="H1184" s="33" t="s">
        <v>3749</v>
      </c>
      <c r="I1184" s="33" t="s">
        <v>3750</v>
      </c>
      <c r="J1184" s="33">
        <v>142489</v>
      </c>
      <c r="K1184" s="33" t="s">
        <v>3911</v>
      </c>
      <c r="L1184" s="33" t="s">
        <v>3912</v>
      </c>
      <c r="M1184" s="33" t="s">
        <v>3913</v>
      </c>
      <c r="N1184" s="44">
        <v>42181907</v>
      </c>
      <c r="O1184" s="33" t="s">
        <v>3922</v>
      </c>
      <c r="P1184" s="33" t="s">
        <v>3923</v>
      </c>
      <c r="Q1184" s="34" t="s">
        <v>1494</v>
      </c>
      <c r="R1184" s="34" t="s">
        <v>1494</v>
      </c>
    </row>
    <row r="1185" spans="1:18" ht="15" customHeight="1" x14ac:dyDescent="0.25">
      <c r="A1185" t="str">
        <f>IFERROR(RANK(B1185,$B:$B,1)+COUNTIF($B$1:B1184,B1185),"")</f>
        <v/>
      </c>
      <c r="B1185" t="str">
        <f>IFERROR(SEARCH(#REF!,Table4[[#This Row],[Commodity Title]],1),"")</f>
        <v/>
      </c>
      <c r="C1185" s="35">
        <v>42181908</v>
      </c>
      <c r="D1185" s="33" t="s">
        <v>1495</v>
      </c>
      <c r="E1185" s="33" t="s">
        <v>1496</v>
      </c>
      <c r="F1185" s="33" t="s">
        <v>1497</v>
      </c>
      <c r="G1185" s="33" t="s">
        <v>3748</v>
      </c>
      <c r="H1185" s="33" t="s">
        <v>3749</v>
      </c>
      <c r="I1185" s="33" t="s">
        <v>3750</v>
      </c>
      <c r="J1185" s="33">
        <v>142490</v>
      </c>
      <c r="K1185" s="33" t="s">
        <v>3911</v>
      </c>
      <c r="L1185" s="33" t="s">
        <v>3912</v>
      </c>
      <c r="M1185" s="33" t="s">
        <v>3913</v>
      </c>
      <c r="N1185" s="44">
        <v>42181908</v>
      </c>
      <c r="O1185" s="33" t="s">
        <v>3924</v>
      </c>
      <c r="P1185" s="33" t="s">
        <v>3925</v>
      </c>
      <c r="Q1185" s="34" t="s">
        <v>1494</v>
      </c>
      <c r="R1185" s="34" t="s">
        <v>1494</v>
      </c>
    </row>
    <row r="1186" spans="1:18" ht="15" customHeight="1" x14ac:dyDescent="0.25">
      <c r="A1186" t="str">
        <f>IFERROR(RANK(B1186,$B:$B,1)+COUNTIF($B$1:B1185,B1186),"")</f>
        <v/>
      </c>
      <c r="B1186" t="str">
        <f>IFERROR(SEARCH(#REF!,Table4[[#This Row],[Commodity Title]],1),"")</f>
        <v/>
      </c>
      <c r="C1186" s="35">
        <v>42181909</v>
      </c>
      <c r="D1186" s="33" t="s">
        <v>1495</v>
      </c>
      <c r="E1186" s="33" t="s">
        <v>1496</v>
      </c>
      <c r="F1186" s="33" t="s">
        <v>1497</v>
      </c>
      <c r="G1186" s="33" t="s">
        <v>3748</v>
      </c>
      <c r="H1186" s="33" t="s">
        <v>3749</v>
      </c>
      <c r="I1186" s="33" t="s">
        <v>3750</v>
      </c>
      <c r="J1186" s="33">
        <v>202694</v>
      </c>
      <c r="K1186" s="33" t="s">
        <v>3911</v>
      </c>
      <c r="L1186" s="33" t="s">
        <v>3912</v>
      </c>
      <c r="M1186" s="33" t="s">
        <v>3913</v>
      </c>
      <c r="N1186" s="44">
        <v>42181909</v>
      </c>
      <c r="O1186" s="33" t="s">
        <v>3926</v>
      </c>
      <c r="P1186" s="33" t="s">
        <v>3813</v>
      </c>
      <c r="Q1186" s="34" t="s">
        <v>1494</v>
      </c>
      <c r="R1186" s="34" t="s">
        <v>1494</v>
      </c>
    </row>
    <row r="1187" spans="1:18" ht="15" customHeight="1" x14ac:dyDescent="0.25">
      <c r="A1187" t="str">
        <f>IFERROR(RANK(B1187,$B:$B,1)+COUNTIF($B$1:B1186,B1187),"")</f>
        <v/>
      </c>
      <c r="B1187" t="str">
        <f>IFERROR(SEARCH(#REF!,Table4[[#This Row],[Commodity Title]],1),"")</f>
        <v/>
      </c>
      <c r="C1187" s="35">
        <v>42181913</v>
      </c>
      <c r="D1187" s="33" t="s">
        <v>1495</v>
      </c>
      <c r="E1187" s="33" t="s">
        <v>1496</v>
      </c>
      <c r="F1187" s="33" t="s">
        <v>1497</v>
      </c>
      <c r="G1187" s="33" t="s">
        <v>3748</v>
      </c>
      <c r="H1187" s="33" t="s">
        <v>3749</v>
      </c>
      <c r="I1187" s="33" t="s">
        <v>3750</v>
      </c>
      <c r="J1187" s="33">
        <v>202698</v>
      </c>
      <c r="K1187" s="33" t="s">
        <v>3911</v>
      </c>
      <c r="L1187" s="33" t="s">
        <v>3912</v>
      </c>
      <c r="M1187" s="33" t="s">
        <v>3913</v>
      </c>
      <c r="N1187" s="44">
        <v>42181913</v>
      </c>
      <c r="O1187" s="33" t="s">
        <v>3927</v>
      </c>
      <c r="P1187" s="33" t="s">
        <v>3928</v>
      </c>
      <c r="Q1187" s="34" t="s">
        <v>1494</v>
      </c>
      <c r="R1187" s="34" t="s">
        <v>1494</v>
      </c>
    </row>
    <row r="1188" spans="1:18" ht="15" customHeight="1" x14ac:dyDescent="0.25">
      <c r="A1188" t="str">
        <f>IFERROR(RANK(B1188,$B:$B,1)+COUNTIF($B$1:B1187,B1188),"")</f>
        <v/>
      </c>
      <c r="B1188" t="str">
        <f>IFERROR(SEARCH(#REF!,Table4[[#This Row],[Commodity Title]],1),"")</f>
        <v/>
      </c>
      <c r="C1188" s="35">
        <v>42181914</v>
      </c>
      <c r="D1188" s="33" t="s">
        <v>1495</v>
      </c>
      <c r="E1188" s="33" t="s">
        <v>1496</v>
      </c>
      <c r="F1188" s="33" t="s">
        <v>1497</v>
      </c>
      <c r="G1188" s="33" t="s">
        <v>3748</v>
      </c>
      <c r="H1188" s="33" t="s">
        <v>3749</v>
      </c>
      <c r="I1188" s="33" t="s">
        <v>3750</v>
      </c>
      <c r="J1188" s="33">
        <v>202699</v>
      </c>
      <c r="K1188" s="33" t="s">
        <v>3911</v>
      </c>
      <c r="L1188" s="33" t="s">
        <v>3912</v>
      </c>
      <c r="M1188" s="33" t="s">
        <v>3913</v>
      </c>
      <c r="N1188" s="44">
        <v>42181914</v>
      </c>
      <c r="O1188" s="33" t="s">
        <v>3929</v>
      </c>
      <c r="P1188" s="33" t="s">
        <v>3930</v>
      </c>
      <c r="Q1188" s="34" t="s">
        <v>1494</v>
      </c>
      <c r="R1188" s="34" t="s">
        <v>1494</v>
      </c>
    </row>
    <row r="1189" spans="1:18" ht="15" customHeight="1" x14ac:dyDescent="0.25">
      <c r="A1189" t="str">
        <f>IFERROR(RANK(B1189,$B:$B,1)+COUNTIF($B$1:B1188,B1189),"")</f>
        <v/>
      </c>
      <c r="B1189" t="str">
        <f>IFERROR(SEARCH(#REF!,Table4[[#This Row],[Commodity Title]],1),"")</f>
        <v/>
      </c>
      <c r="C1189" s="35">
        <v>42181915</v>
      </c>
      <c r="D1189" s="33" t="s">
        <v>1495</v>
      </c>
      <c r="E1189" s="33" t="s">
        <v>1496</v>
      </c>
      <c r="F1189" s="33" t="s">
        <v>1497</v>
      </c>
      <c r="G1189" s="33" t="s">
        <v>3748</v>
      </c>
      <c r="H1189" s="33" t="s">
        <v>3749</v>
      </c>
      <c r="I1189" s="33" t="s">
        <v>3750</v>
      </c>
      <c r="J1189" s="33">
        <v>202700</v>
      </c>
      <c r="K1189" s="33" t="s">
        <v>3911</v>
      </c>
      <c r="L1189" s="33" t="s">
        <v>3912</v>
      </c>
      <c r="M1189" s="33" t="s">
        <v>3913</v>
      </c>
      <c r="N1189" s="44">
        <v>42181915</v>
      </c>
      <c r="O1189" s="33" t="s">
        <v>3931</v>
      </c>
      <c r="P1189" s="33" t="s">
        <v>3932</v>
      </c>
      <c r="Q1189" s="34" t="s">
        <v>1494</v>
      </c>
      <c r="R1189" s="34" t="s">
        <v>1494</v>
      </c>
    </row>
    <row r="1190" spans="1:18" ht="15" customHeight="1" x14ac:dyDescent="0.25">
      <c r="A1190" t="str">
        <f>IFERROR(RANK(B1190,$B:$B,1)+COUNTIF($B$1:B1189,B1190),"")</f>
        <v/>
      </c>
      <c r="B1190" t="str">
        <f>IFERROR(SEARCH(#REF!,Table4[[#This Row],[Commodity Title]],1),"")</f>
        <v/>
      </c>
      <c r="C1190" s="35">
        <v>42181916</v>
      </c>
      <c r="D1190" s="33" t="s">
        <v>1495</v>
      </c>
      <c r="E1190" s="33" t="s">
        <v>1496</v>
      </c>
      <c r="F1190" s="33" t="s">
        <v>1497</v>
      </c>
      <c r="G1190" s="33" t="s">
        <v>3748</v>
      </c>
      <c r="H1190" s="33" t="s">
        <v>3749</v>
      </c>
      <c r="I1190" s="33" t="s">
        <v>3750</v>
      </c>
      <c r="J1190" s="33">
        <v>202701</v>
      </c>
      <c r="K1190" s="33" t="s">
        <v>3911</v>
      </c>
      <c r="L1190" s="33" t="s">
        <v>3912</v>
      </c>
      <c r="M1190" s="33" t="s">
        <v>3913</v>
      </c>
      <c r="N1190" s="44">
        <v>42181916</v>
      </c>
      <c r="O1190" s="33" t="s">
        <v>3933</v>
      </c>
      <c r="P1190" s="33" t="s">
        <v>3934</v>
      </c>
      <c r="Q1190" s="34" t="s">
        <v>1494</v>
      </c>
      <c r="R1190" s="34" t="s">
        <v>1494</v>
      </c>
    </row>
    <row r="1191" spans="1:18" ht="15" customHeight="1" x14ac:dyDescent="0.25">
      <c r="A1191" t="str">
        <f>IFERROR(RANK(B1191,$B:$B,1)+COUNTIF($B$1:B1190,B1191),"")</f>
        <v/>
      </c>
      <c r="B1191" t="str">
        <f>IFERROR(SEARCH(#REF!,Table4[[#This Row],[Commodity Title]],1),"")</f>
        <v/>
      </c>
      <c r="C1191" s="35">
        <v>42181917</v>
      </c>
      <c r="D1191" s="33" t="s">
        <v>1495</v>
      </c>
      <c r="E1191" s="33" t="s">
        <v>1496</v>
      </c>
      <c r="F1191" s="33" t="s">
        <v>1497</v>
      </c>
      <c r="G1191" s="33" t="s">
        <v>3748</v>
      </c>
      <c r="H1191" s="33" t="s">
        <v>3749</v>
      </c>
      <c r="I1191" s="33" t="s">
        <v>3750</v>
      </c>
      <c r="J1191" s="33">
        <v>202702</v>
      </c>
      <c r="K1191" s="33" t="s">
        <v>3911</v>
      </c>
      <c r="L1191" s="33" t="s">
        <v>3912</v>
      </c>
      <c r="M1191" s="33" t="s">
        <v>3913</v>
      </c>
      <c r="N1191" s="44">
        <v>42181917</v>
      </c>
      <c r="O1191" s="33" t="s">
        <v>3935</v>
      </c>
      <c r="P1191" s="33" t="s">
        <v>3936</v>
      </c>
      <c r="Q1191" s="34" t="s">
        <v>1494</v>
      </c>
      <c r="R1191" s="34" t="s">
        <v>1494</v>
      </c>
    </row>
    <row r="1192" spans="1:18" ht="15" customHeight="1" x14ac:dyDescent="0.25">
      <c r="A1192" t="str">
        <f>IFERROR(RANK(B1192,$B:$B,1)+COUNTIF($B$1:B1191,B1192),"")</f>
        <v/>
      </c>
      <c r="B1192" t="str">
        <f>IFERROR(SEARCH(#REF!,Table4[[#This Row],[Commodity Title]],1),"")</f>
        <v/>
      </c>
      <c r="C1192" s="35">
        <v>42181918</v>
      </c>
      <c r="D1192" s="33" t="s">
        <v>1495</v>
      </c>
      <c r="E1192" s="33" t="s">
        <v>1496</v>
      </c>
      <c r="F1192" s="33" t="s">
        <v>1497</v>
      </c>
      <c r="G1192" s="33" t="s">
        <v>3748</v>
      </c>
      <c r="H1192" s="33" t="s">
        <v>3749</v>
      </c>
      <c r="I1192" s="33" t="s">
        <v>3750</v>
      </c>
      <c r="J1192" s="33">
        <v>202703</v>
      </c>
      <c r="K1192" s="33" t="s">
        <v>3911</v>
      </c>
      <c r="L1192" s="33" t="s">
        <v>3912</v>
      </c>
      <c r="M1192" s="33" t="s">
        <v>3913</v>
      </c>
      <c r="N1192" s="44">
        <v>42181918</v>
      </c>
      <c r="O1192" s="33" t="s">
        <v>3937</v>
      </c>
      <c r="P1192" s="33" t="s">
        <v>3938</v>
      </c>
      <c r="Q1192" s="34" t="s">
        <v>1494</v>
      </c>
      <c r="R1192" s="34" t="s">
        <v>1494</v>
      </c>
    </row>
    <row r="1193" spans="1:18" ht="15" customHeight="1" x14ac:dyDescent="0.25">
      <c r="A1193" t="str">
        <f>IFERROR(RANK(B1193,$B:$B,1)+COUNTIF($B$1:B1192,B1193),"")</f>
        <v/>
      </c>
      <c r="B1193" t="str">
        <f>IFERROR(SEARCH(#REF!,Table4[[#This Row],[Commodity Title]],1),"")</f>
        <v/>
      </c>
      <c r="C1193" s="35">
        <v>42181919</v>
      </c>
      <c r="D1193" s="33" t="s">
        <v>1495</v>
      </c>
      <c r="E1193" s="33" t="s">
        <v>1496</v>
      </c>
      <c r="F1193" s="33" t="s">
        <v>1497</v>
      </c>
      <c r="G1193" s="33" t="s">
        <v>3748</v>
      </c>
      <c r="H1193" s="33" t="s">
        <v>3749</v>
      </c>
      <c r="I1193" s="33" t="s">
        <v>3750</v>
      </c>
      <c r="J1193" s="33">
        <v>202704</v>
      </c>
      <c r="K1193" s="33" t="s">
        <v>3911</v>
      </c>
      <c r="L1193" s="33" t="s">
        <v>3912</v>
      </c>
      <c r="M1193" s="33" t="s">
        <v>3913</v>
      </c>
      <c r="N1193" s="44">
        <v>42181919</v>
      </c>
      <c r="O1193" s="33" t="s">
        <v>3939</v>
      </c>
      <c r="P1193" s="33" t="s">
        <v>3940</v>
      </c>
      <c r="Q1193" s="34" t="s">
        <v>1494</v>
      </c>
      <c r="R1193" s="34" t="s">
        <v>1494</v>
      </c>
    </row>
    <row r="1194" spans="1:18" ht="15" customHeight="1" x14ac:dyDescent="0.25">
      <c r="A1194" t="str">
        <f>IFERROR(RANK(B1194,$B:$B,1)+COUNTIF($B$1:B1193,B1194),"")</f>
        <v/>
      </c>
      <c r="B1194" t="str">
        <f>IFERROR(SEARCH(#REF!,Table4[[#This Row],[Commodity Title]],1),"")</f>
        <v/>
      </c>
      <c r="C1194" s="35">
        <v>42181920</v>
      </c>
      <c r="D1194" s="33" t="s">
        <v>1495</v>
      </c>
      <c r="E1194" s="33" t="s">
        <v>1496</v>
      </c>
      <c r="F1194" s="33" t="s">
        <v>1497</v>
      </c>
      <c r="G1194" s="33" t="s">
        <v>3748</v>
      </c>
      <c r="H1194" s="33" t="s">
        <v>3749</v>
      </c>
      <c r="I1194" s="33" t="s">
        <v>3750</v>
      </c>
      <c r="J1194" s="33">
        <v>202705</v>
      </c>
      <c r="K1194" s="33" t="s">
        <v>3911</v>
      </c>
      <c r="L1194" s="33" t="s">
        <v>3912</v>
      </c>
      <c r="M1194" s="33" t="s">
        <v>3913</v>
      </c>
      <c r="N1194" s="44">
        <v>42181920</v>
      </c>
      <c r="O1194" s="33" t="s">
        <v>3941</v>
      </c>
      <c r="P1194" s="33" t="s">
        <v>3942</v>
      </c>
      <c r="Q1194" s="34" t="s">
        <v>1494</v>
      </c>
      <c r="R1194" s="34" t="s">
        <v>1494</v>
      </c>
    </row>
    <row r="1195" spans="1:18" ht="15" customHeight="1" x14ac:dyDescent="0.25">
      <c r="A1195" t="str">
        <f>IFERROR(RANK(B1195,$B:$B,1)+COUNTIF($B$1:B1194,B1195),"")</f>
        <v/>
      </c>
      <c r="B1195" t="str">
        <f>IFERROR(SEARCH(#REF!,Table4[[#This Row],[Commodity Title]],1),"")</f>
        <v/>
      </c>
      <c r="C1195" s="35">
        <v>42181921</v>
      </c>
      <c r="D1195" s="33" t="s">
        <v>1495</v>
      </c>
      <c r="E1195" s="33" t="s">
        <v>1496</v>
      </c>
      <c r="F1195" s="33" t="s">
        <v>1497</v>
      </c>
      <c r="G1195" s="33" t="s">
        <v>3748</v>
      </c>
      <c r="H1195" s="33" t="s">
        <v>3749</v>
      </c>
      <c r="I1195" s="33" t="s">
        <v>3750</v>
      </c>
      <c r="J1195" s="33">
        <v>202706</v>
      </c>
      <c r="K1195" s="33" t="s">
        <v>3911</v>
      </c>
      <c r="L1195" s="33" t="s">
        <v>3912</v>
      </c>
      <c r="M1195" s="33" t="s">
        <v>3913</v>
      </c>
      <c r="N1195" s="44">
        <v>42181921</v>
      </c>
      <c r="O1195" s="33" t="s">
        <v>3943</v>
      </c>
      <c r="P1195" s="33" t="s">
        <v>3944</v>
      </c>
      <c r="Q1195" s="34" t="s">
        <v>1494</v>
      </c>
      <c r="R1195" s="34" t="s">
        <v>1494</v>
      </c>
    </row>
    <row r="1196" spans="1:18" ht="15" customHeight="1" x14ac:dyDescent="0.25">
      <c r="A1196" t="str">
        <f>IFERROR(RANK(B1196,$B:$B,1)+COUNTIF($B$1:B1195,B1196),"")</f>
        <v/>
      </c>
      <c r="B1196" t="str">
        <f>IFERROR(SEARCH(#REF!,Table4[[#This Row],[Commodity Title]],1),"")</f>
        <v/>
      </c>
      <c r="C1196" s="35">
        <v>42181922</v>
      </c>
      <c r="D1196" s="33" t="s">
        <v>1495</v>
      </c>
      <c r="E1196" s="33" t="s">
        <v>1496</v>
      </c>
      <c r="F1196" s="33" t="s">
        <v>1497</v>
      </c>
      <c r="G1196" s="33" t="s">
        <v>3748</v>
      </c>
      <c r="H1196" s="33" t="s">
        <v>3749</v>
      </c>
      <c r="I1196" s="33" t="s">
        <v>3750</v>
      </c>
      <c r="J1196" s="33">
        <v>202695</v>
      </c>
      <c r="K1196" s="33" t="s">
        <v>3911</v>
      </c>
      <c r="L1196" s="33" t="s">
        <v>3912</v>
      </c>
      <c r="M1196" s="33" t="s">
        <v>3913</v>
      </c>
      <c r="N1196" s="44">
        <v>42181922</v>
      </c>
      <c r="O1196" s="33" t="s">
        <v>3945</v>
      </c>
      <c r="P1196" s="33" t="s">
        <v>3946</v>
      </c>
      <c r="Q1196" s="34" t="s">
        <v>1494</v>
      </c>
      <c r="R1196" s="34" t="s">
        <v>1494</v>
      </c>
    </row>
    <row r="1197" spans="1:18" ht="15" customHeight="1" x14ac:dyDescent="0.25">
      <c r="A1197" t="str">
        <f>IFERROR(RANK(B1197,$B:$B,1)+COUNTIF($B$1:B1196,B1197),"")</f>
        <v/>
      </c>
      <c r="B1197" t="str">
        <f>IFERROR(SEARCH(#REF!,Table4[[#This Row],[Commodity Title]],1),"")</f>
        <v/>
      </c>
      <c r="C1197" s="35">
        <v>42181923</v>
      </c>
      <c r="D1197" s="33" t="s">
        <v>1495</v>
      </c>
      <c r="E1197" s="33" t="s">
        <v>1496</v>
      </c>
      <c r="F1197" s="33" t="s">
        <v>1497</v>
      </c>
      <c r="G1197" s="33" t="s">
        <v>3748</v>
      </c>
      <c r="H1197" s="33" t="s">
        <v>3749</v>
      </c>
      <c r="I1197" s="33" t="s">
        <v>3750</v>
      </c>
      <c r="J1197" s="33">
        <v>202696</v>
      </c>
      <c r="K1197" s="33" t="s">
        <v>3911</v>
      </c>
      <c r="L1197" s="33" t="s">
        <v>3912</v>
      </c>
      <c r="M1197" s="33" t="s">
        <v>3913</v>
      </c>
      <c r="N1197" s="44">
        <v>42181923</v>
      </c>
      <c r="O1197" s="33" t="s">
        <v>3947</v>
      </c>
      <c r="P1197" s="33" t="s">
        <v>3948</v>
      </c>
      <c r="Q1197" s="34" t="s">
        <v>1494</v>
      </c>
      <c r="R1197" s="34" t="s">
        <v>1494</v>
      </c>
    </row>
    <row r="1198" spans="1:18" ht="15" customHeight="1" x14ac:dyDescent="0.25">
      <c r="A1198" t="str">
        <f>IFERROR(RANK(B1198,$B:$B,1)+COUNTIF($B$1:B1197,B1198),"")</f>
        <v/>
      </c>
      <c r="B1198" t="str">
        <f>IFERROR(SEARCH(#REF!,Table4[[#This Row],[Commodity Title]],1),"")</f>
        <v/>
      </c>
      <c r="C1198" s="35">
        <v>42181924</v>
      </c>
      <c r="D1198" s="33" t="s">
        <v>1495</v>
      </c>
      <c r="E1198" s="33" t="s">
        <v>1496</v>
      </c>
      <c r="F1198" s="33" t="s">
        <v>1497</v>
      </c>
      <c r="G1198" s="33" t="s">
        <v>3748</v>
      </c>
      <c r="H1198" s="33" t="s">
        <v>3749</v>
      </c>
      <c r="I1198" s="33" t="s">
        <v>3750</v>
      </c>
      <c r="J1198" s="33">
        <v>202697</v>
      </c>
      <c r="K1198" s="33" t="s">
        <v>3911</v>
      </c>
      <c r="L1198" s="33" t="s">
        <v>3912</v>
      </c>
      <c r="M1198" s="33" t="s">
        <v>3913</v>
      </c>
      <c r="N1198" s="44">
        <v>42181924</v>
      </c>
      <c r="O1198" s="33" t="s">
        <v>3949</v>
      </c>
      <c r="P1198" s="33" t="s">
        <v>3950</v>
      </c>
      <c r="Q1198" s="34" t="s">
        <v>1494</v>
      </c>
      <c r="R1198" s="34" t="s">
        <v>1494</v>
      </c>
    </row>
    <row r="1199" spans="1:18" ht="15" customHeight="1" x14ac:dyDescent="0.25">
      <c r="A1199" t="str">
        <f>IFERROR(RANK(B1199,$B:$B,1)+COUNTIF($B$1:B1198,B1199),"")</f>
        <v/>
      </c>
      <c r="B1199" t="str">
        <f>IFERROR(SEARCH(#REF!,Table4[[#This Row],[Commodity Title]],1),"")</f>
        <v/>
      </c>
      <c r="C1199" s="33" t="s">
        <v>1494</v>
      </c>
      <c r="D1199" s="33" t="s">
        <v>1495</v>
      </c>
      <c r="E1199" s="33" t="s">
        <v>1496</v>
      </c>
      <c r="F1199" s="33" t="s">
        <v>1497</v>
      </c>
      <c r="G1199" s="33" t="s">
        <v>3748</v>
      </c>
      <c r="H1199" s="33" t="s">
        <v>3749</v>
      </c>
      <c r="I1199" s="33" t="s">
        <v>3750</v>
      </c>
      <c r="J1199" s="33">
        <v>115325</v>
      </c>
      <c r="K1199" s="33" t="s">
        <v>3951</v>
      </c>
      <c r="L1199" s="33" t="s">
        <v>3952</v>
      </c>
      <c r="M1199" s="33" t="s">
        <v>3953</v>
      </c>
      <c r="N1199" s="44" t="s">
        <v>1494</v>
      </c>
      <c r="O1199" s="33" t="s">
        <v>1494</v>
      </c>
      <c r="P1199" s="33" t="s">
        <v>1494</v>
      </c>
      <c r="Q1199" s="34" t="s">
        <v>1494</v>
      </c>
      <c r="R1199" s="34" t="s">
        <v>1494</v>
      </c>
    </row>
    <row r="1200" spans="1:18" ht="15" customHeight="1" x14ac:dyDescent="0.25">
      <c r="A1200" t="str">
        <f>IFERROR(RANK(B1200,$B:$B,1)+COUNTIF($B$1:B1199,B1200),"")</f>
        <v/>
      </c>
      <c r="B1200" t="str">
        <f>IFERROR(SEARCH(#REF!,Table4[[#This Row],[Commodity Title]],1),"")</f>
        <v/>
      </c>
      <c r="C1200" s="35">
        <v>42182001</v>
      </c>
      <c r="D1200" s="33" t="s">
        <v>1495</v>
      </c>
      <c r="E1200" s="33" t="s">
        <v>1496</v>
      </c>
      <c r="F1200" s="33" t="s">
        <v>1497</v>
      </c>
      <c r="G1200" s="33" t="s">
        <v>3748</v>
      </c>
      <c r="H1200" s="33" t="s">
        <v>3749</v>
      </c>
      <c r="I1200" s="33" t="s">
        <v>3750</v>
      </c>
      <c r="J1200" s="33">
        <v>115326</v>
      </c>
      <c r="K1200" s="33" t="s">
        <v>3951</v>
      </c>
      <c r="L1200" s="33" t="s">
        <v>3952</v>
      </c>
      <c r="M1200" s="33" t="s">
        <v>3953</v>
      </c>
      <c r="N1200" s="44">
        <v>42182001</v>
      </c>
      <c r="O1200" s="33" t="s">
        <v>3954</v>
      </c>
      <c r="P1200" s="33" t="s">
        <v>3955</v>
      </c>
      <c r="Q1200" s="34" t="s">
        <v>1494</v>
      </c>
      <c r="R1200" s="34" t="s">
        <v>1494</v>
      </c>
    </row>
    <row r="1201" spans="1:18" ht="15" customHeight="1" x14ac:dyDescent="0.25">
      <c r="A1201" t="str">
        <f>IFERROR(RANK(B1201,$B:$B,1)+COUNTIF($B$1:B1200,B1201),"")</f>
        <v/>
      </c>
      <c r="B1201" t="str">
        <f>IFERROR(SEARCH(#REF!,Table4[[#This Row],[Commodity Title]],1),"")</f>
        <v/>
      </c>
      <c r="C1201" s="35">
        <v>42182003</v>
      </c>
      <c r="D1201" s="33" t="s">
        <v>1495</v>
      </c>
      <c r="E1201" s="33" t="s">
        <v>1496</v>
      </c>
      <c r="F1201" s="33" t="s">
        <v>1497</v>
      </c>
      <c r="G1201" s="33" t="s">
        <v>3748</v>
      </c>
      <c r="H1201" s="33" t="s">
        <v>3749</v>
      </c>
      <c r="I1201" s="33" t="s">
        <v>3750</v>
      </c>
      <c r="J1201" s="33">
        <v>115328</v>
      </c>
      <c r="K1201" s="33" t="s">
        <v>3951</v>
      </c>
      <c r="L1201" s="33" t="s">
        <v>3952</v>
      </c>
      <c r="M1201" s="33" t="s">
        <v>3953</v>
      </c>
      <c r="N1201" s="44">
        <v>42182003</v>
      </c>
      <c r="O1201" s="33" t="s">
        <v>3956</v>
      </c>
      <c r="P1201" s="33" t="s">
        <v>3957</v>
      </c>
      <c r="Q1201" s="34" t="s">
        <v>1494</v>
      </c>
      <c r="R1201" s="34" t="s">
        <v>1494</v>
      </c>
    </row>
    <row r="1202" spans="1:18" ht="15" customHeight="1" x14ac:dyDescent="0.25">
      <c r="A1202" t="str">
        <f>IFERROR(RANK(B1202,$B:$B,1)+COUNTIF($B$1:B1201,B1202),"")</f>
        <v/>
      </c>
      <c r="B1202" t="str">
        <f>IFERROR(SEARCH(#REF!,Table4[[#This Row],[Commodity Title]],1),"")</f>
        <v/>
      </c>
      <c r="C1202" s="35">
        <v>42182004</v>
      </c>
      <c r="D1202" s="33" t="s">
        <v>1495</v>
      </c>
      <c r="E1202" s="33" t="s">
        <v>1496</v>
      </c>
      <c r="F1202" s="33" t="s">
        <v>1497</v>
      </c>
      <c r="G1202" s="33" t="s">
        <v>3748</v>
      </c>
      <c r="H1202" s="33" t="s">
        <v>3749</v>
      </c>
      <c r="I1202" s="33" t="s">
        <v>3750</v>
      </c>
      <c r="J1202" s="33">
        <v>115329</v>
      </c>
      <c r="K1202" s="33" t="s">
        <v>3951</v>
      </c>
      <c r="L1202" s="33" t="s">
        <v>3952</v>
      </c>
      <c r="M1202" s="33" t="s">
        <v>3953</v>
      </c>
      <c r="N1202" s="44">
        <v>42182004</v>
      </c>
      <c r="O1202" s="33" t="s">
        <v>3958</v>
      </c>
      <c r="P1202" s="33" t="s">
        <v>3959</v>
      </c>
      <c r="Q1202" s="34" t="s">
        <v>1494</v>
      </c>
      <c r="R1202" s="34" t="s">
        <v>1494</v>
      </c>
    </row>
    <row r="1203" spans="1:18" ht="15" customHeight="1" x14ac:dyDescent="0.25">
      <c r="A1203" t="str">
        <f>IFERROR(RANK(B1203,$B:$B,1)+COUNTIF($B$1:B1202,B1203),"")</f>
        <v/>
      </c>
      <c r="B1203" t="str">
        <f>IFERROR(SEARCH(#REF!,Table4[[#This Row],[Commodity Title]],1),"")</f>
        <v/>
      </c>
      <c r="C1203" s="35">
        <v>42182005</v>
      </c>
      <c r="D1203" s="33" t="s">
        <v>1495</v>
      </c>
      <c r="E1203" s="33" t="s">
        <v>1496</v>
      </c>
      <c r="F1203" s="33" t="s">
        <v>1497</v>
      </c>
      <c r="G1203" s="33" t="s">
        <v>3748</v>
      </c>
      <c r="H1203" s="33" t="s">
        <v>3749</v>
      </c>
      <c r="I1203" s="33" t="s">
        <v>3750</v>
      </c>
      <c r="J1203" s="33">
        <v>115330</v>
      </c>
      <c r="K1203" s="33" t="s">
        <v>3951</v>
      </c>
      <c r="L1203" s="33" t="s">
        <v>3952</v>
      </c>
      <c r="M1203" s="33" t="s">
        <v>3953</v>
      </c>
      <c r="N1203" s="44">
        <v>42182005</v>
      </c>
      <c r="O1203" s="33" t="s">
        <v>3960</v>
      </c>
      <c r="P1203" s="33" t="s">
        <v>3961</v>
      </c>
      <c r="Q1203" s="34" t="s">
        <v>1494</v>
      </c>
      <c r="R1203" s="34" t="s">
        <v>1494</v>
      </c>
    </row>
    <row r="1204" spans="1:18" ht="15" customHeight="1" x14ac:dyDescent="0.25">
      <c r="A1204" t="str">
        <f>IFERROR(RANK(B1204,$B:$B,1)+COUNTIF($B$1:B1203,B1204),"")</f>
        <v/>
      </c>
      <c r="B1204" t="str">
        <f>IFERROR(SEARCH(#REF!,Table4[[#This Row],[Commodity Title]],1),"")</f>
        <v/>
      </c>
      <c r="C1204" s="35">
        <v>42182006</v>
      </c>
      <c r="D1204" s="33" t="s">
        <v>1495</v>
      </c>
      <c r="E1204" s="33" t="s">
        <v>1496</v>
      </c>
      <c r="F1204" s="33" t="s">
        <v>1497</v>
      </c>
      <c r="G1204" s="33" t="s">
        <v>3748</v>
      </c>
      <c r="H1204" s="33" t="s">
        <v>3749</v>
      </c>
      <c r="I1204" s="33" t="s">
        <v>3750</v>
      </c>
      <c r="J1204" s="33">
        <v>115331</v>
      </c>
      <c r="K1204" s="33" t="s">
        <v>3951</v>
      </c>
      <c r="L1204" s="33" t="s">
        <v>3952</v>
      </c>
      <c r="M1204" s="33" t="s">
        <v>3953</v>
      </c>
      <c r="N1204" s="44">
        <v>42182006</v>
      </c>
      <c r="O1204" s="33" t="s">
        <v>3962</v>
      </c>
      <c r="P1204" s="33" t="s">
        <v>3963</v>
      </c>
      <c r="Q1204" s="34" t="s">
        <v>1494</v>
      </c>
      <c r="R1204" s="34" t="s">
        <v>1494</v>
      </c>
    </row>
    <row r="1205" spans="1:18" ht="15" customHeight="1" x14ac:dyDescent="0.25">
      <c r="A1205" t="str">
        <f>IFERROR(RANK(B1205,$B:$B,1)+COUNTIF($B$1:B1204,B1205),"")</f>
        <v/>
      </c>
      <c r="B1205" t="str">
        <f>IFERROR(SEARCH(#REF!,Table4[[#This Row],[Commodity Title]],1),"")</f>
        <v/>
      </c>
      <c r="C1205" s="35">
        <v>42182007</v>
      </c>
      <c r="D1205" s="33" t="s">
        <v>1495</v>
      </c>
      <c r="E1205" s="33" t="s">
        <v>1496</v>
      </c>
      <c r="F1205" s="33" t="s">
        <v>1497</v>
      </c>
      <c r="G1205" s="33" t="s">
        <v>3748</v>
      </c>
      <c r="H1205" s="33" t="s">
        <v>3749</v>
      </c>
      <c r="I1205" s="33" t="s">
        <v>3750</v>
      </c>
      <c r="J1205" s="33">
        <v>115332</v>
      </c>
      <c r="K1205" s="33" t="s">
        <v>3951</v>
      </c>
      <c r="L1205" s="33" t="s">
        <v>3952</v>
      </c>
      <c r="M1205" s="33" t="s">
        <v>3953</v>
      </c>
      <c r="N1205" s="44">
        <v>42182007</v>
      </c>
      <c r="O1205" s="33" t="s">
        <v>3964</v>
      </c>
      <c r="P1205" s="33" t="s">
        <v>3965</v>
      </c>
      <c r="Q1205" s="34" t="s">
        <v>1494</v>
      </c>
      <c r="R1205" s="34" t="s">
        <v>1494</v>
      </c>
    </row>
    <row r="1206" spans="1:18" ht="15" customHeight="1" x14ac:dyDescent="0.25">
      <c r="A1206" t="str">
        <f>IFERROR(RANK(B1206,$B:$B,1)+COUNTIF($B$1:B1205,B1206),"")</f>
        <v/>
      </c>
      <c r="B1206" t="str">
        <f>IFERROR(SEARCH(#REF!,Table4[[#This Row],[Commodity Title]],1),"")</f>
        <v/>
      </c>
      <c r="C1206" s="35">
        <v>42182008</v>
      </c>
      <c r="D1206" s="33" t="s">
        <v>1495</v>
      </c>
      <c r="E1206" s="33" t="s">
        <v>1496</v>
      </c>
      <c r="F1206" s="33" t="s">
        <v>1497</v>
      </c>
      <c r="G1206" s="33" t="s">
        <v>3748</v>
      </c>
      <c r="H1206" s="33" t="s">
        <v>3749</v>
      </c>
      <c r="I1206" s="33" t="s">
        <v>3750</v>
      </c>
      <c r="J1206" s="33">
        <v>115333</v>
      </c>
      <c r="K1206" s="33" t="s">
        <v>3951</v>
      </c>
      <c r="L1206" s="33" t="s">
        <v>3952</v>
      </c>
      <c r="M1206" s="33" t="s">
        <v>3953</v>
      </c>
      <c r="N1206" s="44">
        <v>42182008</v>
      </c>
      <c r="O1206" s="33" t="s">
        <v>3966</v>
      </c>
      <c r="P1206" s="33" t="s">
        <v>3967</v>
      </c>
      <c r="Q1206" s="34" t="s">
        <v>1494</v>
      </c>
      <c r="R1206" s="34" t="s">
        <v>1494</v>
      </c>
    </row>
    <row r="1207" spans="1:18" ht="15" customHeight="1" x14ac:dyDescent="0.25">
      <c r="A1207" t="str">
        <f>IFERROR(RANK(B1207,$B:$B,1)+COUNTIF($B$1:B1206,B1207),"")</f>
        <v/>
      </c>
      <c r="B1207" t="str">
        <f>IFERROR(SEARCH(#REF!,Table4[[#This Row],[Commodity Title]],1),"")</f>
        <v/>
      </c>
      <c r="C1207" s="35">
        <v>42182009</v>
      </c>
      <c r="D1207" s="33" t="s">
        <v>1495</v>
      </c>
      <c r="E1207" s="33" t="s">
        <v>1496</v>
      </c>
      <c r="F1207" s="33" t="s">
        <v>1497</v>
      </c>
      <c r="G1207" s="33" t="s">
        <v>3748</v>
      </c>
      <c r="H1207" s="33" t="s">
        <v>3749</v>
      </c>
      <c r="I1207" s="33" t="s">
        <v>3750</v>
      </c>
      <c r="J1207" s="33">
        <v>115334</v>
      </c>
      <c r="K1207" s="33" t="s">
        <v>3951</v>
      </c>
      <c r="L1207" s="33" t="s">
        <v>3952</v>
      </c>
      <c r="M1207" s="33" t="s">
        <v>3953</v>
      </c>
      <c r="N1207" s="44">
        <v>42182009</v>
      </c>
      <c r="O1207" s="33" t="s">
        <v>3968</v>
      </c>
      <c r="P1207" s="33" t="s">
        <v>3969</v>
      </c>
      <c r="Q1207" s="34" t="s">
        <v>1494</v>
      </c>
      <c r="R1207" s="34" t="s">
        <v>1494</v>
      </c>
    </row>
    <row r="1208" spans="1:18" ht="15" customHeight="1" x14ac:dyDescent="0.25">
      <c r="A1208" t="str">
        <f>IFERROR(RANK(B1208,$B:$B,1)+COUNTIF($B$1:B1207,B1208),"")</f>
        <v/>
      </c>
      <c r="B1208" t="str">
        <f>IFERROR(SEARCH(#REF!,Table4[[#This Row],[Commodity Title]],1),"")</f>
        <v/>
      </c>
      <c r="C1208" s="35">
        <v>42182010</v>
      </c>
      <c r="D1208" s="33" t="s">
        <v>1495</v>
      </c>
      <c r="E1208" s="33" t="s">
        <v>1496</v>
      </c>
      <c r="F1208" s="33" t="s">
        <v>1497</v>
      </c>
      <c r="G1208" s="33" t="s">
        <v>3748</v>
      </c>
      <c r="H1208" s="33" t="s">
        <v>3749</v>
      </c>
      <c r="I1208" s="33" t="s">
        <v>3750</v>
      </c>
      <c r="J1208" s="33">
        <v>115335</v>
      </c>
      <c r="K1208" s="33" t="s">
        <v>3951</v>
      </c>
      <c r="L1208" s="33" t="s">
        <v>3952</v>
      </c>
      <c r="M1208" s="33" t="s">
        <v>3953</v>
      </c>
      <c r="N1208" s="44">
        <v>42182010</v>
      </c>
      <c r="O1208" s="33" t="s">
        <v>3970</v>
      </c>
      <c r="P1208" s="33" t="s">
        <v>3971</v>
      </c>
      <c r="Q1208" s="34" t="s">
        <v>1494</v>
      </c>
      <c r="R1208" s="34" t="s">
        <v>1494</v>
      </c>
    </row>
    <row r="1209" spans="1:18" ht="15" customHeight="1" x14ac:dyDescent="0.25">
      <c r="A1209" t="str">
        <f>IFERROR(RANK(B1209,$B:$B,1)+COUNTIF($B$1:B1208,B1209),"")</f>
        <v/>
      </c>
      <c r="B1209" t="str">
        <f>IFERROR(SEARCH(#REF!,Table4[[#This Row],[Commodity Title]],1),"")</f>
        <v/>
      </c>
      <c r="C1209" s="35">
        <v>42182011</v>
      </c>
      <c r="D1209" s="33" t="s">
        <v>1495</v>
      </c>
      <c r="E1209" s="33" t="s">
        <v>1496</v>
      </c>
      <c r="F1209" s="33" t="s">
        <v>1497</v>
      </c>
      <c r="G1209" s="33" t="s">
        <v>3748</v>
      </c>
      <c r="H1209" s="33" t="s">
        <v>3749</v>
      </c>
      <c r="I1209" s="33" t="s">
        <v>3750</v>
      </c>
      <c r="J1209" s="33">
        <v>115336</v>
      </c>
      <c r="K1209" s="33" t="s">
        <v>3951</v>
      </c>
      <c r="L1209" s="33" t="s">
        <v>3952</v>
      </c>
      <c r="M1209" s="33" t="s">
        <v>3953</v>
      </c>
      <c r="N1209" s="44">
        <v>42182011</v>
      </c>
      <c r="O1209" s="33" t="s">
        <v>3972</v>
      </c>
      <c r="P1209" s="33" t="s">
        <v>3973</v>
      </c>
      <c r="Q1209" s="34" t="s">
        <v>1494</v>
      </c>
      <c r="R1209" s="34" t="s">
        <v>1494</v>
      </c>
    </row>
    <row r="1210" spans="1:18" ht="15" customHeight="1" x14ac:dyDescent="0.25">
      <c r="A1210" t="str">
        <f>IFERROR(RANK(B1210,$B:$B,1)+COUNTIF($B$1:B1209,B1210),"")</f>
        <v/>
      </c>
      <c r="B1210" t="str">
        <f>IFERROR(SEARCH(#REF!,Table4[[#This Row],[Commodity Title]],1),"")</f>
        <v/>
      </c>
      <c r="C1210" s="35">
        <v>42182012</v>
      </c>
      <c r="D1210" s="33" t="s">
        <v>1495</v>
      </c>
      <c r="E1210" s="33" t="s">
        <v>1496</v>
      </c>
      <c r="F1210" s="33" t="s">
        <v>1497</v>
      </c>
      <c r="G1210" s="33" t="s">
        <v>3748</v>
      </c>
      <c r="H1210" s="33" t="s">
        <v>3749</v>
      </c>
      <c r="I1210" s="33" t="s">
        <v>3750</v>
      </c>
      <c r="J1210" s="33">
        <v>115337</v>
      </c>
      <c r="K1210" s="33" t="s">
        <v>3951</v>
      </c>
      <c r="L1210" s="33" t="s">
        <v>3952</v>
      </c>
      <c r="M1210" s="33" t="s">
        <v>3953</v>
      </c>
      <c r="N1210" s="44">
        <v>42182012</v>
      </c>
      <c r="O1210" s="33" t="s">
        <v>3974</v>
      </c>
      <c r="P1210" s="33" t="s">
        <v>3975</v>
      </c>
      <c r="Q1210" s="34" t="s">
        <v>1494</v>
      </c>
      <c r="R1210" s="34" t="s">
        <v>1494</v>
      </c>
    </row>
    <row r="1211" spans="1:18" ht="15" customHeight="1" x14ac:dyDescent="0.25">
      <c r="A1211" t="str">
        <f>IFERROR(RANK(B1211,$B:$B,1)+COUNTIF($B$1:B1210,B1211),"")</f>
        <v/>
      </c>
      <c r="B1211" t="str">
        <f>IFERROR(SEARCH(#REF!,Table4[[#This Row],[Commodity Title]],1),"")</f>
        <v/>
      </c>
      <c r="C1211" s="35">
        <v>42182013</v>
      </c>
      <c r="D1211" s="33" t="s">
        <v>1495</v>
      </c>
      <c r="E1211" s="33" t="s">
        <v>1496</v>
      </c>
      <c r="F1211" s="33" t="s">
        <v>1497</v>
      </c>
      <c r="G1211" s="33" t="s">
        <v>3748</v>
      </c>
      <c r="H1211" s="33" t="s">
        <v>3749</v>
      </c>
      <c r="I1211" s="33" t="s">
        <v>3750</v>
      </c>
      <c r="J1211" s="33">
        <v>115338</v>
      </c>
      <c r="K1211" s="33" t="s">
        <v>3951</v>
      </c>
      <c r="L1211" s="33" t="s">
        <v>3952</v>
      </c>
      <c r="M1211" s="33" t="s">
        <v>3953</v>
      </c>
      <c r="N1211" s="44">
        <v>42182013</v>
      </c>
      <c r="O1211" s="33" t="s">
        <v>3976</v>
      </c>
      <c r="P1211" s="33" t="s">
        <v>3977</v>
      </c>
      <c r="Q1211" s="34" t="s">
        <v>1494</v>
      </c>
      <c r="R1211" s="34" t="s">
        <v>1494</v>
      </c>
    </row>
    <row r="1212" spans="1:18" ht="15" customHeight="1" x14ac:dyDescent="0.25">
      <c r="A1212" t="str">
        <f>IFERROR(RANK(B1212,$B:$B,1)+COUNTIF($B$1:B1211,B1212),"")</f>
        <v/>
      </c>
      <c r="B1212" t="str">
        <f>IFERROR(SEARCH(#REF!,Table4[[#This Row],[Commodity Title]],1),"")</f>
        <v/>
      </c>
      <c r="C1212" s="35">
        <v>42182015</v>
      </c>
      <c r="D1212" s="33" t="s">
        <v>1495</v>
      </c>
      <c r="E1212" s="33" t="s">
        <v>1496</v>
      </c>
      <c r="F1212" s="33" t="s">
        <v>1497</v>
      </c>
      <c r="G1212" s="33" t="s">
        <v>3748</v>
      </c>
      <c r="H1212" s="33" t="s">
        <v>3749</v>
      </c>
      <c r="I1212" s="33" t="s">
        <v>3750</v>
      </c>
      <c r="J1212" s="33">
        <v>142494</v>
      </c>
      <c r="K1212" s="33" t="s">
        <v>3951</v>
      </c>
      <c r="L1212" s="33" t="s">
        <v>3952</v>
      </c>
      <c r="M1212" s="33" t="s">
        <v>3953</v>
      </c>
      <c r="N1212" s="44">
        <v>42182015</v>
      </c>
      <c r="O1212" s="33" t="s">
        <v>3978</v>
      </c>
      <c r="P1212" s="33" t="s">
        <v>3979</v>
      </c>
      <c r="Q1212" s="34" t="s">
        <v>1494</v>
      </c>
      <c r="R1212" s="34" t="s">
        <v>1494</v>
      </c>
    </row>
    <row r="1213" spans="1:18" ht="15" customHeight="1" x14ac:dyDescent="0.25">
      <c r="A1213" t="str">
        <f>IFERROR(RANK(B1213,$B:$B,1)+COUNTIF($B$1:B1212,B1213),"")</f>
        <v/>
      </c>
      <c r="B1213" t="str">
        <f>IFERROR(SEARCH(#REF!,Table4[[#This Row],[Commodity Title]],1),"")</f>
        <v/>
      </c>
      <c r="C1213" s="35">
        <v>42182017</v>
      </c>
      <c r="D1213" s="33" t="s">
        <v>1495</v>
      </c>
      <c r="E1213" s="33" t="s">
        <v>1496</v>
      </c>
      <c r="F1213" s="33" t="s">
        <v>1497</v>
      </c>
      <c r="G1213" s="33" t="s">
        <v>3748</v>
      </c>
      <c r="H1213" s="33" t="s">
        <v>3749</v>
      </c>
      <c r="I1213" s="33" t="s">
        <v>3750</v>
      </c>
      <c r="J1213" s="33">
        <v>142496</v>
      </c>
      <c r="K1213" s="33" t="s">
        <v>3951</v>
      </c>
      <c r="L1213" s="33" t="s">
        <v>3952</v>
      </c>
      <c r="M1213" s="33" t="s">
        <v>3953</v>
      </c>
      <c r="N1213" s="44">
        <v>42182017</v>
      </c>
      <c r="O1213" s="33" t="s">
        <v>3980</v>
      </c>
      <c r="P1213" s="33" t="s">
        <v>3981</v>
      </c>
      <c r="Q1213" s="34" t="s">
        <v>1494</v>
      </c>
      <c r="R1213" s="34" t="s">
        <v>1494</v>
      </c>
    </row>
    <row r="1214" spans="1:18" ht="15" customHeight="1" x14ac:dyDescent="0.25">
      <c r="A1214" t="str">
        <f>IFERROR(RANK(B1214,$B:$B,1)+COUNTIF($B$1:B1213,B1214),"")</f>
        <v/>
      </c>
      <c r="B1214" t="str">
        <f>IFERROR(SEARCH(#REF!,Table4[[#This Row],[Commodity Title]],1),"")</f>
        <v/>
      </c>
      <c r="C1214" s="35">
        <v>42182021</v>
      </c>
      <c r="D1214" s="33" t="s">
        <v>1495</v>
      </c>
      <c r="E1214" s="33" t="s">
        <v>1496</v>
      </c>
      <c r="F1214" s="33" t="s">
        <v>1497</v>
      </c>
      <c r="G1214" s="33" t="s">
        <v>3748</v>
      </c>
      <c r="H1214" s="33" t="s">
        <v>3749</v>
      </c>
      <c r="I1214" s="33" t="s">
        <v>3750</v>
      </c>
      <c r="J1214" s="33">
        <v>202708</v>
      </c>
      <c r="K1214" s="33" t="s">
        <v>3951</v>
      </c>
      <c r="L1214" s="33" t="s">
        <v>3952</v>
      </c>
      <c r="M1214" s="33" t="s">
        <v>3953</v>
      </c>
      <c r="N1214" s="44">
        <v>42182021</v>
      </c>
      <c r="O1214" s="33" t="s">
        <v>3982</v>
      </c>
      <c r="P1214" s="33" t="s">
        <v>3983</v>
      </c>
      <c r="Q1214" s="34" t="s">
        <v>1494</v>
      </c>
      <c r="R1214" s="34" t="s">
        <v>1494</v>
      </c>
    </row>
    <row r="1215" spans="1:18" ht="15" customHeight="1" x14ac:dyDescent="0.25">
      <c r="A1215" t="str">
        <f>IFERROR(RANK(B1215,$B:$B,1)+COUNTIF($B$1:B1214,B1215),"")</f>
        <v/>
      </c>
      <c r="B1215" t="str">
        <f>IFERROR(SEARCH(#REF!,Table4[[#This Row],[Commodity Title]],1),"")</f>
        <v/>
      </c>
      <c r="C1215" s="35">
        <v>42182022</v>
      </c>
      <c r="D1215" s="33" t="s">
        <v>1495</v>
      </c>
      <c r="E1215" s="33" t="s">
        <v>1496</v>
      </c>
      <c r="F1215" s="33" t="s">
        <v>1497</v>
      </c>
      <c r="G1215" s="33" t="s">
        <v>3748</v>
      </c>
      <c r="H1215" s="33" t="s">
        <v>3749</v>
      </c>
      <c r="I1215" s="33" t="s">
        <v>3750</v>
      </c>
      <c r="J1215" s="33">
        <v>202709</v>
      </c>
      <c r="K1215" s="33" t="s">
        <v>3951</v>
      </c>
      <c r="L1215" s="33" t="s">
        <v>3952</v>
      </c>
      <c r="M1215" s="33" t="s">
        <v>3953</v>
      </c>
      <c r="N1215" s="44">
        <v>42182022</v>
      </c>
      <c r="O1215" s="33" t="s">
        <v>3984</v>
      </c>
      <c r="P1215" s="33" t="s">
        <v>3985</v>
      </c>
      <c r="Q1215" s="34" t="s">
        <v>1494</v>
      </c>
      <c r="R1215" s="34" t="s">
        <v>1494</v>
      </c>
    </row>
    <row r="1216" spans="1:18" ht="15" customHeight="1" x14ac:dyDescent="0.25">
      <c r="A1216" t="str">
        <f>IFERROR(RANK(B1216,$B:$B,1)+COUNTIF($B$1:B1215,B1216),"")</f>
        <v/>
      </c>
      <c r="B1216" t="str">
        <f>IFERROR(SEARCH(#REF!,Table4[[#This Row],[Commodity Title]],1),"")</f>
        <v/>
      </c>
      <c r="C1216" s="35">
        <v>42182023</v>
      </c>
      <c r="D1216" s="33" t="s">
        <v>1495</v>
      </c>
      <c r="E1216" s="33" t="s">
        <v>1496</v>
      </c>
      <c r="F1216" s="33" t="s">
        <v>1497</v>
      </c>
      <c r="G1216" s="33" t="s">
        <v>3748</v>
      </c>
      <c r="H1216" s="33" t="s">
        <v>3749</v>
      </c>
      <c r="I1216" s="33" t="s">
        <v>3750</v>
      </c>
      <c r="J1216" s="33">
        <v>202710</v>
      </c>
      <c r="K1216" s="33" t="s">
        <v>3951</v>
      </c>
      <c r="L1216" s="33" t="s">
        <v>3952</v>
      </c>
      <c r="M1216" s="33" t="s">
        <v>3953</v>
      </c>
      <c r="N1216" s="44">
        <v>42182023</v>
      </c>
      <c r="O1216" s="33" t="s">
        <v>3986</v>
      </c>
      <c r="P1216" s="33" t="s">
        <v>3987</v>
      </c>
      <c r="Q1216" s="34" t="s">
        <v>1494</v>
      </c>
      <c r="R1216" s="34" t="s">
        <v>1494</v>
      </c>
    </row>
    <row r="1217" spans="1:18" ht="15" customHeight="1" x14ac:dyDescent="0.25">
      <c r="A1217" t="str">
        <f>IFERROR(RANK(B1217,$B:$B,1)+COUNTIF($B$1:B1216,B1217),"")</f>
        <v/>
      </c>
      <c r="B1217" t="str">
        <f>IFERROR(SEARCH(#REF!,Table4[[#This Row],[Commodity Title]],1),"")</f>
        <v/>
      </c>
      <c r="C1217" s="35">
        <v>42182024</v>
      </c>
      <c r="D1217" s="33" t="s">
        <v>1495</v>
      </c>
      <c r="E1217" s="33" t="s">
        <v>1496</v>
      </c>
      <c r="F1217" s="33" t="s">
        <v>1497</v>
      </c>
      <c r="G1217" s="33" t="s">
        <v>3748</v>
      </c>
      <c r="H1217" s="33" t="s">
        <v>3749</v>
      </c>
      <c r="I1217" s="33" t="s">
        <v>3750</v>
      </c>
      <c r="J1217" s="33">
        <v>202711</v>
      </c>
      <c r="K1217" s="33" t="s">
        <v>3951</v>
      </c>
      <c r="L1217" s="33" t="s">
        <v>3952</v>
      </c>
      <c r="M1217" s="33" t="s">
        <v>3953</v>
      </c>
      <c r="N1217" s="44">
        <v>42182024</v>
      </c>
      <c r="O1217" s="33" t="s">
        <v>3988</v>
      </c>
      <c r="P1217" s="33" t="s">
        <v>3989</v>
      </c>
      <c r="Q1217" s="34" t="s">
        <v>1494</v>
      </c>
      <c r="R1217" s="34" t="s">
        <v>1494</v>
      </c>
    </row>
    <row r="1218" spans="1:18" ht="15" customHeight="1" x14ac:dyDescent="0.25">
      <c r="A1218" t="str">
        <f>IFERROR(RANK(B1218,$B:$B,1)+COUNTIF($B$1:B1217,B1218),"")</f>
        <v/>
      </c>
      <c r="B1218" t="str">
        <f>IFERROR(SEARCH(#REF!,Table4[[#This Row],[Commodity Title]],1),"")</f>
        <v/>
      </c>
      <c r="C1218" s="35">
        <v>42182025</v>
      </c>
      <c r="D1218" s="33" t="s">
        <v>1495</v>
      </c>
      <c r="E1218" s="33" t="s">
        <v>1496</v>
      </c>
      <c r="F1218" s="33" t="s">
        <v>1497</v>
      </c>
      <c r="G1218" s="33" t="s">
        <v>3748</v>
      </c>
      <c r="H1218" s="33" t="s">
        <v>3749</v>
      </c>
      <c r="I1218" s="33" t="s">
        <v>3750</v>
      </c>
      <c r="J1218" s="33">
        <v>202707</v>
      </c>
      <c r="K1218" s="33" t="s">
        <v>3951</v>
      </c>
      <c r="L1218" s="33" t="s">
        <v>3952</v>
      </c>
      <c r="M1218" s="33" t="s">
        <v>3953</v>
      </c>
      <c r="N1218" s="44">
        <v>42182025</v>
      </c>
      <c r="O1218" s="33" t="s">
        <v>3990</v>
      </c>
      <c r="P1218" s="33" t="s">
        <v>3991</v>
      </c>
      <c r="Q1218" s="34" t="s">
        <v>1494</v>
      </c>
      <c r="R1218" s="34" t="s">
        <v>1494</v>
      </c>
    </row>
    <row r="1219" spans="1:18" ht="15" customHeight="1" x14ac:dyDescent="0.25">
      <c r="A1219" t="str">
        <f>IFERROR(RANK(B1219,$B:$B,1)+COUNTIF($B$1:B1218,B1219),"")</f>
        <v/>
      </c>
      <c r="B1219" t="str">
        <f>IFERROR(SEARCH(#REF!,Table4[[#This Row],[Commodity Title]],1),"")</f>
        <v/>
      </c>
      <c r="C1219" s="33" t="s">
        <v>1494</v>
      </c>
      <c r="D1219" s="33" t="s">
        <v>1495</v>
      </c>
      <c r="E1219" s="33" t="s">
        <v>1496</v>
      </c>
      <c r="F1219" s="33" t="s">
        <v>1497</v>
      </c>
      <c r="G1219" s="33" t="s">
        <v>3748</v>
      </c>
      <c r="H1219" s="33" t="s">
        <v>3749</v>
      </c>
      <c r="I1219" s="33" t="s">
        <v>3750</v>
      </c>
      <c r="J1219" s="33">
        <v>104280</v>
      </c>
      <c r="K1219" s="33" t="s">
        <v>3992</v>
      </c>
      <c r="L1219" s="33" t="s">
        <v>3993</v>
      </c>
      <c r="M1219" s="33" t="s">
        <v>3994</v>
      </c>
      <c r="N1219" s="44" t="s">
        <v>1494</v>
      </c>
      <c r="O1219" s="33" t="s">
        <v>1494</v>
      </c>
      <c r="P1219" s="33" t="s">
        <v>1494</v>
      </c>
      <c r="Q1219" s="34" t="s">
        <v>1494</v>
      </c>
      <c r="R1219" s="34" t="s">
        <v>1494</v>
      </c>
    </row>
    <row r="1220" spans="1:18" ht="15" customHeight="1" x14ac:dyDescent="0.25">
      <c r="A1220" t="str">
        <f>IFERROR(RANK(B1220,$B:$B,1)+COUNTIF($B$1:B1219,B1220),"")</f>
        <v/>
      </c>
      <c r="B1220" t="str">
        <f>IFERROR(SEARCH(#REF!,Table4[[#This Row],[Commodity Title]],1),"")</f>
        <v/>
      </c>
      <c r="C1220" s="35">
        <v>42182101</v>
      </c>
      <c r="D1220" s="33" t="s">
        <v>1495</v>
      </c>
      <c r="E1220" s="33" t="s">
        <v>1496</v>
      </c>
      <c r="F1220" s="33" t="s">
        <v>1497</v>
      </c>
      <c r="G1220" s="33" t="s">
        <v>3748</v>
      </c>
      <c r="H1220" s="33" t="s">
        <v>3749</v>
      </c>
      <c r="I1220" s="33" t="s">
        <v>3750</v>
      </c>
      <c r="J1220" s="33">
        <v>115340</v>
      </c>
      <c r="K1220" s="33" t="s">
        <v>3992</v>
      </c>
      <c r="L1220" s="33" t="s">
        <v>3993</v>
      </c>
      <c r="M1220" s="33" t="s">
        <v>3994</v>
      </c>
      <c r="N1220" s="44">
        <v>42182101</v>
      </c>
      <c r="O1220" s="33" t="s">
        <v>3995</v>
      </c>
      <c r="P1220" s="33" t="s">
        <v>3996</v>
      </c>
      <c r="Q1220" s="34" t="s">
        <v>1494</v>
      </c>
      <c r="R1220" s="34" t="s">
        <v>1494</v>
      </c>
    </row>
    <row r="1221" spans="1:18" ht="15" customHeight="1" x14ac:dyDescent="0.25">
      <c r="A1221" t="str">
        <f>IFERROR(RANK(B1221,$B:$B,1)+COUNTIF($B$1:B1220,B1221),"")</f>
        <v/>
      </c>
      <c r="B1221" t="str">
        <f>IFERROR(SEARCH(#REF!,Table4[[#This Row],[Commodity Title]],1),"")</f>
        <v/>
      </c>
      <c r="C1221" s="35">
        <v>42182102</v>
      </c>
      <c r="D1221" s="33" t="s">
        <v>1495</v>
      </c>
      <c r="E1221" s="33" t="s">
        <v>1496</v>
      </c>
      <c r="F1221" s="33" t="s">
        <v>1497</v>
      </c>
      <c r="G1221" s="33" t="s">
        <v>3748</v>
      </c>
      <c r="H1221" s="33" t="s">
        <v>3749</v>
      </c>
      <c r="I1221" s="33" t="s">
        <v>3750</v>
      </c>
      <c r="J1221" s="33">
        <v>115341</v>
      </c>
      <c r="K1221" s="33" t="s">
        <v>3992</v>
      </c>
      <c r="L1221" s="33" t="s">
        <v>3993</v>
      </c>
      <c r="M1221" s="33" t="s">
        <v>3994</v>
      </c>
      <c r="N1221" s="44">
        <v>42182102</v>
      </c>
      <c r="O1221" s="33" t="s">
        <v>3997</v>
      </c>
      <c r="P1221" s="33" t="s">
        <v>3998</v>
      </c>
      <c r="Q1221" s="34" t="s">
        <v>1494</v>
      </c>
      <c r="R1221" s="34" t="s">
        <v>1494</v>
      </c>
    </row>
    <row r="1222" spans="1:18" ht="15" customHeight="1" x14ac:dyDescent="0.25">
      <c r="A1222" t="str">
        <f>IFERROR(RANK(B1222,$B:$B,1)+COUNTIF($B$1:B1221,B1222),"")</f>
        <v/>
      </c>
      <c r="B1222" t="str">
        <f>IFERROR(SEARCH(#REF!,Table4[[#This Row],[Commodity Title]],1),"")</f>
        <v/>
      </c>
      <c r="C1222" s="35">
        <v>42182103</v>
      </c>
      <c r="D1222" s="33" t="s">
        <v>1495</v>
      </c>
      <c r="E1222" s="33" t="s">
        <v>1496</v>
      </c>
      <c r="F1222" s="33" t="s">
        <v>1497</v>
      </c>
      <c r="G1222" s="33" t="s">
        <v>3748</v>
      </c>
      <c r="H1222" s="33" t="s">
        <v>3749</v>
      </c>
      <c r="I1222" s="33" t="s">
        <v>3750</v>
      </c>
      <c r="J1222" s="33">
        <v>115342</v>
      </c>
      <c r="K1222" s="33" t="s">
        <v>3992</v>
      </c>
      <c r="L1222" s="33" t="s">
        <v>3993</v>
      </c>
      <c r="M1222" s="33" t="s">
        <v>3994</v>
      </c>
      <c r="N1222" s="44">
        <v>42182103</v>
      </c>
      <c r="O1222" s="33" t="s">
        <v>3999</v>
      </c>
      <c r="P1222" s="33" t="s">
        <v>4000</v>
      </c>
      <c r="Q1222" s="34" t="s">
        <v>1494</v>
      </c>
      <c r="R1222" s="34" t="s">
        <v>1494</v>
      </c>
    </row>
    <row r="1223" spans="1:18" ht="15" customHeight="1" x14ac:dyDescent="0.25">
      <c r="A1223" t="str">
        <f>IFERROR(RANK(B1223,$B:$B,1)+COUNTIF($B$1:B1222,B1223),"")</f>
        <v/>
      </c>
      <c r="B1223" t="str">
        <f>IFERROR(SEARCH(#REF!,Table4[[#This Row],[Commodity Title]],1),"")</f>
        <v/>
      </c>
      <c r="C1223" s="35">
        <v>42182104</v>
      </c>
      <c r="D1223" s="33" t="s">
        <v>1495</v>
      </c>
      <c r="E1223" s="33" t="s">
        <v>1496</v>
      </c>
      <c r="F1223" s="33" t="s">
        <v>1497</v>
      </c>
      <c r="G1223" s="33" t="s">
        <v>3748</v>
      </c>
      <c r="H1223" s="33" t="s">
        <v>3749</v>
      </c>
      <c r="I1223" s="33" t="s">
        <v>3750</v>
      </c>
      <c r="J1223" s="33">
        <v>115343</v>
      </c>
      <c r="K1223" s="33" t="s">
        <v>3992</v>
      </c>
      <c r="L1223" s="33" t="s">
        <v>3993</v>
      </c>
      <c r="M1223" s="33" t="s">
        <v>3994</v>
      </c>
      <c r="N1223" s="44">
        <v>42182104</v>
      </c>
      <c r="O1223" s="33" t="s">
        <v>4001</v>
      </c>
      <c r="P1223" s="33" t="s">
        <v>4002</v>
      </c>
      <c r="Q1223" s="34" t="s">
        <v>1494</v>
      </c>
      <c r="R1223" s="34" t="s">
        <v>1494</v>
      </c>
    </row>
    <row r="1224" spans="1:18" ht="15" customHeight="1" x14ac:dyDescent="0.25">
      <c r="A1224" t="str">
        <f>IFERROR(RANK(B1224,$B:$B,1)+COUNTIF($B$1:B1223,B1224),"")</f>
        <v/>
      </c>
      <c r="B1224" t="str">
        <f>IFERROR(SEARCH(#REF!,Table4[[#This Row],[Commodity Title]],1),"")</f>
        <v/>
      </c>
      <c r="C1224" s="35">
        <v>42182105</v>
      </c>
      <c r="D1224" s="33" t="s">
        <v>1495</v>
      </c>
      <c r="E1224" s="33" t="s">
        <v>1496</v>
      </c>
      <c r="F1224" s="33" t="s">
        <v>1497</v>
      </c>
      <c r="G1224" s="33" t="s">
        <v>3748</v>
      </c>
      <c r="H1224" s="33" t="s">
        <v>3749</v>
      </c>
      <c r="I1224" s="33" t="s">
        <v>3750</v>
      </c>
      <c r="J1224" s="33">
        <v>115344</v>
      </c>
      <c r="K1224" s="33" t="s">
        <v>3992</v>
      </c>
      <c r="L1224" s="33" t="s">
        <v>3993</v>
      </c>
      <c r="M1224" s="33" t="s">
        <v>3994</v>
      </c>
      <c r="N1224" s="44">
        <v>42182105</v>
      </c>
      <c r="O1224" s="33" t="s">
        <v>4003</v>
      </c>
      <c r="P1224" s="33" t="s">
        <v>4004</v>
      </c>
      <c r="Q1224" s="34" t="s">
        <v>1494</v>
      </c>
      <c r="R1224" s="34" t="s">
        <v>1494</v>
      </c>
    </row>
    <row r="1225" spans="1:18" ht="15" customHeight="1" x14ac:dyDescent="0.25">
      <c r="A1225" t="str">
        <f>IFERROR(RANK(B1225,$B:$B,1)+COUNTIF($B$1:B1224,B1225),"")</f>
        <v/>
      </c>
      <c r="B1225" t="str">
        <f>IFERROR(SEARCH(#REF!,Table4[[#This Row],[Commodity Title]],1),"")</f>
        <v/>
      </c>
      <c r="C1225" s="35">
        <v>42182106</v>
      </c>
      <c r="D1225" s="33" t="s">
        <v>1495</v>
      </c>
      <c r="E1225" s="33" t="s">
        <v>1496</v>
      </c>
      <c r="F1225" s="33" t="s">
        <v>1497</v>
      </c>
      <c r="G1225" s="33" t="s">
        <v>3748</v>
      </c>
      <c r="H1225" s="33" t="s">
        <v>3749</v>
      </c>
      <c r="I1225" s="33" t="s">
        <v>3750</v>
      </c>
      <c r="J1225" s="33">
        <v>115345</v>
      </c>
      <c r="K1225" s="33" t="s">
        <v>3992</v>
      </c>
      <c r="L1225" s="33" t="s">
        <v>3993</v>
      </c>
      <c r="M1225" s="33" t="s">
        <v>3994</v>
      </c>
      <c r="N1225" s="44">
        <v>42182106</v>
      </c>
      <c r="O1225" s="33" t="s">
        <v>4005</v>
      </c>
      <c r="P1225" s="33" t="s">
        <v>4006</v>
      </c>
      <c r="Q1225" s="34" t="s">
        <v>1494</v>
      </c>
      <c r="R1225" s="34" t="s">
        <v>1494</v>
      </c>
    </row>
    <row r="1226" spans="1:18" ht="15" customHeight="1" x14ac:dyDescent="0.25">
      <c r="A1226" t="str">
        <f>IFERROR(RANK(B1226,$B:$B,1)+COUNTIF($B$1:B1225,B1226),"")</f>
        <v/>
      </c>
      <c r="B1226" t="str">
        <f>IFERROR(SEARCH(#REF!,Table4[[#This Row],[Commodity Title]],1),"")</f>
        <v/>
      </c>
      <c r="C1226" s="35">
        <v>42182107</v>
      </c>
      <c r="D1226" s="33" t="s">
        <v>1495</v>
      </c>
      <c r="E1226" s="33" t="s">
        <v>1496</v>
      </c>
      <c r="F1226" s="33" t="s">
        <v>1497</v>
      </c>
      <c r="G1226" s="33" t="s">
        <v>3748</v>
      </c>
      <c r="H1226" s="33" t="s">
        <v>3749</v>
      </c>
      <c r="I1226" s="33" t="s">
        <v>3750</v>
      </c>
      <c r="J1226" s="33">
        <v>142500</v>
      </c>
      <c r="K1226" s="33" t="s">
        <v>3992</v>
      </c>
      <c r="L1226" s="33" t="s">
        <v>3993</v>
      </c>
      <c r="M1226" s="33" t="s">
        <v>3994</v>
      </c>
      <c r="N1226" s="44">
        <v>42182107</v>
      </c>
      <c r="O1226" s="33" t="s">
        <v>4007</v>
      </c>
      <c r="P1226" s="33" t="s">
        <v>4008</v>
      </c>
      <c r="Q1226" s="34" t="s">
        <v>1494</v>
      </c>
      <c r="R1226" s="34" t="s">
        <v>1494</v>
      </c>
    </row>
    <row r="1227" spans="1:18" ht="15" customHeight="1" x14ac:dyDescent="0.25">
      <c r="A1227" t="str">
        <f>IFERROR(RANK(B1227,$B:$B,1)+COUNTIF($B$1:B1226,B1227),"")</f>
        <v/>
      </c>
      <c r="B1227" t="str">
        <f>IFERROR(SEARCH(#REF!,Table4[[#This Row],[Commodity Title]],1),"")</f>
        <v/>
      </c>
      <c r="C1227" s="35">
        <v>42182109</v>
      </c>
      <c r="D1227" s="33" t="s">
        <v>1495</v>
      </c>
      <c r="E1227" s="33" t="s">
        <v>1496</v>
      </c>
      <c r="F1227" s="33" t="s">
        <v>1497</v>
      </c>
      <c r="G1227" s="33" t="s">
        <v>3748</v>
      </c>
      <c r="H1227" s="33" t="s">
        <v>3749</v>
      </c>
      <c r="I1227" s="33" t="s">
        <v>3750</v>
      </c>
      <c r="J1227" s="33">
        <v>202712</v>
      </c>
      <c r="K1227" s="33" t="s">
        <v>3992</v>
      </c>
      <c r="L1227" s="33" t="s">
        <v>3993</v>
      </c>
      <c r="M1227" s="33" t="s">
        <v>3994</v>
      </c>
      <c r="N1227" s="44">
        <v>42182109</v>
      </c>
      <c r="O1227" s="33" t="s">
        <v>4009</v>
      </c>
      <c r="P1227" s="33" t="s">
        <v>4010</v>
      </c>
      <c r="Q1227" s="34" t="s">
        <v>1494</v>
      </c>
      <c r="R1227" s="34" t="s">
        <v>1494</v>
      </c>
    </row>
    <row r="1228" spans="1:18" ht="15" customHeight="1" x14ac:dyDescent="0.25">
      <c r="A1228" t="str">
        <f>IFERROR(RANK(B1228,$B:$B,1)+COUNTIF($B$1:B1227,B1228),"")</f>
        <v/>
      </c>
      <c r="B1228" t="str">
        <f>IFERROR(SEARCH(#REF!,Table4[[#This Row],[Commodity Title]],1),"")</f>
        <v/>
      </c>
      <c r="C1228" s="35">
        <v>42182110</v>
      </c>
      <c r="D1228" s="33" t="s">
        <v>1495</v>
      </c>
      <c r="E1228" s="33" t="s">
        <v>1496</v>
      </c>
      <c r="F1228" s="33" t="s">
        <v>1497</v>
      </c>
      <c r="G1228" s="33" t="s">
        <v>3748</v>
      </c>
      <c r="H1228" s="33" t="s">
        <v>3749</v>
      </c>
      <c r="I1228" s="33" t="s">
        <v>3750</v>
      </c>
      <c r="J1228" s="33">
        <v>202713</v>
      </c>
      <c r="K1228" s="33" t="s">
        <v>3992</v>
      </c>
      <c r="L1228" s="33" t="s">
        <v>3993</v>
      </c>
      <c r="M1228" s="33" t="s">
        <v>3994</v>
      </c>
      <c r="N1228" s="44">
        <v>42182110</v>
      </c>
      <c r="O1228" s="33" t="s">
        <v>4011</v>
      </c>
      <c r="P1228" s="33" t="s">
        <v>4012</v>
      </c>
      <c r="Q1228" s="34" t="s">
        <v>1494</v>
      </c>
      <c r="R1228" s="34" t="s">
        <v>1494</v>
      </c>
    </row>
    <row r="1229" spans="1:18" ht="15" customHeight="1" x14ac:dyDescent="0.25">
      <c r="A1229" t="str">
        <f>IFERROR(RANK(B1229,$B:$B,1)+COUNTIF($B$1:B1228,B1229),"")</f>
        <v/>
      </c>
      <c r="B1229" t="str">
        <f>IFERROR(SEARCH(#REF!,Table4[[#This Row],[Commodity Title]],1),"")</f>
        <v/>
      </c>
      <c r="C1229" s="35">
        <v>42182111</v>
      </c>
      <c r="D1229" s="33" t="s">
        <v>1495</v>
      </c>
      <c r="E1229" s="33" t="s">
        <v>1496</v>
      </c>
      <c r="F1229" s="33" t="s">
        <v>1497</v>
      </c>
      <c r="G1229" s="33" t="s">
        <v>3748</v>
      </c>
      <c r="H1229" s="33" t="s">
        <v>3749</v>
      </c>
      <c r="I1229" s="33" t="s">
        <v>3750</v>
      </c>
      <c r="J1229" s="33">
        <v>202714</v>
      </c>
      <c r="K1229" s="33" t="s">
        <v>3992</v>
      </c>
      <c r="L1229" s="33" t="s">
        <v>3993</v>
      </c>
      <c r="M1229" s="33" t="s">
        <v>3994</v>
      </c>
      <c r="N1229" s="44">
        <v>42182111</v>
      </c>
      <c r="O1229" s="33" t="s">
        <v>4013</v>
      </c>
      <c r="P1229" s="33" t="s">
        <v>4014</v>
      </c>
      <c r="Q1229" s="34" t="s">
        <v>1494</v>
      </c>
      <c r="R1229" s="34" t="s">
        <v>1494</v>
      </c>
    </row>
    <row r="1230" spans="1:18" ht="15" customHeight="1" x14ac:dyDescent="0.25">
      <c r="A1230" t="str">
        <f>IFERROR(RANK(B1230,$B:$B,1)+COUNTIF($B$1:B1229,B1230),"")</f>
        <v/>
      </c>
      <c r="B1230" t="str">
        <f>IFERROR(SEARCH(#REF!,Table4[[#This Row],[Commodity Title]],1),"")</f>
        <v/>
      </c>
      <c r="C1230" s="35">
        <v>42182112</v>
      </c>
      <c r="D1230" s="33" t="s">
        <v>1495</v>
      </c>
      <c r="E1230" s="33" t="s">
        <v>1496</v>
      </c>
      <c r="F1230" s="33" t="s">
        <v>1497</v>
      </c>
      <c r="G1230" s="33" t="s">
        <v>3748</v>
      </c>
      <c r="H1230" s="33" t="s">
        <v>3749</v>
      </c>
      <c r="I1230" s="33" t="s">
        <v>3750</v>
      </c>
      <c r="J1230" s="33">
        <v>202715</v>
      </c>
      <c r="K1230" s="33" t="s">
        <v>3992</v>
      </c>
      <c r="L1230" s="33" t="s">
        <v>3993</v>
      </c>
      <c r="M1230" s="33" t="s">
        <v>3994</v>
      </c>
      <c r="N1230" s="44">
        <v>42182112</v>
      </c>
      <c r="O1230" s="33" t="s">
        <v>4015</v>
      </c>
      <c r="P1230" s="33" t="s">
        <v>4016</v>
      </c>
      <c r="Q1230" s="34" t="s">
        <v>1494</v>
      </c>
      <c r="R1230" s="34" t="s">
        <v>1494</v>
      </c>
    </row>
    <row r="1231" spans="1:18" ht="15" customHeight="1" x14ac:dyDescent="0.25">
      <c r="A1231" t="str">
        <f>IFERROR(RANK(B1231,$B:$B,1)+COUNTIF($B$1:B1230,B1231),"")</f>
        <v/>
      </c>
      <c r="B1231" t="str">
        <f>IFERROR(SEARCH(#REF!,Table4[[#This Row],[Commodity Title]],1),"")</f>
        <v/>
      </c>
      <c r="C1231" s="35">
        <v>42182113</v>
      </c>
      <c r="D1231" s="33" t="s">
        <v>1495</v>
      </c>
      <c r="E1231" s="33" t="s">
        <v>1496</v>
      </c>
      <c r="F1231" s="33" t="s">
        <v>1497</v>
      </c>
      <c r="G1231" s="33" t="s">
        <v>3748</v>
      </c>
      <c r="H1231" s="33" t="s">
        <v>3749</v>
      </c>
      <c r="I1231" s="33" t="s">
        <v>3750</v>
      </c>
      <c r="J1231" s="33">
        <v>202716</v>
      </c>
      <c r="K1231" s="33" t="s">
        <v>3992</v>
      </c>
      <c r="L1231" s="33" t="s">
        <v>3993</v>
      </c>
      <c r="M1231" s="33" t="s">
        <v>3994</v>
      </c>
      <c r="N1231" s="44">
        <v>42182113</v>
      </c>
      <c r="O1231" s="33" t="s">
        <v>4017</v>
      </c>
      <c r="P1231" s="33" t="s">
        <v>4018</v>
      </c>
      <c r="Q1231" s="34" t="s">
        <v>1494</v>
      </c>
      <c r="R1231" s="34" t="s">
        <v>1494</v>
      </c>
    </row>
    <row r="1232" spans="1:18" ht="15" customHeight="1" x14ac:dyDescent="0.25">
      <c r="A1232" t="str">
        <f>IFERROR(RANK(B1232,$B:$B,1)+COUNTIF($B$1:B1231,B1232),"")</f>
        <v/>
      </c>
      <c r="B1232" t="str">
        <f>IFERROR(SEARCH(#REF!,Table4[[#This Row],[Commodity Title]],1),"")</f>
        <v/>
      </c>
      <c r="C1232" s="35">
        <v>42182114</v>
      </c>
      <c r="D1232" s="33" t="s">
        <v>1495</v>
      </c>
      <c r="E1232" s="33" t="s">
        <v>1496</v>
      </c>
      <c r="F1232" s="33" t="s">
        <v>1497</v>
      </c>
      <c r="G1232" s="33" t="s">
        <v>3748</v>
      </c>
      <c r="H1232" s="33" t="s">
        <v>3749</v>
      </c>
      <c r="I1232" s="33" t="s">
        <v>3750</v>
      </c>
      <c r="J1232" s="33">
        <v>202717</v>
      </c>
      <c r="K1232" s="33" t="s">
        <v>3992</v>
      </c>
      <c r="L1232" s="33" t="s">
        <v>3993</v>
      </c>
      <c r="M1232" s="33" t="s">
        <v>3994</v>
      </c>
      <c r="N1232" s="44">
        <v>42182114</v>
      </c>
      <c r="O1232" s="33" t="s">
        <v>4019</v>
      </c>
      <c r="P1232" s="33" t="s">
        <v>4020</v>
      </c>
      <c r="Q1232" s="34" t="s">
        <v>1494</v>
      </c>
      <c r="R1232" s="34" t="s">
        <v>1494</v>
      </c>
    </row>
    <row r="1233" spans="1:18" ht="15" customHeight="1" x14ac:dyDescent="0.25">
      <c r="A1233" t="str">
        <f>IFERROR(RANK(B1233,$B:$B,1)+COUNTIF($B$1:B1232,B1233),"")</f>
        <v/>
      </c>
      <c r="B1233" t="str">
        <f>IFERROR(SEARCH(#REF!,Table4[[#This Row],[Commodity Title]],1),"")</f>
        <v/>
      </c>
      <c r="C1233" s="33" t="s">
        <v>1494</v>
      </c>
      <c r="D1233" s="33" t="s">
        <v>1495</v>
      </c>
      <c r="E1233" s="33" t="s">
        <v>1496</v>
      </c>
      <c r="F1233" s="33" t="s">
        <v>1497</v>
      </c>
      <c r="G1233" s="33" t="s">
        <v>3748</v>
      </c>
      <c r="H1233" s="33" t="s">
        <v>3749</v>
      </c>
      <c r="I1233" s="33" t="s">
        <v>3750</v>
      </c>
      <c r="J1233" s="33">
        <v>104276</v>
      </c>
      <c r="K1233" s="33" t="s">
        <v>4021</v>
      </c>
      <c r="L1233" s="33" t="s">
        <v>4022</v>
      </c>
      <c r="M1233" s="33" t="s">
        <v>4023</v>
      </c>
      <c r="N1233" s="44" t="s">
        <v>1494</v>
      </c>
      <c r="O1233" s="33" t="s">
        <v>1494</v>
      </c>
      <c r="P1233" s="33" t="s">
        <v>1494</v>
      </c>
      <c r="Q1233" s="34" t="s">
        <v>1494</v>
      </c>
      <c r="R1233" s="34" t="s">
        <v>1494</v>
      </c>
    </row>
    <row r="1234" spans="1:18" ht="15" customHeight="1" x14ac:dyDescent="0.25">
      <c r="A1234" t="str">
        <f>IFERROR(RANK(B1234,$B:$B,1)+COUNTIF($B$1:B1233,B1234),"")</f>
        <v/>
      </c>
      <c r="B1234" t="str">
        <f>IFERROR(SEARCH(#REF!,Table4[[#This Row],[Commodity Title]],1),"")</f>
        <v/>
      </c>
      <c r="C1234" s="35">
        <v>42182201</v>
      </c>
      <c r="D1234" s="33" t="s">
        <v>1495</v>
      </c>
      <c r="E1234" s="33" t="s">
        <v>1496</v>
      </c>
      <c r="F1234" s="33" t="s">
        <v>1497</v>
      </c>
      <c r="G1234" s="33" t="s">
        <v>3748</v>
      </c>
      <c r="H1234" s="33" t="s">
        <v>3749</v>
      </c>
      <c r="I1234" s="33" t="s">
        <v>3750</v>
      </c>
      <c r="J1234" s="33">
        <v>115347</v>
      </c>
      <c r="K1234" s="33" t="s">
        <v>4021</v>
      </c>
      <c r="L1234" s="33" t="s">
        <v>4022</v>
      </c>
      <c r="M1234" s="33" t="s">
        <v>4023</v>
      </c>
      <c r="N1234" s="44">
        <v>42182201</v>
      </c>
      <c r="O1234" s="33" t="s">
        <v>4024</v>
      </c>
      <c r="P1234" s="33" t="s">
        <v>4025</v>
      </c>
      <c r="Q1234" s="34" t="s">
        <v>1494</v>
      </c>
      <c r="R1234" s="34" t="s">
        <v>1494</v>
      </c>
    </row>
    <row r="1235" spans="1:18" ht="15" customHeight="1" x14ac:dyDescent="0.25">
      <c r="A1235" t="str">
        <f>IFERROR(RANK(B1235,$B:$B,1)+COUNTIF($B$1:B1234,B1235),"")</f>
        <v/>
      </c>
      <c r="B1235" t="str">
        <f>IFERROR(SEARCH(#REF!,Table4[[#This Row],[Commodity Title]],1),"")</f>
        <v/>
      </c>
      <c r="C1235" s="35">
        <v>42182202</v>
      </c>
      <c r="D1235" s="33" t="s">
        <v>1495</v>
      </c>
      <c r="E1235" s="33" t="s">
        <v>1496</v>
      </c>
      <c r="F1235" s="33" t="s">
        <v>1497</v>
      </c>
      <c r="G1235" s="33" t="s">
        <v>3748</v>
      </c>
      <c r="H1235" s="33" t="s">
        <v>3749</v>
      </c>
      <c r="I1235" s="33" t="s">
        <v>3750</v>
      </c>
      <c r="J1235" s="33">
        <v>115348</v>
      </c>
      <c r="K1235" s="33" t="s">
        <v>4021</v>
      </c>
      <c r="L1235" s="33" t="s">
        <v>4022</v>
      </c>
      <c r="M1235" s="33" t="s">
        <v>4023</v>
      </c>
      <c r="N1235" s="44">
        <v>42182202</v>
      </c>
      <c r="O1235" s="33" t="s">
        <v>4026</v>
      </c>
      <c r="P1235" s="33" t="s">
        <v>4027</v>
      </c>
      <c r="Q1235" s="34" t="s">
        <v>1494</v>
      </c>
      <c r="R1235" s="34" t="s">
        <v>1494</v>
      </c>
    </row>
    <row r="1236" spans="1:18" ht="15" customHeight="1" x14ac:dyDescent="0.25">
      <c r="A1236" t="str">
        <f>IFERROR(RANK(B1236,$B:$B,1)+COUNTIF($B$1:B1235,B1236),"")</f>
        <v/>
      </c>
      <c r="B1236" t="str">
        <f>IFERROR(SEARCH(#REF!,Table4[[#This Row],[Commodity Title]],1),"")</f>
        <v/>
      </c>
      <c r="C1236" s="35">
        <v>42182203</v>
      </c>
      <c r="D1236" s="33" t="s">
        <v>1495</v>
      </c>
      <c r="E1236" s="33" t="s">
        <v>1496</v>
      </c>
      <c r="F1236" s="33" t="s">
        <v>1497</v>
      </c>
      <c r="G1236" s="33" t="s">
        <v>3748</v>
      </c>
      <c r="H1236" s="33" t="s">
        <v>3749</v>
      </c>
      <c r="I1236" s="33" t="s">
        <v>3750</v>
      </c>
      <c r="J1236" s="33">
        <v>115349</v>
      </c>
      <c r="K1236" s="33" t="s">
        <v>4021</v>
      </c>
      <c r="L1236" s="33" t="s">
        <v>4022</v>
      </c>
      <c r="M1236" s="33" t="s">
        <v>4023</v>
      </c>
      <c r="N1236" s="44">
        <v>42182203</v>
      </c>
      <c r="O1236" s="33" t="s">
        <v>4028</v>
      </c>
      <c r="P1236" s="33" t="s">
        <v>4029</v>
      </c>
      <c r="Q1236" s="34" t="s">
        <v>1494</v>
      </c>
      <c r="R1236" s="34" t="s">
        <v>1494</v>
      </c>
    </row>
    <row r="1237" spans="1:18" ht="15" customHeight="1" x14ac:dyDescent="0.25">
      <c r="A1237" t="str">
        <f>IFERROR(RANK(B1237,$B:$B,1)+COUNTIF($B$1:B1236,B1237),"")</f>
        <v/>
      </c>
      <c r="B1237" t="str">
        <f>IFERROR(SEARCH(#REF!,Table4[[#This Row],[Commodity Title]],1),"")</f>
        <v/>
      </c>
      <c r="C1237" s="35">
        <v>42182204</v>
      </c>
      <c r="D1237" s="33" t="s">
        <v>1495</v>
      </c>
      <c r="E1237" s="33" t="s">
        <v>1496</v>
      </c>
      <c r="F1237" s="33" t="s">
        <v>1497</v>
      </c>
      <c r="G1237" s="33" t="s">
        <v>3748</v>
      </c>
      <c r="H1237" s="33" t="s">
        <v>3749</v>
      </c>
      <c r="I1237" s="33" t="s">
        <v>3750</v>
      </c>
      <c r="J1237" s="33">
        <v>115350</v>
      </c>
      <c r="K1237" s="33" t="s">
        <v>4021</v>
      </c>
      <c r="L1237" s="33" t="s">
        <v>4022</v>
      </c>
      <c r="M1237" s="33" t="s">
        <v>4023</v>
      </c>
      <c r="N1237" s="44">
        <v>42182204</v>
      </c>
      <c r="O1237" s="33" t="s">
        <v>4030</v>
      </c>
      <c r="P1237" s="33" t="s">
        <v>4031</v>
      </c>
      <c r="Q1237" s="34" t="s">
        <v>1494</v>
      </c>
      <c r="R1237" s="34" t="s">
        <v>1494</v>
      </c>
    </row>
    <row r="1238" spans="1:18" ht="15" customHeight="1" x14ac:dyDescent="0.25">
      <c r="A1238" t="str">
        <f>IFERROR(RANK(B1238,$B:$B,1)+COUNTIF($B$1:B1237,B1238),"")</f>
        <v/>
      </c>
      <c r="B1238" t="str">
        <f>IFERROR(SEARCH(#REF!,Table4[[#This Row],[Commodity Title]],1),"")</f>
        <v/>
      </c>
      <c r="C1238" s="35">
        <v>42182205</v>
      </c>
      <c r="D1238" s="33" t="s">
        <v>1495</v>
      </c>
      <c r="E1238" s="33" t="s">
        <v>1496</v>
      </c>
      <c r="F1238" s="33" t="s">
        <v>1497</v>
      </c>
      <c r="G1238" s="33" t="s">
        <v>3748</v>
      </c>
      <c r="H1238" s="33" t="s">
        <v>3749</v>
      </c>
      <c r="I1238" s="33" t="s">
        <v>3750</v>
      </c>
      <c r="J1238" s="33">
        <v>115351</v>
      </c>
      <c r="K1238" s="33" t="s">
        <v>4021</v>
      </c>
      <c r="L1238" s="33" t="s">
        <v>4022</v>
      </c>
      <c r="M1238" s="33" t="s">
        <v>4023</v>
      </c>
      <c r="N1238" s="44">
        <v>42182205</v>
      </c>
      <c r="O1238" s="33" t="s">
        <v>4032</v>
      </c>
      <c r="P1238" s="33" t="s">
        <v>4033</v>
      </c>
      <c r="Q1238" s="34" t="s">
        <v>1494</v>
      </c>
      <c r="R1238" s="34" t="s">
        <v>1494</v>
      </c>
    </row>
    <row r="1239" spans="1:18" ht="15" customHeight="1" x14ac:dyDescent="0.25">
      <c r="A1239" t="str">
        <f>IFERROR(RANK(B1239,$B:$B,1)+COUNTIF($B$1:B1238,B1239),"")</f>
        <v/>
      </c>
      <c r="B1239" t="str">
        <f>IFERROR(SEARCH(#REF!,Table4[[#This Row],[Commodity Title]],1),"")</f>
        <v/>
      </c>
      <c r="C1239" s="35">
        <v>42182206</v>
      </c>
      <c r="D1239" s="33" t="s">
        <v>1495</v>
      </c>
      <c r="E1239" s="33" t="s">
        <v>1496</v>
      </c>
      <c r="F1239" s="33" t="s">
        <v>1497</v>
      </c>
      <c r="G1239" s="33" t="s">
        <v>3748</v>
      </c>
      <c r="H1239" s="33" t="s">
        <v>3749</v>
      </c>
      <c r="I1239" s="33" t="s">
        <v>3750</v>
      </c>
      <c r="J1239" s="33">
        <v>115352</v>
      </c>
      <c r="K1239" s="33" t="s">
        <v>4021</v>
      </c>
      <c r="L1239" s="33" t="s">
        <v>4022</v>
      </c>
      <c r="M1239" s="33" t="s">
        <v>4023</v>
      </c>
      <c r="N1239" s="44">
        <v>42182206</v>
      </c>
      <c r="O1239" s="33" t="s">
        <v>4034</v>
      </c>
      <c r="P1239" s="33" t="s">
        <v>4035</v>
      </c>
      <c r="Q1239" s="34" t="s">
        <v>1494</v>
      </c>
      <c r="R1239" s="34" t="s">
        <v>1494</v>
      </c>
    </row>
    <row r="1240" spans="1:18" ht="15" customHeight="1" x14ac:dyDescent="0.25">
      <c r="A1240" t="str">
        <f>IFERROR(RANK(B1240,$B:$B,1)+COUNTIF($B$1:B1239,B1240),"")</f>
        <v/>
      </c>
      <c r="B1240" t="str">
        <f>IFERROR(SEARCH(#REF!,Table4[[#This Row],[Commodity Title]],1),"")</f>
        <v/>
      </c>
      <c r="C1240" s="35">
        <v>42182207</v>
      </c>
      <c r="D1240" s="33" t="s">
        <v>1495</v>
      </c>
      <c r="E1240" s="33" t="s">
        <v>1496</v>
      </c>
      <c r="F1240" s="33" t="s">
        <v>1497</v>
      </c>
      <c r="G1240" s="33" t="s">
        <v>3748</v>
      </c>
      <c r="H1240" s="33" t="s">
        <v>3749</v>
      </c>
      <c r="I1240" s="33" t="s">
        <v>3750</v>
      </c>
      <c r="J1240" s="33">
        <v>115353</v>
      </c>
      <c r="K1240" s="33" t="s">
        <v>4021</v>
      </c>
      <c r="L1240" s="33" t="s">
        <v>4022</v>
      </c>
      <c r="M1240" s="33" t="s">
        <v>4023</v>
      </c>
      <c r="N1240" s="44">
        <v>42182207</v>
      </c>
      <c r="O1240" s="33" t="s">
        <v>4036</v>
      </c>
      <c r="P1240" s="33" t="s">
        <v>4037</v>
      </c>
      <c r="Q1240" s="34" t="s">
        <v>1494</v>
      </c>
      <c r="R1240" s="34" t="s">
        <v>1494</v>
      </c>
    </row>
    <row r="1241" spans="1:18" ht="15" customHeight="1" x14ac:dyDescent="0.25">
      <c r="A1241" t="str">
        <f>IFERROR(RANK(B1241,$B:$B,1)+COUNTIF($B$1:B1240,B1241),"")</f>
        <v/>
      </c>
      <c r="B1241" t="str">
        <f>IFERROR(SEARCH(#REF!,Table4[[#This Row],[Commodity Title]],1),"")</f>
        <v/>
      </c>
      <c r="C1241" s="35">
        <v>42182208</v>
      </c>
      <c r="D1241" s="33" t="s">
        <v>1495</v>
      </c>
      <c r="E1241" s="33" t="s">
        <v>1496</v>
      </c>
      <c r="F1241" s="33" t="s">
        <v>1497</v>
      </c>
      <c r="G1241" s="33" t="s">
        <v>3748</v>
      </c>
      <c r="H1241" s="33" t="s">
        <v>3749</v>
      </c>
      <c r="I1241" s="33" t="s">
        <v>3750</v>
      </c>
      <c r="J1241" s="33">
        <v>115354</v>
      </c>
      <c r="K1241" s="33" t="s">
        <v>4021</v>
      </c>
      <c r="L1241" s="33" t="s">
        <v>4022</v>
      </c>
      <c r="M1241" s="33" t="s">
        <v>4023</v>
      </c>
      <c r="N1241" s="44">
        <v>42182208</v>
      </c>
      <c r="O1241" s="33" t="s">
        <v>4038</v>
      </c>
      <c r="P1241" s="33" t="s">
        <v>4039</v>
      </c>
      <c r="Q1241" s="34" t="s">
        <v>1494</v>
      </c>
      <c r="R1241" s="34" t="s">
        <v>1494</v>
      </c>
    </row>
    <row r="1242" spans="1:18" ht="15" customHeight="1" x14ac:dyDescent="0.25">
      <c r="A1242" t="str">
        <f>IFERROR(RANK(B1242,$B:$B,1)+COUNTIF($B$1:B1241,B1242),"")</f>
        <v/>
      </c>
      <c r="B1242" t="str">
        <f>IFERROR(SEARCH(#REF!,Table4[[#This Row],[Commodity Title]],1),"")</f>
        <v/>
      </c>
      <c r="C1242" s="35">
        <v>42182209</v>
      </c>
      <c r="D1242" s="33" t="s">
        <v>1495</v>
      </c>
      <c r="E1242" s="33" t="s">
        <v>1496</v>
      </c>
      <c r="F1242" s="33" t="s">
        <v>1497</v>
      </c>
      <c r="G1242" s="33" t="s">
        <v>3748</v>
      </c>
      <c r="H1242" s="33" t="s">
        <v>3749</v>
      </c>
      <c r="I1242" s="33" t="s">
        <v>3750</v>
      </c>
      <c r="J1242" s="33">
        <v>142502</v>
      </c>
      <c r="K1242" s="33" t="s">
        <v>4021</v>
      </c>
      <c r="L1242" s="33" t="s">
        <v>4022</v>
      </c>
      <c r="M1242" s="33" t="s">
        <v>4023</v>
      </c>
      <c r="N1242" s="44">
        <v>42182209</v>
      </c>
      <c r="O1242" s="33" t="s">
        <v>4040</v>
      </c>
      <c r="P1242" s="33" t="s">
        <v>4041</v>
      </c>
      <c r="Q1242" s="34" t="s">
        <v>1494</v>
      </c>
      <c r="R1242" s="34" t="s">
        <v>1494</v>
      </c>
    </row>
    <row r="1243" spans="1:18" ht="15" customHeight="1" x14ac:dyDescent="0.25">
      <c r="A1243" t="str">
        <f>IFERROR(RANK(B1243,$B:$B,1)+COUNTIF($B$1:B1242,B1243),"")</f>
        <v/>
      </c>
      <c r="B1243" t="str">
        <f>IFERROR(SEARCH(#REF!,Table4[[#This Row],[Commodity Title]],1),"")</f>
        <v/>
      </c>
      <c r="C1243" s="35">
        <v>42182210</v>
      </c>
      <c r="D1243" s="33" t="s">
        <v>1495</v>
      </c>
      <c r="E1243" s="33" t="s">
        <v>1496</v>
      </c>
      <c r="F1243" s="33" t="s">
        <v>1497</v>
      </c>
      <c r="G1243" s="33" t="s">
        <v>3748</v>
      </c>
      <c r="H1243" s="33" t="s">
        <v>3749</v>
      </c>
      <c r="I1243" s="33" t="s">
        <v>3750</v>
      </c>
      <c r="J1243" s="33">
        <v>166789</v>
      </c>
      <c r="K1243" s="33" t="s">
        <v>4021</v>
      </c>
      <c r="L1243" s="33" t="s">
        <v>4022</v>
      </c>
      <c r="M1243" s="33" t="s">
        <v>4023</v>
      </c>
      <c r="N1243" s="44">
        <v>42182210</v>
      </c>
      <c r="O1243" s="33" t="s">
        <v>4042</v>
      </c>
      <c r="P1243" s="33" t="s">
        <v>4043</v>
      </c>
      <c r="Q1243" s="34" t="s">
        <v>1494</v>
      </c>
      <c r="R1243" s="34" t="s">
        <v>1494</v>
      </c>
    </row>
    <row r="1244" spans="1:18" ht="15" customHeight="1" x14ac:dyDescent="0.25">
      <c r="A1244" t="str">
        <f>IFERROR(RANK(B1244,$B:$B,1)+COUNTIF($B$1:B1243,B1244),"")</f>
        <v/>
      </c>
      <c r="B1244" t="str">
        <f>IFERROR(SEARCH(#REF!,Table4[[#This Row],[Commodity Title]],1),"")</f>
        <v/>
      </c>
      <c r="C1244" s="35">
        <v>42182211</v>
      </c>
      <c r="D1244" s="33" t="s">
        <v>1495</v>
      </c>
      <c r="E1244" s="33" t="s">
        <v>1496</v>
      </c>
      <c r="F1244" s="33" t="s">
        <v>1497</v>
      </c>
      <c r="G1244" s="33" t="s">
        <v>3748</v>
      </c>
      <c r="H1244" s="33" t="s">
        <v>3749</v>
      </c>
      <c r="I1244" s="33" t="s">
        <v>3750</v>
      </c>
      <c r="J1244" s="33">
        <v>174357</v>
      </c>
      <c r="K1244" s="33" t="s">
        <v>4021</v>
      </c>
      <c r="L1244" s="33" t="s">
        <v>4022</v>
      </c>
      <c r="M1244" s="33" t="s">
        <v>4023</v>
      </c>
      <c r="N1244" s="44">
        <v>42182211</v>
      </c>
      <c r="O1244" s="33" t="s">
        <v>4044</v>
      </c>
      <c r="P1244" s="33" t="s">
        <v>4045</v>
      </c>
      <c r="Q1244" s="34" t="s">
        <v>1494</v>
      </c>
      <c r="R1244" s="34" t="s">
        <v>1494</v>
      </c>
    </row>
    <row r="1245" spans="1:18" ht="15" customHeight="1" x14ac:dyDescent="0.25">
      <c r="A1245" t="str">
        <f>IFERROR(RANK(B1245,$B:$B,1)+COUNTIF($B$1:B1244,B1245),"")</f>
        <v/>
      </c>
      <c r="B1245" t="str">
        <f>IFERROR(SEARCH(#REF!,Table4[[#This Row],[Commodity Title]],1),"")</f>
        <v/>
      </c>
      <c r="C1245" s="35">
        <v>42182213</v>
      </c>
      <c r="D1245" s="33" t="s">
        <v>1495</v>
      </c>
      <c r="E1245" s="33" t="s">
        <v>1496</v>
      </c>
      <c r="F1245" s="33" t="s">
        <v>1497</v>
      </c>
      <c r="G1245" s="33" t="s">
        <v>3748</v>
      </c>
      <c r="H1245" s="33" t="s">
        <v>3749</v>
      </c>
      <c r="I1245" s="33" t="s">
        <v>3750</v>
      </c>
      <c r="J1245" s="33">
        <v>202718</v>
      </c>
      <c r="K1245" s="33" t="s">
        <v>4021</v>
      </c>
      <c r="L1245" s="33" t="s">
        <v>4022</v>
      </c>
      <c r="M1245" s="33" t="s">
        <v>4023</v>
      </c>
      <c r="N1245" s="44">
        <v>42182213</v>
      </c>
      <c r="O1245" s="33" t="s">
        <v>4046</v>
      </c>
      <c r="P1245" s="33" t="s">
        <v>4047</v>
      </c>
      <c r="Q1245" s="34" t="s">
        <v>1494</v>
      </c>
      <c r="R1245" s="34" t="s">
        <v>1494</v>
      </c>
    </row>
    <row r="1246" spans="1:18" ht="15" customHeight="1" x14ac:dyDescent="0.25">
      <c r="A1246" t="str">
        <f>IFERROR(RANK(B1246,$B:$B,1)+COUNTIF($B$1:B1245,B1246),"")</f>
        <v/>
      </c>
      <c r="B1246" t="str">
        <f>IFERROR(SEARCH(#REF!,Table4[[#This Row],[Commodity Title]],1),"")</f>
        <v/>
      </c>
      <c r="C1246" s="33" t="s">
        <v>1494</v>
      </c>
      <c r="D1246" s="33" t="s">
        <v>1495</v>
      </c>
      <c r="E1246" s="33" t="s">
        <v>1496</v>
      </c>
      <c r="F1246" s="33" t="s">
        <v>1497</v>
      </c>
      <c r="G1246" s="33" t="s">
        <v>3748</v>
      </c>
      <c r="H1246" s="33" t="s">
        <v>3749</v>
      </c>
      <c r="I1246" s="33" t="s">
        <v>3750</v>
      </c>
      <c r="J1246" s="33">
        <v>115355</v>
      </c>
      <c r="K1246" s="33" t="s">
        <v>4048</v>
      </c>
      <c r="L1246" s="33" t="s">
        <v>4049</v>
      </c>
      <c r="M1246" s="33" t="s">
        <v>4050</v>
      </c>
      <c r="N1246" s="44" t="s">
        <v>1494</v>
      </c>
      <c r="O1246" s="33" t="s">
        <v>1494</v>
      </c>
      <c r="P1246" s="33" t="s">
        <v>1494</v>
      </c>
      <c r="Q1246" s="34" t="s">
        <v>1494</v>
      </c>
      <c r="R1246" s="34" t="s">
        <v>1494</v>
      </c>
    </row>
    <row r="1247" spans="1:18" ht="15" customHeight="1" x14ac:dyDescent="0.25">
      <c r="A1247" t="str">
        <f>IFERROR(RANK(B1247,$B:$B,1)+COUNTIF($B$1:B1246,B1247),"")</f>
        <v/>
      </c>
      <c r="B1247" t="str">
        <f>IFERROR(SEARCH(#REF!,Table4[[#This Row],[Commodity Title]],1),"")</f>
        <v/>
      </c>
      <c r="C1247" s="35">
        <v>42182301</v>
      </c>
      <c r="D1247" s="33" t="s">
        <v>1495</v>
      </c>
      <c r="E1247" s="33" t="s">
        <v>1496</v>
      </c>
      <c r="F1247" s="33" t="s">
        <v>1497</v>
      </c>
      <c r="G1247" s="33" t="s">
        <v>3748</v>
      </c>
      <c r="H1247" s="33" t="s">
        <v>3749</v>
      </c>
      <c r="I1247" s="33" t="s">
        <v>3750</v>
      </c>
      <c r="J1247" s="33">
        <v>115356</v>
      </c>
      <c r="K1247" s="33" t="s">
        <v>4048</v>
      </c>
      <c r="L1247" s="33" t="s">
        <v>4049</v>
      </c>
      <c r="M1247" s="33" t="s">
        <v>4050</v>
      </c>
      <c r="N1247" s="44">
        <v>42182301</v>
      </c>
      <c r="O1247" s="33" t="s">
        <v>4051</v>
      </c>
      <c r="P1247" s="33" t="s">
        <v>4052</v>
      </c>
      <c r="Q1247" s="34" t="s">
        <v>1494</v>
      </c>
      <c r="R1247" s="34" t="s">
        <v>1494</v>
      </c>
    </row>
    <row r="1248" spans="1:18" ht="15" customHeight="1" x14ac:dyDescent="0.25">
      <c r="A1248" t="str">
        <f>IFERROR(RANK(B1248,$B:$B,1)+COUNTIF($B$1:B1247,B1248),"")</f>
        <v/>
      </c>
      <c r="B1248" t="str">
        <f>IFERROR(SEARCH(#REF!,Table4[[#This Row],[Commodity Title]],1),"")</f>
        <v/>
      </c>
      <c r="C1248" s="35">
        <v>42182302</v>
      </c>
      <c r="D1248" s="33" t="s">
        <v>1495</v>
      </c>
      <c r="E1248" s="33" t="s">
        <v>1496</v>
      </c>
      <c r="F1248" s="33" t="s">
        <v>1497</v>
      </c>
      <c r="G1248" s="33" t="s">
        <v>3748</v>
      </c>
      <c r="H1248" s="33" t="s">
        <v>3749</v>
      </c>
      <c r="I1248" s="33" t="s">
        <v>3750</v>
      </c>
      <c r="J1248" s="33">
        <v>115357</v>
      </c>
      <c r="K1248" s="33" t="s">
        <v>4048</v>
      </c>
      <c r="L1248" s="33" t="s">
        <v>4049</v>
      </c>
      <c r="M1248" s="33" t="s">
        <v>4050</v>
      </c>
      <c r="N1248" s="44">
        <v>42182302</v>
      </c>
      <c r="O1248" s="33" t="s">
        <v>4053</v>
      </c>
      <c r="P1248" s="33" t="s">
        <v>4054</v>
      </c>
      <c r="Q1248" s="34" t="s">
        <v>1494</v>
      </c>
      <c r="R1248" s="34" t="s">
        <v>1494</v>
      </c>
    </row>
    <row r="1249" spans="1:18" ht="15" customHeight="1" x14ac:dyDescent="0.25">
      <c r="A1249" t="str">
        <f>IFERROR(RANK(B1249,$B:$B,1)+COUNTIF($B$1:B1248,B1249),"")</f>
        <v/>
      </c>
      <c r="B1249" t="str">
        <f>IFERROR(SEARCH(#REF!,Table4[[#This Row],[Commodity Title]],1),"")</f>
        <v/>
      </c>
      <c r="C1249" s="35">
        <v>42182303</v>
      </c>
      <c r="D1249" s="33" t="s">
        <v>1495</v>
      </c>
      <c r="E1249" s="33" t="s">
        <v>1496</v>
      </c>
      <c r="F1249" s="33" t="s">
        <v>1497</v>
      </c>
      <c r="G1249" s="33" t="s">
        <v>3748</v>
      </c>
      <c r="H1249" s="33" t="s">
        <v>3749</v>
      </c>
      <c r="I1249" s="33" t="s">
        <v>3750</v>
      </c>
      <c r="J1249" s="33">
        <v>115358</v>
      </c>
      <c r="K1249" s="33" t="s">
        <v>4048</v>
      </c>
      <c r="L1249" s="33" t="s">
        <v>4049</v>
      </c>
      <c r="M1249" s="33" t="s">
        <v>4050</v>
      </c>
      <c r="N1249" s="44">
        <v>42182303</v>
      </c>
      <c r="O1249" s="33" t="s">
        <v>4055</v>
      </c>
      <c r="P1249" s="33" t="s">
        <v>4056</v>
      </c>
      <c r="Q1249" s="34" t="s">
        <v>1494</v>
      </c>
      <c r="R1249" s="34" t="s">
        <v>1494</v>
      </c>
    </row>
    <row r="1250" spans="1:18" ht="15" customHeight="1" x14ac:dyDescent="0.25">
      <c r="A1250" t="str">
        <f>IFERROR(RANK(B1250,$B:$B,1)+COUNTIF($B$1:B1249,B1250),"")</f>
        <v/>
      </c>
      <c r="B1250" t="str">
        <f>IFERROR(SEARCH(#REF!,Table4[[#This Row],[Commodity Title]],1),"")</f>
        <v/>
      </c>
      <c r="C1250" s="35">
        <v>42182304</v>
      </c>
      <c r="D1250" s="33" t="s">
        <v>1495</v>
      </c>
      <c r="E1250" s="33" t="s">
        <v>1496</v>
      </c>
      <c r="F1250" s="33" t="s">
        <v>1497</v>
      </c>
      <c r="G1250" s="33" t="s">
        <v>3748</v>
      </c>
      <c r="H1250" s="33" t="s">
        <v>3749</v>
      </c>
      <c r="I1250" s="33" t="s">
        <v>3750</v>
      </c>
      <c r="J1250" s="33">
        <v>142503</v>
      </c>
      <c r="K1250" s="33" t="s">
        <v>4048</v>
      </c>
      <c r="L1250" s="33" t="s">
        <v>4049</v>
      </c>
      <c r="M1250" s="33" t="s">
        <v>4050</v>
      </c>
      <c r="N1250" s="44">
        <v>42182304</v>
      </c>
      <c r="O1250" s="33" t="s">
        <v>4057</v>
      </c>
      <c r="P1250" s="33" t="s">
        <v>4058</v>
      </c>
      <c r="Q1250" s="34" t="s">
        <v>1494</v>
      </c>
      <c r="R1250" s="34" t="s">
        <v>1494</v>
      </c>
    </row>
    <row r="1251" spans="1:18" ht="15" customHeight="1" x14ac:dyDescent="0.25">
      <c r="A1251" t="str">
        <f>IFERROR(RANK(B1251,$B:$B,1)+COUNTIF($B$1:B1250,B1251),"")</f>
        <v/>
      </c>
      <c r="B1251" t="str">
        <f>IFERROR(SEARCH(#REF!,Table4[[#This Row],[Commodity Title]],1),"")</f>
        <v/>
      </c>
      <c r="C1251" s="35">
        <v>42182306</v>
      </c>
      <c r="D1251" s="33" t="s">
        <v>1495</v>
      </c>
      <c r="E1251" s="33" t="s">
        <v>1496</v>
      </c>
      <c r="F1251" s="33" t="s">
        <v>1497</v>
      </c>
      <c r="G1251" s="33" t="s">
        <v>3748</v>
      </c>
      <c r="H1251" s="33" t="s">
        <v>3749</v>
      </c>
      <c r="I1251" s="33" t="s">
        <v>3750</v>
      </c>
      <c r="J1251" s="33">
        <v>142505</v>
      </c>
      <c r="K1251" s="33" t="s">
        <v>4048</v>
      </c>
      <c r="L1251" s="33" t="s">
        <v>4049</v>
      </c>
      <c r="M1251" s="33" t="s">
        <v>4050</v>
      </c>
      <c r="N1251" s="44">
        <v>42182306</v>
      </c>
      <c r="O1251" s="33" t="s">
        <v>4059</v>
      </c>
      <c r="P1251" s="33" t="s">
        <v>4060</v>
      </c>
      <c r="Q1251" s="34" t="s">
        <v>1494</v>
      </c>
      <c r="R1251" s="34" t="s">
        <v>1494</v>
      </c>
    </row>
    <row r="1252" spans="1:18" ht="15" customHeight="1" x14ac:dyDescent="0.25">
      <c r="A1252" t="str">
        <f>IFERROR(RANK(B1252,$B:$B,1)+COUNTIF($B$1:B1251,B1252),"")</f>
        <v/>
      </c>
      <c r="B1252" t="str">
        <f>IFERROR(SEARCH(#REF!,Table4[[#This Row],[Commodity Title]],1),"")</f>
        <v/>
      </c>
      <c r="C1252" s="35">
        <v>42182307</v>
      </c>
      <c r="D1252" s="33" t="s">
        <v>1495</v>
      </c>
      <c r="E1252" s="33" t="s">
        <v>1496</v>
      </c>
      <c r="F1252" s="33" t="s">
        <v>1497</v>
      </c>
      <c r="G1252" s="33" t="s">
        <v>3748</v>
      </c>
      <c r="H1252" s="33" t="s">
        <v>3749</v>
      </c>
      <c r="I1252" s="33" t="s">
        <v>3750</v>
      </c>
      <c r="J1252" s="33">
        <v>142506</v>
      </c>
      <c r="K1252" s="33" t="s">
        <v>4048</v>
      </c>
      <c r="L1252" s="33" t="s">
        <v>4049</v>
      </c>
      <c r="M1252" s="33" t="s">
        <v>4050</v>
      </c>
      <c r="N1252" s="44">
        <v>42182307</v>
      </c>
      <c r="O1252" s="33" t="s">
        <v>4061</v>
      </c>
      <c r="P1252" s="33" t="s">
        <v>4062</v>
      </c>
      <c r="Q1252" s="34" t="s">
        <v>1494</v>
      </c>
      <c r="R1252" s="34" t="s">
        <v>1494</v>
      </c>
    </row>
    <row r="1253" spans="1:18" ht="15" customHeight="1" x14ac:dyDescent="0.25">
      <c r="A1253" t="str">
        <f>IFERROR(RANK(B1253,$B:$B,1)+COUNTIF($B$1:B1252,B1253),"")</f>
        <v/>
      </c>
      <c r="B1253" t="str">
        <f>IFERROR(SEARCH(#REF!,Table4[[#This Row],[Commodity Title]],1),"")</f>
        <v/>
      </c>
      <c r="C1253" s="35">
        <v>42182308</v>
      </c>
      <c r="D1253" s="33" t="s">
        <v>1495</v>
      </c>
      <c r="E1253" s="33" t="s">
        <v>1496</v>
      </c>
      <c r="F1253" s="33" t="s">
        <v>1497</v>
      </c>
      <c r="G1253" s="33" t="s">
        <v>3748</v>
      </c>
      <c r="H1253" s="33" t="s">
        <v>3749</v>
      </c>
      <c r="I1253" s="33" t="s">
        <v>3750</v>
      </c>
      <c r="J1253" s="33">
        <v>142507</v>
      </c>
      <c r="K1253" s="33" t="s">
        <v>4048</v>
      </c>
      <c r="L1253" s="33" t="s">
        <v>4049</v>
      </c>
      <c r="M1253" s="33" t="s">
        <v>4050</v>
      </c>
      <c r="N1253" s="44">
        <v>42182308</v>
      </c>
      <c r="O1253" s="33" t="s">
        <v>4063</v>
      </c>
      <c r="P1253" s="33" t="s">
        <v>4064</v>
      </c>
      <c r="Q1253" s="34" t="s">
        <v>1494</v>
      </c>
      <c r="R1253" s="34" t="s">
        <v>1494</v>
      </c>
    </row>
    <row r="1254" spans="1:18" ht="15" customHeight="1" x14ac:dyDescent="0.25">
      <c r="A1254" t="str">
        <f>IFERROR(RANK(B1254,$B:$B,1)+COUNTIF($B$1:B1253,B1254),"")</f>
        <v/>
      </c>
      <c r="B1254" t="str">
        <f>IFERROR(SEARCH(#REF!,Table4[[#This Row],[Commodity Title]],1),"")</f>
        <v/>
      </c>
      <c r="C1254" s="35">
        <v>42182311</v>
      </c>
      <c r="D1254" s="33" t="s">
        <v>1495</v>
      </c>
      <c r="E1254" s="33" t="s">
        <v>1496</v>
      </c>
      <c r="F1254" s="33" t="s">
        <v>1497</v>
      </c>
      <c r="G1254" s="33" t="s">
        <v>3748</v>
      </c>
      <c r="H1254" s="33" t="s">
        <v>3749</v>
      </c>
      <c r="I1254" s="33" t="s">
        <v>3750</v>
      </c>
      <c r="J1254" s="33">
        <v>142510</v>
      </c>
      <c r="K1254" s="33" t="s">
        <v>4048</v>
      </c>
      <c r="L1254" s="33" t="s">
        <v>4049</v>
      </c>
      <c r="M1254" s="33" t="s">
        <v>4050</v>
      </c>
      <c r="N1254" s="44">
        <v>42182311</v>
      </c>
      <c r="O1254" s="33" t="s">
        <v>4065</v>
      </c>
      <c r="P1254" s="33" t="s">
        <v>4066</v>
      </c>
      <c r="Q1254" s="34" t="s">
        <v>1494</v>
      </c>
      <c r="R1254" s="34" t="s">
        <v>1494</v>
      </c>
    </row>
    <row r="1255" spans="1:18" ht="15" customHeight="1" x14ac:dyDescent="0.25">
      <c r="A1255" t="str">
        <f>IFERROR(RANK(B1255,$B:$B,1)+COUNTIF($B$1:B1254,B1255),"")</f>
        <v/>
      </c>
      <c r="B1255" t="str">
        <f>IFERROR(SEARCH(#REF!,Table4[[#This Row],[Commodity Title]],1),"")</f>
        <v/>
      </c>
      <c r="C1255" s="35">
        <v>42182313</v>
      </c>
      <c r="D1255" s="33" t="s">
        <v>1495</v>
      </c>
      <c r="E1255" s="33" t="s">
        <v>1496</v>
      </c>
      <c r="F1255" s="33" t="s">
        <v>1497</v>
      </c>
      <c r="G1255" s="33" t="s">
        <v>3748</v>
      </c>
      <c r="H1255" s="33" t="s">
        <v>3749</v>
      </c>
      <c r="I1255" s="33" t="s">
        <v>3750</v>
      </c>
      <c r="J1255" s="33">
        <v>142512</v>
      </c>
      <c r="K1255" s="33" t="s">
        <v>4048</v>
      </c>
      <c r="L1255" s="33" t="s">
        <v>4049</v>
      </c>
      <c r="M1255" s="33" t="s">
        <v>4050</v>
      </c>
      <c r="N1255" s="44">
        <v>42182313</v>
      </c>
      <c r="O1255" s="33" t="s">
        <v>4067</v>
      </c>
      <c r="P1255" s="33" t="s">
        <v>4068</v>
      </c>
      <c r="Q1255" s="34" t="s">
        <v>1494</v>
      </c>
      <c r="R1255" s="34" t="s">
        <v>1494</v>
      </c>
    </row>
    <row r="1256" spans="1:18" ht="15" customHeight="1" x14ac:dyDescent="0.25">
      <c r="A1256" t="str">
        <f>IFERROR(RANK(B1256,$B:$B,1)+COUNTIF($B$1:B1255,B1256),"")</f>
        <v/>
      </c>
      <c r="B1256" t="str">
        <f>IFERROR(SEARCH(#REF!,Table4[[#This Row],[Commodity Title]],1),"")</f>
        <v/>
      </c>
      <c r="C1256" s="35">
        <v>42182314</v>
      </c>
      <c r="D1256" s="33" t="s">
        <v>1495</v>
      </c>
      <c r="E1256" s="33" t="s">
        <v>1496</v>
      </c>
      <c r="F1256" s="33" t="s">
        <v>1497</v>
      </c>
      <c r="G1256" s="33" t="s">
        <v>3748</v>
      </c>
      <c r="H1256" s="33" t="s">
        <v>3749</v>
      </c>
      <c r="I1256" s="33" t="s">
        <v>3750</v>
      </c>
      <c r="J1256" s="33">
        <v>174359</v>
      </c>
      <c r="K1256" s="33" t="s">
        <v>4048</v>
      </c>
      <c r="L1256" s="33" t="s">
        <v>4049</v>
      </c>
      <c r="M1256" s="33" t="s">
        <v>4050</v>
      </c>
      <c r="N1256" s="44">
        <v>42182314</v>
      </c>
      <c r="O1256" s="33" t="s">
        <v>4069</v>
      </c>
      <c r="P1256" s="33" t="s">
        <v>4070</v>
      </c>
      <c r="Q1256" s="34" t="s">
        <v>1494</v>
      </c>
      <c r="R1256" s="34" t="s">
        <v>1494</v>
      </c>
    </row>
    <row r="1257" spans="1:18" ht="15" customHeight="1" x14ac:dyDescent="0.25">
      <c r="A1257" t="str">
        <f>IFERROR(RANK(B1257,$B:$B,1)+COUNTIF($B$1:B1256,B1257),"")</f>
        <v/>
      </c>
      <c r="B1257" t="str">
        <f>IFERROR(SEARCH(#REF!,Table4[[#This Row],[Commodity Title]],1),"")</f>
        <v/>
      </c>
      <c r="C1257" s="35">
        <v>42182315</v>
      </c>
      <c r="D1257" s="33" t="s">
        <v>1495</v>
      </c>
      <c r="E1257" s="33" t="s">
        <v>1496</v>
      </c>
      <c r="F1257" s="33" t="s">
        <v>1497</v>
      </c>
      <c r="G1257" s="33" t="s">
        <v>3748</v>
      </c>
      <c r="H1257" s="33" t="s">
        <v>3749</v>
      </c>
      <c r="I1257" s="33" t="s">
        <v>3750</v>
      </c>
      <c r="J1257" s="33">
        <v>174360</v>
      </c>
      <c r="K1257" s="33" t="s">
        <v>4048</v>
      </c>
      <c r="L1257" s="33" t="s">
        <v>4049</v>
      </c>
      <c r="M1257" s="33" t="s">
        <v>4050</v>
      </c>
      <c r="N1257" s="44">
        <v>42182315</v>
      </c>
      <c r="O1257" s="33" t="s">
        <v>4071</v>
      </c>
      <c r="P1257" s="33" t="s">
        <v>4072</v>
      </c>
      <c r="Q1257" s="34" t="s">
        <v>1494</v>
      </c>
      <c r="R1257" s="34" t="s">
        <v>1494</v>
      </c>
    </row>
    <row r="1258" spans="1:18" ht="15" customHeight="1" x14ac:dyDescent="0.25">
      <c r="A1258" t="str">
        <f>IFERROR(RANK(B1258,$B:$B,1)+COUNTIF($B$1:B1257,B1258),"")</f>
        <v/>
      </c>
      <c r="B1258" t="str">
        <f>IFERROR(SEARCH(#REF!,Table4[[#This Row],[Commodity Title]],1),"")</f>
        <v/>
      </c>
      <c r="C1258" s="35">
        <v>42182316</v>
      </c>
      <c r="D1258" s="33" t="s">
        <v>1495</v>
      </c>
      <c r="E1258" s="33" t="s">
        <v>1496</v>
      </c>
      <c r="F1258" s="33" t="s">
        <v>1497</v>
      </c>
      <c r="G1258" s="33" t="s">
        <v>3748</v>
      </c>
      <c r="H1258" s="33" t="s">
        <v>3749</v>
      </c>
      <c r="I1258" s="33" t="s">
        <v>3750</v>
      </c>
      <c r="J1258" s="33">
        <v>174361</v>
      </c>
      <c r="K1258" s="33" t="s">
        <v>4048</v>
      </c>
      <c r="L1258" s="33" t="s">
        <v>4049</v>
      </c>
      <c r="M1258" s="33" t="s">
        <v>4050</v>
      </c>
      <c r="N1258" s="44">
        <v>42182316</v>
      </c>
      <c r="O1258" s="33" t="s">
        <v>4073</v>
      </c>
      <c r="P1258" s="33" t="s">
        <v>4074</v>
      </c>
      <c r="Q1258" s="34" t="s">
        <v>1494</v>
      </c>
      <c r="R1258" s="34" t="s">
        <v>1494</v>
      </c>
    </row>
    <row r="1259" spans="1:18" ht="15" customHeight="1" x14ac:dyDescent="0.25">
      <c r="A1259" t="str">
        <f>IFERROR(RANK(B1259,$B:$B,1)+COUNTIF($B$1:B1258,B1259),"")</f>
        <v/>
      </c>
      <c r="B1259" t="str">
        <f>IFERROR(SEARCH(#REF!,Table4[[#This Row],[Commodity Title]],1),"")</f>
        <v/>
      </c>
      <c r="C1259" s="35">
        <v>42182317</v>
      </c>
      <c r="D1259" s="33" t="s">
        <v>1495</v>
      </c>
      <c r="E1259" s="33" t="s">
        <v>1496</v>
      </c>
      <c r="F1259" s="33" t="s">
        <v>1497</v>
      </c>
      <c r="G1259" s="33" t="s">
        <v>3748</v>
      </c>
      <c r="H1259" s="33" t="s">
        <v>3749</v>
      </c>
      <c r="I1259" s="33" t="s">
        <v>3750</v>
      </c>
      <c r="J1259" s="33">
        <v>202719</v>
      </c>
      <c r="K1259" s="33" t="s">
        <v>4048</v>
      </c>
      <c r="L1259" s="33" t="s">
        <v>4049</v>
      </c>
      <c r="M1259" s="33" t="s">
        <v>4050</v>
      </c>
      <c r="N1259" s="44">
        <v>42182317</v>
      </c>
      <c r="O1259" s="33" t="s">
        <v>4075</v>
      </c>
      <c r="P1259" s="33" t="s">
        <v>3813</v>
      </c>
      <c r="Q1259" s="34" t="s">
        <v>1494</v>
      </c>
      <c r="R1259" s="34" t="s">
        <v>1494</v>
      </c>
    </row>
    <row r="1260" spans="1:18" ht="15" customHeight="1" x14ac:dyDescent="0.25">
      <c r="A1260" t="str">
        <f>IFERROR(RANK(B1260,$B:$B,1)+COUNTIF($B$1:B1259,B1260),"")</f>
        <v/>
      </c>
      <c r="B1260" t="str">
        <f>IFERROR(SEARCH(#REF!,Table4[[#This Row],[Commodity Title]],1),"")</f>
        <v/>
      </c>
      <c r="C1260" s="35">
        <v>42182318</v>
      </c>
      <c r="D1260" s="33" t="s">
        <v>1495</v>
      </c>
      <c r="E1260" s="33" t="s">
        <v>1496</v>
      </c>
      <c r="F1260" s="33" t="s">
        <v>1497</v>
      </c>
      <c r="G1260" s="33" t="s">
        <v>3748</v>
      </c>
      <c r="H1260" s="33" t="s">
        <v>3749</v>
      </c>
      <c r="I1260" s="33" t="s">
        <v>3750</v>
      </c>
      <c r="J1260" s="33">
        <v>202720</v>
      </c>
      <c r="K1260" s="33" t="s">
        <v>4048</v>
      </c>
      <c r="L1260" s="33" t="s">
        <v>4049</v>
      </c>
      <c r="M1260" s="33" t="s">
        <v>4050</v>
      </c>
      <c r="N1260" s="44">
        <v>42182318</v>
      </c>
      <c r="O1260" s="33" t="s">
        <v>4076</v>
      </c>
      <c r="P1260" s="33" t="s">
        <v>4077</v>
      </c>
      <c r="Q1260" s="34" t="s">
        <v>1494</v>
      </c>
      <c r="R1260" s="34" t="s">
        <v>1494</v>
      </c>
    </row>
    <row r="1261" spans="1:18" ht="15" customHeight="1" x14ac:dyDescent="0.25">
      <c r="A1261" t="str">
        <f>IFERROR(RANK(B1261,$B:$B,1)+COUNTIF($B$1:B1260,B1261),"")</f>
        <v/>
      </c>
      <c r="B1261" t="str">
        <f>IFERROR(SEARCH(#REF!,Table4[[#This Row],[Commodity Title]],1),"")</f>
        <v/>
      </c>
      <c r="C1261" s="35">
        <v>42182319</v>
      </c>
      <c r="D1261" s="33" t="s">
        <v>1495</v>
      </c>
      <c r="E1261" s="33" t="s">
        <v>1496</v>
      </c>
      <c r="F1261" s="33" t="s">
        <v>1497</v>
      </c>
      <c r="G1261" s="33" t="s">
        <v>3748</v>
      </c>
      <c r="H1261" s="33" t="s">
        <v>3749</v>
      </c>
      <c r="I1261" s="33" t="s">
        <v>3750</v>
      </c>
      <c r="J1261" s="33">
        <v>202721</v>
      </c>
      <c r="K1261" s="33" t="s">
        <v>4048</v>
      </c>
      <c r="L1261" s="33" t="s">
        <v>4049</v>
      </c>
      <c r="M1261" s="33" t="s">
        <v>4050</v>
      </c>
      <c r="N1261" s="44">
        <v>42182319</v>
      </c>
      <c r="O1261" s="33" t="s">
        <v>4078</v>
      </c>
      <c r="P1261" s="33" t="s">
        <v>4079</v>
      </c>
      <c r="Q1261" s="34" t="s">
        <v>1494</v>
      </c>
      <c r="R1261" s="34" t="s">
        <v>1494</v>
      </c>
    </row>
    <row r="1262" spans="1:18" ht="15" customHeight="1" x14ac:dyDescent="0.25">
      <c r="A1262" t="str">
        <f>IFERROR(RANK(B1262,$B:$B,1)+COUNTIF($B$1:B1261,B1262),"")</f>
        <v/>
      </c>
      <c r="B1262" t="str">
        <f>IFERROR(SEARCH(#REF!,Table4[[#This Row],[Commodity Title]],1),"")</f>
        <v/>
      </c>
      <c r="C1262" s="35">
        <v>42182320</v>
      </c>
      <c r="D1262" s="33" t="s">
        <v>1495</v>
      </c>
      <c r="E1262" s="33" t="s">
        <v>1496</v>
      </c>
      <c r="F1262" s="33" t="s">
        <v>1497</v>
      </c>
      <c r="G1262" s="33" t="s">
        <v>3748</v>
      </c>
      <c r="H1262" s="33" t="s">
        <v>3749</v>
      </c>
      <c r="I1262" s="33" t="s">
        <v>3750</v>
      </c>
      <c r="J1262" s="33">
        <v>202722</v>
      </c>
      <c r="K1262" s="33" t="s">
        <v>4048</v>
      </c>
      <c r="L1262" s="33" t="s">
        <v>4049</v>
      </c>
      <c r="M1262" s="33" t="s">
        <v>4050</v>
      </c>
      <c r="N1262" s="44">
        <v>42182320</v>
      </c>
      <c r="O1262" s="33" t="s">
        <v>4080</v>
      </c>
      <c r="P1262" s="33" t="s">
        <v>4081</v>
      </c>
      <c r="Q1262" s="34" t="s">
        <v>1494</v>
      </c>
      <c r="R1262" s="34" t="s">
        <v>1494</v>
      </c>
    </row>
    <row r="1263" spans="1:18" ht="15" customHeight="1" x14ac:dyDescent="0.25">
      <c r="A1263" t="str">
        <f>IFERROR(RANK(B1263,$B:$B,1)+COUNTIF($B$1:B1262,B1263),"")</f>
        <v/>
      </c>
      <c r="B1263" t="str">
        <f>IFERROR(SEARCH(#REF!,Table4[[#This Row],[Commodity Title]],1),"")</f>
        <v/>
      </c>
      <c r="C1263" s="35">
        <v>42182321</v>
      </c>
      <c r="D1263" s="33" t="s">
        <v>1495</v>
      </c>
      <c r="E1263" s="33" t="s">
        <v>1496</v>
      </c>
      <c r="F1263" s="33" t="s">
        <v>1497</v>
      </c>
      <c r="G1263" s="33" t="s">
        <v>3748</v>
      </c>
      <c r="H1263" s="33" t="s">
        <v>3749</v>
      </c>
      <c r="I1263" s="33" t="s">
        <v>3750</v>
      </c>
      <c r="J1263" s="33">
        <v>202723</v>
      </c>
      <c r="K1263" s="33" t="s">
        <v>4048</v>
      </c>
      <c r="L1263" s="33" t="s">
        <v>4049</v>
      </c>
      <c r="M1263" s="33" t="s">
        <v>4050</v>
      </c>
      <c r="N1263" s="44">
        <v>42182321</v>
      </c>
      <c r="O1263" s="33" t="s">
        <v>4082</v>
      </c>
      <c r="P1263" s="33" t="s">
        <v>4083</v>
      </c>
      <c r="Q1263" s="34" t="s">
        <v>1494</v>
      </c>
      <c r="R1263" s="34" t="s">
        <v>1494</v>
      </c>
    </row>
    <row r="1264" spans="1:18" ht="15" customHeight="1" x14ac:dyDescent="0.25">
      <c r="A1264" t="str">
        <f>IFERROR(RANK(B1264,$B:$B,1)+COUNTIF($B$1:B1263,B1264),"")</f>
        <v/>
      </c>
      <c r="B1264" t="str">
        <f>IFERROR(SEARCH(#REF!,Table4[[#This Row],[Commodity Title]],1),"")</f>
        <v/>
      </c>
      <c r="C1264" s="35">
        <v>42182322</v>
      </c>
      <c r="D1264" s="33" t="s">
        <v>1495</v>
      </c>
      <c r="E1264" s="33" t="s">
        <v>1496</v>
      </c>
      <c r="F1264" s="33" t="s">
        <v>1497</v>
      </c>
      <c r="G1264" s="33" t="s">
        <v>3748</v>
      </c>
      <c r="H1264" s="33" t="s">
        <v>3749</v>
      </c>
      <c r="I1264" s="33" t="s">
        <v>3750</v>
      </c>
      <c r="J1264" s="33">
        <v>202724</v>
      </c>
      <c r="K1264" s="33" t="s">
        <v>4048</v>
      </c>
      <c r="L1264" s="33" t="s">
        <v>4049</v>
      </c>
      <c r="M1264" s="33" t="s">
        <v>4050</v>
      </c>
      <c r="N1264" s="44">
        <v>42182322</v>
      </c>
      <c r="O1264" s="33" t="s">
        <v>4084</v>
      </c>
      <c r="P1264" s="33" t="s">
        <v>4085</v>
      </c>
      <c r="Q1264" s="34" t="s">
        <v>1494</v>
      </c>
      <c r="R1264" s="34" t="s">
        <v>1494</v>
      </c>
    </row>
    <row r="1265" spans="1:18" ht="15" customHeight="1" x14ac:dyDescent="0.25">
      <c r="A1265" t="str">
        <f>IFERROR(RANK(B1265,$B:$B,1)+COUNTIF($B$1:B1264,B1265),"")</f>
        <v/>
      </c>
      <c r="B1265" t="str">
        <f>IFERROR(SEARCH(#REF!,Table4[[#This Row],[Commodity Title]],1),"")</f>
        <v/>
      </c>
      <c r="C1265" s="35">
        <v>42182323</v>
      </c>
      <c r="D1265" s="33" t="s">
        <v>1495</v>
      </c>
      <c r="E1265" s="33" t="s">
        <v>1496</v>
      </c>
      <c r="F1265" s="33" t="s">
        <v>1497</v>
      </c>
      <c r="G1265" s="33" t="s">
        <v>3748</v>
      </c>
      <c r="H1265" s="33" t="s">
        <v>3749</v>
      </c>
      <c r="I1265" s="33" t="s">
        <v>3750</v>
      </c>
      <c r="J1265" s="33">
        <v>202725</v>
      </c>
      <c r="K1265" s="33" t="s">
        <v>4048</v>
      </c>
      <c r="L1265" s="33" t="s">
        <v>4049</v>
      </c>
      <c r="M1265" s="33" t="s">
        <v>4050</v>
      </c>
      <c r="N1265" s="44">
        <v>42182323</v>
      </c>
      <c r="O1265" s="33" t="s">
        <v>4086</v>
      </c>
      <c r="P1265" s="33" t="s">
        <v>4087</v>
      </c>
      <c r="Q1265" s="34" t="s">
        <v>1494</v>
      </c>
      <c r="R1265" s="34" t="s">
        <v>1494</v>
      </c>
    </row>
    <row r="1266" spans="1:18" ht="15" customHeight="1" x14ac:dyDescent="0.25">
      <c r="A1266" t="str">
        <f>IFERROR(RANK(B1266,$B:$B,1)+COUNTIF($B$1:B1265,B1266),"")</f>
        <v/>
      </c>
      <c r="B1266" t="str">
        <f>IFERROR(SEARCH(#REF!,Table4[[#This Row],[Commodity Title]],1),"")</f>
        <v/>
      </c>
      <c r="C1266" s="35">
        <v>42182324</v>
      </c>
      <c r="D1266" s="33" t="s">
        <v>1495</v>
      </c>
      <c r="E1266" s="33" t="s">
        <v>1496</v>
      </c>
      <c r="F1266" s="33" t="s">
        <v>1497</v>
      </c>
      <c r="G1266" s="33" t="s">
        <v>3748</v>
      </c>
      <c r="H1266" s="33" t="s">
        <v>3749</v>
      </c>
      <c r="I1266" s="33" t="s">
        <v>3750</v>
      </c>
      <c r="J1266" s="33">
        <v>202726</v>
      </c>
      <c r="K1266" s="33" t="s">
        <v>4048</v>
      </c>
      <c r="L1266" s="33" t="s">
        <v>4049</v>
      </c>
      <c r="M1266" s="33" t="s">
        <v>4050</v>
      </c>
      <c r="N1266" s="44">
        <v>42182324</v>
      </c>
      <c r="O1266" s="33" t="s">
        <v>4088</v>
      </c>
      <c r="P1266" s="33" t="s">
        <v>4089</v>
      </c>
      <c r="Q1266" s="34" t="s">
        <v>1494</v>
      </c>
      <c r="R1266" s="34" t="s">
        <v>1494</v>
      </c>
    </row>
    <row r="1267" spans="1:18" ht="15" customHeight="1" x14ac:dyDescent="0.25">
      <c r="A1267" t="str">
        <f>IFERROR(RANK(B1267,$B:$B,1)+COUNTIF($B$1:B1266,B1267),"")</f>
        <v/>
      </c>
      <c r="B1267" t="str">
        <f>IFERROR(SEARCH(#REF!,Table4[[#This Row],[Commodity Title]],1),"")</f>
        <v/>
      </c>
      <c r="C1267" s="35">
        <v>42182325</v>
      </c>
      <c r="D1267" s="33" t="s">
        <v>1495</v>
      </c>
      <c r="E1267" s="33" t="s">
        <v>1496</v>
      </c>
      <c r="F1267" s="33" t="s">
        <v>1497</v>
      </c>
      <c r="G1267" s="33" t="s">
        <v>3748</v>
      </c>
      <c r="H1267" s="33" t="s">
        <v>3749</v>
      </c>
      <c r="I1267" s="33" t="s">
        <v>3750</v>
      </c>
      <c r="J1267" s="33">
        <v>202727</v>
      </c>
      <c r="K1267" s="33" t="s">
        <v>4048</v>
      </c>
      <c r="L1267" s="33" t="s">
        <v>4049</v>
      </c>
      <c r="M1267" s="33" t="s">
        <v>4050</v>
      </c>
      <c r="N1267" s="44">
        <v>42182325</v>
      </c>
      <c r="O1267" s="33" t="s">
        <v>4090</v>
      </c>
      <c r="P1267" s="33" t="s">
        <v>4091</v>
      </c>
      <c r="Q1267" s="34" t="s">
        <v>1494</v>
      </c>
      <c r="R1267" s="34" t="s">
        <v>1494</v>
      </c>
    </row>
    <row r="1268" spans="1:18" ht="15" customHeight="1" x14ac:dyDescent="0.25">
      <c r="A1268" t="str">
        <f>IFERROR(RANK(B1268,$B:$B,1)+COUNTIF($B$1:B1267,B1268),"")</f>
        <v/>
      </c>
      <c r="B1268" t="str">
        <f>IFERROR(SEARCH(#REF!,Table4[[#This Row],[Commodity Title]],1),"")</f>
        <v/>
      </c>
      <c r="C1268" s="35">
        <v>42182326</v>
      </c>
      <c r="D1268" s="33" t="s">
        <v>1495</v>
      </c>
      <c r="E1268" s="33" t="s">
        <v>1496</v>
      </c>
      <c r="F1268" s="33" t="s">
        <v>1497</v>
      </c>
      <c r="G1268" s="33" t="s">
        <v>3748</v>
      </c>
      <c r="H1268" s="33" t="s">
        <v>3749</v>
      </c>
      <c r="I1268" s="33" t="s">
        <v>3750</v>
      </c>
      <c r="J1268" s="33">
        <v>202728</v>
      </c>
      <c r="K1268" s="33" t="s">
        <v>4048</v>
      </c>
      <c r="L1268" s="33" t="s">
        <v>4049</v>
      </c>
      <c r="M1268" s="33" t="s">
        <v>4050</v>
      </c>
      <c r="N1268" s="44">
        <v>42182326</v>
      </c>
      <c r="O1268" s="33" t="s">
        <v>4092</v>
      </c>
      <c r="P1268" s="33" t="s">
        <v>4093</v>
      </c>
      <c r="Q1268" s="34" t="s">
        <v>1494</v>
      </c>
      <c r="R1268" s="34" t="s">
        <v>1494</v>
      </c>
    </row>
    <row r="1269" spans="1:18" ht="15" customHeight="1" x14ac:dyDescent="0.25">
      <c r="A1269" t="str">
        <f>IFERROR(RANK(B1269,$B:$B,1)+COUNTIF($B$1:B1268,B1269),"")</f>
        <v/>
      </c>
      <c r="B1269" t="str">
        <f>IFERROR(SEARCH(#REF!,Table4[[#This Row],[Commodity Title]],1),"")</f>
        <v/>
      </c>
      <c r="C1269" s="35">
        <v>42182327</v>
      </c>
      <c r="D1269" s="33" t="s">
        <v>1495</v>
      </c>
      <c r="E1269" s="33" t="s">
        <v>1496</v>
      </c>
      <c r="F1269" s="33" t="s">
        <v>1497</v>
      </c>
      <c r="G1269" s="33" t="s">
        <v>3748</v>
      </c>
      <c r="H1269" s="33" t="s">
        <v>3749</v>
      </c>
      <c r="I1269" s="33" t="s">
        <v>3750</v>
      </c>
      <c r="J1269" s="33">
        <v>104477</v>
      </c>
      <c r="K1269" s="33" t="s">
        <v>4048</v>
      </c>
      <c r="L1269" s="33" t="s">
        <v>4049</v>
      </c>
      <c r="M1269" s="33" t="s">
        <v>4050</v>
      </c>
      <c r="N1269" s="44">
        <v>42182327</v>
      </c>
      <c r="O1269" s="33" t="s">
        <v>4094</v>
      </c>
      <c r="P1269" s="33" t="s">
        <v>4095</v>
      </c>
      <c r="Q1269" s="34" t="s">
        <v>1494</v>
      </c>
      <c r="R1269" s="34" t="s">
        <v>1494</v>
      </c>
    </row>
    <row r="1270" spans="1:18" ht="15" customHeight="1" x14ac:dyDescent="0.25">
      <c r="A1270" t="str">
        <f>IFERROR(RANK(B1270,$B:$B,1)+COUNTIF($B$1:B1269,B1270),"")</f>
        <v/>
      </c>
      <c r="B1270" t="str">
        <f>IFERROR(SEARCH(#REF!,Table4[[#This Row],[Commodity Title]],1),"")</f>
        <v/>
      </c>
      <c r="C1270" s="33" t="s">
        <v>1494</v>
      </c>
      <c r="D1270" s="33" t="s">
        <v>1495</v>
      </c>
      <c r="E1270" s="33" t="s">
        <v>1496</v>
      </c>
      <c r="F1270" s="33" t="s">
        <v>1497</v>
      </c>
      <c r="G1270" s="33" t="s">
        <v>3748</v>
      </c>
      <c r="H1270" s="33" t="s">
        <v>3749</v>
      </c>
      <c r="I1270" s="33" t="s">
        <v>3750</v>
      </c>
      <c r="J1270" s="33">
        <v>115359</v>
      </c>
      <c r="K1270" s="33" t="s">
        <v>4096</v>
      </c>
      <c r="L1270" s="33" t="s">
        <v>4097</v>
      </c>
      <c r="M1270" s="33" t="s">
        <v>4098</v>
      </c>
      <c r="N1270" s="44" t="s">
        <v>1494</v>
      </c>
      <c r="O1270" s="33" t="s">
        <v>1494</v>
      </c>
      <c r="P1270" s="33" t="s">
        <v>1494</v>
      </c>
      <c r="Q1270" s="34" t="s">
        <v>1494</v>
      </c>
      <c r="R1270" s="34" t="s">
        <v>1494</v>
      </c>
    </row>
    <row r="1271" spans="1:18" ht="15" customHeight="1" x14ac:dyDescent="0.25">
      <c r="A1271" t="str">
        <f>IFERROR(RANK(B1271,$B:$B,1)+COUNTIF($B$1:B1270,B1271),"")</f>
        <v/>
      </c>
      <c r="B1271" t="str">
        <f>IFERROR(SEARCH(#REF!,Table4[[#This Row],[Commodity Title]],1),"")</f>
        <v/>
      </c>
      <c r="C1271" s="35">
        <v>42182401</v>
      </c>
      <c r="D1271" s="33" t="s">
        <v>1495</v>
      </c>
      <c r="E1271" s="33" t="s">
        <v>1496</v>
      </c>
      <c r="F1271" s="33" t="s">
        <v>1497</v>
      </c>
      <c r="G1271" s="33" t="s">
        <v>3748</v>
      </c>
      <c r="H1271" s="33" t="s">
        <v>3749</v>
      </c>
      <c r="I1271" s="33" t="s">
        <v>3750</v>
      </c>
      <c r="J1271" s="33">
        <v>115360</v>
      </c>
      <c r="K1271" s="33" t="s">
        <v>4096</v>
      </c>
      <c r="L1271" s="33" t="s">
        <v>4097</v>
      </c>
      <c r="M1271" s="33" t="s">
        <v>4098</v>
      </c>
      <c r="N1271" s="44">
        <v>42182401</v>
      </c>
      <c r="O1271" s="33" t="s">
        <v>4099</v>
      </c>
      <c r="P1271" s="33" t="s">
        <v>4100</v>
      </c>
      <c r="Q1271" s="34" t="s">
        <v>1494</v>
      </c>
      <c r="R1271" s="34" t="s">
        <v>1494</v>
      </c>
    </row>
    <row r="1272" spans="1:18" ht="15" customHeight="1" x14ac:dyDescent="0.25">
      <c r="A1272" t="str">
        <f>IFERROR(RANK(B1272,$B:$B,1)+COUNTIF($B$1:B1271,B1272),"")</f>
        <v/>
      </c>
      <c r="B1272" t="str">
        <f>IFERROR(SEARCH(#REF!,Table4[[#This Row],[Commodity Title]],1),"")</f>
        <v/>
      </c>
      <c r="C1272" s="35">
        <v>42182402</v>
      </c>
      <c r="D1272" s="33" t="s">
        <v>1495</v>
      </c>
      <c r="E1272" s="33" t="s">
        <v>1496</v>
      </c>
      <c r="F1272" s="33" t="s">
        <v>1497</v>
      </c>
      <c r="G1272" s="33" t="s">
        <v>3748</v>
      </c>
      <c r="H1272" s="33" t="s">
        <v>3749</v>
      </c>
      <c r="I1272" s="33" t="s">
        <v>3750</v>
      </c>
      <c r="J1272" s="33">
        <v>115361</v>
      </c>
      <c r="K1272" s="33" t="s">
        <v>4096</v>
      </c>
      <c r="L1272" s="33" t="s">
        <v>4097</v>
      </c>
      <c r="M1272" s="33" t="s">
        <v>4098</v>
      </c>
      <c r="N1272" s="44">
        <v>42182402</v>
      </c>
      <c r="O1272" s="33" t="s">
        <v>4101</v>
      </c>
      <c r="P1272" s="33" t="s">
        <v>4102</v>
      </c>
      <c r="Q1272" s="34" t="s">
        <v>1494</v>
      </c>
      <c r="R1272" s="34" t="s">
        <v>1494</v>
      </c>
    </row>
    <row r="1273" spans="1:18" ht="15" customHeight="1" x14ac:dyDescent="0.25">
      <c r="A1273" t="str">
        <f>IFERROR(RANK(B1273,$B:$B,1)+COUNTIF($B$1:B1272,B1273),"")</f>
        <v/>
      </c>
      <c r="B1273" t="str">
        <f>IFERROR(SEARCH(#REF!,Table4[[#This Row],[Commodity Title]],1),"")</f>
        <v/>
      </c>
      <c r="C1273" s="35">
        <v>42182403</v>
      </c>
      <c r="D1273" s="33" t="s">
        <v>1495</v>
      </c>
      <c r="E1273" s="33" t="s">
        <v>1496</v>
      </c>
      <c r="F1273" s="33" t="s">
        <v>1497</v>
      </c>
      <c r="G1273" s="33" t="s">
        <v>3748</v>
      </c>
      <c r="H1273" s="33" t="s">
        <v>3749</v>
      </c>
      <c r="I1273" s="33" t="s">
        <v>3750</v>
      </c>
      <c r="J1273" s="33">
        <v>115362</v>
      </c>
      <c r="K1273" s="33" t="s">
        <v>4096</v>
      </c>
      <c r="L1273" s="33" t="s">
        <v>4097</v>
      </c>
      <c r="M1273" s="33" t="s">
        <v>4098</v>
      </c>
      <c r="N1273" s="44">
        <v>42182403</v>
      </c>
      <c r="O1273" s="33" t="s">
        <v>4103</v>
      </c>
      <c r="P1273" s="33" t="s">
        <v>4104</v>
      </c>
      <c r="Q1273" s="34" t="s">
        <v>1494</v>
      </c>
      <c r="R1273" s="34" t="s">
        <v>1494</v>
      </c>
    </row>
    <row r="1274" spans="1:18" ht="15" customHeight="1" x14ac:dyDescent="0.25">
      <c r="A1274" t="str">
        <f>IFERROR(RANK(B1274,$B:$B,1)+COUNTIF($B$1:B1273,B1274),"")</f>
        <v/>
      </c>
      <c r="B1274" t="str">
        <f>IFERROR(SEARCH(#REF!,Table4[[#This Row],[Commodity Title]],1),"")</f>
        <v/>
      </c>
      <c r="C1274" s="35">
        <v>42182404</v>
      </c>
      <c r="D1274" s="33" t="s">
        <v>1495</v>
      </c>
      <c r="E1274" s="33" t="s">
        <v>1496</v>
      </c>
      <c r="F1274" s="33" t="s">
        <v>1497</v>
      </c>
      <c r="G1274" s="33" t="s">
        <v>3748</v>
      </c>
      <c r="H1274" s="33" t="s">
        <v>3749</v>
      </c>
      <c r="I1274" s="33" t="s">
        <v>3750</v>
      </c>
      <c r="J1274" s="33">
        <v>115363</v>
      </c>
      <c r="K1274" s="33" t="s">
        <v>4096</v>
      </c>
      <c r="L1274" s="33" t="s">
        <v>4097</v>
      </c>
      <c r="M1274" s="33" t="s">
        <v>4098</v>
      </c>
      <c r="N1274" s="44">
        <v>42182404</v>
      </c>
      <c r="O1274" s="33" t="s">
        <v>4105</v>
      </c>
      <c r="P1274" s="33" t="s">
        <v>4106</v>
      </c>
      <c r="Q1274" s="34" t="s">
        <v>1494</v>
      </c>
      <c r="R1274" s="34" t="s">
        <v>1494</v>
      </c>
    </row>
    <row r="1275" spans="1:18" ht="15" customHeight="1" x14ac:dyDescent="0.25">
      <c r="A1275" t="str">
        <f>IFERROR(RANK(B1275,$B:$B,1)+COUNTIF($B$1:B1274,B1275),"")</f>
        <v/>
      </c>
      <c r="B1275" t="str">
        <f>IFERROR(SEARCH(#REF!,Table4[[#This Row],[Commodity Title]],1),"")</f>
        <v/>
      </c>
      <c r="C1275" s="35">
        <v>42182405</v>
      </c>
      <c r="D1275" s="33" t="s">
        <v>1495</v>
      </c>
      <c r="E1275" s="33" t="s">
        <v>1496</v>
      </c>
      <c r="F1275" s="33" t="s">
        <v>1497</v>
      </c>
      <c r="G1275" s="33" t="s">
        <v>3748</v>
      </c>
      <c r="H1275" s="33" t="s">
        <v>3749</v>
      </c>
      <c r="I1275" s="33" t="s">
        <v>3750</v>
      </c>
      <c r="J1275" s="33">
        <v>115364</v>
      </c>
      <c r="K1275" s="33" t="s">
        <v>4096</v>
      </c>
      <c r="L1275" s="33" t="s">
        <v>4097</v>
      </c>
      <c r="M1275" s="33" t="s">
        <v>4098</v>
      </c>
      <c r="N1275" s="44">
        <v>42182405</v>
      </c>
      <c r="O1275" s="33" t="s">
        <v>4107</v>
      </c>
      <c r="P1275" s="33" t="s">
        <v>4108</v>
      </c>
      <c r="Q1275" s="34" t="s">
        <v>1494</v>
      </c>
      <c r="R1275" s="34" t="s">
        <v>1494</v>
      </c>
    </row>
    <row r="1276" spans="1:18" ht="15" customHeight="1" x14ac:dyDescent="0.25">
      <c r="A1276" t="str">
        <f>IFERROR(RANK(B1276,$B:$B,1)+COUNTIF($B$1:B1275,B1276),"")</f>
        <v/>
      </c>
      <c r="B1276" t="str">
        <f>IFERROR(SEARCH(#REF!,Table4[[#This Row],[Commodity Title]],1),"")</f>
        <v/>
      </c>
      <c r="C1276" s="35">
        <v>42182406</v>
      </c>
      <c r="D1276" s="33" t="s">
        <v>1495</v>
      </c>
      <c r="E1276" s="33" t="s">
        <v>1496</v>
      </c>
      <c r="F1276" s="33" t="s">
        <v>1497</v>
      </c>
      <c r="G1276" s="33" t="s">
        <v>3748</v>
      </c>
      <c r="H1276" s="33" t="s">
        <v>3749</v>
      </c>
      <c r="I1276" s="33" t="s">
        <v>3750</v>
      </c>
      <c r="J1276" s="33">
        <v>115365</v>
      </c>
      <c r="K1276" s="33" t="s">
        <v>4096</v>
      </c>
      <c r="L1276" s="33" t="s">
        <v>4097</v>
      </c>
      <c r="M1276" s="33" t="s">
        <v>4098</v>
      </c>
      <c r="N1276" s="44">
        <v>42182406</v>
      </c>
      <c r="O1276" s="33" t="s">
        <v>4109</v>
      </c>
      <c r="P1276" s="33" t="s">
        <v>4110</v>
      </c>
      <c r="Q1276" s="34" t="s">
        <v>1494</v>
      </c>
      <c r="R1276" s="34" t="s">
        <v>1494</v>
      </c>
    </row>
    <row r="1277" spans="1:18" ht="15" customHeight="1" x14ac:dyDescent="0.25">
      <c r="A1277" t="str">
        <f>IFERROR(RANK(B1277,$B:$B,1)+COUNTIF($B$1:B1276,B1277),"")</f>
        <v/>
      </c>
      <c r="B1277" t="str">
        <f>IFERROR(SEARCH(#REF!,Table4[[#This Row],[Commodity Title]],1),"")</f>
        <v/>
      </c>
      <c r="C1277" s="35">
        <v>42182407</v>
      </c>
      <c r="D1277" s="33" t="s">
        <v>1495</v>
      </c>
      <c r="E1277" s="33" t="s">
        <v>1496</v>
      </c>
      <c r="F1277" s="33" t="s">
        <v>1497</v>
      </c>
      <c r="G1277" s="33" t="s">
        <v>3748</v>
      </c>
      <c r="H1277" s="33" t="s">
        <v>3749</v>
      </c>
      <c r="I1277" s="33" t="s">
        <v>3750</v>
      </c>
      <c r="J1277" s="33">
        <v>115366</v>
      </c>
      <c r="K1277" s="33" t="s">
        <v>4096</v>
      </c>
      <c r="L1277" s="33" t="s">
        <v>4097</v>
      </c>
      <c r="M1277" s="33" t="s">
        <v>4098</v>
      </c>
      <c r="N1277" s="44">
        <v>42182407</v>
      </c>
      <c r="O1277" s="33" t="s">
        <v>4111</v>
      </c>
      <c r="P1277" s="33" t="s">
        <v>4112</v>
      </c>
      <c r="Q1277" s="34" t="s">
        <v>1494</v>
      </c>
      <c r="R1277" s="34" t="s">
        <v>1494</v>
      </c>
    </row>
    <row r="1278" spans="1:18" ht="15" customHeight="1" x14ac:dyDescent="0.25">
      <c r="A1278" t="str">
        <f>IFERROR(RANK(B1278,$B:$B,1)+COUNTIF($B$1:B1277,B1278),"")</f>
        <v/>
      </c>
      <c r="B1278" t="str">
        <f>IFERROR(SEARCH(#REF!,Table4[[#This Row],[Commodity Title]],1),"")</f>
        <v/>
      </c>
      <c r="C1278" s="35">
        <v>42182408</v>
      </c>
      <c r="D1278" s="33" t="s">
        <v>1495</v>
      </c>
      <c r="E1278" s="33" t="s">
        <v>1496</v>
      </c>
      <c r="F1278" s="33" t="s">
        <v>1497</v>
      </c>
      <c r="G1278" s="33" t="s">
        <v>3748</v>
      </c>
      <c r="H1278" s="33" t="s">
        <v>3749</v>
      </c>
      <c r="I1278" s="33" t="s">
        <v>3750</v>
      </c>
      <c r="J1278" s="33">
        <v>115367</v>
      </c>
      <c r="K1278" s="33" t="s">
        <v>4096</v>
      </c>
      <c r="L1278" s="33" t="s">
        <v>4097</v>
      </c>
      <c r="M1278" s="33" t="s">
        <v>4098</v>
      </c>
      <c r="N1278" s="44">
        <v>42182408</v>
      </c>
      <c r="O1278" s="33" t="s">
        <v>4113</v>
      </c>
      <c r="P1278" s="33" t="s">
        <v>4114</v>
      </c>
      <c r="Q1278" s="34" t="s">
        <v>1494</v>
      </c>
      <c r="R1278" s="34" t="s">
        <v>1494</v>
      </c>
    </row>
    <row r="1279" spans="1:18" ht="15" customHeight="1" x14ac:dyDescent="0.25">
      <c r="A1279" t="str">
        <f>IFERROR(RANK(B1279,$B:$B,1)+COUNTIF($B$1:B1278,B1279),"")</f>
        <v/>
      </c>
      <c r="B1279" t="str">
        <f>IFERROR(SEARCH(#REF!,Table4[[#This Row],[Commodity Title]],1),"")</f>
        <v/>
      </c>
      <c r="C1279" s="35">
        <v>42182409</v>
      </c>
      <c r="D1279" s="33" t="s">
        <v>1495</v>
      </c>
      <c r="E1279" s="33" t="s">
        <v>1496</v>
      </c>
      <c r="F1279" s="33" t="s">
        <v>1497</v>
      </c>
      <c r="G1279" s="33" t="s">
        <v>3748</v>
      </c>
      <c r="H1279" s="33" t="s">
        <v>3749</v>
      </c>
      <c r="I1279" s="33" t="s">
        <v>3750</v>
      </c>
      <c r="J1279" s="33">
        <v>115368</v>
      </c>
      <c r="K1279" s="33" t="s">
        <v>4096</v>
      </c>
      <c r="L1279" s="33" t="s">
        <v>4097</v>
      </c>
      <c r="M1279" s="33" t="s">
        <v>4098</v>
      </c>
      <c r="N1279" s="44">
        <v>42182409</v>
      </c>
      <c r="O1279" s="33" t="s">
        <v>4115</v>
      </c>
      <c r="P1279" s="33" t="s">
        <v>4116</v>
      </c>
      <c r="Q1279" s="34" t="s">
        <v>1494</v>
      </c>
      <c r="R1279" s="34" t="s">
        <v>1494</v>
      </c>
    </row>
    <row r="1280" spans="1:18" ht="15" customHeight="1" x14ac:dyDescent="0.25">
      <c r="A1280" t="str">
        <f>IFERROR(RANK(B1280,$B:$B,1)+COUNTIF($B$1:B1279,B1280),"")</f>
        <v/>
      </c>
      <c r="B1280" t="str">
        <f>IFERROR(SEARCH(#REF!,Table4[[#This Row],[Commodity Title]],1),"")</f>
        <v/>
      </c>
      <c r="C1280" s="35">
        <v>42182410</v>
      </c>
      <c r="D1280" s="33" t="s">
        <v>1495</v>
      </c>
      <c r="E1280" s="33" t="s">
        <v>1496</v>
      </c>
      <c r="F1280" s="33" t="s">
        <v>1497</v>
      </c>
      <c r="G1280" s="33" t="s">
        <v>3748</v>
      </c>
      <c r="H1280" s="33" t="s">
        <v>3749</v>
      </c>
      <c r="I1280" s="33" t="s">
        <v>3750</v>
      </c>
      <c r="J1280" s="33">
        <v>115369</v>
      </c>
      <c r="K1280" s="33" t="s">
        <v>4096</v>
      </c>
      <c r="L1280" s="33" t="s">
        <v>4097</v>
      </c>
      <c r="M1280" s="33" t="s">
        <v>4098</v>
      </c>
      <c r="N1280" s="44">
        <v>42182410</v>
      </c>
      <c r="O1280" s="33" t="s">
        <v>4117</v>
      </c>
      <c r="P1280" s="33" t="s">
        <v>4118</v>
      </c>
      <c r="Q1280" s="34" t="s">
        <v>1494</v>
      </c>
      <c r="R1280" s="34" t="s">
        <v>1494</v>
      </c>
    </row>
    <row r="1281" spans="1:18" ht="15" customHeight="1" x14ac:dyDescent="0.25">
      <c r="A1281" t="str">
        <f>IFERROR(RANK(B1281,$B:$B,1)+COUNTIF($B$1:B1280,B1281),"")</f>
        <v/>
      </c>
      <c r="B1281" t="str">
        <f>IFERROR(SEARCH(#REF!,Table4[[#This Row],[Commodity Title]],1),"")</f>
        <v/>
      </c>
      <c r="C1281" s="35">
        <v>42182411</v>
      </c>
      <c r="D1281" s="33" t="s">
        <v>1495</v>
      </c>
      <c r="E1281" s="33" t="s">
        <v>1496</v>
      </c>
      <c r="F1281" s="33" t="s">
        <v>1497</v>
      </c>
      <c r="G1281" s="33" t="s">
        <v>3748</v>
      </c>
      <c r="H1281" s="33" t="s">
        <v>3749</v>
      </c>
      <c r="I1281" s="33" t="s">
        <v>3750</v>
      </c>
      <c r="J1281" s="33">
        <v>115370</v>
      </c>
      <c r="K1281" s="33" t="s">
        <v>4096</v>
      </c>
      <c r="L1281" s="33" t="s">
        <v>4097</v>
      </c>
      <c r="M1281" s="33" t="s">
        <v>4098</v>
      </c>
      <c r="N1281" s="44">
        <v>42182411</v>
      </c>
      <c r="O1281" s="33" t="s">
        <v>4119</v>
      </c>
      <c r="P1281" s="33" t="s">
        <v>4120</v>
      </c>
      <c r="Q1281" s="34" t="s">
        <v>1494</v>
      </c>
      <c r="R1281" s="34" t="s">
        <v>1494</v>
      </c>
    </row>
    <row r="1282" spans="1:18" ht="15" customHeight="1" x14ac:dyDescent="0.25">
      <c r="A1282" t="str">
        <f>IFERROR(RANK(B1282,$B:$B,1)+COUNTIF($B$1:B1281,B1282),"")</f>
        <v/>
      </c>
      <c r="B1282" t="str">
        <f>IFERROR(SEARCH(#REF!,Table4[[#This Row],[Commodity Title]],1),"")</f>
        <v/>
      </c>
      <c r="C1282" s="35">
        <v>42182412</v>
      </c>
      <c r="D1282" s="33" t="s">
        <v>1495</v>
      </c>
      <c r="E1282" s="33" t="s">
        <v>1496</v>
      </c>
      <c r="F1282" s="33" t="s">
        <v>1497</v>
      </c>
      <c r="G1282" s="33" t="s">
        <v>3748</v>
      </c>
      <c r="H1282" s="33" t="s">
        <v>3749</v>
      </c>
      <c r="I1282" s="33" t="s">
        <v>3750</v>
      </c>
      <c r="J1282" s="33">
        <v>115371</v>
      </c>
      <c r="K1282" s="33" t="s">
        <v>4096</v>
      </c>
      <c r="L1282" s="33" t="s">
        <v>4097</v>
      </c>
      <c r="M1282" s="33" t="s">
        <v>4098</v>
      </c>
      <c r="N1282" s="44">
        <v>42182412</v>
      </c>
      <c r="O1282" s="33" t="s">
        <v>4121</v>
      </c>
      <c r="P1282" s="33" t="s">
        <v>4122</v>
      </c>
      <c r="Q1282" s="34" t="s">
        <v>1494</v>
      </c>
      <c r="R1282" s="34" t="s">
        <v>1494</v>
      </c>
    </row>
    <row r="1283" spans="1:18" ht="15" customHeight="1" x14ac:dyDescent="0.25">
      <c r="A1283" t="str">
        <f>IFERROR(RANK(B1283,$B:$B,1)+COUNTIF($B$1:B1282,B1283),"")</f>
        <v/>
      </c>
      <c r="B1283" t="str">
        <f>IFERROR(SEARCH(#REF!,Table4[[#This Row],[Commodity Title]],1),"")</f>
        <v/>
      </c>
      <c r="C1283" s="35">
        <v>42182413</v>
      </c>
      <c r="D1283" s="33" t="s">
        <v>1495</v>
      </c>
      <c r="E1283" s="33" t="s">
        <v>1496</v>
      </c>
      <c r="F1283" s="33" t="s">
        <v>1497</v>
      </c>
      <c r="G1283" s="33" t="s">
        <v>3748</v>
      </c>
      <c r="H1283" s="33" t="s">
        <v>3749</v>
      </c>
      <c r="I1283" s="33" t="s">
        <v>3750</v>
      </c>
      <c r="J1283" s="33">
        <v>115372</v>
      </c>
      <c r="K1283" s="33" t="s">
        <v>4096</v>
      </c>
      <c r="L1283" s="33" t="s">
        <v>4097</v>
      </c>
      <c r="M1283" s="33" t="s">
        <v>4098</v>
      </c>
      <c r="N1283" s="44">
        <v>42182413</v>
      </c>
      <c r="O1283" s="33" t="s">
        <v>4123</v>
      </c>
      <c r="P1283" s="33" t="s">
        <v>4124</v>
      </c>
      <c r="Q1283" s="34" t="s">
        <v>1494</v>
      </c>
      <c r="R1283" s="34" t="s">
        <v>1494</v>
      </c>
    </row>
    <row r="1284" spans="1:18" ht="15" customHeight="1" x14ac:dyDescent="0.25">
      <c r="A1284" t="str">
        <f>IFERROR(RANK(B1284,$B:$B,1)+COUNTIF($B$1:B1283,B1284),"")</f>
        <v/>
      </c>
      <c r="B1284" t="str">
        <f>IFERROR(SEARCH(#REF!,Table4[[#This Row],[Commodity Title]],1),"")</f>
        <v/>
      </c>
      <c r="C1284" s="35">
        <v>42182414</v>
      </c>
      <c r="D1284" s="33" t="s">
        <v>1495</v>
      </c>
      <c r="E1284" s="33" t="s">
        <v>1496</v>
      </c>
      <c r="F1284" s="33" t="s">
        <v>1497</v>
      </c>
      <c r="G1284" s="33" t="s">
        <v>3748</v>
      </c>
      <c r="H1284" s="33" t="s">
        <v>3749</v>
      </c>
      <c r="I1284" s="33" t="s">
        <v>3750</v>
      </c>
      <c r="J1284" s="33">
        <v>115373</v>
      </c>
      <c r="K1284" s="33" t="s">
        <v>4096</v>
      </c>
      <c r="L1284" s="33" t="s">
        <v>4097</v>
      </c>
      <c r="M1284" s="33" t="s">
        <v>4098</v>
      </c>
      <c r="N1284" s="44">
        <v>42182414</v>
      </c>
      <c r="O1284" s="33" t="s">
        <v>4125</v>
      </c>
      <c r="P1284" s="33" t="s">
        <v>4126</v>
      </c>
      <c r="Q1284" s="34" t="s">
        <v>1494</v>
      </c>
      <c r="R1284" s="34" t="s">
        <v>1494</v>
      </c>
    </row>
    <row r="1285" spans="1:18" ht="15" customHeight="1" x14ac:dyDescent="0.25">
      <c r="A1285" t="str">
        <f>IFERROR(RANK(B1285,$B:$B,1)+COUNTIF($B$1:B1284,B1285),"")</f>
        <v/>
      </c>
      <c r="B1285" t="str">
        <f>IFERROR(SEARCH(#REF!,Table4[[#This Row],[Commodity Title]],1),"")</f>
        <v/>
      </c>
      <c r="C1285" s="35">
        <v>42182415</v>
      </c>
      <c r="D1285" s="33" t="s">
        <v>1495</v>
      </c>
      <c r="E1285" s="33" t="s">
        <v>1496</v>
      </c>
      <c r="F1285" s="33" t="s">
        <v>1497</v>
      </c>
      <c r="G1285" s="33" t="s">
        <v>3748</v>
      </c>
      <c r="H1285" s="33" t="s">
        <v>3749</v>
      </c>
      <c r="I1285" s="33" t="s">
        <v>3750</v>
      </c>
      <c r="J1285" s="33">
        <v>115374</v>
      </c>
      <c r="K1285" s="33" t="s">
        <v>4096</v>
      </c>
      <c r="L1285" s="33" t="s">
        <v>4097</v>
      </c>
      <c r="M1285" s="33" t="s">
        <v>4098</v>
      </c>
      <c r="N1285" s="44">
        <v>42182415</v>
      </c>
      <c r="O1285" s="33" t="s">
        <v>4127</v>
      </c>
      <c r="P1285" s="33" t="s">
        <v>4128</v>
      </c>
      <c r="Q1285" s="34" t="s">
        <v>1494</v>
      </c>
      <c r="R1285" s="34" t="s">
        <v>1494</v>
      </c>
    </row>
    <row r="1286" spans="1:18" ht="15" customHeight="1" x14ac:dyDescent="0.25">
      <c r="A1286" t="str">
        <f>IFERROR(RANK(B1286,$B:$B,1)+COUNTIF($B$1:B1285,B1286),"")</f>
        <v/>
      </c>
      <c r="B1286" t="str">
        <f>IFERROR(SEARCH(#REF!,Table4[[#This Row],[Commodity Title]],1),"")</f>
        <v/>
      </c>
      <c r="C1286" s="35">
        <v>42182416</v>
      </c>
      <c r="D1286" s="33" t="s">
        <v>1495</v>
      </c>
      <c r="E1286" s="33" t="s">
        <v>1496</v>
      </c>
      <c r="F1286" s="33" t="s">
        <v>1497</v>
      </c>
      <c r="G1286" s="33" t="s">
        <v>3748</v>
      </c>
      <c r="H1286" s="33" t="s">
        <v>3749</v>
      </c>
      <c r="I1286" s="33" t="s">
        <v>3750</v>
      </c>
      <c r="J1286" s="33">
        <v>115375</v>
      </c>
      <c r="K1286" s="33" t="s">
        <v>4096</v>
      </c>
      <c r="L1286" s="33" t="s">
        <v>4097</v>
      </c>
      <c r="M1286" s="33" t="s">
        <v>4098</v>
      </c>
      <c r="N1286" s="44">
        <v>42182416</v>
      </c>
      <c r="O1286" s="33" t="s">
        <v>4129</v>
      </c>
      <c r="P1286" s="33" t="s">
        <v>4130</v>
      </c>
      <c r="Q1286" s="34" t="s">
        <v>1494</v>
      </c>
      <c r="R1286" s="34" t="s">
        <v>1494</v>
      </c>
    </row>
    <row r="1287" spans="1:18" ht="15" customHeight="1" x14ac:dyDescent="0.25">
      <c r="A1287" t="str">
        <f>IFERROR(RANK(B1287,$B:$B,1)+COUNTIF($B$1:B1286,B1287),"")</f>
        <v/>
      </c>
      <c r="B1287" t="str">
        <f>IFERROR(SEARCH(#REF!,Table4[[#This Row],[Commodity Title]],1),"")</f>
        <v/>
      </c>
      <c r="C1287" s="35">
        <v>42182417</v>
      </c>
      <c r="D1287" s="33" t="s">
        <v>1495</v>
      </c>
      <c r="E1287" s="33" t="s">
        <v>1496</v>
      </c>
      <c r="F1287" s="33" t="s">
        <v>1497</v>
      </c>
      <c r="G1287" s="33" t="s">
        <v>3748</v>
      </c>
      <c r="H1287" s="33" t="s">
        <v>3749</v>
      </c>
      <c r="I1287" s="33" t="s">
        <v>3750</v>
      </c>
      <c r="J1287" s="33">
        <v>142513</v>
      </c>
      <c r="K1287" s="33" t="s">
        <v>4096</v>
      </c>
      <c r="L1287" s="33" t="s">
        <v>4097</v>
      </c>
      <c r="M1287" s="33" t="s">
        <v>4098</v>
      </c>
      <c r="N1287" s="44">
        <v>42182417</v>
      </c>
      <c r="O1287" s="33" t="s">
        <v>4131</v>
      </c>
      <c r="P1287" s="33" t="s">
        <v>4132</v>
      </c>
      <c r="Q1287" s="34" t="s">
        <v>1494</v>
      </c>
      <c r="R1287" s="34" t="s">
        <v>1494</v>
      </c>
    </row>
    <row r="1288" spans="1:18" ht="15" customHeight="1" x14ac:dyDescent="0.25">
      <c r="A1288" t="str">
        <f>IFERROR(RANK(B1288,$B:$B,1)+COUNTIF($B$1:B1287,B1288),"")</f>
        <v/>
      </c>
      <c r="B1288" t="str">
        <f>IFERROR(SEARCH(#REF!,Table4[[#This Row],[Commodity Title]],1),"")</f>
        <v/>
      </c>
      <c r="C1288" s="35">
        <v>42182418</v>
      </c>
      <c r="D1288" s="33" t="s">
        <v>1495</v>
      </c>
      <c r="E1288" s="33" t="s">
        <v>1496</v>
      </c>
      <c r="F1288" s="33" t="s">
        <v>1497</v>
      </c>
      <c r="G1288" s="33" t="s">
        <v>3748</v>
      </c>
      <c r="H1288" s="33" t="s">
        <v>3749</v>
      </c>
      <c r="I1288" s="33" t="s">
        <v>3750</v>
      </c>
      <c r="J1288" s="33">
        <v>142514</v>
      </c>
      <c r="K1288" s="33" t="s">
        <v>4096</v>
      </c>
      <c r="L1288" s="33" t="s">
        <v>4097</v>
      </c>
      <c r="M1288" s="33" t="s">
        <v>4098</v>
      </c>
      <c r="N1288" s="44">
        <v>42182418</v>
      </c>
      <c r="O1288" s="33" t="s">
        <v>4133</v>
      </c>
      <c r="P1288" s="33" t="s">
        <v>4134</v>
      </c>
      <c r="Q1288" s="34" t="s">
        <v>1494</v>
      </c>
      <c r="R1288" s="34" t="s">
        <v>1494</v>
      </c>
    </row>
    <row r="1289" spans="1:18" ht="15" customHeight="1" x14ac:dyDescent="0.25">
      <c r="A1289" t="str">
        <f>IFERROR(RANK(B1289,$B:$B,1)+COUNTIF($B$1:B1288,B1289),"")</f>
        <v/>
      </c>
      <c r="B1289" t="str">
        <f>IFERROR(SEARCH(#REF!,Table4[[#This Row],[Commodity Title]],1),"")</f>
        <v/>
      </c>
      <c r="C1289" s="35">
        <v>42182419</v>
      </c>
      <c r="D1289" s="33" t="s">
        <v>1495</v>
      </c>
      <c r="E1289" s="33" t="s">
        <v>1496</v>
      </c>
      <c r="F1289" s="33" t="s">
        <v>1497</v>
      </c>
      <c r="G1289" s="33" t="s">
        <v>3748</v>
      </c>
      <c r="H1289" s="33" t="s">
        <v>3749</v>
      </c>
      <c r="I1289" s="33" t="s">
        <v>3750</v>
      </c>
      <c r="J1289" s="33">
        <v>142515</v>
      </c>
      <c r="K1289" s="33" t="s">
        <v>4096</v>
      </c>
      <c r="L1289" s="33" t="s">
        <v>4097</v>
      </c>
      <c r="M1289" s="33" t="s">
        <v>4098</v>
      </c>
      <c r="N1289" s="44">
        <v>42182419</v>
      </c>
      <c r="O1289" s="33" t="s">
        <v>4135</v>
      </c>
      <c r="P1289" s="33" t="s">
        <v>4136</v>
      </c>
      <c r="Q1289" s="34" t="s">
        <v>1494</v>
      </c>
      <c r="R1289" s="34" t="s">
        <v>1494</v>
      </c>
    </row>
    <row r="1290" spans="1:18" ht="15" customHeight="1" x14ac:dyDescent="0.25">
      <c r="A1290" t="str">
        <f>IFERROR(RANK(B1290,$B:$B,1)+COUNTIF($B$1:B1289,B1290),"")</f>
        <v/>
      </c>
      <c r="B1290" t="str">
        <f>IFERROR(SEARCH(#REF!,Table4[[#This Row],[Commodity Title]],1),"")</f>
        <v/>
      </c>
      <c r="C1290" s="35">
        <v>42182420</v>
      </c>
      <c r="D1290" s="33" t="s">
        <v>1495</v>
      </c>
      <c r="E1290" s="33" t="s">
        <v>1496</v>
      </c>
      <c r="F1290" s="33" t="s">
        <v>1497</v>
      </c>
      <c r="G1290" s="33" t="s">
        <v>3748</v>
      </c>
      <c r="H1290" s="33" t="s">
        <v>3749</v>
      </c>
      <c r="I1290" s="33" t="s">
        <v>3750</v>
      </c>
      <c r="J1290" s="33">
        <v>142516</v>
      </c>
      <c r="K1290" s="33" t="s">
        <v>4096</v>
      </c>
      <c r="L1290" s="33" t="s">
        <v>4097</v>
      </c>
      <c r="M1290" s="33" t="s">
        <v>4098</v>
      </c>
      <c r="N1290" s="44">
        <v>42182420</v>
      </c>
      <c r="O1290" s="33" t="s">
        <v>4137</v>
      </c>
      <c r="P1290" s="33" t="s">
        <v>4138</v>
      </c>
      <c r="Q1290" s="34" t="s">
        <v>1494</v>
      </c>
      <c r="R1290" s="34" t="s">
        <v>1494</v>
      </c>
    </row>
    <row r="1291" spans="1:18" ht="15" customHeight="1" x14ac:dyDescent="0.25">
      <c r="A1291" t="str">
        <f>IFERROR(RANK(B1291,$B:$B,1)+COUNTIF($B$1:B1290,B1291),"")</f>
        <v/>
      </c>
      <c r="B1291" t="str">
        <f>IFERROR(SEARCH(#REF!,Table4[[#This Row],[Commodity Title]],1),"")</f>
        <v/>
      </c>
      <c r="C1291" s="35">
        <v>42182421</v>
      </c>
      <c r="D1291" s="33" t="s">
        <v>1495</v>
      </c>
      <c r="E1291" s="33" t="s">
        <v>1496</v>
      </c>
      <c r="F1291" s="33" t="s">
        <v>1497</v>
      </c>
      <c r="G1291" s="33" t="s">
        <v>3748</v>
      </c>
      <c r="H1291" s="33" t="s">
        <v>3749</v>
      </c>
      <c r="I1291" s="33" t="s">
        <v>3750</v>
      </c>
      <c r="J1291" s="33">
        <v>142517</v>
      </c>
      <c r="K1291" s="33" t="s">
        <v>4096</v>
      </c>
      <c r="L1291" s="33" t="s">
        <v>4097</v>
      </c>
      <c r="M1291" s="33" t="s">
        <v>4098</v>
      </c>
      <c r="N1291" s="44">
        <v>42182421</v>
      </c>
      <c r="O1291" s="33" t="s">
        <v>4139</v>
      </c>
      <c r="P1291" s="33" t="s">
        <v>4140</v>
      </c>
      <c r="Q1291" s="34" t="s">
        <v>1494</v>
      </c>
      <c r="R1291" s="34" t="s">
        <v>1494</v>
      </c>
    </row>
    <row r="1292" spans="1:18" ht="15" customHeight="1" x14ac:dyDescent="0.25">
      <c r="A1292" t="str">
        <f>IFERROR(RANK(B1292,$B:$B,1)+COUNTIF($B$1:B1291,B1292),"")</f>
        <v/>
      </c>
      <c r="B1292" t="str">
        <f>IFERROR(SEARCH(#REF!,Table4[[#This Row],[Commodity Title]],1),"")</f>
        <v/>
      </c>
      <c r="C1292" s="35">
        <v>42182422</v>
      </c>
      <c r="D1292" s="33" t="s">
        <v>1495</v>
      </c>
      <c r="E1292" s="33" t="s">
        <v>1496</v>
      </c>
      <c r="F1292" s="33" t="s">
        <v>1497</v>
      </c>
      <c r="G1292" s="33" t="s">
        <v>3748</v>
      </c>
      <c r="H1292" s="33" t="s">
        <v>3749</v>
      </c>
      <c r="I1292" s="33" t="s">
        <v>3750</v>
      </c>
      <c r="J1292" s="33">
        <v>142518</v>
      </c>
      <c r="K1292" s="33" t="s">
        <v>4096</v>
      </c>
      <c r="L1292" s="33" t="s">
        <v>4097</v>
      </c>
      <c r="M1292" s="33" t="s">
        <v>4098</v>
      </c>
      <c r="N1292" s="44">
        <v>42182422</v>
      </c>
      <c r="O1292" s="33" t="s">
        <v>4141</v>
      </c>
      <c r="P1292" s="33" t="s">
        <v>4142</v>
      </c>
      <c r="Q1292" s="34" t="s">
        <v>1494</v>
      </c>
      <c r="R1292" s="34" t="s">
        <v>1494</v>
      </c>
    </row>
    <row r="1293" spans="1:18" ht="15" customHeight="1" x14ac:dyDescent="0.25">
      <c r="A1293" t="str">
        <f>IFERROR(RANK(B1293,$B:$B,1)+COUNTIF($B$1:B1292,B1293),"")</f>
        <v/>
      </c>
      <c r="B1293" t="str">
        <f>IFERROR(SEARCH(#REF!,Table4[[#This Row],[Commodity Title]],1),"")</f>
        <v/>
      </c>
      <c r="C1293" s="35">
        <v>42182423</v>
      </c>
      <c r="D1293" s="33" t="s">
        <v>1495</v>
      </c>
      <c r="E1293" s="33" t="s">
        <v>1496</v>
      </c>
      <c r="F1293" s="33" t="s">
        <v>1497</v>
      </c>
      <c r="G1293" s="33" t="s">
        <v>3748</v>
      </c>
      <c r="H1293" s="33" t="s">
        <v>3749</v>
      </c>
      <c r="I1293" s="33" t="s">
        <v>3750</v>
      </c>
      <c r="J1293" s="33">
        <v>202729</v>
      </c>
      <c r="K1293" s="33" t="s">
        <v>4096</v>
      </c>
      <c r="L1293" s="33" t="s">
        <v>4097</v>
      </c>
      <c r="M1293" s="33" t="s">
        <v>4098</v>
      </c>
      <c r="N1293" s="44">
        <v>42182423</v>
      </c>
      <c r="O1293" s="33" t="s">
        <v>4143</v>
      </c>
      <c r="P1293" s="33" t="s">
        <v>4144</v>
      </c>
      <c r="Q1293" s="34" t="s">
        <v>1494</v>
      </c>
      <c r="R1293" s="34" t="s">
        <v>1494</v>
      </c>
    </row>
    <row r="1294" spans="1:18" ht="15" customHeight="1" x14ac:dyDescent="0.25">
      <c r="A1294" t="str">
        <f>IFERROR(RANK(B1294,$B:$B,1)+COUNTIF($B$1:B1293,B1294),"")</f>
        <v/>
      </c>
      <c r="B1294" t="str">
        <f>IFERROR(SEARCH(#REF!,Table4[[#This Row],[Commodity Title]],1),"")</f>
        <v/>
      </c>
      <c r="C1294" s="35">
        <v>42182424</v>
      </c>
      <c r="D1294" s="33" t="s">
        <v>1495</v>
      </c>
      <c r="E1294" s="33" t="s">
        <v>1496</v>
      </c>
      <c r="F1294" s="33" t="s">
        <v>1497</v>
      </c>
      <c r="G1294" s="33" t="s">
        <v>3748</v>
      </c>
      <c r="H1294" s="33" t="s">
        <v>3749</v>
      </c>
      <c r="I1294" s="33" t="s">
        <v>3750</v>
      </c>
      <c r="J1294" s="33">
        <v>202730</v>
      </c>
      <c r="K1294" s="33" t="s">
        <v>4096</v>
      </c>
      <c r="L1294" s="33" t="s">
        <v>4097</v>
      </c>
      <c r="M1294" s="33" t="s">
        <v>4098</v>
      </c>
      <c r="N1294" s="44">
        <v>42182424</v>
      </c>
      <c r="O1294" s="33" t="s">
        <v>4145</v>
      </c>
      <c r="P1294" s="33" t="s">
        <v>4146</v>
      </c>
      <c r="Q1294" s="34" t="s">
        <v>1494</v>
      </c>
      <c r="R1294" s="34" t="s">
        <v>1494</v>
      </c>
    </row>
    <row r="1295" spans="1:18" ht="15" customHeight="1" x14ac:dyDescent="0.25">
      <c r="A1295" t="str">
        <f>IFERROR(RANK(B1295,$B:$B,1)+COUNTIF($B$1:B1294,B1295),"")</f>
        <v/>
      </c>
      <c r="B1295" t="str">
        <f>IFERROR(SEARCH(#REF!,Table4[[#This Row],[Commodity Title]],1),"")</f>
        <v/>
      </c>
      <c r="C1295" s="35">
        <v>42182425</v>
      </c>
      <c r="D1295" s="33" t="s">
        <v>1495</v>
      </c>
      <c r="E1295" s="33" t="s">
        <v>1496</v>
      </c>
      <c r="F1295" s="33" t="s">
        <v>1497</v>
      </c>
      <c r="G1295" s="33" t="s">
        <v>3748</v>
      </c>
      <c r="H1295" s="33" t="s">
        <v>3749</v>
      </c>
      <c r="I1295" s="33" t="s">
        <v>3750</v>
      </c>
      <c r="J1295" s="33">
        <v>202731</v>
      </c>
      <c r="K1295" s="33" t="s">
        <v>4096</v>
      </c>
      <c r="L1295" s="33" t="s">
        <v>4097</v>
      </c>
      <c r="M1295" s="33" t="s">
        <v>4098</v>
      </c>
      <c r="N1295" s="44">
        <v>42182425</v>
      </c>
      <c r="O1295" s="33" t="s">
        <v>4147</v>
      </c>
      <c r="P1295" s="33" t="s">
        <v>4148</v>
      </c>
      <c r="Q1295" s="34" t="s">
        <v>1494</v>
      </c>
      <c r="R1295" s="34" t="s">
        <v>1494</v>
      </c>
    </row>
    <row r="1296" spans="1:18" ht="15" customHeight="1" x14ac:dyDescent="0.25">
      <c r="A1296" t="str">
        <f>IFERROR(RANK(B1296,$B:$B,1)+COUNTIF($B$1:B1295,B1296),"")</f>
        <v/>
      </c>
      <c r="B1296" t="str">
        <f>IFERROR(SEARCH(#REF!,Table4[[#This Row],[Commodity Title]],1),"")</f>
        <v/>
      </c>
      <c r="C1296" s="35">
        <v>42182426</v>
      </c>
      <c r="D1296" s="33" t="s">
        <v>1495</v>
      </c>
      <c r="E1296" s="33" t="s">
        <v>1496</v>
      </c>
      <c r="F1296" s="33" t="s">
        <v>1497</v>
      </c>
      <c r="G1296" s="33" t="s">
        <v>3748</v>
      </c>
      <c r="H1296" s="33" t="s">
        <v>3749</v>
      </c>
      <c r="I1296" s="33" t="s">
        <v>3750</v>
      </c>
      <c r="J1296" s="33">
        <v>202732</v>
      </c>
      <c r="K1296" s="33" t="s">
        <v>4096</v>
      </c>
      <c r="L1296" s="33" t="s">
        <v>4097</v>
      </c>
      <c r="M1296" s="33" t="s">
        <v>4098</v>
      </c>
      <c r="N1296" s="44">
        <v>42182426</v>
      </c>
      <c r="O1296" s="33" t="s">
        <v>4149</v>
      </c>
      <c r="P1296" s="33" t="s">
        <v>4150</v>
      </c>
      <c r="Q1296" s="34" t="s">
        <v>1494</v>
      </c>
      <c r="R1296" s="34" t="s">
        <v>1494</v>
      </c>
    </row>
    <row r="1297" spans="1:18" ht="15" customHeight="1" x14ac:dyDescent="0.25">
      <c r="A1297" t="str">
        <f>IFERROR(RANK(B1297,$B:$B,1)+COUNTIF($B$1:B1296,B1297),"")</f>
        <v/>
      </c>
      <c r="B1297" t="str">
        <f>IFERROR(SEARCH(#REF!,Table4[[#This Row],[Commodity Title]],1),"")</f>
        <v/>
      </c>
      <c r="C1297" s="35">
        <v>42182427</v>
      </c>
      <c r="D1297" s="33" t="s">
        <v>1495</v>
      </c>
      <c r="E1297" s="33" t="s">
        <v>1496</v>
      </c>
      <c r="F1297" s="33" t="s">
        <v>1497</v>
      </c>
      <c r="G1297" s="33" t="s">
        <v>3748</v>
      </c>
      <c r="H1297" s="33" t="s">
        <v>3749</v>
      </c>
      <c r="I1297" s="33" t="s">
        <v>3750</v>
      </c>
      <c r="J1297" s="33">
        <v>202733</v>
      </c>
      <c r="K1297" s="33" t="s">
        <v>4096</v>
      </c>
      <c r="L1297" s="33" t="s">
        <v>4097</v>
      </c>
      <c r="M1297" s="33" t="s">
        <v>4098</v>
      </c>
      <c r="N1297" s="44">
        <v>42182427</v>
      </c>
      <c r="O1297" s="33" t="s">
        <v>4151</v>
      </c>
      <c r="P1297" s="33" t="s">
        <v>4152</v>
      </c>
      <c r="Q1297" s="34" t="s">
        <v>1494</v>
      </c>
      <c r="R1297" s="34" t="s">
        <v>1494</v>
      </c>
    </row>
    <row r="1298" spans="1:18" ht="15" customHeight="1" x14ac:dyDescent="0.25">
      <c r="A1298" t="str">
        <f>IFERROR(RANK(B1298,$B:$B,1)+COUNTIF($B$1:B1297,B1298),"")</f>
        <v/>
      </c>
      <c r="B1298" t="str">
        <f>IFERROR(SEARCH(#REF!,Table4[[#This Row],[Commodity Title]],1),"")</f>
        <v/>
      </c>
      <c r="C1298" s="33" t="s">
        <v>1494</v>
      </c>
      <c r="D1298" s="33" t="s">
        <v>1495</v>
      </c>
      <c r="E1298" s="33" t="s">
        <v>1496</v>
      </c>
      <c r="F1298" s="33" t="s">
        <v>1497</v>
      </c>
      <c r="G1298" s="33" t="s">
        <v>3748</v>
      </c>
      <c r="H1298" s="33" t="s">
        <v>3749</v>
      </c>
      <c r="I1298" s="33" t="s">
        <v>3750</v>
      </c>
      <c r="J1298" s="33">
        <v>115376</v>
      </c>
      <c r="K1298" s="33" t="s">
        <v>4153</v>
      </c>
      <c r="L1298" s="33" t="s">
        <v>4154</v>
      </c>
      <c r="M1298" s="33" t="s">
        <v>4155</v>
      </c>
      <c r="N1298" s="44" t="s">
        <v>1494</v>
      </c>
      <c r="O1298" s="33" t="s">
        <v>1494</v>
      </c>
      <c r="P1298" s="33" t="s">
        <v>1494</v>
      </c>
      <c r="Q1298" s="34" t="s">
        <v>1494</v>
      </c>
      <c r="R1298" s="34" t="s">
        <v>1494</v>
      </c>
    </row>
    <row r="1299" spans="1:18" ht="15" customHeight="1" x14ac:dyDescent="0.25">
      <c r="A1299" t="str">
        <f>IFERROR(RANK(B1299,$B:$B,1)+COUNTIF($B$1:B1298,B1299),"")</f>
        <v/>
      </c>
      <c r="B1299" t="str">
        <f>IFERROR(SEARCH(#REF!,Table4[[#This Row],[Commodity Title]],1),"")</f>
        <v/>
      </c>
      <c r="C1299" s="35">
        <v>42182501</v>
      </c>
      <c r="D1299" s="33" t="s">
        <v>1495</v>
      </c>
      <c r="E1299" s="33" t="s">
        <v>1496</v>
      </c>
      <c r="F1299" s="33" t="s">
        <v>1497</v>
      </c>
      <c r="G1299" s="33" t="s">
        <v>3748</v>
      </c>
      <c r="H1299" s="33" t="s">
        <v>3749</v>
      </c>
      <c r="I1299" s="33" t="s">
        <v>3750</v>
      </c>
      <c r="J1299" s="33">
        <v>115377</v>
      </c>
      <c r="K1299" s="33" t="s">
        <v>4153</v>
      </c>
      <c r="L1299" s="33" t="s">
        <v>4154</v>
      </c>
      <c r="M1299" s="33" t="s">
        <v>4155</v>
      </c>
      <c r="N1299" s="44">
        <v>42182501</v>
      </c>
      <c r="O1299" s="33" t="s">
        <v>4156</v>
      </c>
      <c r="P1299" s="33" t="s">
        <v>4157</v>
      </c>
      <c r="Q1299" s="34" t="s">
        <v>1494</v>
      </c>
      <c r="R1299" s="34" t="s">
        <v>1494</v>
      </c>
    </row>
    <row r="1300" spans="1:18" ht="15" customHeight="1" x14ac:dyDescent="0.25">
      <c r="A1300" t="str">
        <f>IFERROR(RANK(B1300,$B:$B,1)+COUNTIF($B$1:B1299,B1300),"")</f>
        <v/>
      </c>
      <c r="B1300" t="str">
        <f>IFERROR(SEARCH(#REF!,Table4[[#This Row],[Commodity Title]],1),"")</f>
        <v/>
      </c>
      <c r="C1300" s="35">
        <v>42182502</v>
      </c>
      <c r="D1300" s="33" t="s">
        <v>1495</v>
      </c>
      <c r="E1300" s="33" t="s">
        <v>1496</v>
      </c>
      <c r="F1300" s="33" t="s">
        <v>1497</v>
      </c>
      <c r="G1300" s="33" t="s">
        <v>3748</v>
      </c>
      <c r="H1300" s="33" t="s">
        <v>3749</v>
      </c>
      <c r="I1300" s="33" t="s">
        <v>3750</v>
      </c>
      <c r="J1300" s="33">
        <v>115378</v>
      </c>
      <c r="K1300" s="33" t="s">
        <v>4153</v>
      </c>
      <c r="L1300" s="33" t="s">
        <v>4154</v>
      </c>
      <c r="M1300" s="33" t="s">
        <v>4155</v>
      </c>
      <c r="N1300" s="44">
        <v>42182502</v>
      </c>
      <c r="O1300" s="33" t="s">
        <v>4158</v>
      </c>
      <c r="P1300" s="33" t="s">
        <v>4159</v>
      </c>
      <c r="Q1300" s="34" t="s">
        <v>1494</v>
      </c>
      <c r="R1300" s="34" t="s">
        <v>1494</v>
      </c>
    </row>
    <row r="1301" spans="1:18" ht="15" customHeight="1" x14ac:dyDescent="0.25">
      <c r="A1301" t="str">
        <f>IFERROR(RANK(B1301,$B:$B,1)+COUNTIF($B$1:B1300,B1301),"")</f>
        <v/>
      </c>
      <c r="B1301" t="str">
        <f>IFERROR(SEARCH(#REF!,Table4[[#This Row],[Commodity Title]],1),"")</f>
        <v/>
      </c>
      <c r="C1301" s="35">
        <v>42182503</v>
      </c>
      <c r="D1301" s="33" t="s">
        <v>1495</v>
      </c>
      <c r="E1301" s="33" t="s">
        <v>1496</v>
      </c>
      <c r="F1301" s="33" t="s">
        <v>1497</v>
      </c>
      <c r="G1301" s="33" t="s">
        <v>3748</v>
      </c>
      <c r="H1301" s="33" t="s">
        <v>3749</v>
      </c>
      <c r="I1301" s="33" t="s">
        <v>3750</v>
      </c>
      <c r="J1301" s="33">
        <v>202734</v>
      </c>
      <c r="K1301" s="33" t="s">
        <v>4153</v>
      </c>
      <c r="L1301" s="33" t="s">
        <v>4154</v>
      </c>
      <c r="M1301" s="33" t="s">
        <v>4155</v>
      </c>
      <c r="N1301" s="44">
        <v>42182503</v>
      </c>
      <c r="O1301" s="33" t="s">
        <v>4160</v>
      </c>
      <c r="P1301" s="33" t="s">
        <v>4161</v>
      </c>
      <c r="Q1301" s="34" t="s">
        <v>1494</v>
      </c>
      <c r="R1301" s="34" t="s">
        <v>1494</v>
      </c>
    </row>
    <row r="1302" spans="1:18" ht="15" customHeight="1" x14ac:dyDescent="0.25">
      <c r="A1302" t="str">
        <f>IFERROR(RANK(B1302,$B:$B,1)+COUNTIF($B$1:B1301,B1302),"")</f>
        <v/>
      </c>
      <c r="B1302" t="str">
        <f>IFERROR(SEARCH(#REF!,Table4[[#This Row],[Commodity Title]],1),"")</f>
        <v/>
      </c>
      <c r="C1302" s="33" t="s">
        <v>1494</v>
      </c>
      <c r="D1302" s="33" t="s">
        <v>1495</v>
      </c>
      <c r="E1302" s="33" t="s">
        <v>1496</v>
      </c>
      <c r="F1302" s="33" t="s">
        <v>1497</v>
      </c>
      <c r="G1302" s="33" t="s">
        <v>3748</v>
      </c>
      <c r="H1302" s="33" t="s">
        <v>3749</v>
      </c>
      <c r="I1302" s="33" t="s">
        <v>3750</v>
      </c>
      <c r="J1302" s="33">
        <v>115379</v>
      </c>
      <c r="K1302" s="33" t="s">
        <v>4162</v>
      </c>
      <c r="L1302" s="33" t="s">
        <v>4163</v>
      </c>
      <c r="M1302" s="33" t="s">
        <v>4164</v>
      </c>
      <c r="N1302" s="44" t="s">
        <v>1494</v>
      </c>
      <c r="O1302" s="33" t="s">
        <v>1494</v>
      </c>
      <c r="P1302" s="33" t="s">
        <v>1494</v>
      </c>
      <c r="Q1302" s="34" t="s">
        <v>1494</v>
      </c>
      <c r="R1302" s="34" t="s">
        <v>1494</v>
      </c>
    </row>
    <row r="1303" spans="1:18" ht="15" customHeight="1" x14ac:dyDescent="0.25">
      <c r="A1303" t="str">
        <f>IFERROR(RANK(B1303,$B:$B,1)+COUNTIF($B$1:B1302,B1303),"")</f>
        <v/>
      </c>
      <c r="B1303" t="str">
        <f>IFERROR(SEARCH(#REF!,Table4[[#This Row],[Commodity Title]],1),"")</f>
        <v/>
      </c>
      <c r="C1303" s="35">
        <v>42182601</v>
      </c>
      <c r="D1303" s="33" t="s">
        <v>1495</v>
      </c>
      <c r="E1303" s="33" t="s">
        <v>1496</v>
      </c>
      <c r="F1303" s="33" t="s">
        <v>1497</v>
      </c>
      <c r="G1303" s="33" t="s">
        <v>3748</v>
      </c>
      <c r="H1303" s="33" t="s">
        <v>3749</v>
      </c>
      <c r="I1303" s="33" t="s">
        <v>3750</v>
      </c>
      <c r="J1303" s="33">
        <v>115380</v>
      </c>
      <c r="K1303" s="33" t="s">
        <v>4162</v>
      </c>
      <c r="L1303" s="33" t="s">
        <v>4163</v>
      </c>
      <c r="M1303" s="33" t="s">
        <v>4164</v>
      </c>
      <c r="N1303" s="44">
        <v>42182601</v>
      </c>
      <c r="O1303" s="33" t="s">
        <v>4165</v>
      </c>
      <c r="P1303" s="33" t="s">
        <v>4166</v>
      </c>
      <c r="Q1303" s="34" t="s">
        <v>1494</v>
      </c>
      <c r="R1303" s="34" t="s">
        <v>1494</v>
      </c>
    </row>
    <row r="1304" spans="1:18" ht="15" customHeight="1" x14ac:dyDescent="0.25">
      <c r="A1304" t="str">
        <f>IFERROR(RANK(B1304,$B:$B,1)+COUNTIF($B$1:B1303,B1304),"")</f>
        <v/>
      </c>
      <c r="B1304" t="str">
        <f>IFERROR(SEARCH(#REF!,Table4[[#This Row],[Commodity Title]],1),"")</f>
        <v/>
      </c>
      <c r="C1304" s="35">
        <v>42182602</v>
      </c>
      <c r="D1304" s="33" t="s">
        <v>1495</v>
      </c>
      <c r="E1304" s="33" t="s">
        <v>1496</v>
      </c>
      <c r="F1304" s="33" t="s">
        <v>1497</v>
      </c>
      <c r="G1304" s="33" t="s">
        <v>3748</v>
      </c>
      <c r="H1304" s="33" t="s">
        <v>3749</v>
      </c>
      <c r="I1304" s="33" t="s">
        <v>3750</v>
      </c>
      <c r="J1304" s="33">
        <v>115381</v>
      </c>
      <c r="K1304" s="33" t="s">
        <v>4162</v>
      </c>
      <c r="L1304" s="33" t="s">
        <v>4163</v>
      </c>
      <c r="M1304" s="33" t="s">
        <v>4164</v>
      </c>
      <c r="N1304" s="44">
        <v>42182602</v>
      </c>
      <c r="O1304" s="33" t="s">
        <v>4167</v>
      </c>
      <c r="P1304" s="33" t="s">
        <v>4168</v>
      </c>
      <c r="Q1304" s="34" t="s">
        <v>1494</v>
      </c>
      <c r="R1304" s="34" t="s">
        <v>1494</v>
      </c>
    </row>
    <row r="1305" spans="1:18" ht="15" customHeight="1" x14ac:dyDescent="0.25">
      <c r="A1305" t="str">
        <f>IFERROR(RANK(B1305,$B:$B,1)+COUNTIF($B$1:B1304,B1305),"")</f>
        <v/>
      </c>
      <c r="B1305" t="str">
        <f>IFERROR(SEARCH(#REF!,Table4[[#This Row],[Commodity Title]],1),"")</f>
        <v/>
      </c>
      <c r="C1305" s="35">
        <v>42182603</v>
      </c>
      <c r="D1305" s="33" t="s">
        <v>1495</v>
      </c>
      <c r="E1305" s="33" t="s">
        <v>1496</v>
      </c>
      <c r="F1305" s="33" t="s">
        <v>1497</v>
      </c>
      <c r="G1305" s="33" t="s">
        <v>3748</v>
      </c>
      <c r="H1305" s="33" t="s">
        <v>3749</v>
      </c>
      <c r="I1305" s="33" t="s">
        <v>3750</v>
      </c>
      <c r="J1305" s="33">
        <v>115382</v>
      </c>
      <c r="K1305" s="33" t="s">
        <v>4162</v>
      </c>
      <c r="L1305" s="33" t="s">
        <v>4163</v>
      </c>
      <c r="M1305" s="33" t="s">
        <v>4164</v>
      </c>
      <c r="N1305" s="44">
        <v>42182603</v>
      </c>
      <c r="O1305" s="33" t="s">
        <v>4169</v>
      </c>
      <c r="P1305" s="33" t="s">
        <v>4170</v>
      </c>
      <c r="Q1305" s="34" t="s">
        <v>1494</v>
      </c>
      <c r="R1305" s="34" t="s">
        <v>1494</v>
      </c>
    </row>
    <row r="1306" spans="1:18" ht="15" customHeight="1" x14ac:dyDescent="0.25">
      <c r="A1306" t="str">
        <f>IFERROR(RANK(B1306,$B:$B,1)+COUNTIF($B$1:B1305,B1306),"")</f>
        <v/>
      </c>
      <c r="B1306" t="str">
        <f>IFERROR(SEARCH(#REF!,Table4[[#This Row],[Commodity Title]],1),"")</f>
        <v/>
      </c>
      <c r="C1306" s="35">
        <v>42182604</v>
      </c>
      <c r="D1306" s="33" t="s">
        <v>1495</v>
      </c>
      <c r="E1306" s="33" t="s">
        <v>1496</v>
      </c>
      <c r="F1306" s="33" t="s">
        <v>1497</v>
      </c>
      <c r="G1306" s="33" t="s">
        <v>3748</v>
      </c>
      <c r="H1306" s="33" t="s">
        <v>3749</v>
      </c>
      <c r="I1306" s="33" t="s">
        <v>3750</v>
      </c>
      <c r="J1306" s="33">
        <v>115383</v>
      </c>
      <c r="K1306" s="33" t="s">
        <v>4162</v>
      </c>
      <c r="L1306" s="33" t="s">
        <v>4163</v>
      </c>
      <c r="M1306" s="33" t="s">
        <v>4164</v>
      </c>
      <c r="N1306" s="44">
        <v>42182604</v>
      </c>
      <c r="O1306" s="33" t="s">
        <v>4171</v>
      </c>
      <c r="P1306" s="33" t="s">
        <v>4172</v>
      </c>
      <c r="Q1306" s="34" t="s">
        <v>1494</v>
      </c>
      <c r="R1306" s="34" t="s">
        <v>1494</v>
      </c>
    </row>
    <row r="1307" spans="1:18" ht="15" customHeight="1" x14ac:dyDescent="0.25">
      <c r="A1307" t="str">
        <f>IFERROR(RANK(B1307,$B:$B,1)+COUNTIF($B$1:B1306,B1307),"")</f>
        <v/>
      </c>
      <c r="B1307" t="str">
        <f>IFERROR(SEARCH(#REF!,Table4[[#This Row],[Commodity Title]],1),"")</f>
        <v/>
      </c>
      <c r="C1307" s="35">
        <v>42182605</v>
      </c>
      <c r="D1307" s="33" t="s">
        <v>1495</v>
      </c>
      <c r="E1307" s="33" t="s">
        <v>1496</v>
      </c>
      <c r="F1307" s="33" t="s">
        <v>1497</v>
      </c>
      <c r="G1307" s="33" t="s">
        <v>3748</v>
      </c>
      <c r="H1307" s="33" t="s">
        <v>3749</v>
      </c>
      <c r="I1307" s="33" t="s">
        <v>3750</v>
      </c>
      <c r="J1307" s="33">
        <v>202735</v>
      </c>
      <c r="K1307" s="33" t="s">
        <v>4162</v>
      </c>
      <c r="L1307" s="33" t="s">
        <v>4163</v>
      </c>
      <c r="M1307" s="33" t="s">
        <v>4164</v>
      </c>
      <c r="N1307" s="44">
        <v>42182605</v>
      </c>
      <c r="O1307" s="33" t="s">
        <v>4173</v>
      </c>
      <c r="P1307" s="33" t="s">
        <v>4174</v>
      </c>
      <c r="Q1307" s="34" t="s">
        <v>1494</v>
      </c>
      <c r="R1307" s="34" t="s">
        <v>1494</v>
      </c>
    </row>
    <row r="1308" spans="1:18" ht="15" customHeight="1" x14ac:dyDescent="0.25">
      <c r="A1308" t="str">
        <f>IFERROR(RANK(B1308,$B:$B,1)+COUNTIF($B$1:B1307,B1308),"")</f>
        <v/>
      </c>
      <c r="B1308" t="str">
        <f>IFERROR(SEARCH(#REF!,Table4[[#This Row],[Commodity Title]],1),"")</f>
        <v/>
      </c>
      <c r="C1308" s="35">
        <v>42182606</v>
      </c>
      <c r="D1308" s="33" t="s">
        <v>1495</v>
      </c>
      <c r="E1308" s="33" t="s">
        <v>1496</v>
      </c>
      <c r="F1308" s="33" t="s">
        <v>1497</v>
      </c>
      <c r="G1308" s="33" t="s">
        <v>3748</v>
      </c>
      <c r="H1308" s="33" t="s">
        <v>3749</v>
      </c>
      <c r="I1308" s="33" t="s">
        <v>3750</v>
      </c>
      <c r="J1308" s="33">
        <v>202736</v>
      </c>
      <c r="K1308" s="33" t="s">
        <v>4162</v>
      </c>
      <c r="L1308" s="33" t="s">
        <v>4163</v>
      </c>
      <c r="M1308" s="33" t="s">
        <v>4164</v>
      </c>
      <c r="N1308" s="44">
        <v>42182606</v>
      </c>
      <c r="O1308" s="33" t="s">
        <v>4175</v>
      </c>
      <c r="P1308" s="33" t="s">
        <v>4176</v>
      </c>
      <c r="Q1308" s="34" t="s">
        <v>1494</v>
      </c>
      <c r="R1308" s="34" t="s">
        <v>1494</v>
      </c>
    </row>
    <row r="1309" spans="1:18" ht="15" customHeight="1" x14ac:dyDescent="0.25">
      <c r="A1309" t="str">
        <f>IFERROR(RANK(B1309,$B:$B,1)+COUNTIF($B$1:B1308,B1309),"")</f>
        <v/>
      </c>
      <c r="B1309" t="str">
        <f>IFERROR(SEARCH(#REF!,Table4[[#This Row],[Commodity Title]],1),"")</f>
        <v/>
      </c>
      <c r="C1309" s="33" t="s">
        <v>1494</v>
      </c>
      <c r="D1309" s="33" t="s">
        <v>1495</v>
      </c>
      <c r="E1309" s="33" t="s">
        <v>1496</v>
      </c>
      <c r="F1309" s="33" t="s">
        <v>1497</v>
      </c>
      <c r="G1309" s="33" t="s">
        <v>3748</v>
      </c>
      <c r="H1309" s="33" t="s">
        <v>3749</v>
      </c>
      <c r="I1309" s="33" t="s">
        <v>3750</v>
      </c>
      <c r="J1309" s="33">
        <v>115384</v>
      </c>
      <c r="K1309" s="33" t="s">
        <v>4177</v>
      </c>
      <c r="L1309" s="33" t="s">
        <v>4178</v>
      </c>
      <c r="M1309" s="33" t="s">
        <v>4179</v>
      </c>
      <c r="N1309" s="44" t="s">
        <v>1494</v>
      </c>
      <c r="O1309" s="33" t="s">
        <v>1494</v>
      </c>
      <c r="P1309" s="33" t="s">
        <v>1494</v>
      </c>
      <c r="Q1309" s="34" t="s">
        <v>1494</v>
      </c>
      <c r="R1309" s="34" t="s">
        <v>1494</v>
      </c>
    </row>
    <row r="1310" spans="1:18" ht="15" customHeight="1" x14ac:dyDescent="0.25">
      <c r="A1310" t="str">
        <f>IFERROR(RANK(B1310,$B:$B,1)+COUNTIF($B$1:B1309,B1310),"")</f>
        <v/>
      </c>
      <c r="B1310" t="str">
        <f>IFERROR(SEARCH(#REF!,Table4[[#This Row],[Commodity Title]],1),"")</f>
        <v/>
      </c>
      <c r="C1310" s="35">
        <v>42182701</v>
      </c>
      <c r="D1310" s="33" t="s">
        <v>1495</v>
      </c>
      <c r="E1310" s="33" t="s">
        <v>1496</v>
      </c>
      <c r="F1310" s="33" t="s">
        <v>1497</v>
      </c>
      <c r="G1310" s="33" t="s">
        <v>3748</v>
      </c>
      <c r="H1310" s="33" t="s">
        <v>3749</v>
      </c>
      <c r="I1310" s="33" t="s">
        <v>3750</v>
      </c>
      <c r="J1310" s="33">
        <v>115385</v>
      </c>
      <c r="K1310" s="33" t="s">
        <v>4177</v>
      </c>
      <c r="L1310" s="33" t="s">
        <v>4178</v>
      </c>
      <c r="M1310" s="33" t="s">
        <v>4179</v>
      </c>
      <c r="N1310" s="44">
        <v>42182701</v>
      </c>
      <c r="O1310" s="33" t="s">
        <v>4180</v>
      </c>
      <c r="P1310" s="33" t="s">
        <v>4181</v>
      </c>
      <c r="Q1310" s="34" t="s">
        <v>1494</v>
      </c>
      <c r="R1310" s="34" t="s">
        <v>1494</v>
      </c>
    </row>
    <row r="1311" spans="1:18" ht="15" customHeight="1" x14ac:dyDescent="0.25">
      <c r="A1311" t="str">
        <f>IFERROR(RANK(B1311,$B:$B,1)+COUNTIF($B$1:B1310,B1311),"")</f>
        <v/>
      </c>
      <c r="B1311" t="str">
        <f>IFERROR(SEARCH(#REF!,Table4[[#This Row],[Commodity Title]],1),"")</f>
        <v/>
      </c>
      <c r="C1311" s="35">
        <v>42182702</v>
      </c>
      <c r="D1311" s="33" t="s">
        <v>1495</v>
      </c>
      <c r="E1311" s="33" t="s">
        <v>1496</v>
      </c>
      <c r="F1311" s="33" t="s">
        <v>1497</v>
      </c>
      <c r="G1311" s="33" t="s">
        <v>3748</v>
      </c>
      <c r="H1311" s="33" t="s">
        <v>3749</v>
      </c>
      <c r="I1311" s="33" t="s">
        <v>3750</v>
      </c>
      <c r="J1311" s="33">
        <v>115386</v>
      </c>
      <c r="K1311" s="33" t="s">
        <v>4177</v>
      </c>
      <c r="L1311" s="33" t="s">
        <v>4178</v>
      </c>
      <c r="M1311" s="33" t="s">
        <v>4179</v>
      </c>
      <c r="N1311" s="44">
        <v>42182702</v>
      </c>
      <c r="O1311" s="33" t="s">
        <v>4182</v>
      </c>
      <c r="P1311" s="33" t="s">
        <v>4183</v>
      </c>
      <c r="Q1311" s="34" t="s">
        <v>1494</v>
      </c>
      <c r="R1311" s="34" t="s">
        <v>1494</v>
      </c>
    </row>
    <row r="1312" spans="1:18" ht="15" customHeight="1" x14ac:dyDescent="0.25">
      <c r="A1312" t="str">
        <f>IFERROR(RANK(B1312,$B:$B,1)+COUNTIF($B$1:B1311,B1312),"")</f>
        <v/>
      </c>
      <c r="B1312" t="str">
        <f>IFERROR(SEARCH(#REF!,Table4[[#This Row],[Commodity Title]],1),"")</f>
        <v/>
      </c>
      <c r="C1312" s="35">
        <v>42182703</v>
      </c>
      <c r="D1312" s="33" t="s">
        <v>1495</v>
      </c>
      <c r="E1312" s="33" t="s">
        <v>1496</v>
      </c>
      <c r="F1312" s="33" t="s">
        <v>1497</v>
      </c>
      <c r="G1312" s="33" t="s">
        <v>3748</v>
      </c>
      <c r="H1312" s="33" t="s">
        <v>3749</v>
      </c>
      <c r="I1312" s="33" t="s">
        <v>3750</v>
      </c>
      <c r="J1312" s="33">
        <v>115387</v>
      </c>
      <c r="K1312" s="33" t="s">
        <v>4177</v>
      </c>
      <c r="L1312" s="33" t="s">
        <v>4178</v>
      </c>
      <c r="M1312" s="33" t="s">
        <v>4179</v>
      </c>
      <c r="N1312" s="44">
        <v>42182703</v>
      </c>
      <c r="O1312" s="33" t="s">
        <v>4184</v>
      </c>
      <c r="P1312" s="33" t="s">
        <v>4185</v>
      </c>
      <c r="Q1312" s="34" t="s">
        <v>1494</v>
      </c>
      <c r="R1312" s="34" t="s">
        <v>1494</v>
      </c>
    </row>
    <row r="1313" spans="1:18" ht="15" customHeight="1" x14ac:dyDescent="0.25">
      <c r="A1313" t="str">
        <f>IFERROR(RANK(B1313,$B:$B,1)+COUNTIF($B$1:B1312,B1313),"")</f>
        <v/>
      </c>
      <c r="B1313" t="str">
        <f>IFERROR(SEARCH(#REF!,Table4[[#This Row],[Commodity Title]],1),"")</f>
        <v/>
      </c>
      <c r="C1313" s="35">
        <v>42182704</v>
      </c>
      <c r="D1313" s="33" t="s">
        <v>1495</v>
      </c>
      <c r="E1313" s="33" t="s">
        <v>1496</v>
      </c>
      <c r="F1313" s="33" t="s">
        <v>1497</v>
      </c>
      <c r="G1313" s="33" t="s">
        <v>3748</v>
      </c>
      <c r="H1313" s="33" t="s">
        <v>3749</v>
      </c>
      <c r="I1313" s="33" t="s">
        <v>3750</v>
      </c>
      <c r="J1313" s="33">
        <v>115388</v>
      </c>
      <c r="K1313" s="33" t="s">
        <v>4177</v>
      </c>
      <c r="L1313" s="33" t="s">
        <v>4178</v>
      </c>
      <c r="M1313" s="33" t="s">
        <v>4179</v>
      </c>
      <c r="N1313" s="44">
        <v>42182704</v>
      </c>
      <c r="O1313" s="33" t="s">
        <v>4186</v>
      </c>
      <c r="P1313" s="33" t="s">
        <v>4187</v>
      </c>
      <c r="Q1313" s="34" t="s">
        <v>1494</v>
      </c>
      <c r="R1313" s="34" t="s">
        <v>1494</v>
      </c>
    </row>
    <row r="1314" spans="1:18" ht="15" customHeight="1" x14ac:dyDescent="0.25">
      <c r="A1314" t="str">
        <f>IFERROR(RANK(B1314,$B:$B,1)+COUNTIF($B$1:B1313,B1314),"")</f>
        <v/>
      </c>
      <c r="B1314" t="str">
        <f>IFERROR(SEARCH(#REF!,Table4[[#This Row],[Commodity Title]],1),"")</f>
        <v/>
      </c>
      <c r="C1314" s="35">
        <v>42182705</v>
      </c>
      <c r="D1314" s="33" t="s">
        <v>1495</v>
      </c>
      <c r="E1314" s="33" t="s">
        <v>1496</v>
      </c>
      <c r="F1314" s="33" t="s">
        <v>1497</v>
      </c>
      <c r="G1314" s="33" t="s">
        <v>3748</v>
      </c>
      <c r="H1314" s="33" t="s">
        <v>3749</v>
      </c>
      <c r="I1314" s="33" t="s">
        <v>3750</v>
      </c>
      <c r="J1314" s="33">
        <v>145083</v>
      </c>
      <c r="K1314" s="33" t="s">
        <v>4177</v>
      </c>
      <c r="L1314" s="33" t="s">
        <v>4178</v>
      </c>
      <c r="M1314" s="33" t="s">
        <v>4179</v>
      </c>
      <c r="N1314" s="44">
        <v>42182705</v>
      </c>
      <c r="O1314" s="33" t="s">
        <v>4188</v>
      </c>
      <c r="P1314" s="33" t="s">
        <v>4189</v>
      </c>
      <c r="Q1314" s="34" t="s">
        <v>1494</v>
      </c>
      <c r="R1314" s="34" t="s">
        <v>1494</v>
      </c>
    </row>
    <row r="1315" spans="1:18" ht="15" customHeight="1" x14ac:dyDescent="0.25">
      <c r="A1315" t="str">
        <f>IFERROR(RANK(B1315,$B:$B,1)+COUNTIF($B$1:B1314,B1315),"")</f>
        <v/>
      </c>
      <c r="B1315" t="str">
        <f>IFERROR(SEARCH(#REF!,Table4[[#This Row],[Commodity Title]],1),"")</f>
        <v/>
      </c>
      <c r="C1315" s="35">
        <v>42182706</v>
      </c>
      <c r="D1315" s="33" t="s">
        <v>1495</v>
      </c>
      <c r="E1315" s="33" t="s">
        <v>1496</v>
      </c>
      <c r="F1315" s="33" t="s">
        <v>1497</v>
      </c>
      <c r="G1315" s="33" t="s">
        <v>3748</v>
      </c>
      <c r="H1315" s="33" t="s">
        <v>3749</v>
      </c>
      <c r="I1315" s="33" t="s">
        <v>3750</v>
      </c>
      <c r="J1315" s="33">
        <v>164865</v>
      </c>
      <c r="K1315" s="33" t="s">
        <v>4177</v>
      </c>
      <c r="L1315" s="33" t="s">
        <v>4178</v>
      </c>
      <c r="M1315" s="33" t="s">
        <v>4179</v>
      </c>
      <c r="N1315" s="44">
        <v>42182706</v>
      </c>
      <c r="O1315" s="33" t="s">
        <v>4190</v>
      </c>
      <c r="P1315" s="33" t="s">
        <v>4091</v>
      </c>
      <c r="Q1315" s="34" t="s">
        <v>1494</v>
      </c>
      <c r="R1315" s="34" t="s">
        <v>1494</v>
      </c>
    </row>
    <row r="1316" spans="1:18" ht="15" customHeight="1" x14ac:dyDescent="0.25">
      <c r="A1316" t="str">
        <f>IFERROR(RANK(B1316,$B:$B,1)+COUNTIF($B$1:B1315,B1316),"")</f>
        <v/>
      </c>
      <c r="B1316" t="str">
        <f>IFERROR(SEARCH(#REF!,Table4[[#This Row],[Commodity Title]],1),"")</f>
        <v/>
      </c>
      <c r="C1316" s="35">
        <v>42182707</v>
      </c>
      <c r="D1316" s="33" t="s">
        <v>1495</v>
      </c>
      <c r="E1316" s="33" t="s">
        <v>1496</v>
      </c>
      <c r="F1316" s="33" t="s">
        <v>1497</v>
      </c>
      <c r="G1316" s="33" t="s">
        <v>3748</v>
      </c>
      <c r="H1316" s="33" t="s">
        <v>3749</v>
      </c>
      <c r="I1316" s="33" t="s">
        <v>3750</v>
      </c>
      <c r="J1316" s="33">
        <v>177415</v>
      </c>
      <c r="K1316" s="33" t="s">
        <v>4177</v>
      </c>
      <c r="L1316" s="33" t="s">
        <v>4178</v>
      </c>
      <c r="M1316" s="33" t="s">
        <v>4179</v>
      </c>
      <c r="N1316" s="44">
        <v>42182707</v>
      </c>
      <c r="O1316" s="33" t="s">
        <v>4191</v>
      </c>
      <c r="P1316" s="33" t="s">
        <v>4192</v>
      </c>
      <c r="Q1316" s="34" t="s">
        <v>1494</v>
      </c>
      <c r="R1316" s="34" t="s">
        <v>1494</v>
      </c>
    </row>
    <row r="1317" spans="1:18" ht="15" customHeight="1" x14ac:dyDescent="0.25">
      <c r="A1317" t="str">
        <f>IFERROR(RANK(B1317,$B:$B,1)+COUNTIF($B$1:B1316,B1317),"")</f>
        <v/>
      </c>
      <c r="B1317" t="str">
        <f>IFERROR(SEARCH(#REF!,Table4[[#This Row],[Commodity Title]],1),"")</f>
        <v/>
      </c>
      <c r="C1317" s="33" t="s">
        <v>1494</v>
      </c>
      <c r="D1317" s="33" t="s">
        <v>1495</v>
      </c>
      <c r="E1317" s="33" t="s">
        <v>1496</v>
      </c>
      <c r="F1317" s="33" t="s">
        <v>1497</v>
      </c>
      <c r="G1317" s="33" t="s">
        <v>3748</v>
      </c>
      <c r="H1317" s="33" t="s">
        <v>3749</v>
      </c>
      <c r="I1317" s="33" t="s">
        <v>3750</v>
      </c>
      <c r="J1317" s="33">
        <v>115389</v>
      </c>
      <c r="K1317" s="33" t="s">
        <v>4193</v>
      </c>
      <c r="L1317" s="33" t="s">
        <v>4194</v>
      </c>
      <c r="M1317" s="33" t="s">
        <v>4195</v>
      </c>
      <c r="N1317" s="44" t="s">
        <v>1494</v>
      </c>
      <c r="O1317" s="33" t="s">
        <v>1494</v>
      </c>
      <c r="P1317" s="33" t="s">
        <v>1494</v>
      </c>
      <c r="Q1317" s="34" t="s">
        <v>1494</v>
      </c>
      <c r="R1317" s="34" t="s">
        <v>1494</v>
      </c>
    </row>
    <row r="1318" spans="1:18" ht="15" customHeight="1" x14ac:dyDescent="0.25">
      <c r="A1318" t="str">
        <f>IFERROR(RANK(B1318,$B:$B,1)+COUNTIF($B$1:B1317,B1318),"")</f>
        <v/>
      </c>
      <c r="B1318" t="str">
        <f>IFERROR(SEARCH(#REF!,Table4[[#This Row],[Commodity Title]],1),"")</f>
        <v/>
      </c>
      <c r="C1318" s="35">
        <v>42182801</v>
      </c>
      <c r="D1318" s="33" t="s">
        <v>1495</v>
      </c>
      <c r="E1318" s="33" t="s">
        <v>1496</v>
      </c>
      <c r="F1318" s="33" t="s">
        <v>1497</v>
      </c>
      <c r="G1318" s="33" t="s">
        <v>3748</v>
      </c>
      <c r="H1318" s="33" t="s">
        <v>3749</v>
      </c>
      <c r="I1318" s="33" t="s">
        <v>3750</v>
      </c>
      <c r="J1318" s="33">
        <v>115390</v>
      </c>
      <c r="K1318" s="33" t="s">
        <v>4193</v>
      </c>
      <c r="L1318" s="33" t="s">
        <v>4194</v>
      </c>
      <c r="M1318" s="33" t="s">
        <v>4195</v>
      </c>
      <c r="N1318" s="44">
        <v>42182801</v>
      </c>
      <c r="O1318" s="33" t="s">
        <v>4196</v>
      </c>
      <c r="P1318" s="33" t="s">
        <v>4197</v>
      </c>
      <c r="Q1318" s="34" t="s">
        <v>1494</v>
      </c>
      <c r="R1318" s="34" t="s">
        <v>1494</v>
      </c>
    </row>
    <row r="1319" spans="1:18" ht="15" customHeight="1" x14ac:dyDescent="0.25">
      <c r="A1319" t="str">
        <f>IFERROR(RANK(B1319,$B:$B,1)+COUNTIF($B$1:B1318,B1319),"")</f>
        <v/>
      </c>
      <c r="B1319" t="str">
        <f>IFERROR(SEARCH(#REF!,Table4[[#This Row],[Commodity Title]],1),"")</f>
        <v/>
      </c>
      <c r="C1319" s="35">
        <v>42182802</v>
      </c>
      <c r="D1319" s="33" t="s">
        <v>1495</v>
      </c>
      <c r="E1319" s="33" t="s">
        <v>1496</v>
      </c>
      <c r="F1319" s="33" t="s">
        <v>1497</v>
      </c>
      <c r="G1319" s="33" t="s">
        <v>3748</v>
      </c>
      <c r="H1319" s="33" t="s">
        <v>3749</v>
      </c>
      <c r="I1319" s="33" t="s">
        <v>3750</v>
      </c>
      <c r="J1319" s="33">
        <v>115391</v>
      </c>
      <c r="K1319" s="33" t="s">
        <v>4193</v>
      </c>
      <c r="L1319" s="33" t="s">
        <v>4194</v>
      </c>
      <c r="M1319" s="33" t="s">
        <v>4195</v>
      </c>
      <c r="N1319" s="44">
        <v>42182802</v>
      </c>
      <c r="O1319" s="33" t="s">
        <v>4198</v>
      </c>
      <c r="P1319" s="33" t="s">
        <v>4199</v>
      </c>
      <c r="Q1319" s="34" t="s">
        <v>1494</v>
      </c>
      <c r="R1319" s="34" t="s">
        <v>1494</v>
      </c>
    </row>
    <row r="1320" spans="1:18" ht="15" customHeight="1" x14ac:dyDescent="0.25">
      <c r="A1320" t="str">
        <f>IFERROR(RANK(B1320,$B:$B,1)+COUNTIF($B$1:B1319,B1320),"")</f>
        <v/>
      </c>
      <c r="B1320" t="str">
        <f>IFERROR(SEARCH(#REF!,Table4[[#This Row],[Commodity Title]],1),"")</f>
        <v/>
      </c>
      <c r="C1320" s="35">
        <v>42182803</v>
      </c>
      <c r="D1320" s="33" t="s">
        <v>1495</v>
      </c>
      <c r="E1320" s="33" t="s">
        <v>1496</v>
      </c>
      <c r="F1320" s="33" t="s">
        <v>1497</v>
      </c>
      <c r="G1320" s="33" t="s">
        <v>3748</v>
      </c>
      <c r="H1320" s="33" t="s">
        <v>3749</v>
      </c>
      <c r="I1320" s="33" t="s">
        <v>3750</v>
      </c>
      <c r="J1320" s="33">
        <v>115392</v>
      </c>
      <c r="K1320" s="33" t="s">
        <v>4193</v>
      </c>
      <c r="L1320" s="33" t="s">
        <v>4194</v>
      </c>
      <c r="M1320" s="33" t="s">
        <v>4195</v>
      </c>
      <c r="N1320" s="44">
        <v>42182803</v>
      </c>
      <c r="O1320" s="33" t="s">
        <v>4200</v>
      </c>
      <c r="P1320" s="33" t="s">
        <v>4201</v>
      </c>
      <c r="Q1320" s="34" t="s">
        <v>1494</v>
      </c>
      <c r="R1320" s="34" t="s">
        <v>1494</v>
      </c>
    </row>
    <row r="1321" spans="1:18" ht="15" customHeight="1" x14ac:dyDescent="0.25">
      <c r="A1321" t="str">
        <f>IFERROR(RANK(B1321,$B:$B,1)+COUNTIF($B$1:B1320,B1321),"")</f>
        <v/>
      </c>
      <c r="B1321" t="str">
        <f>IFERROR(SEARCH(#REF!,Table4[[#This Row],[Commodity Title]],1),"")</f>
        <v/>
      </c>
      <c r="C1321" s="35">
        <v>42182804</v>
      </c>
      <c r="D1321" s="33" t="s">
        <v>1495</v>
      </c>
      <c r="E1321" s="33" t="s">
        <v>1496</v>
      </c>
      <c r="F1321" s="33" t="s">
        <v>1497</v>
      </c>
      <c r="G1321" s="33" t="s">
        <v>3748</v>
      </c>
      <c r="H1321" s="33" t="s">
        <v>3749</v>
      </c>
      <c r="I1321" s="33" t="s">
        <v>3750</v>
      </c>
      <c r="J1321" s="33">
        <v>115393</v>
      </c>
      <c r="K1321" s="33" t="s">
        <v>4193</v>
      </c>
      <c r="L1321" s="33" t="s">
        <v>4194</v>
      </c>
      <c r="M1321" s="33" t="s">
        <v>4195</v>
      </c>
      <c r="N1321" s="44">
        <v>42182804</v>
      </c>
      <c r="O1321" s="33" t="s">
        <v>4202</v>
      </c>
      <c r="P1321" s="33" t="s">
        <v>4203</v>
      </c>
      <c r="Q1321" s="34" t="s">
        <v>1494</v>
      </c>
      <c r="R1321" s="34" t="s">
        <v>1494</v>
      </c>
    </row>
    <row r="1322" spans="1:18" ht="15" customHeight="1" x14ac:dyDescent="0.25">
      <c r="A1322" t="str">
        <f>IFERROR(RANK(B1322,$B:$B,1)+COUNTIF($B$1:B1321,B1322),"")</f>
        <v/>
      </c>
      <c r="B1322" t="str">
        <f>IFERROR(SEARCH(#REF!,Table4[[#This Row],[Commodity Title]],1),"")</f>
        <v/>
      </c>
      <c r="C1322" s="35">
        <v>42182805</v>
      </c>
      <c r="D1322" s="33" t="s">
        <v>1495</v>
      </c>
      <c r="E1322" s="33" t="s">
        <v>1496</v>
      </c>
      <c r="F1322" s="33" t="s">
        <v>1497</v>
      </c>
      <c r="G1322" s="33" t="s">
        <v>3748</v>
      </c>
      <c r="H1322" s="33" t="s">
        <v>3749</v>
      </c>
      <c r="I1322" s="33" t="s">
        <v>3750</v>
      </c>
      <c r="J1322" s="33">
        <v>115394</v>
      </c>
      <c r="K1322" s="33" t="s">
        <v>4193</v>
      </c>
      <c r="L1322" s="33" t="s">
        <v>4194</v>
      </c>
      <c r="M1322" s="33" t="s">
        <v>4195</v>
      </c>
      <c r="N1322" s="44">
        <v>42182805</v>
      </c>
      <c r="O1322" s="33" t="s">
        <v>4204</v>
      </c>
      <c r="P1322" s="33" t="s">
        <v>4205</v>
      </c>
      <c r="Q1322" s="34" t="s">
        <v>1494</v>
      </c>
      <c r="R1322" s="34" t="s">
        <v>1494</v>
      </c>
    </row>
    <row r="1323" spans="1:18" ht="15" customHeight="1" x14ac:dyDescent="0.25">
      <c r="A1323" t="str">
        <f>IFERROR(RANK(B1323,$B:$B,1)+COUNTIF($B$1:B1322,B1323),"")</f>
        <v/>
      </c>
      <c r="B1323" t="str">
        <f>IFERROR(SEARCH(#REF!,Table4[[#This Row],[Commodity Title]],1),"")</f>
        <v/>
      </c>
      <c r="C1323" s="35">
        <v>42182806</v>
      </c>
      <c r="D1323" s="33" t="s">
        <v>1495</v>
      </c>
      <c r="E1323" s="33" t="s">
        <v>1496</v>
      </c>
      <c r="F1323" s="33" t="s">
        <v>1497</v>
      </c>
      <c r="G1323" s="33" t="s">
        <v>3748</v>
      </c>
      <c r="H1323" s="33" t="s">
        <v>3749</v>
      </c>
      <c r="I1323" s="33" t="s">
        <v>3750</v>
      </c>
      <c r="J1323" s="33">
        <v>115395</v>
      </c>
      <c r="K1323" s="33" t="s">
        <v>4193</v>
      </c>
      <c r="L1323" s="33" t="s">
        <v>4194</v>
      </c>
      <c r="M1323" s="33" t="s">
        <v>4195</v>
      </c>
      <c r="N1323" s="44">
        <v>42182806</v>
      </c>
      <c r="O1323" s="33" t="s">
        <v>4206</v>
      </c>
      <c r="P1323" s="33" t="s">
        <v>4207</v>
      </c>
      <c r="Q1323" s="34" t="s">
        <v>1494</v>
      </c>
      <c r="R1323" s="34" t="s">
        <v>1494</v>
      </c>
    </row>
    <row r="1324" spans="1:18" ht="15" customHeight="1" x14ac:dyDescent="0.25">
      <c r="A1324" t="str">
        <f>IFERROR(RANK(B1324,$B:$B,1)+COUNTIF($B$1:B1323,B1324),"")</f>
        <v/>
      </c>
      <c r="B1324" t="str">
        <f>IFERROR(SEARCH(#REF!,Table4[[#This Row],[Commodity Title]],1),"")</f>
        <v/>
      </c>
      <c r="C1324" s="35">
        <v>42182807</v>
      </c>
      <c r="D1324" s="33" t="s">
        <v>1495</v>
      </c>
      <c r="E1324" s="33" t="s">
        <v>1496</v>
      </c>
      <c r="F1324" s="33" t="s">
        <v>1497</v>
      </c>
      <c r="G1324" s="33" t="s">
        <v>3748</v>
      </c>
      <c r="H1324" s="33" t="s">
        <v>3749</v>
      </c>
      <c r="I1324" s="33" t="s">
        <v>3750</v>
      </c>
      <c r="J1324" s="33">
        <v>115396</v>
      </c>
      <c r="K1324" s="33" t="s">
        <v>4193</v>
      </c>
      <c r="L1324" s="33" t="s">
        <v>4194</v>
      </c>
      <c r="M1324" s="33" t="s">
        <v>4195</v>
      </c>
      <c r="N1324" s="44">
        <v>42182807</v>
      </c>
      <c r="O1324" s="33" t="s">
        <v>4208</v>
      </c>
      <c r="P1324" s="33" t="s">
        <v>4209</v>
      </c>
      <c r="Q1324" s="34" t="s">
        <v>1494</v>
      </c>
      <c r="R1324" s="34" t="s">
        <v>1494</v>
      </c>
    </row>
    <row r="1325" spans="1:18" ht="15" customHeight="1" x14ac:dyDescent="0.25">
      <c r="A1325" t="str">
        <f>IFERROR(RANK(B1325,$B:$B,1)+COUNTIF($B$1:B1324,B1325),"")</f>
        <v/>
      </c>
      <c r="B1325" t="str">
        <f>IFERROR(SEARCH(#REF!,Table4[[#This Row],[Commodity Title]],1),"")</f>
        <v/>
      </c>
      <c r="C1325" s="35">
        <v>42182808</v>
      </c>
      <c r="D1325" s="33" t="s">
        <v>1495</v>
      </c>
      <c r="E1325" s="33" t="s">
        <v>1496</v>
      </c>
      <c r="F1325" s="33" t="s">
        <v>1497</v>
      </c>
      <c r="G1325" s="33" t="s">
        <v>3748</v>
      </c>
      <c r="H1325" s="33" t="s">
        <v>3749</v>
      </c>
      <c r="I1325" s="33" t="s">
        <v>3750</v>
      </c>
      <c r="J1325" s="33">
        <v>142520</v>
      </c>
      <c r="K1325" s="33" t="s">
        <v>4193</v>
      </c>
      <c r="L1325" s="33" t="s">
        <v>4194</v>
      </c>
      <c r="M1325" s="33" t="s">
        <v>4195</v>
      </c>
      <c r="N1325" s="44">
        <v>42182808</v>
      </c>
      <c r="O1325" s="33" t="s">
        <v>4210</v>
      </c>
      <c r="P1325" s="33" t="s">
        <v>4211</v>
      </c>
      <c r="Q1325" s="34" t="s">
        <v>1494</v>
      </c>
      <c r="R1325" s="34" t="s">
        <v>1494</v>
      </c>
    </row>
    <row r="1326" spans="1:18" ht="15" customHeight="1" x14ac:dyDescent="0.25">
      <c r="A1326" t="str">
        <f>IFERROR(RANK(B1326,$B:$B,1)+COUNTIF($B$1:B1325,B1326),"")</f>
        <v/>
      </c>
      <c r="B1326" t="str">
        <f>IFERROR(SEARCH(#REF!,Table4[[#This Row],[Commodity Title]],1),"")</f>
        <v/>
      </c>
      <c r="C1326" s="33" t="s">
        <v>1494</v>
      </c>
      <c r="D1326" s="33" t="s">
        <v>1495</v>
      </c>
      <c r="E1326" s="33" t="s">
        <v>1496</v>
      </c>
      <c r="F1326" s="33" t="s">
        <v>1497</v>
      </c>
      <c r="G1326" s="33" t="s">
        <v>3748</v>
      </c>
      <c r="H1326" s="33" t="s">
        <v>3749</v>
      </c>
      <c r="I1326" s="33" t="s">
        <v>3750</v>
      </c>
      <c r="J1326" s="33">
        <v>115402</v>
      </c>
      <c r="K1326" s="33" t="s">
        <v>4212</v>
      </c>
      <c r="L1326" s="33" t="s">
        <v>4213</v>
      </c>
      <c r="M1326" s="33" t="s">
        <v>4214</v>
      </c>
      <c r="N1326" s="44" t="s">
        <v>1494</v>
      </c>
      <c r="O1326" s="33" t="s">
        <v>1494</v>
      </c>
      <c r="P1326" s="33" t="s">
        <v>1494</v>
      </c>
      <c r="Q1326" s="34" t="s">
        <v>1494</v>
      </c>
      <c r="R1326" s="34" t="s">
        <v>1494</v>
      </c>
    </row>
    <row r="1327" spans="1:18" ht="15" customHeight="1" x14ac:dyDescent="0.25">
      <c r="A1327" t="str">
        <f>IFERROR(RANK(B1327,$B:$B,1)+COUNTIF($B$1:B1326,B1327),"")</f>
        <v/>
      </c>
      <c r="B1327" t="str">
        <f>IFERROR(SEARCH(#REF!,Table4[[#This Row],[Commodity Title]],1),"")</f>
        <v/>
      </c>
      <c r="C1327" s="35">
        <v>42183001</v>
      </c>
      <c r="D1327" s="33" t="s">
        <v>1495</v>
      </c>
      <c r="E1327" s="33" t="s">
        <v>1496</v>
      </c>
      <c r="F1327" s="33" t="s">
        <v>1497</v>
      </c>
      <c r="G1327" s="33" t="s">
        <v>3748</v>
      </c>
      <c r="H1327" s="33" t="s">
        <v>3749</v>
      </c>
      <c r="I1327" s="33" t="s">
        <v>3750</v>
      </c>
      <c r="J1327" s="33">
        <v>115403</v>
      </c>
      <c r="K1327" s="33" t="s">
        <v>4212</v>
      </c>
      <c r="L1327" s="33" t="s">
        <v>4213</v>
      </c>
      <c r="M1327" s="33" t="s">
        <v>4214</v>
      </c>
      <c r="N1327" s="44">
        <v>42183001</v>
      </c>
      <c r="O1327" s="33" t="s">
        <v>4215</v>
      </c>
      <c r="P1327" s="33" t="s">
        <v>4216</v>
      </c>
      <c r="Q1327" s="34" t="s">
        <v>1494</v>
      </c>
      <c r="R1327" s="34" t="s">
        <v>1494</v>
      </c>
    </row>
    <row r="1328" spans="1:18" ht="15" customHeight="1" x14ac:dyDescent="0.25">
      <c r="A1328" t="str">
        <f>IFERROR(RANK(B1328,$B:$B,1)+COUNTIF($B$1:B1327,B1328),"")</f>
        <v/>
      </c>
      <c r="B1328" t="str">
        <f>IFERROR(SEARCH(#REF!,Table4[[#This Row],[Commodity Title]],1),"")</f>
        <v/>
      </c>
      <c r="C1328" s="35">
        <v>42183002</v>
      </c>
      <c r="D1328" s="33" t="s">
        <v>1495</v>
      </c>
      <c r="E1328" s="33" t="s">
        <v>1496</v>
      </c>
      <c r="F1328" s="33" t="s">
        <v>1497</v>
      </c>
      <c r="G1328" s="33" t="s">
        <v>3748</v>
      </c>
      <c r="H1328" s="33" t="s">
        <v>3749</v>
      </c>
      <c r="I1328" s="33" t="s">
        <v>3750</v>
      </c>
      <c r="J1328" s="33">
        <v>115404</v>
      </c>
      <c r="K1328" s="33" t="s">
        <v>4212</v>
      </c>
      <c r="L1328" s="33" t="s">
        <v>4213</v>
      </c>
      <c r="M1328" s="33" t="s">
        <v>4214</v>
      </c>
      <c r="N1328" s="44">
        <v>42183002</v>
      </c>
      <c r="O1328" s="33" t="s">
        <v>4217</v>
      </c>
      <c r="P1328" s="33" t="s">
        <v>4218</v>
      </c>
      <c r="Q1328" s="34" t="s">
        <v>1494</v>
      </c>
      <c r="R1328" s="34" t="s">
        <v>1494</v>
      </c>
    </row>
    <row r="1329" spans="1:18" ht="15" customHeight="1" x14ac:dyDescent="0.25">
      <c r="A1329" t="str">
        <f>IFERROR(RANK(B1329,$B:$B,1)+COUNTIF($B$1:B1328,B1329),"")</f>
        <v/>
      </c>
      <c r="B1329" t="str">
        <f>IFERROR(SEARCH(#REF!,Table4[[#This Row],[Commodity Title]],1),"")</f>
        <v/>
      </c>
      <c r="C1329" s="35">
        <v>42183003</v>
      </c>
      <c r="D1329" s="33" t="s">
        <v>1495</v>
      </c>
      <c r="E1329" s="33" t="s">
        <v>1496</v>
      </c>
      <c r="F1329" s="33" t="s">
        <v>1497</v>
      </c>
      <c r="G1329" s="33" t="s">
        <v>3748</v>
      </c>
      <c r="H1329" s="33" t="s">
        <v>3749</v>
      </c>
      <c r="I1329" s="33" t="s">
        <v>3750</v>
      </c>
      <c r="J1329" s="33">
        <v>115405</v>
      </c>
      <c r="K1329" s="33" t="s">
        <v>4212</v>
      </c>
      <c r="L1329" s="33" t="s">
        <v>4213</v>
      </c>
      <c r="M1329" s="33" t="s">
        <v>4214</v>
      </c>
      <c r="N1329" s="44">
        <v>42183003</v>
      </c>
      <c r="O1329" s="33" t="s">
        <v>4219</v>
      </c>
      <c r="P1329" s="33" t="s">
        <v>4220</v>
      </c>
      <c r="Q1329" s="34" t="s">
        <v>1494</v>
      </c>
      <c r="R1329" s="34" t="s">
        <v>1494</v>
      </c>
    </row>
    <row r="1330" spans="1:18" ht="15" customHeight="1" x14ac:dyDescent="0.25">
      <c r="A1330" t="str">
        <f>IFERROR(RANK(B1330,$B:$B,1)+COUNTIF($B$1:B1329,B1330),"")</f>
        <v/>
      </c>
      <c r="B1330" t="str">
        <f>IFERROR(SEARCH(#REF!,Table4[[#This Row],[Commodity Title]],1),"")</f>
        <v/>
      </c>
      <c r="C1330" s="35">
        <v>42183005</v>
      </c>
      <c r="D1330" s="33" t="s">
        <v>1495</v>
      </c>
      <c r="E1330" s="33" t="s">
        <v>1496</v>
      </c>
      <c r="F1330" s="33" t="s">
        <v>1497</v>
      </c>
      <c r="G1330" s="33" t="s">
        <v>3748</v>
      </c>
      <c r="H1330" s="33" t="s">
        <v>3749</v>
      </c>
      <c r="I1330" s="33" t="s">
        <v>3750</v>
      </c>
      <c r="J1330" s="33">
        <v>115407</v>
      </c>
      <c r="K1330" s="33" t="s">
        <v>4212</v>
      </c>
      <c r="L1330" s="33" t="s">
        <v>4213</v>
      </c>
      <c r="M1330" s="33" t="s">
        <v>4214</v>
      </c>
      <c r="N1330" s="44">
        <v>42183005</v>
      </c>
      <c r="O1330" s="33" t="s">
        <v>4221</v>
      </c>
      <c r="P1330" s="33" t="s">
        <v>4222</v>
      </c>
      <c r="Q1330" s="34" t="s">
        <v>1494</v>
      </c>
      <c r="R1330" s="34" t="s">
        <v>1494</v>
      </c>
    </row>
    <row r="1331" spans="1:18" ht="15" customHeight="1" x14ac:dyDescent="0.25">
      <c r="A1331" t="str">
        <f>IFERROR(RANK(B1331,$B:$B,1)+COUNTIF($B$1:B1330,B1331),"")</f>
        <v/>
      </c>
      <c r="B1331" t="str">
        <f>IFERROR(SEARCH(#REF!,Table4[[#This Row],[Commodity Title]],1),"")</f>
        <v/>
      </c>
      <c r="C1331" s="35">
        <v>42183006</v>
      </c>
      <c r="D1331" s="33" t="s">
        <v>1495</v>
      </c>
      <c r="E1331" s="33" t="s">
        <v>1496</v>
      </c>
      <c r="F1331" s="33" t="s">
        <v>1497</v>
      </c>
      <c r="G1331" s="33" t="s">
        <v>3748</v>
      </c>
      <c r="H1331" s="33" t="s">
        <v>3749</v>
      </c>
      <c r="I1331" s="33" t="s">
        <v>3750</v>
      </c>
      <c r="J1331" s="33">
        <v>115408</v>
      </c>
      <c r="K1331" s="33" t="s">
        <v>4212</v>
      </c>
      <c r="L1331" s="33" t="s">
        <v>4213</v>
      </c>
      <c r="M1331" s="33" t="s">
        <v>4214</v>
      </c>
      <c r="N1331" s="44">
        <v>42183006</v>
      </c>
      <c r="O1331" s="33" t="s">
        <v>4223</v>
      </c>
      <c r="P1331" s="33" t="s">
        <v>4224</v>
      </c>
      <c r="Q1331" s="34" t="s">
        <v>1494</v>
      </c>
      <c r="R1331" s="34" t="s">
        <v>1494</v>
      </c>
    </row>
    <row r="1332" spans="1:18" ht="15" customHeight="1" x14ac:dyDescent="0.25">
      <c r="A1332" t="str">
        <f>IFERROR(RANK(B1332,$B:$B,1)+COUNTIF($B$1:B1331,B1332),"")</f>
        <v/>
      </c>
      <c r="B1332" t="str">
        <f>IFERROR(SEARCH(#REF!,Table4[[#This Row],[Commodity Title]],1),"")</f>
        <v/>
      </c>
      <c r="C1332" s="35">
        <v>42183009</v>
      </c>
      <c r="D1332" s="33" t="s">
        <v>1495</v>
      </c>
      <c r="E1332" s="33" t="s">
        <v>1496</v>
      </c>
      <c r="F1332" s="33" t="s">
        <v>1497</v>
      </c>
      <c r="G1332" s="33" t="s">
        <v>3748</v>
      </c>
      <c r="H1332" s="33" t="s">
        <v>3749</v>
      </c>
      <c r="I1332" s="33" t="s">
        <v>3750</v>
      </c>
      <c r="J1332" s="33">
        <v>115411</v>
      </c>
      <c r="K1332" s="33" t="s">
        <v>4212</v>
      </c>
      <c r="L1332" s="33" t="s">
        <v>4213</v>
      </c>
      <c r="M1332" s="33" t="s">
        <v>4214</v>
      </c>
      <c r="N1332" s="44">
        <v>42183009</v>
      </c>
      <c r="O1332" s="33" t="s">
        <v>4225</v>
      </c>
      <c r="P1332" s="33" t="s">
        <v>4226</v>
      </c>
      <c r="Q1332" s="34" t="s">
        <v>1494</v>
      </c>
      <c r="R1332" s="34" t="s">
        <v>1494</v>
      </c>
    </row>
    <row r="1333" spans="1:18" ht="15" customHeight="1" x14ac:dyDescent="0.25">
      <c r="A1333" t="str">
        <f>IFERROR(RANK(B1333,$B:$B,1)+COUNTIF($B$1:B1332,B1333),"")</f>
        <v/>
      </c>
      <c r="B1333" t="str">
        <f>IFERROR(SEARCH(#REF!,Table4[[#This Row],[Commodity Title]],1),"")</f>
        <v/>
      </c>
      <c r="C1333" s="35">
        <v>42183010</v>
      </c>
      <c r="D1333" s="33" t="s">
        <v>1495</v>
      </c>
      <c r="E1333" s="33" t="s">
        <v>1496</v>
      </c>
      <c r="F1333" s="33" t="s">
        <v>1497</v>
      </c>
      <c r="G1333" s="33" t="s">
        <v>3748</v>
      </c>
      <c r="H1333" s="33" t="s">
        <v>3749</v>
      </c>
      <c r="I1333" s="33" t="s">
        <v>3750</v>
      </c>
      <c r="J1333" s="33">
        <v>115412</v>
      </c>
      <c r="K1333" s="33" t="s">
        <v>4212</v>
      </c>
      <c r="L1333" s="33" t="s">
        <v>4213</v>
      </c>
      <c r="M1333" s="33" t="s">
        <v>4214</v>
      </c>
      <c r="N1333" s="44">
        <v>42183010</v>
      </c>
      <c r="O1333" s="33" t="s">
        <v>4227</v>
      </c>
      <c r="P1333" s="33" t="s">
        <v>4228</v>
      </c>
      <c r="Q1333" s="34" t="s">
        <v>1494</v>
      </c>
      <c r="R1333" s="34" t="s">
        <v>1494</v>
      </c>
    </row>
    <row r="1334" spans="1:18" ht="15" customHeight="1" x14ac:dyDescent="0.25">
      <c r="A1334" t="str">
        <f>IFERROR(RANK(B1334,$B:$B,1)+COUNTIF($B$1:B1333,B1334),"")</f>
        <v/>
      </c>
      <c r="B1334" t="str">
        <f>IFERROR(SEARCH(#REF!,Table4[[#This Row],[Commodity Title]],1),"")</f>
        <v/>
      </c>
      <c r="C1334" s="35">
        <v>42183011</v>
      </c>
      <c r="D1334" s="33" t="s">
        <v>1495</v>
      </c>
      <c r="E1334" s="33" t="s">
        <v>1496</v>
      </c>
      <c r="F1334" s="33" t="s">
        <v>1497</v>
      </c>
      <c r="G1334" s="33" t="s">
        <v>3748</v>
      </c>
      <c r="H1334" s="33" t="s">
        <v>3749</v>
      </c>
      <c r="I1334" s="33" t="s">
        <v>3750</v>
      </c>
      <c r="J1334" s="33">
        <v>104428</v>
      </c>
      <c r="K1334" s="33" t="s">
        <v>4212</v>
      </c>
      <c r="L1334" s="33" t="s">
        <v>4213</v>
      </c>
      <c r="M1334" s="33" t="s">
        <v>4214</v>
      </c>
      <c r="N1334" s="44">
        <v>42183011</v>
      </c>
      <c r="O1334" s="33" t="s">
        <v>4229</v>
      </c>
      <c r="P1334" s="33" t="s">
        <v>4230</v>
      </c>
      <c r="Q1334" s="34" t="s">
        <v>1494</v>
      </c>
      <c r="R1334" s="34" t="s">
        <v>1494</v>
      </c>
    </row>
    <row r="1335" spans="1:18" ht="15" customHeight="1" x14ac:dyDescent="0.25">
      <c r="A1335" t="str">
        <f>IFERROR(RANK(B1335,$B:$B,1)+COUNTIF($B$1:B1334,B1335),"")</f>
        <v/>
      </c>
      <c r="B1335" t="str">
        <f>IFERROR(SEARCH(#REF!,Table4[[#This Row],[Commodity Title]],1),"")</f>
        <v/>
      </c>
      <c r="C1335" s="35">
        <v>42183012</v>
      </c>
      <c r="D1335" s="33" t="s">
        <v>1495</v>
      </c>
      <c r="E1335" s="33" t="s">
        <v>1496</v>
      </c>
      <c r="F1335" s="33" t="s">
        <v>1497</v>
      </c>
      <c r="G1335" s="33" t="s">
        <v>3748</v>
      </c>
      <c r="H1335" s="33" t="s">
        <v>3749</v>
      </c>
      <c r="I1335" s="33" t="s">
        <v>3750</v>
      </c>
      <c r="J1335" s="33">
        <v>115414</v>
      </c>
      <c r="K1335" s="33" t="s">
        <v>4212</v>
      </c>
      <c r="L1335" s="33" t="s">
        <v>4213</v>
      </c>
      <c r="M1335" s="33" t="s">
        <v>4214</v>
      </c>
      <c r="N1335" s="44">
        <v>42183012</v>
      </c>
      <c r="O1335" s="33" t="s">
        <v>4231</v>
      </c>
      <c r="P1335" s="33" t="s">
        <v>4232</v>
      </c>
      <c r="Q1335" s="34" t="s">
        <v>1494</v>
      </c>
      <c r="R1335" s="34" t="s">
        <v>1494</v>
      </c>
    </row>
    <row r="1336" spans="1:18" ht="15" customHeight="1" x14ac:dyDescent="0.25">
      <c r="A1336" t="str">
        <f>IFERROR(RANK(B1336,$B:$B,1)+COUNTIF($B$1:B1335,B1336),"")</f>
        <v/>
      </c>
      <c r="B1336" t="str">
        <f>IFERROR(SEARCH(#REF!,Table4[[#This Row],[Commodity Title]],1),"")</f>
        <v/>
      </c>
      <c r="C1336" s="35">
        <v>42183013</v>
      </c>
      <c r="D1336" s="33" t="s">
        <v>1495</v>
      </c>
      <c r="E1336" s="33" t="s">
        <v>1496</v>
      </c>
      <c r="F1336" s="33" t="s">
        <v>1497</v>
      </c>
      <c r="G1336" s="33" t="s">
        <v>3748</v>
      </c>
      <c r="H1336" s="33" t="s">
        <v>3749</v>
      </c>
      <c r="I1336" s="33" t="s">
        <v>3750</v>
      </c>
      <c r="J1336" s="33">
        <v>115415</v>
      </c>
      <c r="K1336" s="33" t="s">
        <v>4212</v>
      </c>
      <c r="L1336" s="33" t="s">
        <v>4213</v>
      </c>
      <c r="M1336" s="33" t="s">
        <v>4214</v>
      </c>
      <c r="N1336" s="44">
        <v>42183013</v>
      </c>
      <c r="O1336" s="33" t="s">
        <v>4233</v>
      </c>
      <c r="P1336" s="33" t="s">
        <v>4234</v>
      </c>
      <c r="Q1336" s="34" t="s">
        <v>1494</v>
      </c>
      <c r="R1336" s="34" t="s">
        <v>1494</v>
      </c>
    </row>
    <row r="1337" spans="1:18" ht="15" customHeight="1" x14ac:dyDescent="0.25">
      <c r="A1337" t="str">
        <f>IFERROR(RANK(B1337,$B:$B,1)+COUNTIF($B$1:B1336,B1337),"")</f>
        <v/>
      </c>
      <c r="B1337" t="str">
        <f>IFERROR(SEARCH(#REF!,Table4[[#This Row],[Commodity Title]],1),"")</f>
        <v/>
      </c>
      <c r="C1337" s="35">
        <v>42183015</v>
      </c>
      <c r="D1337" s="33" t="s">
        <v>1495</v>
      </c>
      <c r="E1337" s="33" t="s">
        <v>1496</v>
      </c>
      <c r="F1337" s="33" t="s">
        <v>1497</v>
      </c>
      <c r="G1337" s="33" t="s">
        <v>3748</v>
      </c>
      <c r="H1337" s="33" t="s">
        <v>3749</v>
      </c>
      <c r="I1337" s="33" t="s">
        <v>3750</v>
      </c>
      <c r="J1337" s="33">
        <v>104427</v>
      </c>
      <c r="K1337" s="33" t="s">
        <v>4212</v>
      </c>
      <c r="L1337" s="33" t="s">
        <v>4213</v>
      </c>
      <c r="M1337" s="33" t="s">
        <v>4214</v>
      </c>
      <c r="N1337" s="44">
        <v>42183015</v>
      </c>
      <c r="O1337" s="33" t="s">
        <v>4235</v>
      </c>
      <c r="P1337" s="33" t="s">
        <v>4236</v>
      </c>
      <c r="Q1337" s="34" t="s">
        <v>1494</v>
      </c>
      <c r="R1337" s="34" t="s">
        <v>1494</v>
      </c>
    </row>
    <row r="1338" spans="1:18" ht="15" customHeight="1" x14ac:dyDescent="0.25">
      <c r="A1338" t="str">
        <f>IFERROR(RANK(B1338,$B:$B,1)+COUNTIF($B$1:B1337,B1338),"")</f>
        <v/>
      </c>
      <c r="B1338" t="str">
        <f>IFERROR(SEARCH(#REF!,Table4[[#This Row],[Commodity Title]],1),"")</f>
        <v/>
      </c>
      <c r="C1338" s="35">
        <v>42183016</v>
      </c>
      <c r="D1338" s="33" t="s">
        <v>1495</v>
      </c>
      <c r="E1338" s="33" t="s">
        <v>1496</v>
      </c>
      <c r="F1338" s="33" t="s">
        <v>1497</v>
      </c>
      <c r="G1338" s="33" t="s">
        <v>3748</v>
      </c>
      <c r="H1338" s="33" t="s">
        <v>3749</v>
      </c>
      <c r="I1338" s="33" t="s">
        <v>3750</v>
      </c>
      <c r="J1338" s="33">
        <v>115418</v>
      </c>
      <c r="K1338" s="33" t="s">
        <v>4212</v>
      </c>
      <c r="L1338" s="33" t="s">
        <v>4213</v>
      </c>
      <c r="M1338" s="33" t="s">
        <v>4214</v>
      </c>
      <c r="N1338" s="44">
        <v>42183016</v>
      </c>
      <c r="O1338" s="33" t="s">
        <v>4237</v>
      </c>
      <c r="P1338" s="33" t="s">
        <v>4238</v>
      </c>
      <c r="Q1338" s="34" t="s">
        <v>1494</v>
      </c>
      <c r="R1338" s="34" t="s">
        <v>1494</v>
      </c>
    </row>
    <row r="1339" spans="1:18" ht="15" customHeight="1" x14ac:dyDescent="0.25">
      <c r="A1339" t="str">
        <f>IFERROR(RANK(B1339,$B:$B,1)+COUNTIF($B$1:B1338,B1339),"")</f>
        <v/>
      </c>
      <c r="B1339" t="str">
        <f>IFERROR(SEARCH(#REF!,Table4[[#This Row],[Commodity Title]],1),"")</f>
        <v/>
      </c>
      <c r="C1339" s="35">
        <v>42183017</v>
      </c>
      <c r="D1339" s="33" t="s">
        <v>1495</v>
      </c>
      <c r="E1339" s="33" t="s">
        <v>1496</v>
      </c>
      <c r="F1339" s="33" t="s">
        <v>1497</v>
      </c>
      <c r="G1339" s="33" t="s">
        <v>3748</v>
      </c>
      <c r="H1339" s="33" t="s">
        <v>3749</v>
      </c>
      <c r="I1339" s="33" t="s">
        <v>3750</v>
      </c>
      <c r="J1339" s="33">
        <v>115419</v>
      </c>
      <c r="K1339" s="33" t="s">
        <v>4212</v>
      </c>
      <c r="L1339" s="33" t="s">
        <v>4213</v>
      </c>
      <c r="M1339" s="33" t="s">
        <v>4214</v>
      </c>
      <c r="N1339" s="44">
        <v>42183017</v>
      </c>
      <c r="O1339" s="33" t="s">
        <v>4239</v>
      </c>
      <c r="P1339" s="33" t="s">
        <v>4240</v>
      </c>
      <c r="Q1339" s="34" t="s">
        <v>1494</v>
      </c>
      <c r="R1339" s="34" t="s">
        <v>1494</v>
      </c>
    </row>
    <row r="1340" spans="1:18" ht="15" customHeight="1" x14ac:dyDescent="0.25">
      <c r="A1340" t="str">
        <f>IFERROR(RANK(B1340,$B:$B,1)+COUNTIF($B$1:B1339,B1340),"")</f>
        <v/>
      </c>
      <c r="B1340" t="str">
        <f>IFERROR(SEARCH(#REF!,Table4[[#This Row],[Commodity Title]],1),"")</f>
        <v/>
      </c>
      <c r="C1340" s="35">
        <v>42183018</v>
      </c>
      <c r="D1340" s="33" t="s">
        <v>1495</v>
      </c>
      <c r="E1340" s="33" t="s">
        <v>1496</v>
      </c>
      <c r="F1340" s="33" t="s">
        <v>1497</v>
      </c>
      <c r="G1340" s="33" t="s">
        <v>3748</v>
      </c>
      <c r="H1340" s="33" t="s">
        <v>3749</v>
      </c>
      <c r="I1340" s="33" t="s">
        <v>3750</v>
      </c>
      <c r="J1340" s="33">
        <v>104429</v>
      </c>
      <c r="K1340" s="33" t="s">
        <v>4212</v>
      </c>
      <c r="L1340" s="33" t="s">
        <v>4213</v>
      </c>
      <c r="M1340" s="33" t="s">
        <v>4214</v>
      </c>
      <c r="N1340" s="44">
        <v>42183018</v>
      </c>
      <c r="O1340" s="33" t="s">
        <v>4241</v>
      </c>
      <c r="P1340" s="33" t="s">
        <v>4242</v>
      </c>
      <c r="Q1340" s="34" t="s">
        <v>1494</v>
      </c>
      <c r="R1340" s="34" t="s">
        <v>1494</v>
      </c>
    </row>
    <row r="1341" spans="1:18" ht="15" customHeight="1" x14ac:dyDescent="0.25">
      <c r="A1341" t="str">
        <f>IFERROR(RANK(B1341,$B:$B,1)+COUNTIF($B$1:B1340,B1341),"")</f>
        <v/>
      </c>
      <c r="B1341" t="str">
        <f>IFERROR(SEARCH(#REF!,Table4[[#This Row],[Commodity Title]],1),"")</f>
        <v/>
      </c>
      <c r="C1341" s="35">
        <v>42183019</v>
      </c>
      <c r="D1341" s="33" t="s">
        <v>1495</v>
      </c>
      <c r="E1341" s="33" t="s">
        <v>1496</v>
      </c>
      <c r="F1341" s="33" t="s">
        <v>1497</v>
      </c>
      <c r="G1341" s="33" t="s">
        <v>3748</v>
      </c>
      <c r="H1341" s="33" t="s">
        <v>3749</v>
      </c>
      <c r="I1341" s="33" t="s">
        <v>3750</v>
      </c>
      <c r="J1341" s="33">
        <v>115421</v>
      </c>
      <c r="K1341" s="33" t="s">
        <v>4212</v>
      </c>
      <c r="L1341" s="33" t="s">
        <v>4213</v>
      </c>
      <c r="M1341" s="33" t="s">
        <v>4214</v>
      </c>
      <c r="N1341" s="44">
        <v>42183019</v>
      </c>
      <c r="O1341" s="33" t="s">
        <v>4243</v>
      </c>
      <c r="P1341" s="33" t="s">
        <v>4244</v>
      </c>
      <c r="Q1341" s="34" t="s">
        <v>1494</v>
      </c>
      <c r="R1341" s="34" t="s">
        <v>1494</v>
      </c>
    </row>
    <row r="1342" spans="1:18" ht="15" customHeight="1" x14ac:dyDescent="0.25">
      <c r="A1342" t="str">
        <f>IFERROR(RANK(B1342,$B:$B,1)+COUNTIF($B$1:B1341,B1342),"")</f>
        <v/>
      </c>
      <c r="B1342" t="str">
        <f>IFERROR(SEARCH(#REF!,Table4[[#This Row],[Commodity Title]],1),"")</f>
        <v/>
      </c>
      <c r="C1342" s="35">
        <v>42183020</v>
      </c>
      <c r="D1342" s="33" t="s">
        <v>1495</v>
      </c>
      <c r="E1342" s="33" t="s">
        <v>1496</v>
      </c>
      <c r="F1342" s="33" t="s">
        <v>1497</v>
      </c>
      <c r="G1342" s="33" t="s">
        <v>3748</v>
      </c>
      <c r="H1342" s="33" t="s">
        <v>3749</v>
      </c>
      <c r="I1342" s="33" t="s">
        <v>3750</v>
      </c>
      <c r="J1342" s="33">
        <v>115422</v>
      </c>
      <c r="K1342" s="33" t="s">
        <v>4212</v>
      </c>
      <c r="L1342" s="33" t="s">
        <v>4213</v>
      </c>
      <c r="M1342" s="33" t="s">
        <v>4214</v>
      </c>
      <c r="N1342" s="44">
        <v>42183020</v>
      </c>
      <c r="O1342" s="33" t="s">
        <v>4245</v>
      </c>
      <c r="P1342" s="33" t="s">
        <v>4246</v>
      </c>
      <c r="Q1342" s="34" t="s">
        <v>1494</v>
      </c>
      <c r="R1342" s="34" t="s">
        <v>1494</v>
      </c>
    </row>
    <row r="1343" spans="1:18" ht="15" customHeight="1" x14ac:dyDescent="0.25">
      <c r="A1343" t="str">
        <f>IFERROR(RANK(B1343,$B:$B,1)+COUNTIF($B$1:B1342,B1343),"")</f>
        <v/>
      </c>
      <c r="B1343" t="str">
        <f>IFERROR(SEARCH(#REF!,Table4[[#This Row],[Commodity Title]],1),"")</f>
        <v/>
      </c>
      <c r="C1343" s="35">
        <v>42183021</v>
      </c>
      <c r="D1343" s="33" t="s">
        <v>1495</v>
      </c>
      <c r="E1343" s="33" t="s">
        <v>1496</v>
      </c>
      <c r="F1343" s="33" t="s">
        <v>1497</v>
      </c>
      <c r="G1343" s="33" t="s">
        <v>3748</v>
      </c>
      <c r="H1343" s="33" t="s">
        <v>3749</v>
      </c>
      <c r="I1343" s="33" t="s">
        <v>3750</v>
      </c>
      <c r="J1343" s="33">
        <v>115423</v>
      </c>
      <c r="K1343" s="33" t="s">
        <v>4212</v>
      </c>
      <c r="L1343" s="33" t="s">
        <v>4213</v>
      </c>
      <c r="M1343" s="33" t="s">
        <v>4214</v>
      </c>
      <c r="N1343" s="44">
        <v>42183021</v>
      </c>
      <c r="O1343" s="33" t="s">
        <v>4247</v>
      </c>
      <c r="P1343" s="33" t="s">
        <v>4248</v>
      </c>
      <c r="Q1343" s="34" t="s">
        <v>1494</v>
      </c>
      <c r="R1343" s="34" t="s">
        <v>1494</v>
      </c>
    </row>
    <row r="1344" spans="1:18" ht="15" customHeight="1" x14ac:dyDescent="0.25">
      <c r="A1344" t="str">
        <f>IFERROR(RANK(B1344,$B:$B,1)+COUNTIF($B$1:B1343,B1344),"")</f>
        <v/>
      </c>
      <c r="B1344" t="str">
        <f>IFERROR(SEARCH(#REF!,Table4[[#This Row],[Commodity Title]],1),"")</f>
        <v/>
      </c>
      <c r="C1344" s="35">
        <v>42183022</v>
      </c>
      <c r="D1344" s="33" t="s">
        <v>1495</v>
      </c>
      <c r="E1344" s="33" t="s">
        <v>1496</v>
      </c>
      <c r="F1344" s="33" t="s">
        <v>1497</v>
      </c>
      <c r="G1344" s="33" t="s">
        <v>3748</v>
      </c>
      <c r="H1344" s="33" t="s">
        <v>3749</v>
      </c>
      <c r="I1344" s="33" t="s">
        <v>3750</v>
      </c>
      <c r="J1344" s="33">
        <v>115424</v>
      </c>
      <c r="K1344" s="33" t="s">
        <v>4212</v>
      </c>
      <c r="L1344" s="33" t="s">
        <v>4213</v>
      </c>
      <c r="M1344" s="33" t="s">
        <v>4214</v>
      </c>
      <c r="N1344" s="44">
        <v>42183022</v>
      </c>
      <c r="O1344" s="33" t="s">
        <v>4249</v>
      </c>
      <c r="P1344" s="33" t="s">
        <v>4250</v>
      </c>
      <c r="Q1344" s="34" t="s">
        <v>1494</v>
      </c>
      <c r="R1344" s="34" t="s">
        <v>1494</v>
      </c>
    </row>
    <row r="1345" spans="1:18" ht="15" customHeight="1" x14ac:dyDescent="0.25">
      <c r="A1345" t="str">
        <f>IFERROR(RANK(B1345,$B:$B,1)+COUNTIF($B$1:B1344,B1345),"")</f>
        <v/>
      </c>
      <c r="B1345" t="str">
        <f>IFERROR(SEARCH(#REF!,Table4[[#This Row],[Commodity Title]],1),"")</f>
        <v/>
      </c>
      <c r="C1345" s="35">
        <v>42183023</v>
      </c>
      <c r="D1345" s="33" t="s">
        <v>1495</v>
      </c>
      <c r="E1345" s="33" t="s">
        <v>1496</v>
      </c>
      <c r="F1345" s="33" t="s">
        <v>1497</v>
      </c>
      <c r="G1345" s="33" t="s">
        <v>3748</v>
      </c>
      <c r="H1345" s="33" t="s">
        <v>3749</v>
      </c>
      <c r="I1345" s="33" t="s">
        <v>3750</v>
      </c>
      <c r="J1345" s="33">
        <v>104432</v>
      </c>
      <c r="K1345" s="33" t="s">
        <v>4212</v>
      </c>
      <c r="L1345" s="33" t="s">
        <v>4213</v>
      </c>
      <c r="M1345" s="33" t="s">
        <v>4214</v>
      </c>
      <c r="N1345" s="44">
        <v>42183023</v>
      </c>
      <c r="O1345" s="33" t="s">
        <v>4251</v>
      </c>
      <c r="P1345" s="33" t="s">
        <v>4252</v>
      </c>
      <c r="Q1345" s="34" t="s">
        <v>1494</v>
      </c>
      <c r="R1345" s="34" t="s">
        <v>1494</v>
      </c>
    </row>
    <row r="1346" spans="1:18" ht="15" customHeight="1" x14ac:dyDescent="0.25">
      <c r="A1346" t="str">
        <f>IFERROR(RANK(B1346,$B:$B,1)+COUNTIF($B$1:B1345,B1346),"")</f>
        <v/>
      </c>
      <c r="B1346" t="str">
        <f>IFERROR(SEARCH(#REF!,Table4[[#This Row],[Commodity Title]],1),"")</f>
        <v/>
      </c>
      <c r="C1346" s="35">
        <v>42183024</v>
      </c>
      <c r="D1346" s="33" t="s">
        <v>1495</v>
      </c>
      <c r="E1346" s="33" t="s">
        <v>1496</v>
      </c>
      <c r="F1346" s="33" t="s">
        <v>1497</v>
      </c>
      <c r="G1346" s="33" t="s">
        <v>3748</v>
      </c>
      <c r="H1346" s="33" t="s">
        <v>3749</v>
      </c>
      <c r="I1346" s="33" t="s">
        <v>3750</v>
      </c>
      <c r="J1346" s="33">
        <v>142522</v>
      </c>
      <c r="K1346" s="33" t="s">
        <v>4212</v>
      </c>
      <c r="L1346" s="33" t="s">
        <v>4213</v>
      </c>
      <c r="M1346" s="33" t="s">
        <v>4214</v>
      </c>
      <c r="N1346" s="44">
        <v>42183024</v>
      </c>
      <c r="O1346" s="33" t="s">
        <v>4253</v>
      </c>
      <c r="P1346" s="33" t="s">
        <v>1494</v>
      </c>
      <c r="Q1346" s="34" t="s">
        <v>1494</v>
      </c>
      <c r="R1346" s="34" t="s">
        <v>1494</v>
      </c>
    </row>
    <row r="1347" spans="1:18" ht="15" customHeight="1" x14ac:dyDescent="0.25">
      <c r="A1347" t="str">
        <f>IFERROR(RANK(B1347,$B:$B,1)+COUNTIF($B$1:B1346,B1347),"")</f>
        <v/>
      </c>
      <c r="B1347" t="str">
        <f>IFERROR(SEARCH(#REF!,Table4[[#This Row],[Commodity Title]],1),"")</f>
        <v/>
      </c>
      <c r="C1347" s="35">
        <v>42183026</v>
      </c>
      <c r="D1347" s="33" t="s">
        <v>1495</v>
      </c>
      <c r="E1347" s="33" t="s">
        <v>1496</v>
      </c>
      <c r="F1347" s="33" t="s">
        <v>1497</v>
      </c>
      <c r="G1347" s="33" t="s">
        <v>3748</v>
      </c>
      <c r="H1347" s="33" t="s">
        <v>3749</v>
      </c>
      <c r="I1347" s="33" t="s">
        <v>3750</v>
      </c>
      <c r="J1347" s="33">
        <v>142524</v>
      </c>
      <c r="K1347" s="33" t="s">
        <v>4212</v>
      </c>
      <c r="L1347" s="33" t="s">
        <v>4213</v>
      </c>
      <c r="M1347" s="33" t="s">
        <v>4214</v>
      </c>
      <c r="N1347" s="44">
        <v>42183026</v>
      </c>
      <c r="O1347" s="33" t="s">
        <v>4254</v>
      </c>
      <c r="P1347" s="33" t="s">
        <v>4255</v>
      </c>
      <c r="Q1347" s="34" t="s">
        <v>1494</v>
      </c>
      <c r="R1347" s="34" t="s">
        <v>1494</v>
      </c>
    </row>
    <row r="1348" spans="1:18" ht="15" customHeight="1" x14ac:dyDescent="0.25">
      <c r="A1348" t="str">
        <f>IFERROR(RANK(B1348,$B:$B,1)+COUNTIF($B$1:B1347,B1348),"")</f>
        <v/>
      </c>
      <c r="B1348" t="str">
        <f>IFERROR(SEARCH(#REF!,Table4[[#This Row],[Commodity Title]],1),"")</f>
        <v/>
      </c>
      <c r="C1348" s="35">
        <v>42183027</v>
      </c>
      <c r="D1348" s="33" t="s">
        <v>1495</v>
      </c>
      <c r="E1348" s="33" t="s">
        <v>1496</v>
      </c>
      <c r="F1348" s="33" t="s">
        <v>1497</v>
      </c>
      <c r="G1348" s="33" t="s">
        <v>3748</v>
      </c>
      <c r="H1348" s="33" t="s">
        <v>3749</v>
      </c>
      <c r="I1348" s="33" t="s">
        <v>3750</v>
      </c>
      <c r="J1348" s="33">
        <v>142525</v>
      </c>
      <c r="K1348" s="33" t="s">
        <v>4212</v>
      </c>
      <c r="L1348" s="33" t="s">
        <v>4213</v>
      </c>
      <c r="M1348" s="33" t="s">
        <v>4214</v>
      </c>
      <c r="N1348" s="44">
        <v>42183027</v>
      </c>
      <c r="O1348" s="33" t="s">
        <v>4256</v>
      </c>
      <c r="P1348" s="33" t="s">
        <v>4257</v>
      </c>
      <c r="Q1348" s="34" t="s">
        <v>1494</v>
      </c>
      <c r="R1348" s="34" t="s">
        <v>1494</v>
      </c>
    </row>
    <row r="1349" spans="1:18" ht="15" customHeight="1" x14ac:dyDescent="0.25">
      <c r="A1349" t="str">
        <f>IFERROR(RANK(B1349,$B:$B,1)+COUNTIF($B$1:B1348,B1349),"")</f>
        <v/>
      </c>
      <c r="B1349" t="str">
        <f>IFERROR(SEARCH(#REF!,Table4[[#This Row],[Commodity Title]],1),"")</f>
        <v/>
      </c>
      <c r="C1349" s="35">
        <v>42183029</v>
      </c>
      <c r="D1349" s="33" t="s">
        <v>1495</v>
      </c>
      <c r="E1349" s="33" t="s">
        <v>1496</v>
      </c>
      <c r="F1349" s="33" t="s">
        <v>1497</v>
      </c>
      <c r="G1349" s="33" t="s">
        <v>3748</v>
      </c>
      <c r="H1349" s="33" t="s">
        <v>3749</v>
      </c>
      <c r="I1349" s="33" t="s">
        <v>3750</v>
      </c>
      <c r="J1349" s="33">
        <v>142527</v>
      </c>
      <c r="K1349" s="33" t="s">
        <v>4212</v>
      </c>
      <c r="L1349" s="33" t="s">
        <v>4213</v>
      </c>
      <c r="M1349" s="33" t="s">
        <v>4214</v>
      </c>
      <c r="N1349" s="44">
        <v>42183029</v>
      </c>
      <c r="O1349" s="33" t="s">
        <v>4258</v>
      </c>
      <c r="P1349" s="33" t="s">
        <v>4259</v>
      </c>
      <c r="Q1349" s="34" t="s">
        <v>1494</v>
      </c>
      <c r="R1349" s="34" t="s">
        <v>1494</v>
      </c>
    </row>
    <row r="1350" spans="1:18" ht="15" customHeight="1" x14ac:dyDescent="0.25">
      <c r="A1350" t="str">
        <f>IFERROR(RANK(B1350,$B:$B,1)+COUNTIF($B$1:B1349,B1350),"")</f>
        <v/>
      </c>
      <c r="B1350" t="str">
        <f>IFERROR(SEARCH(#REF!,Table4[[#This Row],[Commodity Title]],1),"")</f>
        <v/>
      </c>
      <c r="C1350" s="35">
        <v>42183030</v>
      </c>
      <c r="D1350" s="33" t="s">
        <v>1495</v>
      </c>
      <c r="E1350" s="33" t="s">
        <v>1496</v>
      </c>
      <c r="F1350" s="33" t="s">
        <v>1497</v>
      </c>
      <c r="G1350" s="33" t="s">
        <v>3748</v>
      </c>
      <c r="H1350" s="33" t="s">
        <v>3749</v>
      </c>
      <c r="I1350" s="33" t="s">
        <v>3750</v>
      </c>
      <c r="J1350" s="33">
        <v>142528</v>
      </c>
      <c r="K1350" s="33" t="s">
        <v>4212</v>
      </c>
      <c r="L1350" s="33" t="s">
        <v>4213</v>
      </c>
      <c r="M1350" s="33" t="s">
        <v>4214</v>
      </c>
      <c r="N1350" s="44">
        <v>42183030</v>
      </c>
      <c r="O1350" s="33" t="s">
        <v>4260</v>
      </c>
      <c r="P1350" s="33" t="s">
        <v>4261</v>
      </c>
      <c r="Q1350" s="34" t="s">
        <v>1494</v>
      </c>
      <c r="R1350" s="34" t="s">
        <v>1494</v>
      </c>
    </row>
    <row r="1351" spans="1:18" ht="15" customHeight="1" x14ac:dyDescent="0.25">
      <c r="A1351" t="str">
        <f>IFERROR(RANK(B1351,$B:$B,1)+COUNTIF($B$1:B1350,B1351),"")</f>
        <v/>
      </c>
      <c r="B1351" t="str">
        <f>IFERROR(SEARCH(#REF!,Table4[[#This Row],[Commodity Title]],1),"")</f>
        <v/>
      </c>
      <c r="C1351" s="35">
        <v>42183031</v>
      </c>
      <c r="D1351" s="33" t="s">
        <v>1495</v>
      </c>
      <c r="E1351" s="33" t="s">
        <v>1496</v>
      </c>
      <c r="F1351" s="33" t="s">
        <v>1497</v>
      </c>
      <c r="G1351" s="33" t="s">
        <v>3748</v>
      </c>
      <c r="H1351" s="33" t="s">
        <v>3749</v>
      </c>
      <c r="I1351" s="33" t="s">
        <v>3750</v>
      </c>
      <c r="J1351" s="33">
        <v>142529</v>
      </c>
      <c r="K1351" s="33" t="s">
        <v>4212</v>
      </c>
      <c r="L1351" s="33" t="s">
        <v>4213</v>
      </c>
      <c r="M1351" s="33" t="s">
        <v>4214</v>
      </c>
      <c r="N1351" s="44">
        <v>42183031</v>
      </c>
      <c r="O1351" s="33" t="s">
        <v>4262</v>
      </c>
      <c r="P1351" s="33" t="s">
        <v>4263</v>
      </c>
      <c r="Q1351" s="34" t="s">
        <v>1494</v>
      </c>
      <c r="R1351" s="34" t="s">
        <v>1494</v>
      </c>
    </row>
    <row r="1352" spans="1:18" ht="15" customHeight="1" x14ac:dyDescent="0.25">
      <c r="A1352" t="str">
        <f>IFERROR(RANK(B1352,$B:$B,1)+COUNTIF($B$1:B1351,B1352),"")</f>
        <v/>
      </c>
      <c r="B1352" t="str">
        <f>IFERROR(SEARCH(#REF!,Table4[[#This Row],[Commodity Title]],1),"")</f>
        <v/>
      </c>
      <c r="C1352" s="35">
        <v>42183033</v>
      </c>
      <c r="D1352" s="33" t="s">
        <v>1495</v>
      </c>
      <c r="E1352" s="33" t="s">
        <v>1496</v>
      </c>
      <c r="F1352" s="33" t="s">
        <v>1497</v>
      </c>
      <c r="G1352" s="33" t="s">
        <v>3748</v>
      </c>
      <c r="H1352" s="33" t="s">
        <v>3749</v>
      </c>
      <c r="I1352" s="33" t="s">
        <v>3750</v>
      </c>
      <c r="J1352" s="33">
        <v>142531</v>
      </c>
      <c r="K1352" s="33" t="s">
        <v>4212</v>
      </c>
      <c r="L1352" s="33" t="s">
        <v>4213</v>
      </c>
      <c r="M1352" s="33" t="s">
        <v>4214</v>
      </c>
      <c r="N1352" s="44">
        <v>42183033</v>
      </c>
      <c r="O1352" s="33" t="s">
        <v>4264</v>
      </c>
      <c r="P1352" s="33" t="s">
        <v>4265</v>
      </c>
      <c r="Q1352" s="34" t="s">
        <v>1494</v>
      </c>
      <c r="R1352" s="34" t="s">
        <v>1494</v>
      </c>
    </row>
    <row r="1353" spans="1:18" ht="15" customHeight="1" x14ac:dyDescent="0.25">
      <c r="A1353" t="str">
        <f>IFERROR(RANK(B1353,$B:$B,1)+COUNTIF($B$1:B1352,B1353),"")</f>
        <v/>
      </c>
      <c r="B1353" t="str">
        <f>IFERROR(SEARCH(#REF!,Table4[[#This Row],[Commodity Title]],1),"")</f>
        <v/>
      </c>
      <c r="C1353" s="35">
        <v>42183034</v>
      </c>
      <c r="D1353" s="33" t="s">
        <v>1495</v>
      </c>
      <c r="E1353" s="33" t="s">
        <v>1496</v>
      </c>
      <c r="F1353" s="33" t="s">
        <v>1497</v>
      </c>
      <c r="G1353" s="33" t="s">
        <v>3748</v>
      </c>
      <c r="H1353" s="33" t="s">
        <v>3749</v>
      </c>
      <c r="I1353" s="33" t="s">
        <v>3750</v>
      </c>
      <c r="J1353" s="33">
        <v>142532</v>
      </c>
      <c r="K1353" s="33" t="s">
        <v>4212</v>
      </c>
      <c r="L1353" s="33" t="s">
        <v>4213</v>
      </c>
      <c r="M1353" s="33" t="s">
        <v>4214</v>
      </c>
      <c r="N1353" s="44">
        <v>42183034</v>
      </c>
      <c r="O1353" s="33" t="s">
        <v>4266</v>
      </c>
      <c r="P1353" s="33" t="s">
        <v>4267</v>
      </c>
      <c r="Q1353" s="34" t="s">
        <v>1494</v>
      </c>
      <c r="R1353" s="34" t="s">
        <v>1494</v>
      </c>
    </row>
    <row r="1354" spans="1:18" ht="15" customHeight="1" x14ac:dyDescent="0.25">
      <c r="A1354" t="str">
        <f>IFERROR(RANK(B1354,$B:$B,1)+COUNTIF($B$1:B1353,B1354),"")</f>
        <v/>
      </c>
      <c r="B1354" t="str">
        <f>IFERROR(SEARCH(#REF!,Table4[[#This Row],[Commodity Title]],1),"")</f>
        <v/>
      </c>
      <c r="C1354" s="35">
        <v>42183035</v>
      </c>
      <c r="D1354" s="33" t="s">
        <v>1495</v>
      </c>
      <c r="E1354" s="33" t="s">
        <v>1496</v>
      </c>
      <c r="F1354" s="33" t="s">
        <v>1497</v>
      </c>
      <c r="G1354" s="33" t="s">
        <v>3748</v>
      </c>
      <c r="H1354" s="33" t="s">
        <v>3749</v>
      </c>
      <c r="I1354" s="33" t="s">
        <v>3750</v>
      </c>
      <c r="J1354" s="33">
        <v>142533</v>
      </c>
      <c r="K1354" s="33" t="s">
        <v>4212</v>
      </c>
      <c r="L1354" s="33" t="s">
        <v>4213</v>
      </c>
      <c r="M1354" s="33" t="s">
        <v>4214</v>
      </c>
      <c r="N1354" s="44">
        <v>42183035</v>
      </c>
      <c r="O1354" s="33" t="s">
        <v>4268</v>
      </c>
      <c r="P1354" s="33" t="s">
        <v>4269</v>
      </c>
      <c r="Q1354" s="34" t="s">
        <v>1494</v>
      </c>
      <c r="R1354" s="34" t="s">
        <v>1494</v>
      </c>
    </row>
    <row r="1355" spans="1:18" ht="15" customHeight="1" x14ac:dyDescent="0.25">
      <c r="A1355" t="str">
        <f>IFERROR(RANK(B1355,$B:$B,1)+COUNTIF($B$1:B1354,B1355),"")</f>
        <v/>
      </c>
      <c r="B1355" t="str">
        <f>IFERROR(SEARCH(#REF!,Table4[[#This Row],[Commodity Title]],1),"")</f>
        <v/>
      </c>
      <c r="C1355" s="35">
        <v>42183036</v>
      </c>
      <c r="D1355" s="33" t="s">
        <v>1495</v>
      </c>
      <c r="E1355" s="33" t="s">
        <v>1496</v>
      </c>
      <c r="F1355" s="33" t="s">
        <v>1497</v>
      </c>
      <c r="G1355" s="33" t="s">
        <v>3748</v>
      </c>
      <c r="H1355" s="33" t="s">
        <v>3749</v>
      </c>
      <c r="I1355" s="33" t="s">
        <v>3750</v>
      </c>
      <c r="J1355" s="33">
        <v>142534</v>
      </c>
      <c r="K1355" s="33" t="s">
        <v>4212</v>
      </c>
      <c r="L1355" s="33" t="s">
        <v>4213</v>
      </c>
      <c r="M1355" s="33" t="s">
        <v>4214</v>
      </c>
      <c r="N1355" s="44">
        <v>42183036</v>
      </c>
      <c r="O1355" s="33" t="s">
        <v>4270</v>
      </c>
      <c r="P1355" s="33" t="s">
        <v>4271</v>
      </c>
      <c r="Q1355" s="34" t="s">
        <v>1494</v>
      </c>
      <c r="R1355" s="34" t="s">
        <v>1494</v>
      </c>
    </row>
    <row r="1356" spans="1:18" ht="15" customHeight="1" x14ac:dyDescent="0.25">
      <c r="A1356" t="str">
        <f>IFERROR(RANK(B1356,$B:$B,1)+COUNTIF($B$1:B1355,B1356),"")</f>
        <v/>
      </c>
      <c r="B1356" t="str">
        <f>IFERROR(SEARCH(#REF!,Table4[[#This Row],[Commodity Title]],1),"")</f>
        <v/>
      </c>
      <c r="C1356" s="35">
        <v>42183037</v>
      </c>
      <c r="D1356" s="33" t="s">
        <v>1495</v>
      </c>
      <c r="E1356" s="33" t="s">
        <v>1496</v>
      </c>
      <c r="F1356" s="33" t="s">
        <v>1497</v>
      </c>
      <c r="G1356" s="33" t="s">
        <v>3748</v>
      </c>
      <c r="H1356" s="33" t="s">
        <v>3749</v>
      </c>
      <c r="I1356" s="33" t="s">
        <v>3750</v>
      </c>
      <c r="J1356" s="33">
        <v>142535</v>
      </c>
      <c r="K1356" s="33" t="s">
        <v>4212</v>
      </c>
      <c r="L1356" s="33" t="s">
        <v>4213</v>
      </c>
      <c r="M1356" s="33" t="s">
        <v>4214</v>
      </c>
      <c r="N1356" s="44">
        <v>42183037</v>
      </c>
      <c r="O1356" s="33" t="s">
        <v>4272</v>
      </c>
      <c r="P1356" s="33" t="s">
        <v>4273</v>
      </c>
      <c r="Q1356" s="34" t="s">
        <v>1494</v>
      </c>
      <c r="R1356" s="34" t="s">
        <v>1494</v>
      </c>
    </row>
    <row r="1357" spans="1:18" ht="15" customHeight="1" x14ac:dyDescent="0.25">
      <c r="A1357" t="str">
        <f>IFERROR(RANK(B1357,$B:$B,1)+COUNTIF($B$1:B1356,B1357),"")</f>
        <v/>
      </c>
      <c r="B1357" t="str">
        <f>IFERROR(SEARCH(#REF!,Table4[[#This Row],[Commodity Title]],1),"")</f>
        <v/>
      </c>
      <c r="C1357" s="35">
        <v>42183038</v>
      </c>
      <c r="D1357" s="33" t="s">
        <v>1495</v>
      </c>
      <c r="E1357" s="33" t="s">
        <v>1496</v>
      </c>
      <c r="F1357" s="33" t="s">
        <v>1497</v>
      </c>
      <c r="G1357" s="33" t="s">
        <v>3748</v>
      </c>
      <c r="H1357" s="33" t="s">
        <v>3749</v>
      </c>
      <c r="I1357" s="33" t="s">
        <v>3750</v>
      </c>
      <c r="J1357" s="33">
        <v>142536</v>
      </c>
      <c r="K1357" s="33" t="s">
        <v>4212</v>
      </c>
      <c r="L1357" s="33" t="s">
        <v>4213</v>
      </c>
      <c r="M1357" s="33" t="s">
        <v>4214</v>
      </c>
      <c r="N1357" s="44">
        <v>42183038</v>
      </c>
      <c r="O1357" s="33" t="s">
        <v>4274</v>
      </c>
      <c r="P1357" s="33" t="s">
        <v>4275</v>
      </c>
      <c r="Q1357" s="34" t="s">
        <v>1494</v>
      </c>
      <c r="R1357" s="34" t="s">
        <v>1494</v>
      </c>
    </row>
    <row r="1358" spans="1:18" ht="15" customHeight="1" x14ac:dyDescent="0.25">
      <c r="A1358" t="str">
        <f>IFERROR(RANK(B1358,$B:$B,1)+COUNTIF($B$1:B1357,B1358),"")</f>
        <v/>
      </c>
      <c r="B1358" t="str">
        <f>IFERROR(SEARCH(#REF!,Table4[[#This Row],[Commodity Title]],1),"")</f>
        <v/>
      </c>
      <c r="C1358" s="35">
        <v>42183039</v>
      </c>
      <c r="D1358" s="33" t="s">
        <v>1495</v>
      </c>
      <c r="E1358" s="33" t="s">
        <v>1496</v>
      </c>
      <c r="F1358" s="33" t="s">
        <v>1497</v>
      </c>
      <c r="G1358" s="33" t="s">
        <v>3748</v>
      </c>
      <c r="H1358" s="33" t="s">
        <v>3749</v>
      </c>
      <c r="I1358" s="33" t="s">
        <v>3750</v>
      </c>
      <c r="J1358" s="33">
        <v>142537</v>
      </c>
      <c r="K1358" s="33" t="s">
        <v>4212</v>
      </c>
      <c r="L1358" s="33" t="s">
        <v>4213</v>
      </c>
      <c r="M1358" s="33" t="s">
        <v>4214</v>
      </c>
      <c r="N1358" s="44">
        <v>42183039</v>
      </c>
      <c r="O1358" s="33" t="s">
        <v>4276</v>
      </c>
      <c r="P1358" s="33" t="s">
        <v>4277</v>
      </c>
      <c r="Q1358" s="34" t="s">
        <v>1494</v>
      </c>
      <c r="R1358" s="34" t="s">
        <v>1494</v>
      </c>
    </row>
    <row r="1359" spans="1:18" ht="15" customHeight="1" x14ac:dyDescent="0.25">
      <c r="A1359" t="str">
        <f>IFERROR(RANK(B1359,$B:$B,1)+COUNTIF($B$1:B1358,B1359),"")</f>
        <v/>
      </c>
      <c r="B1359" t="str">
        <f>IFERROR(SEARCH(#REF!,Table4[[#This Row],[Commodity Title]],1),"")</f>
        <v/>
      </c>
      <c r="C1359" s="35">
        <v>42183040</v>
      </c>
      <c r="D1359" s="33" t="s">
        <v>1495</v>
      </c>
      <c r="E1359" s="33" t="s">
        <v>1496</v>
      </c>
      <c r="F1359" s="33" t="s">
        <v>1497</v>
      </c>
      <c r="G1359" s="33" t="s">
        <v>3748</v>
      </c>
      <c r="H1359" s="33" t="s">
        <v>3749</v>
      </c>
      <c r="I1359" s="33" t="s">
        <v>3750</v>
      </c>
      <c r="J1359" s="33">
        <v>142538</v>
      </c>
      <c r="K1359" s="33" t="s">
        <v>4212</v>
      </c>
      <c r="L1359" s="33" t="s">
        <v>4213</v>
      </c>
      <c r="M1359" s="33" t="s">
        <v>4214</v>
      </c>
      <c r="N1359" s="44">
        <v>42183040</v>
      </c>
      <c r="O1359" s="33" t="s">
        <v>4278</v>
      </c>
      <c r="P1359" s="33" t="s">
        <v>4279</v>
      </c>
      <c r="Q1359" s="34" t="s">
        <v>1494</v>
      </c>
      <c r="R1359" s="34" t="s">
        <v>1494</v>
      </c>
    </row>
    <row r="1360" spans="1:18" ht="15" customHeight="1" x14ac:dyDescent="0.25">
      <c r="A1360" t="str">
        <f>IFERROR(RANK(B1360,$B:$B,1)+COUNTIF($B$1:B1359,B1360),"")</f>
        <v/>
      </c>
      <c r="B1360" t="str">
        <f>IFERROR(SEARCH(#REF!,Table4[[#This Row],[Commodity Title]],1),"")</f>
        <v/>
      </c>
      <c r="C1360" s="35">
        <v>42183041</v>
      </c>
      <c r="D1360" s="33" t="s">
        <v>1495</v>
      </c>
      <c r="E1360" s="33" t="s">
        <v>1496</v>
      </c>
      <c r="F1360" s="33" t="s">
        <v>1497</v>
      </c>
      <c r="G1360" s="33" t="s">
        <v>3748</v>
      </c>
      <c r="H1360" s="33" t="s">
        <v>3749</v>
      </c>
      <c r="I1360" s="33" t="s">
        <v>3750</v>
      </c>
      <c r="J1360" s="33">
        <v>142539</v>
      </c>
      <c r="K1360" s="33" t="s">
        <v>4212</v>
      </c>
      <c r="L1360" s="33" t="s">
        <v>4213</v>
      </c>
      <c r="M1360" s="33" t="s">
        <v>4214</v>
      </c>
      <c r="N1360" s="44">
        <v>42183041</v>
      </c>
      <c r="O1360" s="33" t="s">
        <v>4280</v>
      </c>
      <c r="P1360" s="33" t="s">
        <v>4281</v>
      </c>
      <c r="Q1360" s="34" t="s">
        <v>1494</v>
      </c>
      <c r="R1360" s="34" t="s">
        <v>1494</v>
      </c>
    </row>
    <row r="1361" spans="1:18" ht="15" customHeight="1" x14ac:dyDescent="0.25">
      <c r="A1361" t="str">
        <f>IFERROR(RANK(B1361,$B:$B,1)+COUNTIF($B$1:B1360,B1361),"")</f>
        <v/>
      </c>
      <c r="B1361" t="str">
        <f>IFERROR(SEARCH(#REF!,Table4[[#This Row],[Commodity Title]],1),"")</f>
        <v/>
      </c>
      <c r="C1361" s="35">
        <v>42183042</v>
      </c>
      <c r="D1361" s="33" t="s">
        <v>1495</v>
      </c>
      <c r="E1361" s="33" t="s">
        <v>1496</v>
      </c>
      <c r="F1361" s="33" t="s">
        <v>1497</v>
      </c>
      <c r="G1361" s="33" t="s">
        <v>3748</v>
      </c>
      <c r="H1361" s="33" t="s">
        <v>3749</v>
      </c>
      <c r="I1361" s="33" t="s">
        <v>3750</v>
      </c>
      <c r="J1361" s="33">
        <v>142540</v>
      </c>
      <c r="K1361" s="33" t="s">
        <v>4212</v>
      </c>
      <c r="L1361" s="33" t="s">
        <v>4213</v>
      </c>
      <c r="M1361" s="33" t="s">
        <v>4214</v>
      </c>
      <c r="N1361" s="44">
        <v>42183042</v>
      </c>
      <c r="O1361" s="33" t="s">
        <v>4282</v>
      </c>
      <c r="P1361" s="33" t="s">
        <v>4283</v>
      </c>
      <c r="Q1361" s="34" t="s">
        <v>1494</v>
      </c>
      <c r="R1361" s="34" t="s">
        <v>1494</v>
      </c>
    </row>
    <row r="1362" spans="1:18" ht="15" customHeight="1" x14ac:dyDescent="0.25">
      <c r="A1362" t="str">
        <f>IFERROR(RANK(B1362,$B:$B,1)+COUNTIF($B$1:B1361,B1362),"")</f>
        <v/>
      </c>
      <c r="B1362" t="str">
        <f>IFERROR(SEARCH(#REF!,Table4[[#This Row],[Commodity Title]],1),"")</f>
        <v/>
      </c>
      <c r="C1362" s="35">
        <v>42183044</v>
      </c>
      <c r="D1362" s="33" t="s">
        <v>1495</v>
      </c>
      <c r="E1362" s="33" t="s">
        <v>1496</v>
      </c>
      <c r="F1362" s="33" t="s">
        <v>1497</v>
      </c>
      <c r="G1362" s="33" t="s">
        <v>3748</v>
      </c>
      <c r="H1362" s="33" t="s">
        <v>3749</v>
      </c>
      <c r="I1362" s="33" t="s">
        <v>3750</v>
      </c>
      <c r="J1362" s="33">
        <v>142542</v>
      </c>
      <c r="K1362" s="33" t="s">
        <v>4212</v>
      </c>
      <c r="L1362" s="33" t="s">
        <v>4213</v>
      </c>
      <c r="M1362" s="33" t="s">
        <v>4214</v>
      </c>
      <c r="N1362" s="44">
        <v>42183044</v>
      </c>
      <c r="O1362" s="33" t="s">
        <v>4284</v>
      </c>
      <c r="P1362" s="33" t="s">
        <v>4285</v>
      </c>
      <c r="Q1362" s="34" t="s">
        <v>1494</v>
      </c>
      <c r="R1362" s="34" t="s">
        <v>1494</v>
      </c>
    </row>
    <row r="1363" spans="1:18" ht="15" customHeight="1" x14ac:dyDescent="0.25">
      <c r="A1363" t="str">
        <f>IFERROR(RANK(B1363,$B:$B,1)+COUNTIF($B$1:B1362,B1363),"")</f>
        <v/>
      </c>
      <c r="B1363" t="str">
        <f>IFERROR(SEARCH(#REF!,Table4[[#This Row],[Commodity Title]],1),"")</f>
        <v/>
      </c>
      <c r="C1363" s="35">
        <v>42183045</v>
      </c>
      <c r="D1363" s="33" t="s">
        <v>1495</v>
      </c>
      <c r="E1363" s="33" t="s">
        <v>1496</v>
      </c>
      <c r="F1363" s="33" t="s">
        <v>1497</v>
      </c>
      <c r="G1363" s="33" t="s">
        <v>3748</v>
      </c>
      <c r="H1363" s="33" t="s">
        <v>3749</v>
      </c>
      <c r="I1363" s="33" t="s">
        <v>3750</v>
      </c>
      <c r="J1363" s="33">
        <v>142543</v>
      </c>
      <c r="K1363" s="33" t="s">
        <v>4212</v>
      </c>
      <c r="L1363" s="33" t="s">
        <v>4213</v>
      </c>
      <c r="M1363" s="33" t="s">
        <v>4214</v>
      </c>
      <c r="N1363" s="44">
        <v>42183045</v>
      </c>
      <c r="O1363" s="33" t="s">
        <v>4286</v>
      </c>
      <c r="P1363" s="33" t="s">
        <v>4287</v>
      </c>
      <c r="Q1363" s="34" t="s">
        <v>1494</v>
      </c>
      <c r="R1363" s="34" t="s">
        <v>1494</v>
      </c>
    </row>
    <row r="1364" spans="1:18" ht="15" customHeight="1" x14ac:dyDescent="0.25">
      <c r="A1364" t="str">
        <f>IFERROR(RANK(B1364,$B:$B,1)+COUNTIF($B$1:B1363,B1364),"")</f>
        <v/>
      </c>
      <c r="B1364" t="str">
        <f>IFERROR(SEARCH(#REF!,Table4[[#This Row],[Commodity Title]],1),"")</f>
        <v/>
      </c>
      <c r="C1364" s="35">
        <v>42183046</v>
      </c>
      <c r="D1364" s="33" t="s">
        <v>1495</v>
      </c>
      <c r="E1364" s="33" t="s">
        <v>1496</v>
      </c>
      <c r="F1364" s="33" t="s">
        <v>1497</v>
      </c>
      <c r="G1364" s="33" t="s">
        <v>3748</v>
      </c>
      <c r="H1364" s="33" t="s">
        <v>3749</v>
      </c>
      <c r="I1364" s="33" t="s">
        <v>3750</v>
      </c>
      <c r="J1364" s="33">
        <v>142544</v>
      </c>
      <c r="K1364" s="33" t="s">
        <v>4212</v>
      </c>
      <c r="L1364" s="33" t="s">
        <v>4213</v>
      </c>
      <c r="M1364" s="33" t="s">
        <v>4214</v>
      </c>
      <c r="N1364" s="44">
        <v>42183046</v>
      </c>
      <c r="O1364" s="33" t="s">
        <v>4288</v>
      </c>
      <c r="P1364" s="33" t="s">
        <v>4289</v>
      </c>
      <c r="Q1364" s="34" t="s">
        <v>1494</v>
      </c>
      <c r="R1364" s="34" t="s">
        <v>1494</v>
      </c>
    </row>
    <row r="1365" spans="1:18" ht="15" customHeight="1" x14ac:dyDescent="0.25">
      <c r="A1365" t="str">
        <f>IFERROR(RANK(B1365,$B:$B,1)+COUNTIF($B$1:B1364,B1365),"")</f>
        <v/>
      </c>
      <c r="B1365" t="str">
        <f>IFERROR(SEARCH(#REF!,Table4[[#This Row],[Commodity Title]],1),"")</f>
        <v/>
      </c>
      <c r="C1365" s="35">
        <v>42183047</v>
      </c>
      <c r="D1365" s="33" t="s">
        <v>1495</v>
      </c>
      <c r="E1365" s="33" t="s">
        <v>1496</v>
      </c>
      <c r="F1365" s="33" t="s">
        <v>1497</v>
      </c>
      <c r="G1365" s="33" t="s">
        <v>3748</v>
      </c>
      <c r="H1365" s="33" t="s">
        <v>3749</v>
      </c>
      <c r="I1365" s="33" t="s">
        <v>3750</v>
      </c>
      <c r="J1365" s="33">
        <v>142545</v>
      </c>
      <c r="K1365" s="33" t="s">
        <v>4212</v>
      </c>
      <c r="L1365" s="33" t="s">
        <v>4213</v>
      </c>
      <c r="M1365" s="33" t="s">
        <v>4214</v>
      </c>
      <c r="N1365" s="44">
        <v>42183047</v>
      </c>
      <c r="O1365" s="33" t="s">
        <v>4290</v>
      </c>
      <c r="P1365" s="33" t="s">
        <v>4291</v>
      </c>
      <c r="Q1365" s="34" t="s">
        <v>1494</v>
      </c>
      <c r="R1365" s="34" t="s">
        <v>1494</v>
      </c>
    </row>
    <row r="1366" spans="1:18" ht="15" customHeight="1" x14ac:dyDescent="0.25">
      <c r="A1366" t="str">
        <f>IFERROR(RANK(B1366,$B:$B,1)+COUNTIF($B$1:B1365,B1366),"")</f>
        <v/>
      </c>
      <c r="B1366" t="str">
        <f>IFERROR(SEARCH(#REF!,Table4[[#This Row],[Commodity Title]],1),"")</f>
        <v/>
      </c>
      <c r="C1366" s="35">
        <v>42183048</v>
      </c>
      <c r="D1366" s="33" t="s">
        <v>1495</v>
      </c>
      <c r="E1366" s="33" t="s">
        <v>1496</v>
      </c>
      <c r="F1366" s="33" t="s">
        <v>1497</v>
      </c>
      <c r="G1366" s="33" t="s">
        <v>3748</v>
      </c>
      <c r="H1366" s="33" t="s">
        <v>3749</v>
      </c>
      <c r="I1366" s="33" t="s">
        <v>3750</v>
      </c>
      <c r="J1366" s="33">
        <v>142521</v>
      </c>
      <c r="K1366" s="33" t="s">
        <v>4212</v>
      </c>
      <c r="L1366" s="33" t="s">
        <v>4213</v>
      </c>
      <c r="M1366" s="33" t="s">
        <v>4214</v>
      </c>
      <c r="N1366" s="44">
        <v>42183048</v>
      </c>
      <c r="O1366" s="33" t="s">
        <v>4292</v>
      </c>
      <c r="P1366" s="33" t="s">
        <v>4293</v>
      </c>
      <c r="Q1366" s="34" t="s">
        <v>1494</v>
      </c>
      <c r="R1366" s="34" t="s">
        <v>1494</v>
      </c>
    </row>
    <row r="1367" spans="1:18" ht="15" customHeight="1" x14ac:dyDescent="0.25">
      <c r="A1367" t="str">
        <f>IFERROR(RANK(B1367,$B:$B,1)+COUNTIF($B$1:B1366,B1367),"")</f>
        <v/>
      </c>
      <c r="B1367" t="str">
        <f>IFERROR(SEARCH(#REF!,Table4[[#This Row],[Commodity Title]],1),"")</f>
        <v/>
      </c>
      <c r="C1367" s="35">
        <v>42183050</v>
      </c>
      <c r="D1367" s="33" t="s">
        <v>1495</v>
      </c>
      <c r="E1367" s="33" t="s">
        <v>1496</v>
      </c>
      <c r="F1367" s="33" t="s">
        <v>1497</v>
      </c>
      <c r="G1367" s="33" t="s">
        <v>3748</v>
      </c>
      <c r="H1367" s="33" t="s">
        <v>3749</v>
      </c>
      <c r="I1367" s="33" t="s">
        <v>3750</v>
      </c>
      <c r="J1367" s="33">
        <v>174363</v>
      </c>
      <c r="K1367" s="33" t="s">
        <v>4212</v>
      </c>
      <c r="L1367" s="33" t="s">
        <v>4213</v>
      </c>
      <c r="M1367" s="33" t="s">
        <v>4214</v>
      </c>
      <c r="N1367" s="44">
        <v>42183050</v>
      </c>
      <c r="O1367" s="33" t="s">
        <v>4294</v>
      </c>
      <c r="P1367" s="33" t="s">
        <v>4295</v>
      </c>
      <c r="Q1367" s="34" t="s">
        <v>1494</v>
      </c>
      <c r="R1367" s="34" t="s">
        <v>1494</v>
      </c>
    </row>
    <row r="1368" spans="1:18" ht="15" customHeight="1" x14ac:dyDescent="0.25">
      <c r="A1368" t="str">
        <f>IFERROR(RANK(B1368,$B:$B,1)+COUNTIF($B$1:B1367,B1368),"")</f>
        <v/>
      </c>
      <c r="B1368" t="str">
        <f>IFERROR(SEARCH(#REF!,Table4[[#This Row],[Commodity Title]],1),"")</f>
        <v/>
      </c>
      <c r="C1368" s="35">
        <v>42183051</v>
      </c>
      <c r="D1368" s="33" t="s">
        <v>1495</v>
      </c>
      <c r="E1368" s="33" t="s">
        <v>1496</v>
      </c>
      <c r="F1368" s="33" t="s">
        <v>1497</v>
      </c>
      <c r="G1368" s="33" t="s">
        <v>3748</v>
      </c>
      <c r="H1368" s="33" t="s">
        <v>3749</v>
      </c>
      <c r="I1368" s="33" t="s">
        <v>3750</v>
      </c>
      <c r="J1368" s="33">
        <v>174364</v>
      </c>
      <c r="K1368" s="33" t="s">
        <v>4212</v>
      </c>
      <c r="L1368" s="33" t="s">
        <v>4213</v>
      </c>
      <c r="M1368" s="33" t="s">
        <v>4214</v>
      </c>
      <c r="N1368" s="44">
        <v>42183051</v>
      </c>
      <c r="O1368" s="33" t="s">
        <v>4296</v>
      </c>
      <c r="P1368" s="33" t="s">
        <v>4297</v>
      </c>
      <c r="Q1368" s="34" t="s">
        <v>1494</v>
      </c>
      <c r="R1368" s="34" t="s">
        <v>1494</v>
      </c>
    </row>
    <row r="1369" spans="1:18" ht="15" customHeight="1" x14ac:dyDescent="0.25">
      <c r="A1369" t="str">
        <f>IFERROR(RANK(B1369,$B:$B,1)+COUNTIF($B$1:B1368,B1369),"")</f>
        <v/>
      </c>
      <c r="B1369" t="str">
        <f>IFERROR(SEARCH(#REF!,Table4[[#This Row],[Commodity Title]],1),"")</f>
        <v/>
      </c>
      <c r="C1369" s="35">
        <v>42183052</v>
      </c>
      <c r="D1369" s="33" t="s">
        <v>1495</v>
      </c>
      <c r="E1369" s="33" t="s">
        <v>1496</v>
      </c>
      <c r="F1369" s="33" t="s">
        <v>1497</v>
      </c>
      <c r="G1369" s="33" t="s">
        <v>3748</v>
      </c>
      <c r="H1369" s="33" t="s">
        <v>3749</v>
      </c>
      <c r="I1369" s="33" t="s">
        <v>3750</v>
      </c>
      <c r="J1369" s="33">
        <v>174365</v>
      </c>
      <c r="K1369" s="33" t="s">
        <v>4212</v>
      </c>
      <c r="L1369" s="33" t="s">
        <v>4213</v>
      </c>
      <c r="M1369" s="33" t="s">
        <v>4214</v>
      </c>
      <c r="N1369" s="44">
        <v>42183052</v>
      </c>
      <c r="O1369" s="33" t="s">
        <v>4298</v>
      </c>
      <c r="P1369" s="33" t="s">
        <v>4299</v>
      </c>
      <c r="Q1369" s="34" t="s">
        <v>1494</v>
      </c>
      <c r="R1369" s="34" t="s">
        <v>1494</v>
      </c>
    </row>
    <row r="1370" spans="1:18" ht="15" customHeight="1" x14ac:dyDescent="0.25">
      <c r="A1370" t="str">
        <f>IFERROR(RANK(B1370,$B:$B,1)+COUNTIF($B$1:B1369,B1370),"")</f>
        <v/>
      </c>
      <c r="B1370" t="str">
        <f>IFERROR(SEARCH(#REF!,Table4[[#This Row],[Commodity Title]],1),"")</f>
        <v/>
      </c>
      <c r="C1370" s="35">
        <v>42183053</v>
      </c>
      <c r="D1370" s="33" t="s">
        <v>1495</v>
      </c>
      <c r="E1370" s="33" t="s">
        <v>1496</v>
      </c>
      <c r="F1370" s="33" t="s">
        <v>1497</v>
      </c>
      <c r="G1370" s="33" t="s">
        <v>3748</v>
      </c>
      <c r="H1370" s="33" t="s">
        <v>3749</v>
      </c>
      <c r="I1370" s="33" t="s">
        <v>3750</v>
      </c>
      <c r="J1370" s="33">
        <v>174366</v>
      </c>
      <c r="K1370" s="33" t="s">
        <v>4212</v>
      </c>
      <c r="L1370" s="33" t="s">
        <v>4213</v>
      </c>
      <c r="M1370" s="33" t="s">
        <v>4214</v>
      </c>
      <c r="N1370" s="44">
        <v>42183053</v>
      </c>
      <c r="O1370" s="33" t="s">
        <v>4300</v>
      </c>
      <c r="P1370" s="33" t="s">
        <v>4301</v>
      </c>
      <c r="Q1370" s="34" t="s">
        <v>1494</v>
      </c>
      <c r="R1370" s="34" t="s">
        <v>1494</v>
      </c>
    </row>
    <row r="1371" spans="1:18" ht="15" customHeight="1" x14ac:dyDescent="0.25">
      <c r="A1371" t="str">
        <f>IFERROR(RANK(B1371,$B:$B,1)+COUNTIF($B$1:B1370,B1371),"")</f>
        <v/>
      </c>
      <c r="B1371" t="str">
        <f>IFERROR(SEARCH(#REF!,Table4[[#This Row],[Commodity Title]],1),"")</f>
        <v/>
      </c>
      <c r="C1371" s="35">
        <v>42183054</v>
      </c>
      <c r="D1371" s="33" t="s">
        <v>1495</v>
      </c>
      <c r="E1371" s="33" t="s">
        <v>1496</v>
      </c>
      <c r="F1371" s="33" t="s">
        <v>1497</v>
      </c>
      <c r="G1371" s="33" t="s">
        <v>3748</v>
      </c>
      <c r="H1371" s="33" t="s">
        <v>3749</v>
      </c>
      <c r="I1371" s="33" t="s">
        <v>3750</v>
      </c>
      <c r="J1371" s="33">
        <v>174367</v>
      </c>
      <c r="K1371" s="33" t="s">
        <v>4212</v>
      </c>
      <c r="L1371" s="33" t="s">
        <v>4213</v>
      </c>
      <c r="M1371" s="33" t="s">
        <v>4214</v>
      </c>
      <c r="N1371" s="44">
        <v>42183054</v>
      </c>
      <c r="O1371" s="33" t="s">
        <v>4302</v>
      </c>
      <c r="P1371" s="33" t="s">
        <v>4091</v>
      </c>
      <c r="Q1371" s="34" t="s">
        <v>1494</v>
      </c>
      <c r="R1371" s="34" t="s">
        <v>1494</v>
      </c>
    </row>
    <row r="1372" spans="1:18" ht="15" customHeight="1" x14ac:dyDescent="0.25">
      <c r="A1372" t="str">
        <f>IFERROR(RANK(B1372,$B:$B,1)+COUNTIF($B$1:B1371,B1372),"")</f>
        <v/>
      </c>
      <c r="B1372" t="str">
        <f>IFERROR(SEARCH(#REF!,Table4[[#This Row],[Commodity Title]],1),"")</f>
        <v/>
      </c>
      <c r="C1372" s="35">
        <v>42183055</v>
      </c>
      <c r="D1372" s="33" t="s">
        <v>1495</v>
      </c>
      <c r="E1372" s="33" t="s">
        <v>1496</v>
      </c>
      <c r="F1372" s="33" t="s">
        <v>1497</v>
      </c>
      <c r="G1372" s="33" t="s">
        <v>3748</v>
      </c>
      <c r="H1372" s="33" t="s">
        <v>3749</v>
      </c>
      <c r="I1372" s="33" t="s">
        <v>3750</v>
      </c>
      <c r="J1372" s="33">
        <v>174368</v>
      </c>
      <c r="K1372" s="33" t="s">
        <v>4212</v>
      </c>
      <c r="L1372" s="33" t="s">
        <v>4213</v>
      </c>
      <c r="M1372" s="33" t="s">
        <v>4214</v>
      </c>
      <c r="N1372" s="44">
        <v>42183055</v>
      </c>
      <c r="O1372" s="33" t="s">
        <v>4303</v>
      </c>
      <c r="P1372" s="33" t="s">
        <v>4304</v>
      </c>
      <c r="Q1372" s="34" t="s">
        <v>1494</v>
      </c>
      <c r="R1372" s="34" t="s">
        <v>1494</v>
      </c>
    </row>
    <row r="1373" spans="1:18" ht="15" customHeight="1" x14ac:dyDescent="0.25">
      <c r="A1373" t="str">
        <f>IFERROR(RANK(B1373,$B:$B,1)+COUNTIF($B$1:B1372,B1373),"")</f>
        <v/>
      </c>
      <c r="B1373" t="str">
        <f>IFERROR(SEARCH(#REF!,Table4[[#This Row],[Commodity Title]],1),"")</f>
        <v/>
      </c>
      <c r="C1373" s="35">
        <v>42183057</v>
      </c>
      <c r="D1373" s="33" t="s">
        <v>1495</v>
      </c>
      <c r="E1373" s="33" t="s">
        <v>1496</v>
      </c>
      <c r="F1373" s="33" t="s">
        <v>1497</v>
      </c>
      <c r="G1373" s="33" t="s">
        <v>3748</v>
      </c>
      <c r="H1373" s="33" t="s">
        <v>3749</v>
      </c>
      <c r="I1373" s="33" t="s">
        <v>3750</v>
      </c>
      <c r="J1373" s="33">
        <v>174370</v>
      </c>
      <c r="K1373" s="33" t="s">
        <v>4212</v>
      </c>
      <c r="L1373" s="33" t="s">
        <v>4213</v>
      </c>
      <c r="M1373" s="33" t="s">
        <v>4214</v>
      </c>
      <c r="N1373" s="44">
        <v>42183057</v>
      </c>
      <c r="O1373" s="33" t="s">
        <v>4305</v>
      </c>
      <c r="P1373" s="33" t="s">
        <v>4306</v>
      </c>
      <c r="Q1373" s="34" t="s">
        <v>1494</v>
      </c>
      <c r="R1373" s="34" t="s">
        <v>1494</v>
      </c>
    </row>
    <row r="1374" spans="1:18" ht="15" customHeight="1" x14ac:dyDescent="0.25">
      <c r="A1374" t="str">
        <f>IFERROR(RANK(B1374,$B:$B,1)+COUNTIF($B$1:B1373,B1374),"")</f>
        <v/>
      </c>
      <c r="B1374" t="str">
        <f>IFERROR(SEARCH(#REF!,Table4[[#This Row],[Commodity Title]],1),"")</f>
        <v/>
      </c>
      <c r="C1374" s="35">
        <v>42183058</v>
      </c>
      <c r="D1374" s="33" t="s">
        <v>1495</v>
      </c>
      <c r="E1374" s="33" t="s">
        <v>1496</v>
      </c>
      <c r="F1374" s="33" t="s">
        <v>1497</v>
      </c>
      <c r="G1374" s="33" t="s">
        <v>3748</v>
      </c>
      <c r="H1374" s="33" t="s">
        <v>3749</v>
      </c>
      <c r="I1374" s="33" t="s">
        <v>3750</v>
      </c>
      <c r="J1374" s="33">
        <v>174371</v>
      </c>
      <c r="K1374" s="33" t="s">
        <v>4212</v>
      </c>
      <c r="L1374" s="33" t="s">
        <v>4213</v>
      </c>
      <c r="M1374" s="33" t="s">
        <v>4214</v>
      </c>
      <c r="N1374" s="44">
        <v>42183058</v>
      </c>
      <c r="O1374" s="33" t="s">
        <v>4307</v>
      </c>
      <c r="P1374" s="33" t="s">
        <v>4308</v>
      </c>
      <c r="Q1374" s="34" t="s">
        <v>1494</v>
      </c>
      <c r="R1374" s="34" t="s">
        <v>1494</v>
      </c>
    </row>
    <row r="1375" spans="1:18" ht="15" customHeight="1" x14ac:dyDescent="0.25">
      <c r="A1375" t="str">
        <f>IFERROR(RANK(B1375,$B:$B,1)+COUNTIF($B$1:B1374,B1375),"")</f>
        <v/>
      </c>
      <c r="B1375" t="str">
        <f>IFERROR(SEARCH(#REF!,Table4[[#This Row],[Commodity Title]],1),"")</f>
        <v/>
      </c>
      <c r="C1375" s="35">
        <v>42183059</v>
      </c>
      <c r="D1375" s="33" t="s">
        <v>1495</v>
      </c>
      <c r="E1375" s="33" t="s">
        <v>1496</v>
      </c>
      <c r="F1375" s="33" t="s">
        <v>1497</v>
      </c>
      <c r="G1375" s="33" t="s">
        <v>3748</v>
      </c>
      <c r="H1375" s="33" t="s">
        <v>3749</v>
      </c>
      <c r="I1375" s="33" t="s">
        <v>3750</v>
      </c>
      <c r="J1375" s="33">
        <v>174372</v>
      </c>
      <c r="K1375" s="33" t="s">
        <v>4212</v>
      </c>
      <c r="L1375" s="33" t="s">
        <v>4213</v>
      </c>
      <c r="M1375" s="33" t="s">
        <v>4214</v>
      </c>
      <c r="N1375" s="44">
        <v>42183059</v>
      </c>
      <c r="O1375" s="33" t="s">
        <v>4309</v>
      </c>
      <c r="P1375" s="33" t="s">
        <v>4310</v>
      </c>
      <c r="Q1375" s="34" t="s">
        <v>1494</v>
      </c>
      <c r="R1375" s="34" t="s">
        <v>1494</v>
      </c>
    </row>
    <row r="1376" spans="1:18" ht="15" customHeight="1" x14ac:dyDescent="0.25">
      <c r="A1376" t="str">
        <f>IFERROR(RANK(B1376,$B:$B,1)+COUNTIF($B$1:B1375,B1376),"")</f>
        <v/>
      </c>
      <c r="B1376" t="str">
        <f>IFERROR(SEARCH(#REF!,Table4[[#This Row],[Commodity Title]],1),"")</f>
        <v/>
      </c>
      <c r="C1376" s="35">
        <v>42183060</v>
      </c>
      <c r="D1376" s="33" t="s">
        <v>1495</v>
      </c>
      <c r="E1376" s="33" t="s">
        <v>1496</v>
      </c>
      <c r="F1376" s="33" t="s">
        <v>1497</v>
      </c>
      <c r="G1376" s="33" t="s">
        <v>3748</v>
      </c>
      <c r="H1376" s="33" t="s">
        <v>3749</v>
      </c>
      <c r="I1376" s="33" t="s">
        <v>3750</v>
      </c>
      <c r="J1376" s="33">
        <v>174373</v>
      </c>
      <c r="K1376" s="33" t="s">
        <v>4212</v>
      </c>
      <c r="L1376" s="33" t="s">
        <v>4213</v>
      </c>
      <c r="M1376" s="33" t="s">
        <v>4214</v>
      </c>
      <c r="N1376" s="44">
        <v>42183060</v>
      </c>
      <c r="O1376" s="33" t="s">
        <v>4311</v>
      </c>
      <c r="P1376" s="33" t="s">
        <v>4312</v>
      </c>
      <c r="Q1376" s="34" t="s">
        <v>1494</v>
      </c>
      <c r="R1376" s="34" t="s">
        <v>1494</v>
      </c>
    </row>
    <row r="1377" spans="1:18" ht="15" customHeight="1" x14ac:dyDescent="0.25">
      <c r="A1377" t="str">
        <f>IFERROR(RANK(B1377,$B:$B,1)+COUNTIF($B$1:B1376,B1377),"")</f>
        <v/>
      </c>
      <c r="B1377" t="str">
        <f>IFERROR(SEARCH(#REF!,Table4[[#This Row],[Commodity Title]],1),"")</f>
        <v/>
      </c>
      <c r="C1377" s="35">
        <v>42183061</v>
      </c>
      <c r="D1377" s="33" t="s">
        <v>1495</v>
      </c>
      <c r="E1377" s="33" t="s">
        <v>1496</v>
      </c>
      <c r="F1377" s="33" t="s">
        <v>1497</v>
      </c>
      <c r="G1377" s="33" t="s">
        <v>3748</v>
      </c>
      <c r="H1377" s="33" t="s">
        <v>3749</v>
      </c>
      <c r="I1377" s="33" t="s">
        <v>3750</v>
      </c>
      <c r="J1377" s="33">
        <v>174374</v>
      </c>
      <c r="K1377" s="33" t="s">
        <v>4212</v>
      </c>
      <c r="L1377" s="33" t="s">
        <v>4213</v>
      </c>
      <c r="M1377" s="33" t="s">
        <v>4214</v>
      </c>
      <c r="N1377" s="44">
        <v>42183061</v>
      </c>
      <c r="O1377" s="33" t="s">
        <v>4313</v>
      </c>
      <c r="P1377" s="33" t="s">
        <v>4314</v>
      </c>
      <c r="Q1377" s="34" t="s">
        <v>1494</v>
      </c>
      <c r="R1377" s="34" t="s">
        <v>1494</v>
      </c>
    </row>
    <row r="1378" spans="1:18" ht="15" customHeight="1" x14ac:dyDescent="0.25">
      <c r="A1378" t="str">
        <f>IFERROR(RANK(B1378,$B:$B,1)+COUNTIF($B$1:B1377,B1378),"")</f>
        <v/>
      </c>
      <c r="B1378" t="str">
        <f>IFERROR(SEARCH(#REF!,Table4[[#This Row],[Commodity Title]],1),"")</f>
        <v/>
      </c>
      <c r="C1378" s="35">
        <v>42183063</v>
      </c>
      <c r="D1378" s="33" t="s">
        <v>1495</v>
      </c>
      <c r="E1378" s="33" t="s">
        <v>1496</v>
      </c>
      <c r="F1378" s="33" t="s">
        <v>1497</v>
      </c>
      <c r="G1378" s="33" t="s">
        <v>3748</v>
      </c>
      <c r="H1378" s="33" t="s">
        <v>3749</v>
      </c>
      <c r="I1378" s="33" t="s">
        <v>3750</v>
      </c>
      <c r="J1378" s="33">
        <v>174376</v>
      </c>
      <c r="K1378" s="33" t="s">
        <v>4212</v>
      </c>
      <c r="L1378" s="33" t="s">
        <v>4213</v>
      </c>
      <c r="M1378" s="33" t="s">
        <v>4214</v>
      </c>
      <c r="N1378" s="44">
        <v>42183063</v>
      </c>
      <c r="O1378" s="33" t="s">
        <v>4315</v>
      </c>
      <c r="P1378" s="33" t="s">
        <v>4316</v>
      </c>
      <c r="Q1378" s="34" t="s">
        <v>1494</v>
      </c>
      <c r="R1378" s="34" t="s">
        <v>1494</v>
      </c>
    </row>
    <row r="1379" spans="1:18" ht="15" customHeight="1" x14ac:dyDescent="0.25">
      <c r="A1379" t="str">
        <f>IFERROR(RANK(B1379,$B:$B,1)+COUNTIF($B$1:B1378,B1379),"")</f>
        <v/>
      </c>
      <c r="B1379" t="str">
        <f>IFERROR(SEARCH(#REF!,Table4[[#This Row],[Commodity Title]],1),"")</f>
        <v/>
      </c>
      <c r="C1379" s="35">
        <v>42183065</v>
      </c>
      <c r="D1379" s="33" t="s">
        <v>1495</v>
      </c>
      <c r="E1379" s="33" t="s">
        <v>1496</v>
      </c>
      <c r="F1379" s="33" t="s">
        <v>1497</v>
      </c>
      <c r="G1379" s="33" t="s">
        <v>3748</v>
      </c>
      <c r="H1379" s="33" t="s">
        <v>3749</v>
      </c>
      <c r="I1379" s="33" t="s">
        <v>3750</v>
      </c>
      <c r="J1379" s="33">
        <v>174378</v>
      </c>
      <c r="K1379" s="33" t="s">
        <v>4212</v>
      </c>
      <c r="L1379" s="33" t="s">
        <v>4213</v>
      </c>
      <c r="M1379" s="33" t="s">
        <v>4214</v>
      </c>
      <c r="N1379" s="44">
        <v>42183065</v>
      </c>
      <c r="O1379" s="33" t="s">
        <v>4317</v>
      </c>
      <c r="P1379" s="33" t="s">
        <v>4318</v>
      </c>
      <c r="Q1379" s="34" t="s">
        <v>1494</v>
      </c>
      <c r="R1379" s="34" t="s">
        <v>1494</v>
      </c>
    </row>
    <row r="1380" spans="1:18" ht="15" customHeight="1" x14ac:dyDescent="0.25">
      <c r="A1380" t="str">
        <f>IFERROR(RANK(B1380,$B:$B,1)+COUNTIF($B$1:B1379,B1380),"")</f>
        <v/>
      </c>
      <c r="B1380" t="str">
        <f>IFERROR(SEARCH(#REF!,Table4[[#This Row],[Commodity Title]],1),"")</f>
        <v/>
      </c>
      <c r="C1380" s="35">
        <v>42183067</v>
      </c>
      <c r="D1380" s="33" t="s">
        <v>1495</v>
      </c>
      <c r="E1380" s="33" t="s">
        <v>1496</v>
      </c>
      <c r="F1380" s="33" t="s">
        <v>1497</v>
      </c>
      <c r="G1380" s="33" t="s">
        <v>3748</v>
      </c>
      <c r="H1380" s="33" t="s">
        <v>3749</v>
      </c>
      <c r="I1380" s="33" t="s">
        <v>3750</v>
      </c>
      <c r="J1380" s="33">
        <v>177416</v>
      </c>
      <c r="K1380" s="33" t="s">
        <v>4212</v>
      </c>
      <c r="L1380" s="33" t="s">
        <v>4213</v>
      </c>
      <c r="M1380" s="33" t="s">
        <v>4214</v>
      </c>
      <c r="N1380" s="44">
        <v>42183067</v>
      </c>
      <c r="O1380" s="33" t="s">
        <v>4319</v>
      </c>
      <c r="P1380" s="33" t="s">
        <v>4320</v>
      </c>
      <c r="Q1380" s="34" t="s">
        <v>1494</v>
      </c>
      <c r="R1380" s="34" t="s">
        <v>1494</v>
      </c>
    </row>
    <row r="1381" spans="1:18" ht="15" customHeight="1" x14ac:dyDescent="0.25">
      <c r="A1381" t="str">
        <f>IFERROR(RANK(B1381,$B:$B,1)+COUNTIF($B$1:B1380,B1381),"")</f>
        <v/>
      </c>
      <c r="B1381" t="str">
        <f>IFERROR(SEARCH(#REF!,Table4[[#This Row],[Commodity Title]],1),"")</f>
        <v/>
      </c>
      <c r="C1381" s="35">
        <v>42183068</v>
      </c>
      <c r="D1381" s="33" t="s">
        <v>1495</v>
      </c>
      <c r="E1381" s="33" t="s">
        <v>1496</v>
      </c>
      <c r="F1381" s="33" t="s">
        <v>1497</v>
      </c>
      <c r="G1381" s="33" t="s">
        <v>3748</v>
      </c>
      <c r="H1381" s="33" t="s">
        <v>3749</v>
      </c>
      <c r="I1381" s="33" t="s">
        <v>3750</v>
      </c>
      <c r="J1381" s="33">
        <v>202737</v>
      </c>
      <c r="K1381" s="33" t="s">
        <v>4212</v>
      </c>
      <c r="L1381" s="33" t="s">
        <v>4213</v>
      </c>
      <c r="M1381" s="33" t="s">
        <v>4214</v>
      </c>
      <c r="N1381" s="44">
        <v>42183068</v>
      </c>
      <c r="O1381" s="33" t="s">
        <v>4321</v>
      </c>
      <c r="P1381" s="33" t="s">
        <v>4322</v>
      </c>
      <c r="Q1381" s="34" t="s">
        <v>1494</v>
      </c>
      <c r="R1381" s="34" t="s">
        <v>1494</v>
      </c>
    </row>
    <row r="1382" spans="1:18" ht="15" customHeight="1" x14ac:dyDescent="0.25">
      <c r="A1382" t="str">
        <f>IFERROR(RANK(B1382,$B:$B,1)+COUNTIF($B$1:B1381,B1382),"")</f>
        <v/>
      </c>
      <c r="B1382" t="str">
        <f>IFERROR(SEARCH(#REF!,Table4[[#This Row],[Commodity Title]],1),"")</f>
        <v/>
      </c>
      <c r="C1382" s="35">
        <v>42183069</v>
      </c>
      <c r="D1382" s="33" t="s">
        <v>1495</v>
      </c>
      <c r="E1382" s="33" t="s">
        <v>1496</v>
      </c>
      <c r="F1382" s="33" t="s">
        <v>1497</v>
      </c>
      <c r="G1382" s="33" t="s">
        <v>3748</v>
      </c>
      <c r="H1382" s="33" t="s">
        <v>3749</v>
      </c>
      <c r="I1382" s="33" t="s">
        <v>3750</v>
      </c>
      <c r="J1382" s="33">
        <v>202738</v>
      </c>
      <c r="K1382" s="33" t="s">
        <v>4212</v>
      </c>
      <c r="L1382" s="33" t="s">
        <v>4213</v>
      </c>
      <c r="M1382" s="33" t="s">
        <v>4214</v>
      </c>
      <c r="N1382" s="44">
        <v>42183069</v>
      </c>
      <c r="O1382" s="33" t="s">
        <v>4323</v>
      </c>
      <c r="P1382" s="33" t="s">
        <v>4324</v>
      </c>
      <c r="Q1382" s="34" t="s">
        <v>1494</v>
      </c>
      <c r="R1382" s="34" t="s">
        <v>1494</v>
      </c>
    </row>
    <row r="1383" spans="1:18" ht="15" customHeight="1" x14ac:dyDescent="0.25">
      <c r="A1383" t="str">
        <f>IFERROR(RANK(B1383,$B:$B,1)+COUNTIF($B$1:B1382,B1383),"")</f>
        <v/>
      </c>
      <c r="B1383" t="str">
        <f>IFERROR(SEARCH(#REF!,Table4[[#This Row],[Commodity Title]],1),"")</f>
        <v/>
      </c>
      <c r="C1383" s="35">
        <v>42183070</v>
      </c>
      <c r="D1383" s="33" t="s">
        <v>1495</v>
      </c>
      <c r="E1383" s="33" t="s">
        <v>1496</v>
      </c>
      <c r="F1383" s="33" t="s">
        <v>1497</v>
      </c>
      <c r="G1383" s="33" t="s">
        <v>3748</v>
      </c>
      <c r="H1383" s="33" t="s">
        <v>3749</v>
      </c>
      <c r="I1383" s="33" t="s">
        <v>3750</v>
      </c>
      <c r="J1383" s="33">
        <v>202739</v>
      </c>
      <c r="K1383" s="33" t="s">
        <v>4212</v>
      </c>
      <c r="L1383" s="33" t="s">
        <v>4213</v>
      </c>
      <c r="M1383" s="33" t="s">
        <v>4214</v>
      </c>
      <c r="N1383" s="44">
        <v>42183070</v>
      </c>
      <c r="O1383" s="33" t="s">
        <v>4325</v>
      </c>
      <c r="P1383" s="33" t="s">
        <v>4326</v>
      </c>
      <c r="Q1383" s="34" t="s">
        <v>1494</v>
      </c>
      <c r="R1383" s="34" t="s">
        <v>1494</v>
      </c>
    </row>
    <row r="1384" spans="1:18" ht="15" customHeight="1" x14ac:dyDescent="0.25">
      <c r="A1384" t="str">
        <f>IFERROR(RANK(B1384,$B:$B,1)+COUNTIF($B$1:B1383,B1384),"")</f>
        <v/>
      </c>
      <c r="B1384" t="str">
        <f>IFERROR(SEARCH(#REF!,Table4[[#This Row],[Commodity Title]],1),"")</f>
        <v/>
      </c>
      <c r="C1384" s="35">
        <v>42183071</v>
      </c>
      <c r="D1384" s="33" t="s">
        <v>1495</v>
      </c>
      <c r="E1384" s="33" t="s">
        <v>1496</v>
      </c>
      <c r="F1384" s="33" t="s">
        <v>1497</v>
      </c>
      <c r="G1384" s="33" t="s">
        <v>3748</v>
      </c>
      <c r="H1384" s="33" t="s">
        <v>3749</v>
      </c>
      <c r="I1384" s="33" t="s">
        <v>3750</v>
      </c>
      <c r="J1384" s="33">
        <v>202740</v>
      </c>
      <c r="K1384" s="33" t="s">
        <v>4212</v>
      </c>
      <c r="L1384" s="33" t="s">
        <v>4213</v>
      </c>
      <c r="M1384" s="33" t="s">
        <v>4214</v>
      </c>
      <c r="N1384" s="44">
        <v>42183071</v>
      </c>
      <c r="O1384" s="33" t="s">
        <v>4327</v>
      </c>
      <c r="P1384" s="33" t="s">
        <v>4328</v>
      </c>
      <c r="Q1384" s="34" t="s">
        <v>1494</v>
      </c>
      <c r="R1384" s="34" t="s">
        <v>1494</v>
      </c>
    </row>
    <row r="1385" spans="1:18" ht="15" customHeight="1" x14ac:dyDescent="0.25">
      <c r="A1385" t="str">
        <f>IFERROR(RANK(B1385,$B:$B,1)+COUNTIF($B$1:B1384,B1385),"")</f>
        <v/>
      </c>
      <c r="B1385" t="str">
        <f>IFERROR(SEARCH(#REF!,Table4[[#This Row],[Commodity Title]],1),"")</f>
        <v/>
      </c>
      <c r="C1385" s="35">
        <v>42183072</v>
      </c>
      <c r="D1385" s="33" t="s">
        <v>1495</v>
      </c>
      <c r="E1385" s="33" t="s">
        <v>1496</v>
      </c>
      <c r="F1385" s="33" t="s">
        <v>1497</v>
      </c>
      <c r="G1385" s="33" t="s">
        <v>3748</v>
      </c>
      <c r="H1385" s="33" t="s">
        <v>3749</v>
      </c>
      <c r="I1385" s="33" t="s">
        <v>3750</v>
      </c>
      <c r="J1385" s="33">
        <v>202741</v>
      </c>
      <c r="K1385" s="33" t="s">
        <v>4212</v>
      </c>
      <c r="L1385" s="33" t="s">
        <v>4213</v>
      </c>
      <c r="M1385" s="33" t="s">
        <v>4214</v>
      </c>
      <c r="N1385" s="44">
        <v>42183072</v>
      </c>
      <c r="O1385" s="33" t="s">
        <v>4329</v>
      </c>
      <c r="P1385" s="33" t="s">
        <v>4330</v>
      </c>
      <c r="Q1385" s="34" t="s">
        <v>1494</v>
      </c>
      <c r="R1385" s="34" t="s">
        <v>1494</v>
      </c>
    </row>
    <row r="1386" spans="1:18" ht="15" customHeight="1" x14ac:dyDescent="0.25">
      <c r="A1386" t="str">
        <f>IFERROR(RANK(B1386,$B:$B,1)+COUNTIF($B$1:B1385,B1386),"")</f>
        <v/>
      </c>
      <c r="B1386" t="str">
        <f>IFERROR(SEARCH(#REF!,Table4[[#This Row],[Commodity Title]],1),"")</f>
        <v/>
      </c>
      <c r="C1386" s="35">
        <v>42183073</v>
      </c>
      <c r="D1386" s="33" t="s">
        <v>1495</v>
      </c>
      <c r="E1386" s="33" t="s">
        <v>1496</v>
      </c>
      <c r="F1386" s="33" t="s">
        <v>1497</v>
      </c>
      <c r="G1386" s="33" t="s">
        <v>3748</v>
      </c>
      <c r="H1386" s="33" t="s">
        <v>3749</v>
      </c>
      <c r="I1386" s="33" t="s">
        <v>3750</v>
      </c>
      <c r="J1386" s="33">
        <v>202742</v>
      </c>
      <c r="K1386" s="33" t="s">
        <v>4212</v>
      </c>
      <c r="L1386" s="33" t="s">
        <v>4213</v>
      </c>
      <c r="M1386" s="33" t="s">
        <v>4214</v>
      </c>
      <c r="N1386" s="44">
        <v>42183073</v>
      </c>
      <c r="O1386" s="33" t="s">
        <v>4331</v>
      </c>
      <c r="P1386" s="33" t="s">
        <v>4332</v>
      </c>
      <c r="Q1386" s="34" t="s">
        <v>1494</v>
      </c>
      <c r="R1386" s="34" t="s">
        <v>1494</v>
      </c>
    </row>
    <row r="1387" spans="1:18" ht="15" customHeight="1" x14ac:dyDescent="0.25">
      <c r="A1387" t="str">
        <f>IFERROR(RANK(B1387,$B:$B,1)+COUNTIF($B$1:B1386,B1387),"")</f>
        <v/>
      </c>
      <c r="B1387" t="str">
        <f>IFERROR(SEARCH(#REF!,Table4[[#This Row],[Commodity Title]],1),"")</f>
        <v/>
      </c>
      <c r="C1387" s="35">
        <v>42183074</v>
      </c>
      <c r="D1387" s="33" t="s">
        <v>1495</v>
      </c>
      <c r="E1387" s="33" t="s">
        <v>1496</v>
      </c>
      <c r="F1387" s="33" t="s">
        <v>1497</v>
      </c>
      <c r="G1387" s="33" t="s">
        <v>3748</v>
      </c>
      <c r="H1387" s="33" t="s">
        <v>3749</v>
      </c>
      <c r="I1387" s="33" t="s">
        <v>3750</v>
      </c>
      <c r="J1387" s="33">
        <v>202743</v>
      </c>
      <c r="K1387" s="33" t="s">
        <v>4212</v>
      </c>
      <c r="L1387" s="33" t="s">
        <v>4213</v>
      </c>
      <c r="M1387" s="33" t="s">
        <v>4214</v>
      </c>
      <c r="N1387" s="44">
        <v>42183074</v>
      </c>
      <c r="O1387" s="33" t="s">
        <v>4333</v>
      </c>
      <c r="P1387" s="33" t="s">
        <v>4334</v>
      </c>
      <c r="Q1387" s="34" t="s">
        <v>1494</v>
      </c>
      <c r="R1387" s="34" t="s">
        <v>1494</v>
      </c>
    </row>
    <row r="1388" spans="1:18" ht="15" customHeight="1" x14ac:dyDescent="0.25">
      <c r="A1388" t="str">
        <f>IFERROR(RANK(B1388,$B:$B,1)+COUNTIF($B$1:B1387,B1388),"")</f>
        <v/>
      </c>
      <c r="B1388" t="str">
        <f>IFERROR(SEARCH(#REF!,Table4[[#This Row],[Commodity Title]],1),"")</f>
        <v/>
      </c>
      <c r="C1388" s="35">
        <v>42183075</v>
      </c>
      <c r="D1388" s="33" t="s">
        <v>1495</v>
      </c>
      <c r="E1388" s="33" t="s">
        <v>1496</v>
      </c>
      <c r="F1388" s="33" t="s">
        <v>1497</v>
      </c>
      <c r="G1388" s="33" t="s">
        <v>3748</v>
      </c>
      <c r="H1388" s="33" t="s">
        <v>3749</v>
      </c>
      <c r="I1388" s="33" t="s">
        <v>3750</v>
      </c>
      <c r="J1388" s="33">
        <v>202744</v>
      </c>
      <c r="K1388" s="33" t="s">
        <v>4212</v>
      </c>
      <c r="L1388" s="33" t="s">
        <v>4213</v>
      </c>
      <c r="M1388" s="33" t="s">
        <v>4214</v>
      </c>
      <c r="N1388" s="44">
        <v>42183075</v>
      </c>
      <c r="O1388" s="33" t="s">
        <v>4335</v>
      </c>
      <c r="P1388" s="33" t="s">
        <v>4336</v>
      </c>
      <c r="Q1388" s="34" t="s">
        <v>1494</v>
      </c>
      <c r="R1388" s="34" t="s">
        <v>1494</v>
      </c>
    </row>
    <row r="1389" spans="1:18" ht="15" customHeight="1" x14ac:dyDescent="0.25">
      <c r="A1389" t="str">
        <f>IFERROR(RANK(B1389,$B:$B,1)+COUNTIF($B$1:B1388,B1389),"")</f>
        <v/>
      </c>
      <c r="B1389" t="str">
        <f>IFERROR(SEARCH(#REF!,Table4[[#This Row],[Commodity Title]],1),"")</f>
        <v/>
      </c>
      <c r="C1389" s="35">
        <v>42183076</v>
      </c>
      <c r="D1389" s="33" t="s">
        <v>1495</v>
      </c>
      <c r="E1389" s="33" t="s">
        <v>1496</v>
      </c>
      <c r="F1389" s="33" t="s">
        <v>1497</v>
      </c>
      <c r="G1389" s="33" t="s">
        <v>3748</v>
      </c>
      <c r="H1389" s="33" t="s">
        <v>3749</v>
      </c>
      <c r="I1389" s="33" t="s">
        <v>3750</v>
      </c>
      <c r="J1389" s="33">
        <v>202745</v>
      </c>
      <c r="K1389" s="33" t="s">
        <v>4212</v>
      </c>
      <c r="L1389" s="33" t="s">
        <v>4213</v>
      </c>
      <c r="M1389" s="33" t="s">
        <v>4214</v>
      </c>
      <c r="N1389" s="44">
        <v>42183076</v>
      </c>
      <c r="O1389" s="33" t="s">
        <v>4337</v>
      </c>
      <c r="P1389" s="33" t="s">
        <v>4091</v>
      </c>
      <c r="Q1389" s="34" t="s">
        <v>1494</v>
      </c>
      <c r="R1389" s="34" t="s">
        <v>1494</v>
      </c>
    </row>
    <row r="1390" spans="1:18" ht="15" customHeight="1" x14ac:dyDescent="0.25">
      <c r="A1390" t="str">
        <f>IFERROR(RANK(B1390,$B:$B,1)+COUNTIF($B$1:B1389,B1390),"")</f>
        <v/>
      </c>
      <c r="B1390" t="str">
        <f>IFERROR(SEARCH(#REF!,Table4[[#This Row],[Commodity Title]],1),"")</f>
        <v/>
      </c>
      <c r="C1390" s="35">
        <v>42183077</v>
      </c>
      <c r="D1390" s="33" t="s">
        <v>1495</v>
      </c>
      <c r="E1390" s="33" t="s">
        <v>1496</v>
      </c>
      <c r="F1390" s="33" t="s">
        <v>1497</v>
      </c>
      <c r="G1390" s="33" t="s">
        <v>3748</v>
      </c>
      <c r="H1390" s="33" t="s">
        <v>3749</v>
      </c>
      <c r="I1390" s="33" t="s">
        <v>3750</v>
      </c>
      <c r="J1390" s="33">
        <v>202746</v>
      </c>
      <c r="K1390" s="33" t="s">
        <v>4212</v>
      </c>
      <c r="L1390" s="33" t="s">
        <v>4213</v>
      </c>
      <c r="M1390" s="33" t="s">
        <v>4214</v>
      </c>
      <c r="N1390" s="44">
        <v>42183077</v>
      </c>
      <c r="O1390" s="33" t="s">
        <v>4338</v>
      </c>
      <c r="P1390" s="33" t="s">
        <v>4339</v>
      </c>
      <c r="Q1390" s="34" t="s">
        <v>1494</v>
      </c>
      <c r="R1390" s="34" t="s">
        <v>1494</v>
      </c>
    </row>
    <row r="1391" spans="1:18" ht="15" customHeight="1" x14ac:dyDescent="0.25">
      <c r="A1391" t="str">
        <f>IFERROR(RANK(B1391,$B:$B,1)+COUNTIF($B$1:B1390,B1391),"")</f>
        <v/>
      </c>
      <c r="B1391" t="str">
        <f>IFERROR(SEARCH(#REF!,Table4[[#This Row],[Commodity Title]],1),"")</f>
        <v/>
      </c>
      <c r="C1391" s="35">
        <v>42183078</v>
      </c>
      <c r="D1391" s="33" t="s">
        <v>1495</v>
      </c>
      <c r="E1391" s="33" t="s">
        <v>1496</v>
      </c>
      <c r="F1391" s="33" t="s">
        <v>1497</v>
      </c>
      <c r="G1391" s="33" t="s">
        <v>3748</v>
      </c>
      <c r="H1391" s="33" t="s">
        <v>3749</v>
      </c>
      <c r="I1391" s="33" t="s">
        <v>3750</v>
      </c>
      <c r="J1391" s="33">
        <v>202747</v>
      </c>
      <c r="K1391" s="33" t="s">
        <v>4212</v>
      </c>
      <c r="L1391" s="33" t="s">
        <v>4213</v>
      </c>
      <c r="M1391" s="33" t="s">
        <v>4214</v>
      </c>
      <c r="N1391" s="44">
        <v>42183078</v>
      </c>
      <c r="O1391" s="33" t="s">
        <v>4340</v>
      </c>
      <c r="P1391" s="33" t="s">
        <v>4341</v>
      </c>
      <c r="Q1391" s="34" t="s">
        <v>1494</v>
      </c>
      <c r="R1391" s="34" t="s">
        <v>1494</v>
      </c>
    </row>
    <row r="1392" spans="1:18" ht="15" customHeight="1" x14ac:dyDescent="0.25">
      <c r="A1392" t="str">
        <f>IFERROR(RANK(B1392,$B:$B,1)+COUNTIF($B$1:B1391,B1392),"")</f>
        <v/>
      </c>
      <c r="B1392" t="str">
        <f>IFERROR(SEARCH(#REF!,Table4[[#This Row],[Commodity Title]],1),"")</f>
        <v/>
      </c>
      <c r="C1392" s="35">
        <v>42183079</v>
      </c>
      <c r="D1392" s="33" t="s">
        <v>1495</v>
      </c>
      <c r="E1392" s="33" t="s">
        <v>1496</v>
      </c>
      <c r="F1392" s="33" t="s">
        <v>1497</v>
      </c>
      <c r="G1392" s="33" t="s">
        <v>3748</v>
      </c>
      <c r="H1392" s="33" t="s">
        <v>3749</v>
      </c>
      <c r="I1392" s="33" t="s">
        <v>3750</v>
      </c>
      <c r="J1392" s="33">
        <v>202748</v>
      </c>
      <c r="K1392" s="33" t="s">
        <v>4212</v>
      </c>
      <c r="L1392" s="33" t="s">
        <v>4213</v>
      </c>
      <c r="M1392" s="33" t="s">
        <v>4214</v>
      </c>
      <c r="N1392" s="44">
        <v>42183079</v>
      </c>
      <c r="O1392" s="33" t="s">
        <v>4342</v>
      </c>
      <c r="P1392" s="33" t="s">
        <v>4343</v>
      </c>
      <c r="Q1392" s="34" t="s">
        <v>1494</v>
      </c>
      <c r="R1392" s="34" t="s">
        <v>1494</v>
      </c>
    </row>
    <row r="1393" spans="1:18" ht="15" customHeight="1" x14ac:dyDescent="0.25">
      <c r="A1393" t="str">
        <f>IFERROR(RANK(B1393,$B:$B,1)+COUNTIF($B$1:B1392,B1393),"")</f>
        <v/>
      </c>
      <c r="B1393" t="str">
        <f>IFERROR(SEARCH(#REF!,Table4[[#This Row],[Commodity Title]],1),"")</f>
        <v/>
      </c>
      <c r="C1393" s="35">
        <v>42183080</v>
      </c>
      <c r="D1393" s="33" t="s">
        <v>1495</v>
      </c>
      <c r="E1393" s="33" t="s">
        <v>1496</v>
      </c>
      <c r="F1393" s="33" t="s">
        <v>1497</v>
      </c>
      <c r="G1393" s="33" t="s">
        <v>3748</v>
      </c>
      <c r="H1393" s="33" t="s">
        <v>3749</v>
      </c>
      <c r="I1393" s="33" t="s">
        <v>3750</v>
      </c>
      <c r="J1393" s="33">
        <v>202749</v>
      </c>
      <c r="K1393" s="33" t="s">
        <v>4212</v>
      </c>
      <c r="L1393" s="33" t="s">
        <v>4213</v>
      </c>
      <c r="M1393" s="33" t="s">
        <v>4214</v>
      </c>
      <c r="N1393" s="44">
        <v>42183080</v>
      </c>
      <c r="O1393" s="33" t="s">
        <v>4344</v>
      </c>
      <c r="P1393" s="33" t="s">
        <v>4345</v>
      </c>
      <c r="Q1393" s="34" t="s">
        <v>1494</v>
      </c>
      <c r="R1393" s="34" t="s">
        <v>1494</v>
      </c>
    </row>
    <row r="1394" spans="1:18" ht="15" customHeight="1" x14ac:dyDescent="0.25">
      <c r="A1394" t="str">
        <f>IFERROR(RANK(B1394,$B:$B,1)+COUNTIF($B$1:B1393,B1394),"")</f>
        <v/>
      </c>
      <c r="B1394" t="str">
        <f>IFERROR(SEARCH(#REF!,Table4[[#This Row],[Commodity Title]],1),"")</f>
        <v/>
      </c>
      <c r="C1394" s="35">
        <v>42183081</v>
      </c>
      <c r="D1394" s="33" t="s">
        <v>1495</v>
      </c>
      <c r="E1394" s="33" t="s">
        <v>1496</v>
      </c>
      <c r="F1394" s="33" t="s">
        <v>1497</v>
      </c>
      <c r="G1394" s="33" t="s">
        <v>3748</v>
      </c>
      <c r="H1394" s="33" t="s">
        <v>3749</v>
      </c>
      <c r="I1394" s="33" t="s">
        <v>3750</v>
      </c>
      <c r="J1394" s="33">
        <v>202750</v>
      </c>
      <c r="K1394" s="33" t="s">
        <v>4212</v>
      </c>
      <c r="L1394" s="33" t="s">
        <v>4213</v>
      </c>
      <c r="M1394" s="33" t="s">
        <v>4214</v>
      </c>
      <c r="N1394" s="44">
        <v>42183081</v>
      </c>
      <c r="O1394" s="33" t="s">
        <v>4346</v>
      </c>
      <c r="P1394" s="33" t="s">
        <v>4347</v>
      </c>
      <c r="Q1394" s="34" t="s">
        <v>1494</v>
      </c>
      <c r="R1394" s="34" t="s">
        <v>1494</v>
      </c>
    </row>
    <row r="1395" spans="1:18" ht="15" customHeight="1" x14ac:dyDescent="0.25">
      <c r="A1395" t="str">
        <f>IFERROR(RANK(B1395,$B:$B,1)+COUNTIF($B$1:B1394,B1395),"")</f>
        <v/>
      </c>
      <c r="B1395" t="str">
        <f>IFERROR(SEARCH(#REF!,Table4[[#This Row],[Commodity Title]],1),"")</f>
        <v/>
      </c>
      <c r="C1395" s="35">
        <v>42183082</v>
      </c>
      <c r="D1395" s="33" t="s">
        <v>1495</v>
      </c>
      <c r="E1395" s="33" t="s">
        <v>1496</v>
      </c>
      <c r="F1395" s="33" t="s">
        <v>1497</v>
      </c>
      <c r="G1395" s="33" t="s">
        <v>3748</v>
      </c>
      <c r="H1395" s="33" t="s">
        <v>3749</v>
      </c>
      <c r="I1395" s="33" t="s">
        <v>3750</v>
      </c>
      <c r="J1395" s="33">
        <v>202751</v>
      </c>
      <c r="K1395" s="33" t="s">
        <v>4212</v>
      </c>
      <c r="L1395" s="33" t="s">
        <v>4213</v>
      </c>
      <c r="M1395" s="33" t="s">
        <v>4214</v>
      </c>
      <c r="N1395" s="44">
        <v>42183082</v>
      </c>
      <c r="O1395" s="33" t="s">
        <v>4348</v>
      </c>
      <c r="P1395" s="33" t="s">
        <v>4349</v>
      </c>
      <c r="Q1395" s="34" t="s">
        <v>1494</v>
      </c>
      <c r="R1395" s="34" t="s">
        <v>1494</v>
      </c>
    </row>
    <row r="1396" spans="1:18" ht="15" customHeight="1" x14ac:dyDescent="0.25">
      <c r="A1396" t="str">
        <f>IFERROR(RANK(B1396,$B:$B,1)+COUNTIF($B$1:B1395,B1396),"")</f>
        <v/>
      </c>
      <c r="B1396" t="str">
        <f>IFERROR(SEARCH(#REF!,Table4[[#This Row],[Commodity Title]],1),"")</f>
        <v/>
      </c>
      <c r="C1396" s="35">
        <v>42183083</v>
      </c>
      <c r="D1396" s="33" t="s">
        <v>1495</v>
      </c>
      <c r="E1396" s="33" t="s">
        <v>1496</v>
      </c>
      <c r="F1396" s="33" t="s">
        <v>1497</v>
      </c>
      <c r="G1396" s="33" t="s">
        <v>3748</v>
      </c>
      <c r="H1396" s="33" t="s">
        <v>3749</v>
      </c>
      <c r="I1396" s="33" t="s">
        <v>3750</v>
      </c>
      <c r="J1396" s="33">
        <v>202752</v>
      </c>
      <c r="K1396" s="33" t="s">
        <v>4212</v>
      </c>
      <c r="L1396" s="33" t="s">
        <v>4213</v>
      </c>
      <c r="M1396" s="33" t="s">
        <v>4214</v>
      </c>
      <c r="N1396" s="44">
        <v>42183083</v>
      </c>
      <c r="O1396" s="33" t="s">
        <v>4350</v>
      </c>
      <c r="P1396" s="33" t="s">
        <v>4351</v>
      </c>
      <c r="Q1396" s="34" t="s">
        <v>1494</v>
      </c>
      <c r="R1396" s="34" t="s">
        <v>1494</v>
      </c>
    </row>
    <row r="1397" spans="1:18" ht="15" customHeight="1" x14ac:dyDescent="0.25">
      <c r="A1397" t="str">
        <f>IFERROR(RANK(B1397,$B:$B,1)+COUNTIF($B$1:B1396,B1397),"")</f>
        <v/>
      </c>
      <c r="B1397" t="str">
        <f>IFERROR(SEARCH(#REF!,Table4[[#This Row],[Commodity Title]],1),"")</f>
        <v/>
      </c>
      <c r="C1397" s="35">
        <v>42183084</v>
      </c>
      <c r="D1397" s="33" t="s">
        <v>1495</v>
      </c>
      <c r="E1397" s="33" t="s">
        <v>1496</v>
      </c>
      <c r="F1397" s="33" t="s">
        <v>1497</v>
      </c>
      <c r="G1397" s="33" t="s">
        <v>3748</v>
      </c>
      <c r="H1397" s="33" t="s">
        <v>3749</v>
      </c>
      <c r="I1397" s="33" t="s">
        <v>3750</v>
      </c>
      <c r="J1397" s="33">
        <v>202753</v>
      </c>
      <c r="K1397" s="33" t="s">
        <v>4212</v>
      </c>
      <c r="L1397" s="33" t="s">
        <v>4213</v>
      </c>
      <c r="M1397" s="33" t="s">
        <v>4214</v>
      </c>
      <c r="N1397" s="44">
        <v>42183084</v>
      </c>
      <c r="O1397" s="33" t="s">
        <v>4352</v>
      </c>
      <c r="P1397" s="33" t="s">
        <v>4353</v>
      </c>
      <c r="Q1397" s="34" t="s">
        <v>1494</v>
      </c>
      <c r="R1397" s="34" t="s">
        <v>1494</v>
      </c>
    </row>
    <row r="1398" spans="1:18" ht="15" customHeight="1" x14ac:dyDescent="0.25">
      <c r="A1398" t="str">
        <f>IFERROR(RANK(B1398,$B:$B,1)+COUNTIF($B$1:B1397,B1398),"")</f>
        <v/>
      </c>
      <c r="B1398" t="str">
        <f>IFERROR(SEARCH(#REF!,Table4[[#This Row],[Commodity Title]],1),"")</f>
        <v/>
      </c>
      <c r="C1398" s="35">
        <v>42183085</v>
      </c>
      <c r="D1398" s="33" t="s">
        <v>1495</v>
      </c>
      <c r="E1398" s="33" t="s">
        <v>1496</v>
      </c>
      <c r="F1398" s="33" t="s">
        <v>1497</v>
      </c>
      <c r="G1398" s="33" t="s">
        <v>3748</v>
      </c>
      <c r="H1398" s="33" t="s">
        <v>3749</v>
      </c>
      <c r="I1398" s="33" t="s">
        <v>3750</v>
      </c>
      <c r="J1398" s="33">
        <v>202754</v>
      </c>
      <c r="K1398" s="33" t="s">
        <v>4212</v>
      </c>
      <c r="L1398" s="33" t="s">
        <v>4213</v>
      </c>
      <c r="M1398" s="33" t="s">
        <v>4214</v>
      </c>
      <c r="N1398" s="44">
        <v>42183085</v>
      </c>
      <c r="O1398" s="33" t="s">
        <v>4354</v>
      </c>
      <c r="P1398" s="33" t="s">
        <v>4355</v>
      </c>
      <c r="Q1398" s="34" t="s">
        <v>1494</v>
      </c>
      <c r="R1398" s="34" t="s">
        <v>1494</v>
      </c>
    </row>
    <row r="1399" spans="1:18" ht="15" customHeight="1" x14ac:dyDescent="0.25">
      <c r="A1399" t="str">
        <f>IFERROR(RANK(B1399,$B:$B,1)+COUNTIF($B$1:B1398,B1399),"")</f>
        <v/>
      </c>
      <c r="B1399" t="str">
        <f>IFERROR(SEARCH(#REF!,Table4[[#This Row],[Commodity Title]],1),"")</f>
        <v/>
      </c>
      <c r="C1399" s="35">
        <v>42183086</v>
      </c>
      <c r="D1399" s="33" t="s">
        <v>1495</v>
      </c>
      <c r="E1399" s="33" t="s">
        <v>1496</v>
      </c>
      <c r="F1399" s="33" t="s">
        <v>1497</v>
      </c>
      <c r="G1399" s="33" t="s">
        <v>3748</v>
      </c>
      <c r="H1399" s="33" t="s">
        <v>3749</v>
      </c>
      <c r="I1399" s="33" t="s">
        <v>3750</v>
      </c>
      <c r="J1399" s="33">
        <v>202755</v>
      </c>
      <c r="K1399" s="33" t="s">
        <v>4212</v>
      </c>
      <c r="L1399" s="33" t="s">
        <v>4213</v>
      </c>
      <c r="M1399" s="33" t="s">
        <v>4214</v>
      </c>
      <c r="N1399" s="44">
        <v>42183086</v>
      </c>
      <c r="O1399" s="33" t="s">
        <v>4356</v>
      </c>
      <c r="P1399" s="33" t="s">
        <v>4357</v>
      </c>
      <c r="Q1399" s="34" t="s">
        <v>1494</v>
      </c>
      <c r="R1399" s="34" t="s">
        <v>1494</v>
      </c>
    </row>
    <row r="1400" spans="1:18" ht="15" customHeight="1" x14ac:dyDescent="0.25">
      <c r="A1400" t="str">
        <f>IFERROR(RANK(B1400,$B:$B,1)+COUNTIF($B$1:B1399,B1400),"")</f>
        <v/>
      </c>
      <c r="B1400" t="str">
        <f>IFERROR(SEARCH(#REF!,Table4[[#This Row],[Commodity Title]],1),"")</f>
        <v/>
      </c>
      <c r="C1400" s="35">
        <v>42183087</v>
      </c>
      <c r="D1400" s="33" t="s">
        <v>1495</v>
      </c>
      <c r="E1400" s="33" t="s">
        <v>1496</v>
      </c>
      <c r="F1400" s="33" t="s">
        <v>1497</v>
      </c>
      <c r="G1400" s="33" t="s">
        <v>3748</v>
      </c>
      <c r="H1400" s="33" t="s">
        <v>3749</v>
      </c>
      <c r="I1400" s="33" t="s">
        <v>3750</v>
      </c>
      <c r="J1400" s="33">
        <v>202756</v>
      </c>
      <c r="K1400" s="33" t="s">
        <v>4212</v>
      </c>
      <c r="L1400" s="33" t="s">
        <v>4213</v>
      </c>
      <c r="M1400" s="33" t="s">
        <v>4214</v>
      </c>
      <c r="N1400" s="44">
        <v>42183087</v>
      </c>
      <c r="O1400" s="33" t="s">
        <v>4358</v>
      </c>
      <c r="P1400" s="33" t="s">
        <v>4359</v>
      </c>
      <c r="Q1400" s="34" t="s">
        <v>1494</v>
      </c>
      <c r="R1400" s="34" t="s">
        <v>1494</v>
      </c>
    </row>
    <row r="1401" spans="1:18" ht="15" customHeight="1" x14ac:dyDescent="0.25">
      <c r="A1401" t="str">
        <f>IFERROR(RANK(B1401,$B:$B,1)+COUNTIF($B$1:B1400,B1401),"")</f>
        <v/>
      </c>
      <c r="B1401" t="str">
        <f>IFERROR(SEARCH(#REF!,Table4[[#This Row],[Commodity Title]],1),"")</f>
        <v/>
      </c>
      <c r="C1401" s="35">
        <v>42183088</v>
      </c>
      <c r="D1401" s="33" t="s">
        <v>1495</v>
      </c>
      <c r="E1401" s="33" t="s">
        <v>1496</v>
      </c>
      <c r="F1401" s="33" t="s">
        <v>1497</v>
      </c>
      <c r="G1401" s="33" t="s">
        <v>3748</v>
      </c>
      <c r="H1401" s="33" t="s">
        <v>3749</v>
      </c>
      <c r="I1401" s="33" t="s">
        <v>3750</v>
      </c>
      <c r="J1401" s="33">
        <v>202757</v>
      </c>
      <c r="K1401" s="33" t="s">
        <v>4212</v>
      </c>
      <c r="L1401" s="33" t="s">
        <v>4213</v>
      </c>
      <c r="M1401" s="33" t="s">
        <v>4214</v>
      </c>
      <c r="N1401" s="44">
        <v>42183088</v>
      </c>
      <c r="O1401" s="33" t="s">
        <v>4360</v>
      </c>
      <c r="P1401" s="33" t="s">
        <v>4361</v>
      </c>
      <c r="Q1401" s="34" t="s">
        <v>1494</v>
      </c>
      <c r="R1401" s="34" t="s">
        <v>1494</v>
      </c>
    </row>
    <row r="1402" spans="1:18" ht="15" customHeight="1" x14ac:dyDescent="0.25">
      <c r="A1402" t="str">
        <f>IFERROR(RANK(B1402,$B:$B,1)+COUNTIF($B$1:B1401,B1402),"")</f>
        <v/>
      </c>
      <c r="B1402" t="str">
        <f>IFERROR(SEARCH(#REF!,Table4[[#This Row],[Commodity Title]],1),"")</f>
        <v/>
      </c>
      <c r="C1402" s="35">
        <v>42183089</v>
      </c>
      <c r="D1402" s="33" t="s">
        <v>1495</v>
      </c>
      <c r="E1402" s="33" t="s">
        <v>1496</v>
      </c>
      <c r="F1402" s="33" t="s">
        <v>1497</v>
      </c>
      <c r="G1402" s="33" t="s">
        <v>3748</v>
      </c>
      <c r="H1402" s="33" t="s">
        <v>3749</v>
      </c>
      <c r="I1402" s="33" t="s">
        <v>3750</v>
      </c>
      <c r="J1402" s="33">
        <v>202758</v>
      </c>
      <c r="K1402" s="33" t="s">
        <v>4212</v>
      </c>
      <c r="L1402" s="33" t="s">
        <v>4213</v>
      </c>
      <c r="M1402" s="33" t="s">
        <v>4214</v>
      </c>
      <c r="N1402" s="44">
        <v>42183089</v>
      </c>
      <c r="O1402" s="33" t="s">
        <v>4362</v>
      </c>
      <c r="P1402" s="33" t="s">
        <v>4363</v>
      </c>
      <c r="Q1402" s="34" t="s">
        <v>1494</v>
      </c>
      <c r="R1402" s="34" t="s">
        <v>1494</v>
      </c>
    </row>
    <row r="1403" spans="1:18" ht="15" customHeight="1" x14ac:dyDescent="0.25">
      <c r="A1403" t="str">
        <f>IFERROR(RANK(B1403,$B:$B,1)+COUNTIF($B$1:B1402,B1403),"")</f>
        <v/>
      </c>
      <c r="B1403" t="str">
        <f>IFERROR(SEARCH(#REF!,Table4[[#This Row],[Commodity Title]],1),"")</f>
        <v/>
      </c>
      <c r="C1403" s="35">
        <v>42183090</v>
      </c>
      <c r="D1403" s="33" t="s">
        <v>1495</v>
      </c>
      <c r="E1403" s="33" t="s">
        <v>1496</v>
      </c>
      <c r="F1403" s="33" t="s">
        <v>1497</v>
      </c>
      <c r="G1403" s="33" t="s">
        <v>3748</v>
      </c>
      <c r="H1403" s="33" t="s">
        <v>3749</v>
      </c>
      <c r="I1403" s="33" t="s">
        <v>3750</v>
      </c>
      <c r="J1403" s="33">
        <v>202759</v>
      </c>
      <c r="K1403" s="33" t="s">
        <v>4212</v>
      </c>
      <c r="L1403" s="33" t="s">
        <v>4213</v>
      </c>
      <c r="M1403" s="33" t="s">
        <v>4214</v>
      </c>
      <c r="N1403" s="44">
        <v>42183090</v>
      </c>
      <c r="O1403" s="33" t="s">
        <v>4364</v>
      </c>
      <c r="P1403" s="33" t="s">
        <v>4091</v>
      </c>
      <c r="Q1403" s="34" t="s">
        <v>1494</v>
      </c>
      <c r="R1403" s="34" t="s">
        <v>1494</v>
      </c>
    </row>
    <row r="1404" spans="1:18" ht="15" customHeight="1" x14ac:dyDescent="0.25">
      <c r="A1404" t="str">
        <f>IFERROR(RANK(B1404,$B:$B,1)+COUNTIF($B$1:B1403,B1404),"")</f>
        <v/>
      </c>
      <c r="B1404" t="str">
        <f>IFERROR(SEARCH(#REF!,Table4[[#This Row],[Commodity Title]],1),"")</f>
        <v/>
      </c>
      <c r="C1404" s="35">
        <v>42183091</v>
      </c>
      <c r="D1404" s="33" t="s">
        <v>1495</v>
      </c>
      <c r="E1404" s="33" t="s">
        <v>1496</v>
      </c>
      <c r="F1404" s="33" t="s">
        <v>1497</v>
      </c>
      <c r="G1404" s="33" t="s">
        <v>3748</v>
      </c>
      <c r="H1404" s="33" t="s">
        <v>3749</v>
      </c>
      <c r="I1404" s="33" t="s">
        <v>3750</v>
      </c>
      <c r="J1404" s="33">
        <v>202760</v>
      </c>
      <c r="K1404" s="33" t="s">
        <v>4212</v>
      </c>
      <c r="L1404" s="33" t="s">
        <v>4213</v>
      </c>
      <c r="M1404" s="33" t="s">
        <v>4214</v>
      </c>
      <c r="N1404" s="44">
        <v>42183091</v>
      </c>
      <c r="O1404" s="33" t="s">
        <v>4365</v>
      </c>
      <c r="P1404" s="33" t="s">
        <v>4366</v>
      </c>
      <c r="Q1404" s="34" t="s">
        <v>1494</v>
      </c>
      <c r="R1404" s="34" t="s">
        <v>1494</v>
      </c>
    </row>
    <row r="1405" spans="1:18" ht="15" customHeight="1" x14ac:dyDescent="0.25">
      <c r="A1405" t="str">
        <f>IFERROR(RANK(B1405,$B:$B,1)+COUNTIF($B$1:B1404,B1405),"")</f>
        <v/>
      </c>
      <c r="B1405" t="str">
        <f>IFERROR(SEARCH(#REF!,Table4[[#This Row],[Commodity Title]],1),"")</f>
        <v/>
      </c>
      <c r="C1405" s="33" t="s">
        <v>1494</v>
      </c>
      <c r="D1405" s="33" t="s">
        <v>1495</v>
      </c>
      <c r="E1405" s="33" t="s">
        <v>1496</v>
      </c>
      <c r="F1405" s="33" t="s">
        <v>1497</v>
      </c>
      <c r="G1405" s="33" t="s">
        <v>3748</v>
      </c>
      <c r="H1405" s="33" t="s">
        <v>3749</v>
      </c>
      <c r="I1405" s="33" t="s">
        <v>3750</v>
      </c>
      <c r="J1405" s="33">
        <v>142463</v>
      </c>
      <c r="K1405" s="33" t="s">
        <v>4367</v>
      </c>
      <c r="L1405" s="33" t="s">
        <v>4368</v>
      </c>
      <c r="M1405" s="33" t="s">
        <v>4369</v>
      </c>
      <c r="N1405" s="44" t="s">
        <v>1494</v>
      </c>
      <c r="O1405" s="33" t="s">
        <v>1494</v>
      </c>
      <c r="P1405" s="33" t="s">
        <v>1494</v>
      </c>
      <c r="Q1405" s="34" t="s">
        <v>1494</v>
      </c>
      <c r="R1405" s="34" t="s">
        <v>1494</v>
      </c>
    </row>
    <row r="1406" spans="1:18" ht="15" customHeight="1" x14ac:dyDescent="0.25">
      <c r="A1406" t="str">
        <f>IFERROR(RANK(B1406,$B:$B,1)+COUNTIF($B$1:B1405,B1406),"")</f>
        <v/>
      </c>
      <c r="B1406" t="str">
        <f>IFERROR(SEARCH(#REF!,Table4[[#This Row],[Commodity Title]],1),"")</f>
        <v/>
      </c>
      <c r="C1406" s="35">
        <v>42183201</v>
      </c>
      <c r="D1406" s="33" t="s">
        <v>1495</v>
      </c>
      <c r="E1406" s="33" t="s">
        <v>1496</v>
      </c>
      <c r="F1406" s="33" t="s">
        <v>1497</v>
      </c>
      <c r="G1406" s="33" t="s">
        <v>3748</v>
      </c>
      <c r="H1406" s="33" t="s">
        <v>3749</v>
      </c>
      <c r="I1406" s="33" t="s">
        <v>3750</v>
      </c>
      <c r="J1406" s="33">
        <v>142464</v>
      </c>
      <c r="K1406" s="33" t="s">
        <v>4367</v>
      </c>
      <c r="L1406" s="33" t="s">
        <v>4368</v>
      </c>
      <c r="M1406" s="33" t="s">
        <v>4369</v>
      </c>
      <c r="N1406" s="44">
        <v>42183201</v>
      </c>
      <c r="O1406" s="33" t="s">
        <v>4370</v>
      </c>
      <c r="P1406" s="33" t="s">
        <v>4371</v>
      </c>
      <c r="Q1406" s="34" t="s">
        <v>1494</v>
      </c>
      <c r="R1406" s="34" t="s">
        <v>1494</v>
      </c>
    </row>
    <row r="1407" spans="1:18" ht="15" customHeight="1" x14ac:dyDescent="0.25">
      <c r="A1407" t="str">
        <f>IFERROR(RANK(B1407,$B:$B,1)+COUNTIF($B$1:B1406,B1407),"")</f>
        <v/>
      </c>
      <c r="B1407" t="str">
        <f>IFERROR(SEARCH(#REF!,Table4[[#This Row],[Commodity Title]],1),"")</f>
        <v/>
      </c>
      <c r="C1407" s="35">
        <v>42183202</v>
      </c>
      <c r="D1407" s="33" t="s">
        <v>1495</v>
      </c>
      <c r="E1407" s="33" t="s">
        <v>1496</v>
      </c>
      <c r="F1407" s="33" t="s">
        <v>1497</v>
      </c>
      <c r="G1407" s="33" t="s">
        <v>3748</v>
      </c>
      <c r="H1407" s="33" t="s">
        <v>3749</v>
      </c>
      <c r="I1407" s="33" t="s">
        <v>3750</v>
      </c>
      <c r="J1407" s="33">
        <v>202761</v>
      </c>
      <c r="K1407" s="33" t="s">
        <v>4367</v>
      </c>
      <c r="L1407" s="33" t="s">
        <v>4368</v>
      </c>
      <c r="M1407" s="33" t="s">
        <v>4369</v>
      </c>
      <c r="N1407" s="44">
        <v>42183202</v>
      </c>
      <c r="O1407" s="33" t="s">
        <v>4372</v>
      </c>
      <c r="P1407" s="33" t="s">
        <v>4373</v>
      </c>
      <c r="Q1407" s="34" t="s">
        <v>1494</v>
      </c>
      <c r="R1407" s="34" t="s">
        <v>1494</v>
      </c>
    </row>
    <row r="1408" spans="1:18" ht="15" customHeight="1" x14ac:dyDescent="0.25">
      <c r="A1408" t="str">
        <f>IFERROR(RANK(B1408,$B:$B,1)+COUNTIF($B$1:B1407,B1408),"")</f>
        <v/>
      </c>
      <c r="B1408" t="str">
        <f>IFERROR(SEARCH(#REF!,Table4[[#This Row],[Commodity Title]],1),"")</f>
        <v/>
      </c>
      <c r="C1408" s="33" t="s">
        <v>1494</v>
      </c>
      <c r="D1408" s="33" t="s">
        <v>1495</v>
      </c>
      <c r="E1408" s="33" t="s">
        <v>1496</v>
      </c>
      <c r="F1408" s="33" t="s">
        <v>1497</v>
      </c>
      <c r="G1408" s="33" t="s">
        <v>3748</v>
      </c>
      <c r="H1408" s="33" t="s">
        <v>3749</v>
      </c>
      <c r="I1408" s="33" t="s">
        <v>3750</v>
      </c>
      <c r="J1408" s="33">
        <v>202762</v>
      </c>
      <c r="K1408" s="33" t="s">
        <v>4374</v>
      </c>
      <c r="L1408" s="33" t="s">
        <v>4375</v>
      </c>
      <c r="M1408" s="33" t="s">
        <v>4376</v>
      </c>
      <c r="N1408" s="44" t="s">
        <v>1494</v>
      </c>
      <c r="O1408" s="33" t="s">
        <v>1494</v>
      </c>
      <c r="P1408" s="33" t="s">
        <v>1494</v>
      </c>
      <c r="Q1408" s="34" t="s">
        <v>1494</v>
      </c>
      <c r="R1408" s="34" t="s">
        <v>1494</v>
      </c>
    </row>
    <row r="1409" spans="1:18" ht="15" customHeight="1" x14ac:dyDescent="0.25">
      <c r="A1409" t="str">
        <f>IFERROR(RANK(B1409,$B:$B,1)+COUNTIF($B$1:B1408,B1409),"")</f>
        <v/>
      </c>
      <c r="B1409" t="str">
        <f>IFERROR(SEARCH(#REF!,Table4[[#This Row],[Commodity Title]],1),"")</f>
        <v/>
      </c>
      <c r="C1409" s="35">
        <v>42183401</v>
      </c>
      <c r="D1409" s="33" t="s">
        <v>1495</v>
      </c>
      <c r="E1409" s="33" t="s">
        <v>1496</v>
      </c>
      <c r="F1409" s="33" t="s">
        <v>1497</v>
      </c>
      <c r="G1409" s="33" t="s">
        <v>3748</v>
      </c>
      <c r="H1409" s="33" t="s">
        <v>3749</v>
      </c>
      <c r="I1409" s="33" t="s">
        <v>3750</v>
      </c>
      <c r="J1409" s="33">
        <v>174369</v>
      </c>
      <c r="K1409" s="33" t="s">
        <v>4374</v>
      </c>
      <c r="L1409" s="33" t="s">
        <v>4375</v>
      </c>
      <c r="M1409" s="33" t="s">
        <v>4376</v>
      </c>
      <c r="N1409" s="44">
        <v>42183401</v>
      </c>
      <c r="O1409" s="33" t="s">
        <v>4377</v>
      </c>
      <c r="P1409" s="33" t="s">
        <v>4378</v>
      </c>
      <c r="Q1409" s="34" t="s">
        <v>1494</v>
      </c>
      <c r="R1409" s="34" t="s">
        <v>1494</v>
      </c>
    </row>
    <row r="1410" spans="1:18" ht="15" customHeight="1" x14ac:dyDescent="0.25">
      <c r="A1410" t="str">
        <f>IFERROR(RANK(B1410,$B:$B,1)+COUNTIF($B$1:B1409,B1410),"")</f>
        <v/>
      </c>
      <c r="B1410" t="str">
        <f>IFERROR(SEARCH(#REF!,Table4[[#This Row],[Commodity Title]],1),"")</f>
        <v/>
      </c>
      <c r="C1410" s="35">
        <v>42183402</v>
      </c>
      <c r="D1410" s="33" t="s">
        <v>1495</v>
      </c>
      <c r="E1410" s="33" t="s">
        <v>1496</v>
      </c>
      <c r="F1410" s="33" t="s">
        <v>1497</v>
      </c>
      <c r="G1410" s="33" t="s">
        <v>3748</v>
      </c>
      <c r="H1410" s="33" t="s">
        <v>3749</v>
      </c>
      <c r="I1410" s="33" t="s">
        <v>3750</v>
      </c>
      <c r="J1410" s="33">
        <v>174379</v>
      </c>
      <c r="K1410" s="33" t="s">
        <v>4374</v>
      </c>
      <c r="L1410" s="33" t="s">
        <v>4375</v>
      </c>
      <c r="M1410" s="33" t="s">
        <v>4376</v>
      </c>
      <c r="N1410" s="44">
        <v>42183402</v>
      </c>
      <c r="O1410" s="33" t="s">
        <v>4379</v>
      </c>
      <c r="P1410" s="33" t="s">
        <v>4380</v>
      </c>
      <c r="Q1410" s="34" t="s">
        <v>1494</v>
      </c>
      <c r="R1410" s="34" t="s">
        <v>1494</v>
      </c>
    </row>
    <row r="1411" spans="1:18" ht="15" customHeight="1" x14ac:dyDescent="0.25">
      <c r="A1411" t="str">
        <f>IFERROR(RANK(B1411,$B:$B,1)+COUNTIF($B$1:B1410,B1411),"")</f>
        <v/>
      </c>
      <c r="B1411" t="str">
        <f>IFERROR(SEARCH(#REF!,Table4[[#This Row],[Commodity Title]],1),"")</f>
        <v/>
      </c>
      <c r="C1411" s="35">
        <v>42183403</v>
      </c>
      <c r="D1411" s="33" t="s">
        <v>1495</v>
      </c>
      <c r="E1411" s="33" t="s">
        <v>1496</v>
      </c>
      <c r="F1411" s="33" t="s">
        <v>1497</v>
      </c>
      <c r="G1411" s="33" t="s">
        <v>3748</v>
      </c>
      <c r="H1411" s="33" t="s">
        <v>3749</v>
      </c>
      <c r="I1411" s="33" t="s">
        <v>3750</v>
      </c>
      <c r="J1411" s="33">
        <v>174362</v>
      </c>
      <c r="K1411" s="33" t="s">
        <v>4374</v>
      </c>
      <c r="L1411" s="33" t="s">
        <v>4375</v>
      </c>
      <c r="M1411" s="33" t="s">
        <v>4376</v>
      </c>
      <c r="N1411" s="44">
        <v>42183403</v>
      </c>
      <c r="O1411" s="33" t="s">
        <v>4381</v>
      </c>
      <c r="P1411" s="33" t="s">
        <v>4382</v>
      </c>
      <c r="Q1411" s="34" t="s">
        <v>1494</v>
      </c>
      <c r="R1411" s="34" t="s">
        <v>1494</v>
      </c>
    </row>
    <row r="1412" spans="1:18" ht="15" customHeight="1" x14ac:dyDescent="0.25">
      <c r="A1412" t="str">
        <f>IFERROR(RANK(B1412,$B:$B,1)+COUNTIF($B$1:B1411,B1412),"")</f>
        <v/>
      </c>
      <c r="B1412" t="str">
        <f>IFERROR(SEARCH(#REF!,Table4[[#This Row],[Commodity Title]],1),"")</f>
        <v/>
      </c>
      <c r="C1412" s="35">
        <v>42183404</v>
      </c>
      <c r="D1412" s="33" t="s">
        <v>1495</v>
      </c>
      <c r="E1412" s="33" t="s">
        <v>1496</v>
      </c>
      <c r="F1412" s="33" t="s">
        <v>1497</v>
      </c>
      <c r="G1412" s="33" t="s">
        <v>3748</v>
      </c>
      <c r="H1412" s="33" t="s">
        <v>3749</v>
      </c>
      <c r="I1412" s="33" t="s">
        <v>3750</v>
      </c>
      <c r="J1412" s="33">
        <v>174375</v>
      </c>
      <c r="K1412" s="33" t="s">
        <v>4374</v>
      </c>
      <c r="L1412" s="33" t="s">
        <v>4375</v>
      </c>
      <c r="M1412" s="33" t="s">
        <v>4376</v>
      </c>
      <c r="N1412" s="44">
        <v>42183404</v>
      </c>
      <c r="O1412" s="33" t="s">
        <v>4383</v>
      </c>
      <c r="P1412" s="33" t="s">
        <v>4384</v>
      </c>
      <c r="Q1412" s="34" t="s">
        <v>1494</v>
      </c>
      <c r="R1412" s="34" t="s">
        <v>1494</v>
      </c>
    </row>
    <row r="1413" spans="1:18" ht="15" customHeight="1" x14ac:dyDescent="0.25">
      <c r="A1413" t="str">
        <f>IFERROR(RANK(B1413,$B:$B,1)+COUNTIF($B$1:B1412,B1413),"")</f>
        <v/>
      </c>
      <c r="B1413" t="str">
        <f>IFERROR(SEARCH(#REF!,Table4[[#This Row],[Commodity Title]],1),"")</f>
        <v/>
      </c>
      <c r="C1413" s="33" t="s">
        <v>1494</v>
      </c>
      <c r="D1413" s="33" t="s">
        <v>1495</v>
      </c>
      <c r="E1413" s="33" t="s">
        <v>1496</v>
      </c>
      <c r="F1413" s="33" t="s">
        <v>1497</v>
      </c>
      <c r="G1413" s="33" t="s">
        <v>3748</v>
      </c>
      <c r="H1413" s="33" t="s">
        <v>3749</v>
      </c>
      <c r="I1413" s="33" t="s">
        <v>3750</v>
      </c>
      <c r="J1413" s="33">
        <v>202763</v>
      </c>
      <c r="K1413" s="33" t="s">
        <v>4385</v>
      </c>
      <c r="L1413" s="33" t="s">
        <v>4386</v>
      </c>
      <c r="M1413" s="33" t="s">
        <v>4387</v>
      </c>
      <c r="N1413" s="44" t="s">
        <v>1494</v>
      </c>
      <c r="O1413" s="33" t="s">
        <v>1494</v>
      </c>
      <c r="P1413" s="33" t="s">
        <v>1494</v>
      </c>
      <c r="Q1413" s="34" t="s">
        <v>1494</v>
      </c>
      <c r="R1413" s="34" t="s">
        <v>1494</v>
      </c>
    </row>
    <row r="1414" spans="1:18" ht="15" customHeight="1" x14ac:dyDescent="0.25">
      <c r="A1414" t="str">
        <f>IFERROR(RANK(B1414,$B:$B,1)+COUNTIF($B$1:B1413,B1414),"")</f>
        <v/>
      </c>
      <c r="B1414" t="str">
        <f>IFERROR(SEARCH(#REF!,Table4[[#This Row],[Commodity Title]],1),"")</f>
        <v/>
      </c>
      <c r="C1414" s="35">
        <v>42183501</v>
      </c>
      <c r="D1414" s="33" t="s">
        <v>1495</v>
      </c>
      <c r="E1414" s="33" t="s">
        <v>1496</v>
      </c>
      <c r="F1414" s="33" t="s">
        <v>1497</v>
      </c>
      <c r="G1414" s="33" t="s">
        <v>3748</v>
      </c>
      <c r="H1414" s="33" t="s">
        <v>3749</v>
      </c>
      <c r="I1414" s="33" t="s">
        <v>3750</v>
      </c>
      <c r="J1414" s="33">
        <v>115406</v>
      </c>
      <c r="K1414" s="33" t="s">
        <v>4385</v>
      </c>
      <c r="L1414" s="33" t="s">
        <v>4386</v>
      </c>
      <c r="M1414" s="33" t="s">
        <v>4387</v>
      </c>
      <c r="N1414" s="44">
        <v>42183501</v>
      </c>
      <c r="O1414" s="33" t="s">
        <v>4388</v>
      </c>
      <c r="P1414" s="33" t="s">
        <v>4389</v>
      </c>
      <c r="Q1414" s="34" t="s">
        <v>1494</v>
      </c>
      <c r="R1414" s="34" t="s">
        <v>1494</v>
      </c>
    </row>
    <row r="1415" spans="1:18" ht="15" customHeight="1" x14ac:dyDescent="0.25">
      <c r="A1415" t="str">
        <f>IFERROR(RANK(B1415,$B:$B,1)+COUNTIF($B$1:B1414,B1415),"")</f>
        <v/>
      </c>
      <c r="B1415" t="str">
        <f>IFERROR(SEARCH(#REF!,Table4[[#This Row],[Commodity Title]],1),"")</f>
        <v/>
      </c>
      <c r="C1415" s="35">
        <v>42183502</v>
      </c>
      <c r="D1415" s="33" t="s">
        <v>1495</v>
      </c>
      <c r="E1415" s="33" t="s">
        <v>1496</v>
      </c>
      <c r="F1415" s="33" t="s">
        <v>1497</v>
      </c>
      <c r="G1415" s="33" t="s">
        <v>3748</v>
      </c>
      <c r="H1415" s="33" t="s">
        <v>3749</v>
      </c>
      <c r="I1415" s="33" t="s">
        <v>3750</v>
      </c>
      <c r="J1415" s="33">
        <v>115410</v>
      </c>
      <c r="K1415" s="33" t="s">
        <v>4385</v>
      </c>
      <c r="L1415" s="33" t="s">
        <v>4386</v>
      </c>
      <c r="M1415" s="33" t="s">
        <v>4387</v>
      </c>
      <c r="N1415" s="44">
        <v>42183502</v>
      </c>
      <c r="O1415" s="33" t="s">
        <v>4390</v>
      </c>
      <c r="P1415" s="33" t="s">
        <v>4391</v>
      </c>
      <c r="Q1415" s="34" t="s">
        <v>1494</v>
      </c>
      <c r="R1415" s="34" t="s">
        <v>1494</v>
      </c>
    </row>
    <row r="1416" spans="1:18" ht="15" customHeight="1" x14ac:dyDescent="0.25">
      <c r="A1416" t="str">
        <f>IFERROR(RANK(B1416,$B:$B,1)+COUNTIF($B$1:B1415,B1416),"")</f>
        <v/>
      </c>
      <c r="B1416" t="str">
        <f>IFERROR(SEARCH(#REF!,Table4[[#This Row],[Commodity Title]],1),"")</f>
        <v/>
      </c>
      <c r="C1416" s="35">
        <v>42183503</v>
      </c>
      <c r="D1416" s="33" t="s">
        <v>1495</v>
      </c>
      <c r="E1416" s="33" t="s">
        <v>1496</v>
      </c>
      <c r="F1416" s="33" t="s">
        <v>1497</v>
      </c>
      <c r="G1416" s="33" t="s">
        <v>3748</v>
      </c>
      <c r="H1416" s="33" t="s">
        <v>3749</v>
      </c>
      <c r="I1416" s="33" t="s">
        <v>3750</v>
      </c>
      <c r="J1416" s="33">
        <v>115416</v>
      </c>
      <c r="K1416" s="33" t="s">
        <v>4385</v>
      </c>
      <c r="L1416" s="33" t="s">
        <v>4386</v>
      </c>
      <c r="M1416" s="33" t="s">
        <v>4387</v>
      </c>
      <c r="N1416" s="44">
        <v>42183503</v>
      </c>
      <c r="O1416" s="33" t="s">
        <v>4392</v>
      </c>
      <c r="P1416" s="33" t="s">
        <v>4393</v>
      </c>
      <c r="Q1416" s="34" t="s">
        <v>1494</v>
      </c>
      <c r="R1416" s="34" t="s">
        <v>1494</v>
      </c>
    </row>
    <row r="1417" spans="1:18" ht="15" customHeight="1" x14ac:dyDescent="0.25">
      <c r="A1417" t="str">
        <f>IFERROR(RANK(B1417,$B:$B,1)+COUNTIF($B$1:B1416,B1417),"")</f>
        <v/>
      </c>
      <c r="B1417" t="str">
        <f>IFERROR(SEARCH(#REF!,Table4[[#This Row],[Commodity Title]],1),"")</f>
        <v/>
      </c>
      <c r="C1417" s="35">
        <v>42183504</v>
      </c>
      <c r="D1417" s="33" t="s">
        <v>1495</v>
      </c>
      <c r="E1417" s="33" t="s">
        <v>1496</v>
      </c>
      <c r="F1417" s="33" t="s">
        <v>1497</v>
      </c>
      <c r="G1417" s="33" t="s">
        <v>3748</v>
      </c>
      <c r="H1417" s="33" t="s">
        <v>3749</v>
      </c>
      <c r="I1417" s="33" t="s">
        <v>3750</v>
      </c>
      <c r="J1417" s="33">
        <v>142526</v>
      </c>
      <c r="K1417" s="33" t="s">
        <v>4385</v>
      </c>
      <c r="L1417" s="33" t="s">
        <v>4386</v>
      </c>
      <c r="M1417" s="33" t="s">
        <v>4387</v>
      </c>
      <c r="N1417" s="44">
        <v>42183504</v>
      </c>
      <c r="O1417" s="33" t="s">
        <v>4394</v>
      </c>
      <c r="P1417" s="33" t="s">
        <v>4395</v>
      </c>
      <c r="Q1417" s="34" t="s">
        <v>1494</v>
      </c>
      <c r="R1417" s="34" t="s">
        <v>1494</v>
      </c>
    </row>
    <row r="1418" spans="1:18" ht="15" customHeight="1" x14ac:dyDescent="0.25">
      <c r="A1418" t="str">
        <f>IFERROR(RANK(B1418,$B:$B,1)+COUNTIF($B$1:B1417,B1418),"")</f>
        <v/>
      </c>
      <c r="B1418" t="str">
        <f>IFERROR(SEARCH(#REF!,Table4[[#This Row],[Commodity Title]],1),"")</f>
        <v/>
      </c>
      <c r="C1418" s="35">
        <v>42183505</v>
      </c>
      <c r="D1418" s="33" t="s">
        <v>1495</v>
      </c>
      <c r="E1418" s="33" t="s">
        <v>1496</v>
      </c>
      <c r="F1418" s="33" t="s">
        <v>1497</v>
      </c>
      <c r="G1418" s="33" t="s">
        <v>3748</v>
      </c>
      <c r="H1418" s="33" t="s">
        <v>3749</v>
      </c>
      <c r="I1418" s="33" t="s">
        <v>3750</v>
      </c>
      <c r="J1418" s="33">
        <v>142530</v>
      </c>
      <c r="K1418" s="33" t="s">
        <v>4385</v>
      </c>
      <c r="L1418" s="33" t="s">
        <v>4386</v>
      </c>
      <c r="M1418" s="33" t="s">
        <v>4387</v>
      </c>
      <c r="N1418" s="44">
        <v>42183505</v>
      </c>
      <c r="O1418" s="33" t="s">
        <v>4396</v>
      </c>
      <c r="P1418" s="33" t="s">
        <v>4397</v>
      </c>
      <c r="Q1418" s="34" t="s">
        <v>1494</v>
      </c>
      <c r="R1418" s="34" t="s">
        <v>1494</v>
      </c>
    </row>
    <row r="1419" spans="1:18" ht="15" customHeight="1" x14ac:dyDescent="0.25">
      <c r="A1419" t="str">
        <f>IFERROR(RANK(B1419,$B:$B,1)+COUNTIF($B$1:B1418,B1419),"")</f>
        <v/>
      </c>
      <c r="B1419" t="str">
        <f>IFERROR(SEARCH(#REF!,Table4[[#This Row],[Commodity Title]],1),"")</f>
        <v/>
      </c>
      <c r="C1419" s="35">
        <v>42183506</v>
      </c>
      <c r="D1419" s="33" t="s">
        <v>1495</v>
      </c>
      <c r="E1419" s="33" t="s">
        <v>1496</v>
      </c>
      <c r="F1419" s="33" t="s">
        <v>1497</v>
      </c>
      <c r="G1419" s="33" t="s">
        <v>3748</v>
      </c>
      <c r="H1419" s="33" t="s">
        <v>3749</v>
      </c>
      <c r="I1419" s="33" t="s">
        <v>3750</v>
      </c>
      <c r="J1419" s="33">
        <v>202764</v>
      </c>
      <c r="K1419" s="33" t="s">
        <v>4385</v>
      </c>
      <c r="L1419" s="33" t="s">
        <v>4386</v>
      </c>
      <c r="M1419" s="33" t="s">
        <v>4387</v>
      </c>
      <c r="N1419" s="44">
        <v>42183506</v>
      </c>
      <c r="O1419" s="33" t="s">
        <v>4398</v>
      </c>
      <c r="P1419" s="33" t="s">
        <v>4399</v>
      </c>
      <c r="Q1419" s="34" t="s">
        <v>1494</v>
      </c>
      <c r="R1419" s="34" t="s">
        <v>1494</v>
      </c>
    </row>
    <row r="1420" spans="1:18" ht="15" customHeight="1" x14ac:dyDescent="0.25">
      <c r="A1420" t="str">
        <f>IFERROR(RANK(B1420,$B:$B,1)+COUNTIF($B$1:B1419,B1420),"")</f>
        <v/>
      </c>
      <c r="B1420" t="str">
        <f>IFERROR(SEARCH(#REF!,Table4[[#This Row],[Commodity Title]],1),"")</f>
        <v/>
      </c>
      <c r="C1420" s="35">
        <v>42183507</v>
      </c>
      <c r="D1420" s="33" t="s">
        <v>1495</v>
      </c>
      <c r="E1420" s="33" t="s">
        <v>1496</v>
      </c>
      <c r="F1420" s="33" t="s">
        <v>1497</v>
      </c>
      <c r="G1420" s="33" t="s">
        <v>3748</v>
      </c>
      <c r="H1420" s="33" t="s">
        <v>3749</v>
      </c>
      <c r="I1420" s="33" t="s">
        <v>3750</v>
      </c>
      <c r="J1420" s="33">
        <v>202765</v>
      </c>
      <c r="K1420" s="33" t="s">
        <v>4385</v>
      </c>
      <c r="L1420" s="33" t="s">
        <v>4386</v>
      </c>
      <c r="M1420" s="33" t="s">
        <v>4387</v>
      </c>
      <c r="N1420" s="44">
        <v>42183507</v>
      </c>
      <c r="O1420" s="33" t="s">
        <v>4400</v>
      </c>
      <c r="P1420" s="33" t="s">
        <v>4401</v>
      </c>
      <c r="Q1420" s="34" t="s">
        <v>1494</v>
      </c>
      <c r="R1420" s="34" t="s">
        <v>1494</v>
      </c>
    </row>
    <row r="1421" spans="1:18" ht="15" customHeight="1" x14ac:dyDescent="0.25">
      <c r="A1421" t="str">
        <f>IFERROR(RANK(B1421,$B:$B,1)+COUNTIF($B$1:B1420,B1421),"")</f>
        <v/>
      </c>
      <c r="B1421" t="str">
        <f>IFERROR(SEARCH(#REF!,Table4[[#This Row],[Commodity Title]],1),"")</f>
        <v/>
      </c>
      <c r="C1421" s="35">
        <v>42183508</v>
      </c>
      <c r="D1421" s="33" t="s">
        <v>1495</v>
      </c>
      <c r="E1421" s="33" t="s">
        <v>1496</v>
      </c>
      <c r="F1421" s="33" t="s">
        <v>1497</v>
      </c>
      <c r="G1421" s="33" t="s">
        <v>3748</v>
      </c>
      <c r="H1421" s="33" t="s">
        <v>3749</v>
      </c>
      <c r="I1421" s="33" t="s">
        <v>3750</v>
      </c>
      <c r="J1421" s="33">
        <v>202766</v>
      </c>
      <c r="K1421" s="33" t="s">
        <v>4385</v>
      </c>
      <c r="L1421" s="33" t="s">
        <v>4386</v>
      </c>
      <c r="M1421" s="33" t="s">
        <v>4387</v>
      </c>
      <c r="N1421" s="44">
        <v>42183508</v>
      </c>
      <c r="O1421" s="33" t="s">
        <v>4402</v>
      </c>
      <c r="P1421" s="33" t="s">
        <v>4403</v>
      </c>
      <c r="Q1421" s="34" t="s">
        <v>1494</v>
      </c>
      <c r="R1421" s="34" t="s">
        <v>1494</v>
      </c>
    </row>
    <row r="1422" spans="1:18" ht="15" customHeight="1" x14ac:dyDescent="0.25">
      <c r="A1422" t="str">
        <f>IFERROR(RANK(B1422,$B:$B,1)+COUNTIF($B$1:B1421,B1422),"")</f>
        <v/>
      </c>
      <c r="B1422" t="str">
        <f>IFERROR(SEARCH(#REF!,Table4[[#This Row],[Commodity Title]],1),"")</f>
        <v/>
      </c>
      <c r="C1422" s="35">
        <v>42183509</v>
      </c>
      <c r="D1422" s="33" t="s">
        <v>1495</v>
      </c>
      <c r="E1422" s="33" t="s">
        <v>1496</v>
      </c>
      <c r="F1422" s="33" t="s">
        <v>1497</v>
      </c>
      <c r="G1422" s="33" t="s">
        <v>3748</v>
      </c>
      <c r="H1422" s="33" t="s">
        <v>3749</v>
      </c>
      <c r="I1422" s="33" t="s">
        <v>3750</v>
      </c>
      <c r="J1422" s="33">
        <v>202767</v>
      </c>
      <c r="K1422" s="33" t="s">
        <v>4385</v>
      </c>
      <c r="L1422" s="33" t="s">
        <v>4386</v>
      </c>
      <c r="M1422" s="33" t="s">
        <v>4387</v>
      </c>
      <c r="N1422" s="44">
        <v>42183509</v>
      </c>
      <c r="O1422" s="33" t="s">
        <v>4404</v>
      </c>
      <c r="P1422" s="33" t="s">
        <v>4405</v>
      </c>
      <c r="Q1422" s="34" t="s">
        <v>1494</v>
      </c>
      <c r="R1422" s="34" t="s">
        <v>1494</v>
      </c>
    </row>
    <row r="1423" spans="1:18" ht="15" customHeight="1" x14ac:dyDescent="0.25">
      <c r="A1423" t="str">
        <f>IFERROR(RANK(B1423,$B:$B,1)+COUNTIF($B$1:B1422,B1423),"")</f>
        <v/>
      </c>
      <c r="B1423" t="str">
        <f>IFERROR(SEARCH(#REF!,Table4[[#This Row],[Commodity Title]],1),"")</f>
        <v/>
      </c>
      <c r="C1423" s="35">
        <v>42183510</v>
      </c>
      <c r="D1423" s="33" t="s">
        <v>1495</v>
      </c>
      <c r="E1423" s="33" t="s">
        <v>1496</v>
      </c>
      <c r="F1423" s="33" t="s">
        <v>1497</v>
      </c>
      <c r="G1423" s="33" t="s">
        <v>3748</v>
      </c>
      <c r="H1423" s="33" t="s">
        <v>3749</v>
      </c>
      <c r="I1423" s="33" t="s">
        <v>3750</v>
      </c>
      <c r="J1423" s="33">
        <v>202768</v>
      </c>
      <c r="K1423" s="33" t="s">
        <v>4385</v>
      </c>
      <c r="L1423" s="33" t="s">
        <v>4386</v>
      </c>
      <c r="M1423" s="33" t="s">
        <v>4387</v>
      </c>
      <c r="N1423" s="44">
        <v>42183510</v>
      </c>
      <c r="O1423" s="33" t="s">
        <v>4406</v>
      </c>
      <c r="P1423" s="33" t="s">
        <v>4407</v>
      </c>
      <c r="Q1423" s="34" t="s">
        <v>1494</v>
      </c>
      <c r="R1423" s="34" t="s">
        <v>1494</v>
      </c>
    </row>
    <row r="1424" spans="1:18" ht="15" customHeight="1" x14ac:dyDescent="0.25">
      <c r="A1424" t="str">
        <f>IFERROR(RANK(B1424,$B:$B,1)+COUNTIF($B$1:B1423,B1424),"")</f>
        <v/>
      </c>
      <c r="B1424" t="str">
        <f>IFERROR(SEARCH(#REF!,Table4[[#This Row],[Commodity Title]],1),"")</f>
        <v/>
      </c>
      <c r="C1424" s="33" t="s">
        <v>1494</v>
      </c>
      <c r="D1424" s="33" t="s">
        <v>1495</v>
      </c>
      <c r="E1424" s="33" t="s">
        <v>1496</v>
      </c>
      <c r="F1424" s="33" t="s">
        <v>1497</v>
      </c>
      <c r="G1424" s="33" t="s">
        <v>4408</v>
      </c>
      <c r="H1424" s="33" t="s">
        <v>4409</v>
      </c>
      <c r="I1424" s="33" t="s">
        <v>4410</v>
      </c>
      <c r="J1424" s="33">
        <v>115426</v>
      </c>
      <c r="K1424" s="33" t="s">
        <v>1494</v>
      </c>
      <c r="L1424" s="33" t="s">
        <v>1494</v>
      </c>
      <c r="M1424" s="33" t="s">
        <v>1494</v>
      </c>
      <c r="N1424" s="44" t="s">
        <v>1494</v>
      </c>
      <c r="O1424" s="33" t="s">
        <v>1494</v>
      </c>
      <c r="P1424" s="33" t="s">
        <v>1494</v>
      </c>
      <c r="Q1424" s="34" t="s">
        <v>1494</v>
      </c>
      <c r="R1424" s="34" t="s">
        <v>1494</v>
      </c>
    </row>
    <row r="1425" spans="1:18" ht="15" customHeight="1" x14ac:dyDescent="0.25">
      <c r="A1425" t="str">
        <f>IFERROR(RANK(B1425,$B:$B,1)+COUNTIF($B$1:B1424,B1425),"")</f>
        <v/>
      </c>
      <c r="B1425" t="str">
        <f>IFERROR(SEARCH(#REF!,Table4[[#This Row],[Commodity Title]],1),"")</f>
        <v/>
      </c>
      <c r="C1425" s="33" t="s">
        <v>1494</v>
      </c>
      <c r="D1425" s="33" t="s">
        <v>1495</v>
      </c>
      <c r="E1425" s="33" t="s">
        <v>1496</v>
      </c>
      <c r="F1425" s="33" t="s">
        <v>1497</v>
      </c>
      <c r="G1425" s="33" t="s">
        <v>4408</v>
      </c>
      <c r="H1425" s="33" t="s">
        <v>4409</v>
      </c>
      <c r="I1425" s="33" t="s">
        <v>4410</v>
      </c>
      <c r="J1425" s="33">
        <v>115427</v>
      </c>
      <c r="K1425" s="33" t="s">
        <v>4411</v>
      </c>
      <c r="L1425" s="33" t="s">
        <v>4412</v>
      </c>
      <c r="M1425" s="33" t="s">
        <v>4413</v>
      </c>
      <c r="N1425" s="44" t="s">
        <v>1494</v>
      </c>
      <c r="O1425" s="33" t="s">
        <v>1494</v>
      </c>
      <c r="P1425" s="33" t="s">
        <v>1494</v>
      </c>
      <c r="Q1425" s="34" t="s">
        <v>1494</v>
      </c>
      <c r="R1425" s="34" t="s">
        <v>1494</v>
      </c>
    </row>
    <row r="1426" spans="1:18" ht="15" customHeight="1" x14ac:dyDescent="0.25">
      <c r="A1426" t="str">
        <f>IFERROR(RANK(B1426,$B:$B,1)+COUNTIF($B$1:B1425,B1426),"")</f>
        <v/>
      </c>
      <c r="B1426" t="str">
        <f>IFERROR(SEARCH(#REF!,Table4[[#This Row],[Commodity Title]],1),"")</f>
        <v/>
      </c>
      <c r="C1426" s="35">
        <v>42191501</v>
      </c>
      <c r="D1426" s="33" t="s">
        <v>1495</v>
      </c>
      <c r="E1426" s="33" t="s">
        <v>1496</v>
      </c>
      <c r="F1426" s="33" t="s">
        <v>1497</v>
      </c>
      <c r="G1426" s="33" t="s">
        <v>4408</v>
      </c>
      <c r="H1426" s="33" t="s">
        <v>4409</v>
      </c>
      <c r="I1426" s="33" t="s">
        <v>4410</v>
      </c>
      <c r="J1426" s="33">
        <v>115428</v>
      </c>
      <c r="K1426" s="33" t="s">
        <v>4411</v>
      </c>
      <c r="L1426" s="33" t="s">
        <v>4412</v>
      </c>
      <c r="M1426" s="33" t="s">
        <v>4413</v>
      </c>
      <c r="N1426" s="44">
        <v>42191501</v>
      </c>
      <c r="O1426" s="33" t="s">
        <v>4414</v>
      </c>
      <c r="P1426" s="33" t="s">
        <v>4415</v>
      </c>
      <c r="Q1426" s="34" t="s">
        <v>1494</v>
      </c>
      <c r="R1426" s="34" t="s">
        <v>1494</v>
      </c>
    </row>
    <row r="1427" spans="1:18" ht="15" customHeight="1" x14ac:dyDescent="0.25">
      <c r="A1427" t="str">
        <f>IFERROR(RANK(B1427,$B:$B,1)+COUNTIF($B$1:B1426,B1427),"")</f>
        <v/>
      </c>
      <c r="B1427" t="str">
        <f>IFERROR(SEARCH(#REF!,Table4[[#This Row],[Commodity Title]],1),"")</f>
        <v/>
      </c>
      <c r="C1427" s="35">
        <v>42191502</v>
      </c>
      <c r="D1427" s="33" t="s">
        <v>1495</v>
      </c>
      <c r="E1427" s="33" t="s">
        <v>1496</v>
      </c>
      <c r="F1427" s="33" t="s">
        <v>1497</v>
      </c>
      <c r="G1427" s="33" t="s">
        <v>4408</v>
      </c>
      <c r="H1427" s="33" t="s">
        <v>4409</v>
      </c>
      <c r="I1427" s="33" t="s">
        <v>4410</v>
      </c>
      <c r="J1427" s="33">
        <v>142555</v>
      </c>
      <c r="K1427" s="33" t="s">
        <v>4411</v>
      </c>
      <c r="L1427" s="33" t="s">
        <v>4412</v>
      </c>
      <c r="M1427" s="33" t="s">
        <v>4413</v>
      </c>
      <c r="N1427" s="44">
        <v>42191502</v>
      </c>
      <c r="O1427" s="33" t="s">
        <v>4416</v>
      </c>
      <c r="P1427" s="33" t="s">
        <v>4417</v>
      </c>
      <c r="Q1427" s="34" t="s">
        <v>1494</v>
      </c>
      <c r="R1427" s="34" t="s">
        <v>1494</v>
      </c>
    </row>
    <row r="1428" spans="1:18" ht="15" customHeight="1" x14ac:dyDescent="0.25">
      <c r="A1428" t="str">
        <f>IFERROR(RANK(B1428,$B:$B,1)+COUNTIF($B$1:B1427,B1428),"")</f>
        <v/>
      </c>
      <c r="B1428" t="str">
        <f>IFERROR(SEARCH(#REF!,Table4[[#This Row],[Commodity Title]],1),"")</f>
        <v/>
      </c>
      <c r="C1428" s="33" t="s">
        <v>1494</v>
      </c>
      <c r="D1428" s="33" t="s">
        <v>1495</v>
      </c>
      <c r="E1428" s="33" t="s">
        <v>1496</v>
      </c>
      <c r="F1428" s="33" t="s">
        <v>1497</v>
      </c>
      <c r="G1428" s="33" t="s">
        <v>4408</v>
      </c>
      <c r="H1428" s="33" t="s">
        <v>4409</v>
      </c>
      <c r="I1428" s="33" t="s">
        <v>4410</v>
      </c>
      <c r="J1428" s="33">
        <v>115429</v>
      </c>
      <c r="K1428" s="33" t="s">
        <v>4418</v>
      </c>
      <c r="L1428" s="33" t="s">
        <v>4419</v>
      </c>
      <c r="M1428" s="33" t="s">
        <v>4420</v>
      </c>
      <c r="N1428" s="44" t="s">
        <v>1494</v>
      </c>
      <c r="O1428" s="33" t="s">
        <v>1494</v>
      </c>
      <c r="P1428" s="33" t="s">
        <v>1494</v>
      </c>
      <c r="Q1428" s="34" t="s">
        <v>1494</v>
      </c>
      <c r="R1428" s="34" t="s">
        <v>1494</v>
      </c>
    </row>
    <row r="1429" spans="1:18" ht="15" customHeight="1" x14ac:dyDescent="0.25">
      <c r="A1429" t="str">
        <f>IFERROR(RANK(B1429,$B:$B,1)+COUNTIF($B$1:B1428,B1429),"")</f>
        <v/>
      </c>
      <c r="B1429" t="str">
        <f>IFERROR(SEARCH(#REF!,Table4[[#This Row],[Commodity Title]],1),"")</f>
        <v/>
      </c>
      <c r="C1429" s="35">
        <v>42191601</v>
      </c>
      <c r="D1429" s="33" t="s">
        <v>1495</v>
      </c>
      <c r="E1429" s="33" t="s">
        <v>1496</v>
      </c>
      <c r="F1429" s="33" t="s">
        <v>1497</v>
      </c>
      <c r="G1429" s="33" t="s">
        <v>4408</v>
      </c>
      <c r="H1429" s="33" t="s">
        <v>4409</v>
      </c>
      <c r="I1429" s="33" t="s">
        <v>4410</v>
      </c>
      <c r="J1429" s="33">
        <v>115430</v>
      </c>
      <c r="K1429" s="33" t="s">
        <v>4418</v>
      </c>
      <c r="L1429" s="33" t="s">
        <v>4419</v>
      </c>
      <c r="M1429" s="33" t="s">
        <v>4420</v>
      </c>
      <c r="N1429" s="44">
        <v>42191601</v>
      </c>
      <c r="O1429" s="33" t="s">
        <v>4421</v>
      </c>
      <c r="P1429" s="33" t="s">
        <v>4422</v>
      </c>
      <c r="Q1429" s="34" t="s">
        <v>1494</v>
      </c>
      <c r="R1429" s="34" t="s">
        <v>1494</v>
      </c>
    </row>
    <row r="1430" spans="1:18" ht="15" customHeight="1" x14ac:dyDescent="0.25">
      <c r="A1430" t="str">
        <f>IFERROR(RANK(B1430,$B:$B,1)+COUNTIF($B$1:B1429,B1430),"")</f>
        <v/>
      </c>
      <c r="B1430" t="str">
        <f>IFERROR(SEARCH(#REF!,Table4[[#This Row],[Commodity Title]],1),"")</f>
        <v/>
      </c>
      <c r="C1430" s="35">
        <v>42191602</v>
      </c>
      <c r="D1430" s="33" t="s">
        <v>1495</v>
      </c>
      <c r="E1430" s="33" t="s">
        <v>1496</v>
      </c>
      <c r="F1430" s="33" t="s">
        <v>1497</v>
      </c>
      <c r="G1430" s="33" t="s">
        <v>4408</v>
      </c>
      <c r="H1430" s="33" t="s">
        <v>4409</v>
      </c>
      <c r="I1430" s="33" t="s">
        <v>4410</v>
      </c>
      <c r="J1430" s="33">
        <v>115431</v>
      </c>
      <c r="K1430" s="33" t="s">
        <v>4418</v>
      </c>
      <c r="L1430" s="33" t="s">
        <v>4419</v>
      </c>
      <c r="M1430" s="33" t="s">
        <v>4420</v>
      </c>
      <c r="N1430" s="44">
        <v>42191602</v>
      </c>
      <c r="O1430" s="33" t="s">
        <v>4423</v>
      </c>
      <c r="P1430" s="33" t="s">
        <v>4424</v>
      </c>
      <c r="Q1430" s="34" t="s">
        <v>1494</v>
      </c>
      <c r="R1430" s="34" t="s">
        <v>1494</v>
      </c>
    </row>
    <row r="1431" spans="1:18" ht="15" customHeight="1" x14ac:dyDescent="0.25">
      <c r="A1431" t="str">
        <f>IFERROR(RANK(B1431,$B:$B,1)+COUNTIF($B$1:B1430,B1431),"")</f>
        <v/>
      </c>
      <c r="B1431" t="str">
        <f>IFERROR(SEARCH(#REF!,Table4[[#This Row],[Commodity Title]],1),"")</f>
        <v/>
      </c>
      <c r="C1431" s="35">
        <v>42191603</v>
      </c>
      <c r="D1431" s="33" t="s">
        <v>1495</v>
      </c>
      <c r="E1431" s="33" t="s">
        <v>1496</v>
      </c>
      <c r="F1431" s="33" t="s">
        <v>1497</v>
      </c>
      <c r="G1431" s="33" t="s">
        <v>4408</v>
      </c>
      <c r="H1431" s="33" t="s">
        <v>4409</v>
      </c>
      <c r="I1431" s="33" t="s">
        <v>4410</v>
      </c>
      <c r="J1431" s="33">
        <v>115432</v>
      </c>
      <c r="K1431" s="33" t="s">
        <v>4418</v>
      </c>
      <c r="L1431" s="33" t="s">
        <v>4419</v>
      </c>
      <c r="M1431" s="33" t="s">
        <v>4420</v>
      </c>
      <c r="N1431" s="44">
        <v>42191603</v>
      </c>
      <c r="O1431" s="33" t="s">
        <v>4425</v>
      </c>
      <c r="P1431" s="33" t="s">
        <v>4426</v>
      </c>
      <c r="Q1431" s="34" t="s">
        <v>1494</v>
      </c>
      <c r="R1431" s="34" t="s">
        <v>1494</v>
      </c>
    </row>
    <row r="1432" spans="1:18" ht="15" customHeight="1" x14ac:dyDescent="0.25">
      <c r="A1432" t="str">
        <f>IFERROR(RANK(B1432,$B:$B,1)+COUNTIF($B$1:B1431,B1432),"")</f>
        <v/>
      </c>
      <c r="B1432" t="str">
        <f>IFERROR(SEARCH(#REF!,Table4[[#This Row],[Commodity Title]],1),"")</f>
        <v/>
      </c>
      <c r="C1432" s="35">
        <v>42191604</v>
      </c>
      <c r="D1432" s="33" t="s">
        <v>1495</v>
      </c>
      <c r="E1432" s="33" t="s">
        <v>1496</v>
      </c>
      <c r="F1432" s="33" t="s">
        <v>1497</v>
      </c>
      <c r="G1432" s="33" t="s">
        <v>4408</v>
      </c>
      <c r="H1432" s="33" t="s">
        <v>4409</v>
      </c>
      <c r="I1432" s="33" t="s">
        <v>4410</v>
      </c>
      <c r="J1432" s="33">
        <v>115433</v>
      </c>
      <c r="K1432" s="33" t="s">
        <v>4418</v>
      </c>
      <c r="L1432" s="33" t="s">
        <v>4419</v>
      </c>
      <c r="M1432" s="33" t="s">
        <v>4420</v>
      </c>
      <c r="N1432" s="44">
        <v>42191604</v>
      </c>
      <c r="O1432" s="33" t="s">
        <v>4427</v>
      </c>
      <c r="P1432" s="33" t="s">
        <v>4428</v>
      </c>
      <c r="Q1432" s="34" t="s">
        <v>1494</v>
      </c>
      <c r="R1432" s="34" t="s">
        <v>1494</v>
      </c>
    </row>
    <row r="1433" spans="1:18" ht="15" customHeight="1" x14ac:dyDescent="0.25">
      <c r="A1433" t="str">
        <f>IFERROR(RANK(B1433,$B:$B,1)+COUNTIF($B$1:B1432,B1433),"")</f>
        <v/>
      </c>
      <c r="B1433" t="str">
        <f>IFERROR(SEARCH(#REF!,Table4[[#This Row],[Commodity Title]],1),"")</f>
        <v/>
      </c>
      <c r="C1433" s="35">
        <v>42191605</v>
      </c>
      <c r="D1433" s="33" t="s">
        <v>1495</v>
      </c>
      <c r="E1433" s="33" t="s">
        <v>1496</v>
      </c>
      <c r="F1433" s="33" t="s">
        <v>1497</v>
      </c>
      <c r="G1433" s="33" t="s">
        <v>4408</v>
      </c>
      <c r="H1433" s="33" t="s">
        <v>4409</v>
      </c>
      <c r="I1433" s="33" t="s">
        <v>4410</v>
      </c>
      <c r="J1433" s="33">
        <v>115434</v>
      </c>
      <c r="K1433" s="33" t="s">
        <v>4418</v>
      </c>
      <c r="L1433" s="33" t="s">
        <v>4419</v>
      </c>
      <c r="M1433" s="33" t="s">
        <v>4420</v>
      </c>
      <c r="N1433" s="44">
        <v>42191605</v>
      </c>
      <c r="O1433" s="33" t="s">
        <v>4429</v>
      </c>
      <c r="P1433" s="33" t="s">
        <v>4430</v>
      </c>
      <c r="Q1433" s="34" t="s">
        <v>1494</v>
      </c>
      <c r="R1433" s="34" t="s">
        <v>1494</v>
      </c>
    </row>
    <row r="1434" spans="1:18" ht="15" customHeight="1" x14ac:dyDescent="0.25">
      <c r="A1434" t="str">
        <f>IFERROR(RANK(B1434,$B:$B,1)+COUNTIF($B$1:B1433,B1434),"")</f>
        <v/>
      </c>
      <c r="B1434" t="str">
        <f>IFERROR(SEARCH(#REF!,Table4[[#This Row],[Commodity Title]],1),"")</f>
        <v/>
      </c>
      <c r="C1434" s="35">
        <v>42191606</v>
      </c>
      <c r="D1434" s="33" t="s">
        <v>1495</v>
      </c>
      <c r="E1434" s="33" t="s">
        <v>1496</v>
      </c>
      <c r="F1434" s="33" t="s">
        <v>1497</v>
      </c>
      <c r="G1434" s="33" t="s">
        <v>4408</v>
      </c>
      <c r="H1434" s="33" t="s">
        <v>4409</v>
      </c>
      <c r="I1434" s="33" t="s">
        <v>4410</v>
      </c>
      <c r="J1434" s="33">
        <v>115435</v>
      </c>
      <c r="K1434" s="33" t="s">
        <v>4418</v>
      </c>
      <c r="L1434" s="33" t="s">
        <v>4419</v>
      </c>
      <c r="M1434" s="33" t="s">
        <v>4420</v>
      </c>
      <c r="N1434" s="44">
        <v>42191606</v>
      </c>
      <c r="O1434" s="33" t="s">
        <v>4431</v>
      </c>
      <c r="P1434" s="33" t="s">
        <v>4432</v>
      </c>
      <c r="Q1434" s="34" t="s">
        <v>1494</v>
      </c>
      <c r="R1434" s="34" t="s">
        <v>1494</v>
      </c>
    </row>
    <row r="1435" spans="1:18" ht="15" customHeight="1" x14ac:dyDescent="0.25">
      <c r="A1435" t="str">
        <f>IFERROR(RANK(B1435,$B:$B,1)+COUNTIF($B$1:B1434,B1435),"")</f>
        <v/>
      </c>
      <c r="B1435" t="str">
        <f>IFERROR(SEARCH(#REF!,Table4[[#This Row],[Commodity Title]],1),"")</f>
        <v/>
      </c>
      <c r="C1435" s="35">
        <v>42191607</v>
      </c>
      <c r="D1435" s="33" t="s">
        <v>1495</v>
      </c>
      <c r="E1435" s="33" t="s">
        <v>1496</v>
      </c>
      <c r="F1435" s="33" t="s">
        <v>1497</v>
      </c>
      <c r="G1435" s="33" t="s">
        <v>4408</v>
      </c>
      <c r="H1435" s="33" t="s">
        <v>4409</v>
      </c>
      <c r="I1435" s="33" t="s">
        <v>4410</v>
      </c>
      <c r="J1435" s="33">
        <v>115436</v>
      </c>
      <c r="K1435" s="33" t="s">
        <v>4418</v>
      </c>
      <c r="L1435" s="33" t="s">
        <v>4419</v>
      </c>
      <c r="M1435" s="33" t="s">
        <v>4420</v>
      </c>
      <c r="N1435" s="44">
        <v>42191607</v>
      </c>
      <c r="O1435" s="33" t="s">
        <v>4433</v>
      </c>
      <c r="P1435" s="33" t="s">
        <v>4434</v>
      </c>
      <c r="Q1435" s="34" t="s">
        <v>1494</v>
      </c>
      <c r="R1435" s="34" t="s">
        <v>1494</v>
      </c>
    </row>
    <row r="1436" spans="1:18" ht="15" customHeight="1" x14ac:dyDescent="0.25">
      <c r="A1436" t="str">
        <f>IFERROR(RANK(B1436,$B:$B,1)+COUNTIF($B$1:B1435,B1436),"")</f>
        <v/>
      </c>
      <c r="B1436" t="str">
        <f>IFERROR(SEARCH(#REF!,Table4[[#This Row],[Commodity Title]],1),"")</f>
        <v/>
      </c>
      <c r="C1436" s="35">
        <v>42191608</v>
      </c>
      <c r="D1436" s="33" t="s">
        <v>1495</v>
      </c>
      <c r="E1436" s="33" t="s">
        <v>1496</v>
      </c>
      <c r="F1436" s="33" t="s">
        <v>1497</v>
      </c>
      <c r="G1436" s="33" t="s">
        <v>4408</v>
      </c>
      <c r="H1436" s="33" t="s">
        <v>4409</v>
      </c>
      <c r="I1436" s="33" t="s">
        <v>4410</v>
      </c>
      <c r="J1436" s="33">
        <v>115437</v>
      </c>
      <c r="K1436" s="33" t="s">
        <v>4418</v>
      </c>
      <c r="L1436" s="33" t="s">
        <v>4419</v>
      </c>
      <c r="M1436" s="33" t="s">
        <v>4420</v>
      </c>
      <c r="N1436" s="44">
        <v>42191608</v>
      </c>
      <c r="O1436" s="33" t="s">
        <v>4435</v>
      </c>
      <c r="P1436" s="33" t="s">
        <v>4436</v>
      </c>
      <c r="Q1436" s="34" t="s">
        <v>1494</v>
      </c>
      <c r="R1436" s="34" t="s">
        <v>1494</v>
      </c>
    </row>
    <row r="1437" spans="1:18" ht="15" customHeight="1" x14ac:dyDescent="0.25">
      <c r="A1437" t="str">
        <f>IFERROR(RANK(B1437,$B:$B,1)+COUNTIF($B$1:B1436,B1437),"")</f>
        <v/>
      </c>
      <c r="B1437" t="str">
        <f>IFERROR(SEARCH(#REF!,Table4[[#This Row],[Commodity Title]],1),"")</f>
        <v/>
      </c>
      <c r="C1437" s="35">
        <v>42191609</v>
      </c>
      <c r="D1437" s="33" t="s">
        <v>1495</v>
      </c>
      <c r="E1437" s="33" t="s">
        <v>1496</v>
      </c>
      <c r="F1437" s="33" t="s">
        <v>1497</v>
      </c>
      <c r="G1437" s="33" t="s">
        <v>4408</v>
      </c>
      <c r="H1437" s="33" t="s">
        <v>4409</v>
      </c>
      <c r="I1437" s="33" t="s">
        <v>4410</v>
      </c>
      <c r="J1437" s="33">
        <v>115438</v>
      </c>
      <c r="K1437" s="33" t="s">
        <v>4418</v>
      </c>
      <c r="L1437" s="33" t="s">
        <v>4419</v>
      </c>
      <c r="M1437" s="33" t="s">
        <v>4420</v>
      </c>
      <c r="N1437" s="44">
        <v>42191609</v>
      </c>
      <c r="O1437" s="33" t="s">
        <v>4437</v>
      </c>
      <c r="P1437" s="33" t="s">
        <v>4438</v>
      </c>
      <c r="Q1437" s="34" t="s">
        <v>1494</v>
      </c>
      <c r="R1437" s="34" t="s">
        <v>1494</v>
      </c>
    </row>
    <row r="1438" spans="1:18" ht="15" customHeight="1" x14ac:dyDescent="0.25">
      <c r="A1438" t="str">
        <f>IFERROR(RANK(B1438,$B:$B,1)+COUNTIF($B$1:B1437,B1438),"")</f>
        <v/>
      </c>
      <c r="B1438" t="str">
        <f>IFERROR(SEARCH(#REF!,Table4[[#This Row],[Commodity Title]],1),"")</f>
        <v/>
      </c>
      <c r="C1438" s="35">
        <v>42191610</v>
      </c>
      <c r="D1438" s="33" t="s">
        <v>1495</v>
      </c>
      <c r="E1438" s="33" t="s">
        <v>1496</v>
      </c>
      <c r="F1438" s="33" t="s">
        <v>1497</v>
      </c>
      <c r="G1438" s="33" t="s">
        <v>4408</v>
      </c>
      <c r="H1438" s="33" t="s">
        <v>4409</v>
      </c>
      <c r="I1438" s="33" t="s">
        <v>4410</v>
      </c>
      <c r="J1438" s="33">
        <v>115439</v>
      </c>
      <c r="K1438" s="33" t="s">
        <v>4418</v>
      </c>
      <c r="L1438" s="33" t="s">
        <v>4419</v>
      </c>
      <c r="M1438" s="33" t="s">
        <v>4420</v>
      </c>
      <c r="N1438" s="44">
        <v>42191610</v>
      </c>
      <c r="O1438" s="33" t="s">
        <v>4439</v>
      </c>
      <c r="P1438" s="33" t="s">
        <v>4440</v>
      </c>
      <c r="Q1438" s="34" t="s">
        <v>1494</v>
      </c>
      <c r="R1438" s="34" t="s">
        <v>1494</v>
      </c>
    </row>
    <row r="1439" spans="1:18" ht="15" customHeight="1" x14ac:dyDescent="0.25">
      <c r="A1439" t="str">
        <f>IFERROR(RANK(B1439,$B:$B,1)+COUNTIF($B$1:B1438,B1439),"")</f>
        <v/>
      </c>
      <c r="B1439" t="str">
        <f>IFERROR(SEARCH(#REF!,Table4[[#This Row],[Commodity Title]],1),"")</f>
        <v/>
      </c>
      <c r="C1439" s="35">
        <v>42191611</v>
      </c>
      <c r="D1439" s="33" t="s">
        <v>1495</v>
      </c>
      <c r="E1439" s="33" t="s">
        <v>1496</v>
      </c>
      <c r="F1439" s="33" t="s">
        <v>1497</v>
      </c>
      <c r="G1439" s="33" t="s">
        <v>4408</v>
      </c>
      <c r="H1439" s="33" t="s">
        <v>4409</v>
      </c>
      <c r="I1439" s="33" t="s">
        <v>4410</v>
      </c>
      <c r="J1439" s="33">
        <v>115440</v>
      </c>
      <c r="K1439" s="33" t="s">
        <v>4418</v>
      </c>
      <c r="L1439" s="33" t="s">
        <v>4419</v>
      </c>
      <c r="M1439" s="33" t="s">
        <v>4420</v>
      </c>
      <c r="N1439" s="44">
        <v>42191611</v>
      </c>
      <c r="O1439" s="33" t="s">
        <v>4441</v>
      </c>
      <c r="P1439" s="33" t="s">
        <v>4442</v>
      </c>
      <c r="Q1439" s="34" t="s">
        <v>1494</v>
      </c>
      <c r="R1439" s="34" t="s">
        <v>1494</v>
      </c>
    </row>
    <row r="1440" spans="1:18" ht="15" customHeight="1" x14ac:dyDescent="0.25">
      <c r="A1440" t="str">
        <f>IFERROR(RANK(B1440,$B:$B,1)+COUNTIF($B$1:B1439,B1440),"")</f>
        <v/>
      </c>
      <c r="B1440" t="str">
        <f>IFERROR(SEARCH(#REF!,Table4[[#This Row],[Commodity Title]],1),"")</f>
        <v/>
      </c>
      <c r="C1440" s="35">
        <v>42191612</v>
      </c>
      <c r="D1440" s="33" t="s">
        <v>1495</v>
      </c>
      <c r="E1440" s="33" t="s">
        <v>1496</v>
      </c>
      <c r="F1440" s="33" t="s">
        <v>1497</v>
      </c>
      <c r="G1440" s="33" t="s">
        <v>4408</v>
      </c>
      <c r="H1440" s="33" t="s">
        <v>4409</v>
      </c>
      <c r="I1440" s="33" t="s">
        <v>4410</v>
      </c>
      <c r="J1440" s="33">
        <v>115441</v>
      </c>
      <c r="K1440" s="33" t="s">
        <v>4418</v>
      </c>
      <c r="L1440" s="33" t="s">
        <v>4419</v>
      </c>
      <c r="M1440" s="33" t="s">
        <v>4420</v>
      </c>
      <c r="N1440" s="44">
        <v>42191612</v>
      </c>
      <c r="O1440" s="33" t="s">
        <v>4443</v>
      </c>
      <c r="P1440" s="33" t="s">
        <v>4444</v>
      </c>
      <c r="Q1440" s="34" t="s">
        <v>1494</v>
      </c>
      <c r="R1440" s="34" t="s">
        <v>1494</v>
      </c>
    </row>
    <row r="1441" spans="1:18" ht="15" customHeight="1" x14ac:dyDescent="0.25">
      <c r="A1441" t="str">
        <f>IFERROR(RANK(B1441,$B:$B,1)+COUNTIF($B$1:B1440,B1441),"")</f>
        <v/>
      </c>
      <c r="B1441" t="str">
        <f>IFERROR(SEARCH(#REF!,Table4[[#This Row],[Commodity Title]],1),"")</f>
        <v/>
      </c>
      <c r="C1441" s="35">
        <v>42191613</v>
      </c>
      <c r="D1441" s="33" t="s">
        <v>1495</v>
      </c>
      <c r="E1441" s="33" t="s">
        <v>1496</v>
      </c>
      <c r="F1441" s="33" t="s">
        <v>1497</v>
      </c>
      <c r="G1441" s="33" t="s">
        <v>4408</v>
      </c>
      <c r="H1441" s="33" t="s">
        <v>4409</v>
      </c>
      <c r="I1441" s="33" t="s">
        <v>4410</v>
      </c>
      <c r="J1441" s="33">
        <v>164866</v>
      </c>
      <c r="K1441" s="33" t="s">
        <v>4418</v>
      </c>
      <c r="L1441" s="33" t="s">
        <v>4419</v>
      </c>
      <c r="M1441" s="33" t="s">
        <v>4420</v>
      </c>
      <c r="N1441" s="44">
        <v>42191613</v>
      </c>
      <c r="O1441" s="33" t="s">
        <v>4445</v>
      </c>
      <c r="P1441" s="33" t="s">
        <v>4446</v>
      </c>
      <c r="Q1441" s="34" t="s">
        <v>1494</v>
      </c>
      <c r="R1441" s="34" t="s">
        <v>1494</v>
      </c>
    </row>
    <row r="1442" spans="1:18" ht="15" customHeight="1" x14ac:dyDescent="0.25">
      <c r="A1442" t="str">
        <f>IFERROR(RANK(B1442,$B:$B,1)+COUNTIF($B$1:B1441,B1442),"")</f>
        <v/>
      </c>
      <c r="B1442" t="str">
        <f>IFERROR(SEARCH(#REF!,Table4[[#This Row],[Commodity Title]],1),"")</f>
        <v/>
      </c>
      <c r="C1442" s="35">
        <v>42191614</v>
      </c>
      <c r="D1442" s="33" t="s">
        <v>1495</v>
      </c>
      <c r="E1442" s="33" t="s">
        <v>1496</v>
      </c>
      <c r="F1442" s="33" t="s">
        <v>1497</v>
      </c>
      <c r="G1442" s="33" t="s">
        <v>4408</v>
      </c>
      <c r="H1442" s="33" t="s">
        <v>4409</v>
      </c>
      <c r="I1442" s="33" t="s">
        <v>4410</v>
      </c>
      <c r="J1442" s="33">
        <v>202769</v>
      </c>
      <c r="K1442" s="33" t="s">
        <v>4418</v>
      </c>
      <c r="L1442" s="33" t="s">
        <v>4419</v>
      </c>
      <c r="M1442" s="33" t="s">
        <v>4420</v>
      </c>
      <c r="N1442" s="44">
        <v>42191614</v>
      </c>
      <c r="O1442" s="33" t="s">
        <v>4447</v>
      </c>
      <c r="P1442" s="33" t="s">
        <v>4448</v>
      </c>
      <c r="Q1442" s="34" t="s">
        <v>1494</v>
      </c>
      <c r="R1442" s="34" t="s">
        <v>1494</v>
      </c>
    </row>
    <row r="1443" spans="1:18" ht="15" customHeight="1" x14ac:dyDescent="0.25">
      <c r="A1443" t="str">
        <f>IFERROR(RANK(B1443,$B:$B,1)+COUNTIF($B$1:B1442,B1443),"")</f>
        <v/>
      </c>
      <c r="B1443" t="str">
        <f>IFERROR(SEARCH(#REF!,Table4[[#This Row],[Commodity Title]],1),"")</f>
        <v/>
      </c>
      <c r="C1443" s="35">
        <v>42191615</v>
      </c>
      <c r="D1443" s="33" t="s">
        <v>1495</v>
      </c>
      <c r="E1443" s="33" t="s">
        <v>1496</v>
      </c>
      <c r="F1443" s="33" t="s">
        <v>1497</v>
      </c>
      <c r="G1443" s="33" t="s">
        <v>4408</v>
      </c>
      <c r="H1443" s="33" t="s">
        <v>4409</v>
      </c>
      <c r="I1443" s="33" t="s">
        <v>4410</v>
      </c>
      <c r="J1443" s="33">
        <v>202770</v>
      </c>
      <c r="K1443" s="33" t="s">
        <v>4418</v>
      </c>
      <c r="L1443" s="33" t="s">
        <v>4419</v>
      </c>
      <c r="M1443" s="33" t="s">
        <v>4420</v>
      </c>
      <c r="N1443" s="44">
        <v>42191615</v>
      </c>
      <c r="O1443" s="33" t="s">
        <v>4449</v>
      </c>
      <c r="P1443" s="33" t="s">
        <v>4405</v>
      </c>
      <c r="Q1443" s="34" t="s">
        <v>1494</v>
      </c>
      <c r="R1443" s="34" t="s">
        <v>1494</v>
      </c>
    </row>
    <row r="1444" spans="1:18" ht="15" customHeight="1" x14ac:dyDescent="0.25">
      <c r="A1444" t="str">
        <f>IFERROR(RANK(B1444,$B:$B,1)+COUNTIF($B$1:B1443,B1444),"")</f>
        <v/>
      </c>
      <c r="B1444" t="str">
        <f>IFERROR(SEARCH(#REF!,Table4[[#This Row],[Commodity Title]],1),"")</f>
        <v/>
      </c>
      <c r="C1444" s="35">
        <v>42191616</v>
      </c>
      <c r="D1444" s="33" t="s">
        <v>1495</v>
      </c>
      <c r="E1444" s="33" t="s">
        <v>1496</v>
      </c>
      <c r="F1444" s="33" t="s">
        <v>1497</v>
      </c>
      <c r="G1444" s="33" t="s">
        <v>4408</v>
      </c>
      <c r="H1444" s="33" t="s">
        <v>4409</v>
      </c>
      <c r="I1444" s="33" t="s">
        <v>4410</v>
      </c>
      <c r="J1444" s="33">
        <v>202771</v>
      </c>
      <c r="K1444" s="33" t="s">
        <v>4418</v>
      </c>
      <c r="L1444" s="33" t="s">
        <v>4419</v>
      </c>
      <c r="M1444" s="33" t="s">
        <v>4420</v>
      </c>
      <c r="N1444" s="44">
        <v>42191616</v>
      </c>
      <c r="O1444" s="33" t="s">
        <v>4450</v>
      </c>
      <c r="P1444" s="33" t="s">
        <v>4451</v>
      </c>
      <c r="Q1444" s="34" t="s">
        <v>1494</v>
      </c>
      <c r="R1444" s="34" t="s">
        <v>1494</v>
      </c>
    </row>
    <row r="1445" spans="1:18" ht="15" customHeight="1" x14ac:dyDescent="0.25">
      <c r="A1445" t="str">
        <f>IFERROR(RANK(B1445,$B:$B,1)+COUNTIF($B$1:B1444,B1445),"")</f>
        <v/>
      </c>
      <c r="B1445" t="str">
        <f>IFERROR(SEARCH(#REF!,Table4[[#This Row],[Commodity Title]],1),"")</f>
        <v/>
      </c>
      <c r="C1445" s="35">
        <v>42191617</v>
      </c>
      <c r="D1445" s="33" t="s">
        <v>1495</v>
      </c>
      <c r="E1445" s="33" t="s">
        <v>1496</v>
      </c>
      <c r="F1445" s="33" t="s">
        <v>1497</v>
      </c>
      <c r="G1445" s="33" t="s">
        <v>4408</v>
      </c>
      <c r="H1445" s="33" t="s">
        <v>4409</v>
      </c>
      <c r="I1445" s="33" t="s">
        <v>4410</v>
      </c>
      <c r="J1445" s="33">
        <v>202772</v>
      </c>
      <c r="K1445" s="33" t="s">
        <v>4418</v>
      </c>
      <c r="L1445" s="33" t="s">
        <v>4419</v>
      </c>
      <c r="M1445" s="33" t="s">
        <v>4420</v>
      </c>
      <c r="N1445" s="44">
        <v>42191617</v>
      </c>
      <c r="O1445" s="33" t="s">
        <v>4452</v>
      </c>
      <c r="P1445" s="33" t="s">
        <v>4453</v>
      </c>
      <c r="Q1445" s="34" t="s">
        <v>1494</v>
      </c>
      <c r="R1445" s="34" t="s">
        <v>1494</v>
      </c>
    </row>
    <row r="1446" spans="1:18" ht="15" customHeight="1" x14ac:dyDescent="0.25">
      <c r="A1446" t="str">
        <f>IFERROR(RANK(B1446,$B:$B,1)+COUNTIF($B$1:B1445,B1446),"")</f>
        <v/>
      </c>
      <c r="B1446" t="str">
        <f>IFERROR(SEARCH(#REF!,Table4[[#This Row],[Commodity Title]],1),"")</f>
        <v/>
      </c>
      <c r="C1446" s="33" t="s">
        <v>1494</v>
      </c>
      <c r="D1446" s="33" t="s">
        <v>1495</v>
      </c>
      <c r="E1446" s="33" t="s">
        <v>1496</v>
      </c>
      <c r="F1446" s="33" t="s">
        <v>1497</v>
      </c>
      <c r="G1446" s="33" t="s">
        <v>4408</v>
      </c>
      <c r="H1446" s="33" t="s">
        <v>4409</v>
      </c>
      <c r="I1446" s="33" t="s">
        <v>4410</v>
      </c>
      <c r="J1446" s="33">
        <v>115442</v>
      </c>
      <c r="K1446" s="33" t="s">
        <v>4454</v>
      </c>
      <c r="L1446" s="33" t="s">
        <v>4455</v>
      </c>
      <c r="M1446" s="33" t="s">
        <v>4456</v>
      </c>
      <c r="N1446" s="44" t="s">
        <v>1494</v>
      </c>
      <c r="O1446" s="33" t="s">
        <v>1494</v>
      </c>
      <c r="P1446" s="33" t="s">
        <v>1494</v>
      </c>
      <c r="Q1446" s="34" t="s">
        <v>1494</v>
      </c>
      <c r="R1446" s="34" t="s">
        <v>1494</v>
      </c>
    </row>
    <row r="1447" spans="1:18" ht="15" customHeight="1" x14ac:dyDescent="0.25">
      <c r="A1447" t="str">
        <f>IFERROR(RANK(B1447,$B:$B,1)+COUNTIF($B$1:B1446,B1447),"")</f>
        <v/>
      </c>
      <c r="B1447" t="str">
        <f>IFERROR(SEARCH(#REF!,Table4[[#This Row],[Commodity Title]],1),"")</f>
        <v/>
      </c>
      <c r="C1447" s="35">
        <v>42191701</v>
      </c>
      <c r="D1447" s="33" t="s">
        <v>1495</v>
      </c>
      <c r="E1447" s="33" t="s">
        <v>1496</v>
      </c>
      <c r="F1447" s="33" t="s">
        <v>1497</v>
      </c>
      <c r="G1447" s="33" t="s">
        <v>4408</v>
      </c>
      <c r="H1447" s="33" t="s">
        <v>4409</v>
      </c>
      <c r="I1447" s="33" t="s">
        <v>4410</v>
      </c>
      <c r="J1447" s="33">
        <v>115443</v>
      </c>
      <c r="K1447" s="33" t="s">
        <v>4454</v>
      </c>
      <c r="L1447" s="33" t="s">
        <v>4455</v>
      </c>
      <c r="M1447" s="33" t="s">
        <v>4456</v>
      </c>
      <c r="N1447" s="44">
        <v>42191701</v>
      </c>
      <c r="O1447" s="33" t="s">
        <v>4457</v>
      </c>
      <c r="P1447" s="33" t="s">
        <v>4458</v>
      </c>
      <c r="Q1447" s="34" t="s">
        <v>1494</v>
      </c>
      <c r="R1447" s="34" t="s">
        <v>1494</v>
      </c>
    </row>
    <row r="1448" spans="1:18" ht="15" customHeight="1" x14ac:dyDescent="0.25">
      <c r="A1448" t="str">
        <f>IFERROR(RANK(B1448,$B:$B,1)+COUNTIF($B$1:B1447,B1448),"")</f>
        <v/>
      </c>
      <c r="B1448" t="str">
        <f>IFERROR(SEARCH(#REF!,Table4[[#This Row],[Commodity Title]],1),"")</f>
        <v/>
      </c>
      <c r="C1448" s="35">
        <v>42191702</v>
      </c>
      <c r="D1448" s="33" t="s">
        <v>1495</v>
      </c>
      <c r="E1448" s="33" t="s">
        <v>1496</v>
      </c>
      <c r="F1448" s="33" t="s">
        <v>1497</v>
      </c>
      <c r="G1448" s="33" t="s">
        <v>4408</v>
      </c>
      <c r="H1448" s="33" t="s">
        <v>4409</v>
      </c>
      <c r="I1448" s="33" t="s">
        <v>4410</v>
      </c>
      <c r="J1448" s="33">
        <v>115444</v>
      </c>
      <c r="K1448" s="33" t="s">
        <v>4454</v>
      </c>
      <c r="L1448" s="33" t="s">
        <v>4455</v>
      </c>
      <c r="M1448" s="33" t="s">
        <v>4456</v>
      </c>
      <c r="N1448" s="44">
        <v>42191702</v>
      </c>
      <c r="O1448" s="33" t="s">
        <v>4459</v>
      </c>
      <c r="P1448" s="33" t="s">
        <v>4460</v>
      </c>
      <c r="Q1448" s="34" t="s">
        <v>1494</v>
      </c>
      <c r="R1448" s="34" t="s">
        <v>1494</v>
      </c>
    </row>
    <row r="1449" spans="1:18" ht="15" customHeight="1" x14ac:dyDescent="0.25">
      <c r="A1449" t="str">
        <f>IFERROR(RANK(B1449,$B:$B,1)+COUNTIF($B$1:B1448,B1449),"")</f>
        <v/>
      </c>
      <c r="B1449" t="str">
        <f>IFERROR(SEARCH(#REF!,Table4[[#This Row],[Commodity Title]],1),"")</f>
        <v/>
      </c>
      <c r="C1449" s="35">
        <v>42191703</v>
      </c>
      <c r="D1449" s="33" t="s">
        <v>1495</v>
      </c>
      <c r="E1449" s="33" t="s">
        <v>1496</v>
      </c>
      <c r="F1449" s="33" t="s">
        <v>1497</v>
      </c>
      <c r="G1449" s="33" t="s">
        <v>4408</v>
      </c>
      <c r="H1449" s="33" t="s">
        <v>4409</v>
      </c>
      <c r="I1449" s="33" t="s">
        <v>4410</v>
      </c>
      <c r="J1449" s="33">
        <v>115445</v>
      </c>
      <c r="K1449" s="33" t="s">
        <v>4454</v>
      </c>
      <c r="L1449" s="33" t="s">
        <v>4455</v>
      </c>
      <c r="M1449" s="33" t="s">
        <v>4456</v>
      </c>
      <c r="N1449" s="44">
        <v>42191703</v>
      </c>
      <c r="O1449" s="33" t="s">
        <v>4461</v>
      </c>
      <c r="P1449" s="33" t="s">
        <v>4462</v>
      </c>
      <c r="Q1449" s="34" t="s">
        <v>1494</v>
      </c>
      <c r="R1449" s="34" t="s">
        <v>1494</v>
      </c>
    </row>
    <row r="1450" spans="1:18" ht="15" customHeight="1" x14ac:dyDescent="0.25">
      <c r="A1450" t="str">
        <f>IFERROR(RANK(B1450,$B:$B,1)+COUNTIF($B$1:B1449,B1450),"")</f>
        <v/>
      </c>
      <c r="B1450" t="str">
        <f>IFERROR(SEARCH(#REF!,Table4[[#This Row],[Commodity Title]],1),"")</f>
        <v/>
      </c>
      <c r="C1450" s="35">
        <v>42191704</v>
      </c>
      <c r="D1450" s="33" t="s">
        <v>1495</v>
      </c>
      <c r="E1450" s="33" t="s">
        <v>1496</v>
      </c>
      <c r="F1450" s="33" t="s">
        <v>1497</v>
      </c>
      <c r="G1450" s="33" t="s">
        <v>4408</v>
      </c>
      <c r="H1450" s="33" t="s">
        <v>4409</v>
      </c>
      <c r="I1450" s="33" t="s">
        <v>4410</v>
      </c>
      <c r="J1450" s="33">
        <v>115446</v>
      </c>
      <c r="K1450" s="33" t="s">
        <v>4454</v>
      </c>
      <c r="L1450" s="33" t="s">
        <v>4455</v>
      </c>
      <c r="M1450" s="33" t="s">
        <v>4456</v>
      </c>
      <c r="N1450" s="44">
        <v>42191704</v>
      </c>
      <c r="O1450" s="33" t="s">
        <v>4463</v>
      </c>
      <c r="P1450" s="33" t="s">
        <v>4464</v>
      </c>
      <c r="Q1450" s="34" t="s">
        <v>1494</v>
      </c>
      <c r="R1450" s="34" t="s">
        <v>1494</v>
      </c>
    </row>
    <row r="1451" spans="1:18" ht="15" customHeight="1" x14ac:dyDescent="0.25">
      <c r="A1451" t="str">
        <f>IFERROR(RANK(B1451,$B:$B,1)+COUNTIF($B$1:B1450,B1451),"")</f>
        <v/>
      </c>
      <c r="B1451" t="str">
        <f>IFERROR(SEARCH(#REF!,Table4[[#This Row],[Commodity Title]],1),"")</f>
        <v/>
      </c>
      <c r="C1451" s="35">
        <v>42191705</v>
      </c>
      <c r="D1451" s="33" t="s">
        <v>1495</v>
      </c>
      <c r="E1451" s="33" t="s">
        <v>1496</v>
      </c>
      <c r="F1451" s="33" t="s">
        <v>1497</v>
      </c>
      <c r="G1451" s="33" t="s">
        <v>4408</v>
      </c>
      <c r="H1451" s="33" t="s">
        <v>4409</v>
      </c>
      <c r="I1451" s="33" t="s">
        <v>4410</v>
      </c>
      <c r="J1451" s="33">
        <v>115447</v>
      </c>
      <c r="K1451" s="33" t="s">
        <v>4454</v>
      </c>
      <c r="L1451" s="33" t="s">
        <v>4455</v>
      </c>
      <c r="M1451" s="33" t="s">
        <v>4456</v>
      </c>
      <c r="N1451" s="44">
        <v>42191705</v>
      </c>
      <c r="O1451" s="33" t="s">
        <v>4465</v>
      </c>
      <c r="P1451" s="33" t="s">
        <v>4466</v>
      </c>
      <c r="Q1451" s="34" t="s">
        <v>1494</v>
      </c>
      <c r="R1451" s="34" t="s">
        <v>1494</v>
      </c>
    </row>
    <row r="1452" spans="1:18" ht="15" customHeight="1" x14ac:dyDescent="0.25">
      <c r="A1452" t="str">
        <f>IFERROR(RANK(B1452,$B:$B,1)+COUNTIF($B$1:B1451,B1452),"")</f>
        <v/>
      </c>
      <c r="B1452" t="str">
        <f>IFERROR(SEARCH(#REF!,Table4[[#This Row],[Commodity Title]],1),"")</f>
        <v/>
      </c>
      <c r="C1452" s="35">
        <v>42191706</v>
      </c>
      <c r="D1452" s="33" t="s">
        <v>1495</v>
      </c>
      <c r="E1452" s="33" t="s">
        <v>1496</v>
      </c>
      <c r="F1452" s="33" t="s">
        <v>1497</v>
      </c>
      <c r="G1452" s="33" t="s">
        <v>4408</v>
      </c>
      <c r="H1452" s="33" t="s">
        <v>4409</v>
      </c>
      <c r="I1452" s="33" t="s">
        <v>4410</v>
      </c>
      <c r="J1452" s="33">
        <v>115448</v>
      </c>
      <c r="K1452" s="33" t="s">
        <v>4454</v>
      </c>
      <c r="L1452" s="33" t="s">
        <v>4455</v>
      </c>
      <c r="M1452" s="33" t="s">
        <v>4456</v>
      </c>
      <c r="N1452" s="44">
        <v>42191706</v>
      </c>
      <c r="O1452" s="33" t="s">
        <v>4467</v>
      </c>
      <c r="P1452" s="33" t="s">
        <v>4468</v>
      </c>
      <c r="Q1452" s="34" t="s">
        <v>1494</v>
      </c>
      <c r="R1452" s="34" t="s">
        <v>1494</v>
      </c>
    </row>
    <row r="1453" spans="1:18" ht="15" customHeight="1" x14ac:dyDescent="0.25">
      <c r="A1453" t="str">
        <f>IFERROR(RANK(B1453,$B:$B,1)+COUNTIF($B$1:B1452,B1453),"")</f>
        <v/>
      </c>
      <c r="B1453" t="str">
        <f>IFERROR(SEARCH(#REF!,Table4[[#This Row],[Commodity Title]],1),"")</f>
        <v/>
      </c>
      <c r="C1453" s="35">
        <v>42191707</v>
      </c>
      <c r="D1453" s="33" t="s">
        <v>1495</v>
      </c>
      <c r="E1453" s="33" t="s">
        <v>1496</v>
      </c>
      <c r="F1453" s="33" t="s">
        <v>1497</v>
      </c>
      <c r="G1453" s="33" t="s">
        <v>4408</v>
      </c>
      <c r="H1453" s="33" t="s">
        <v>4409</v>
      </c>
      <c r="I1453" s="33" t="s">
        <v>4410</v>
      </c>
      <c r="J1453" s="33">
        <v>115449</v>
      </c>
      <c r="K1453" s="33" t="s">
        <v>4454</v>
      </c>
      <c r="L1453" s="33" t="s">
        <v>4455</v>
      </c>
      <c r="M1453" s="33" t="s">
        <v>4456</v>
      </c>
      <c r="N1453" s="44">
        <v>42191707</v>
      </c>
      <c r="O1453" s="33" t="s">
        <v>4469</v>
      </c>
      <c r="P1453" s="33" t="s">
        <v>4470</v>
      </c>
      <c r="Q1453" s="34" t="s">
        <v>1494</v>
      </c>
      <c r="R1453" s="34" t="s">
        <v>1494</v>
      </c>
    </row>
    <row r="1454" spans="1:18" ht="15" customHeight="1" x14ac:dyDescent="0.25">
      <c r="A1454" t="str">
        <f>IFERROR(RANK(B1454,$B:$B,1)+COUNTIF($B$1:B1453,B1454),"")</f>
        <v/>
      </c>
      <c r="B1454" t="str">
        <f>IFERROR(SEARCH(#REF!,Table4[[#This Row],[Commodity Title]],1),"")</f>
        <v/>
      </c>
      <c r="C1454" s="35">
        <v>42191708</v>
      </c>
      <c r="D1454" s="33" t="s">
        <v>1495</v>
      </c>
      <c r="E1454" s="33" t="s">
        <v>1496</v>
      </c>
      <c r="F1454" s="33" t="s">
        <v>1497</v>
      </c>
      <c r="G1454" s="33" t="s">
        <v>4408</v>
      </c>
      <c r="H1454" s="33" t="s">
        <v>4409</v>
      </c>
      <c r="I1454" s="33" t="s">
        <v>4410</v>
      </c>
      <c r="J1454" s="33">
        <v>115450</v>
      </c>
      <c r="K1454" s="33" t="s">
        <v>4454</v>
      </c>
      <c r="L1454" s="33" t="s">
        <v>4455</v>
      </c>
      <c r="M1454" s="33" t="s">
        <v>4456</v>
      </c>
      <c r="N1454" s="44">
        <v>42191708</v>
      </c>
      <c r="O1454" s="33" t="s">
        <v>4471</v>
      </c>
      <c r="P1454" s="33" t="s">
        <v>4472</v>
      </c>
      <c r="Q1454" s="34" t="s">
        <v>1494</v>
      </c>
      <c r="R1454" s="34" t="s">
        <v>1494</v>
      </c>
    </row>
    <row r="1455" spans="1:18" ht="15" customHeight="1" x14ac:dyDescent="0.25">
      <c r="A1455" t="str">
        <f>IFERROR(RANK(B1455,$B:$B,1)+COUNTIF($B$1:B1454,B1455),"")</f>
        <v/>
      </c>
      <c r="B1455" t="str">
        <f>IFERROR(SEARCH(#REF!,Table4[[#This Row],[Commodity Title]],1),"")</f>
        <v/>
      </c>
      <c r="C1455" s="35">
        <v>42191709</v>
      </c>
      <c r="D1455" s="33" t="s">
        <v>1495</v>
      </c>
      <c r="E1455" s="33" t="s">
        <v>1496</v>
      </c>
      <c r="F1455" s="33" t="s">
        <v>1497</v>
      </c>
      <c r="G1455" s="33" t="s">
        <v>4408</v>
      </c>
      <c r="H1455" s="33" t="s">
        <v>4409</v>
      </c>
      <c r="I1455" s="33" t="s">
        <v>4410</v>
      </c>
      <c r="J1455" s="33">
        <v>115451</v>
      </c>
      <c r="K1455" s="33" t="s">
        <v>4454</v>
      </c>
      <c r="L1455" s="33" t="s">
        <v>4455</v>
      </c>
      <c r="M1455" s="33" t="s">
        <v>4456</v>
      </c>
      <c r="N1455" s="44">
        <v>42191709</v>
      </c>
      <c r="O1455" s="33" t="s">
        <v>4473</v>
      </c>
      <c r="P1455" s="33" t="s">
        <v>4474</v>
      </c>
      <c r="Q1455" s="34" t="s">
        <v>1494</v>
      </c>
      <c r="R1455" s="34" t="s">
        <v>1494</v>
      </c>
    </row>
    <row r="1456" spans="1:18" ht="15" customHeight="1" x14ac:dyDescent="0.25">
      <c r="A1456" t="str">
        <f>IFERROR(RANK(B1456,$B:$B,1)+COUNTIF($B$1:B1455,B1456),"")</f>
        <v/>
      </c>
      <c r="B1456" t="str">
        <f>IFERROR(SEARCH(#REF!,Table4[[#This Row],[Commodity Title]],1),"")</f>
        <v/>
      </c>
      <c r="C1456" s="35">
        <v>42191710</v>
      </c>
      <c r="D1456" s="33" t="s">
        <v>1495</v>
      </c>
      <c r="E1456" s="33" t="s">
        <v>1496</v>
      </c>
      <c r="F1456" s="33" t="s">
        <v>1497</v>
      </c>
      <c r="G1456" s="33" t="s">
        <v>4408</v>
      </c>
      <c r="H1456" s="33" t="s">
        <v>4409</v>
      </c>
      <c r="I1456" s="33" t="s">
        <v>4410</v>
      </c>
      <c r="J1456" s="33">
        <v>115452</v>
      </c>
      <c r="K1456" s="33" t="s">
        <v>4454</v>
      </c>
      <c r="L1456" s="33" t="s">
        <v>4455</v>
      </c>
      <c r="M1456" s="33" t="s">
        <v>4456</v>
      </c>
      <c r="N1456" s="44">
        <v>42191710</v>
      </c>
      <c r="O1456" s="33" t="s">
        <v>4475</v>
      </c>
      <c r="P1456" s="33" t="s">
        <v>4476</v>
      </c>
      <c r="Q1456" s="34" t="s">
        <v>1494</v>
      </c>
      <c r="R1456" s="34" t="s">
        <v>1494</v>
      </c>
    </row>
    <row r="1457" spans="1:18" ht="15" customHeight="1" x14ac:dyDescent="0.25">
      <c r="A1457" t="str">
        <f>IFERROR(RANK(B1457,$B:$B,1)+COUNTIF($B$1:B1456,B1457),"")</f>
        <v/>
      </c>
      <c r="B1457" t="str">
        <f>IFERROR(SEARCH(#REF!,Table4[[#This Row],[Commodity Title]],1),"")</f>
        <v/>
      </c>
      <c r="C1457" s="35">
        <v>42191711</v>
      </c>
      <c r="D1457" s="33" t="s">
        <v>1495</v>
      </c>
      <c r="E1457" s="33" t="s">
        <v>1496</v>
      </c>
      <c r="F1457" s="33" t="s">
        <v>1497</v>
      </c>
      <c r="G1457" s="33" t="s">
        <v>4408</v>
      </c>
      <c r="H1457" s="33" t="s">
        <v>4409</v>
      </c>
      <c r="I1457" s="33" t="s">
        <v>4410</v>
      </c>
      <c r="J1457" s="33">
        <v>142860</v>
      </c>
      <c r="K1457" s="33" t="s">
        <v>4454</v>
      </c>
      <c r="L1457" s="33" t="s">
        <v>4455</v>
      </c>
      <c r="M1457" s="33" t="s">
        <v>4456</v>
      </c>
      <c r="N1457" s="44">
        <v>42191711</v>
      </c>
      <c r="O1457" s="33" t="s">
        <v>4477</v>
      </c>
      <c r="P1457" s="33" t="s">
        <v>4478</v>
      </c>
      <c r="Q1457" s="34" t="s">
        <v>1494</v>
      </c>
      <c r="R1457" s="34" t="s">
        <v>1494</v>
      </c>
    </row>
    <row r="1458" spans="1:18" ht="15" customHeight="1" x14ac:dyDescent="0.25">
      <c r="A1458" t="str">
        <f>IFERROR(RANK(B1458,$B:$B,1)+COUNTIF($B$1:B1457,B1458),"")</f>
        <v/>
      </c>
      <c r="B1458" t="str">
        <f>IFERROR(SEARCH(#REF!,Table4[[#This Row],[Commodity Title]],1),"")</f>
        <v/>
      </c>
      <c r="C1458" s="35">
        <v>42191712</v>
      </c>
      <c r="D1458" s="33" t="s">
        <v>1495</v>
      </c>
      <c r="E1458" s="33" t="s">
        <v>1496</v>
      </c>
      <c r="F1458" s="33" t="s">
        <v>1497</v>
      </c>
      <c r="G1458" s="33" t="s">
        <v>4408</v>
      </c>
      <c r="H1458" s="33" t="s">
        <v>4409</v>
      </c>
      <c r="I1458" s="33" t="s">
        <v>4410</v>
      </c>
      <c r="J1458" s="33">
        <v>202773</v>
      </c>
      <c r="K1458" s="33" t="s">
        <v>4454</v>
      </c>
      <c r="L1458" s="33" t="s">
        <v>4455</v>
      </c>
      <c r="M1458" s="33" t="s">
        <v>4456</v>
      </c>
      <c r="N1458" s="44">
        <v>42191712</v>
      </c>
      <c r="O1458" s="33" t="s">
        <v>4479</v>
      </c>
      <c r="P1458" s="33" t="s">
        <v>4480</v>
      </c>
      <c r="Q1458" s="34" t="s">
        <v>1494</v>
      </c>
      <c r="R1458" s="34" t="s">
        <v>1494</v>
      </c>
    </row>
    <row r="1459" spans="1:18" ht="15" customHeight="1" x14ac:dyDescent="0.25">
      <c r="A1459" t="str">
        <f>IFERROR(RANK(B1459,$B:$B,1)+COUNTIF($B$1:B1458,B1459),"")</f>
        <v/>
      </c>
      <c r="B1459" t="str">
        <f>IFERROR(SEARCH(#REF!,Table4[[#This Row],[Commodity Title]],1),"")</f>
        <v/>
      </c>
      <c r="C1459" s="35">
        <v>42191713</v>
      </c>
      <c r="D1459" s="33" t="s">
        <v>1495</v>
      </c>
      <c r="E1459" s="33" t="s">
        <v>1496</v>
      </c>
      <c r="F1459" s="33" t="s">
        <v>1497</v>
      </c>
      <c r="G1459" s="33" t="s">
        <v>4408</v>
      </c>
      <c r="H1459" s="33" t="s">
        <v>4409</v>
      </c>
      <c r="I1459" s="33" t="s">
        <v>4410</v>
      </c>
      <c r="J1459" s="33">
        <v>202774</v>
      </c>
      <c r="K1459" s="33" t="s">
        <v>4454</v>
      </c>
      <c r="L1459" s="33" t="s">
        <v>4455</v>
      </c>
      <c r="M1459" s="33" t="s">
        <v>4456</v>
      </c>
      <c r="N1459" s="44">
        <v>42191713</v>
      </c>
      <c r="O1459" s="33" t="s">
        <v>4481</v>
      </c>
      <c r="P1459" s="33" t="s">
        <v>4482</v>
      </c>
      <c r="Q1459" s="34" t="s">
        <v>1494</v>
      </c>
      <c r="R1459" s="34" t="s">
        <v>1494</v>
      </c>
    </row>
    <row r="1460" spans="1:18" ht="15" customHeight="1" x14ac:dyDescent="0.25">
      <c r="A1460" t="str">
        <f>IFERROR(RANK(B1460,$B:$B,1)+COUNTIF($B$1:B1459,B1460),"")</f>
        <v/>
      </c>
      <c r="B1460" t="str">
        <f>IFERROR(SEARCH(#REF!,Table4[[#This Row],[Commodity Title]],1),"")</f>
        <v/>
      </c>
      <c r="C1460" s="33" t="s">
        <v>1494</v>
      </c>
      <c r="D1460" s="33" t="s">
        <v>1495</v>
      </c>
      <c r="E1460" s="33" t="s">
        <v>1496</v>
      </c>
      <c r="F1460" s="33" t="s">
        <v>1497</v>
      </c>
      <c r="G1460" s="33" t="s">
        <v>4408</v>
      </c>
      <c r="H1460" s="33" t="s">
        <v>4409</v>
      </c>
      <c r="I1460" s="33" t="s">
        <v>4410</v>
      </c>
      <c r="J1460" s="33">
        <v>115453</v>
      </c>
      <c r="K1460" s="33" t="s">
        <v>4483</v>
      </c>
      <c r="L1460" s="33" t="s">
        <v>4484</v>
      </c>
      <c r="M1460" s="33" t="s">
        <v>4485</v>
      </c>
      <c r="N1460" s="44" t="s">
        <v>1494</v>
      </c>
      <c r="O1460" s="33" t="s">
        <v>1494</v>
      </c>
      <c r="P1460" s="33" t="s">
        <v>1494</v>
      </c>
      <c r="Q1460" s="34" t="s">
        <v>1494</v>
      </c>
      <c r="R1460" s="34" t="s">
        <v>1494</v>
      </c>
    </row>
    <row r="1461" spans="1:18" ht="15" customHeight="1" x14ac:dyDescent="0.25">
      <c r="A1461" t="str">
        <f>IFERROR(RANK(B1461,$B:$B,1)+COUNTIF($B$1:B1460,B1461),"")</f>
        <v/>
      </c>
      <c r="B1461" t="str">
        <f>IFERROR(SEARCH(#REF!,Table4[[#This Row],[Commodity Title]],1),"")</f>
        <v/>
      </c>
      <c r="C1461" s="35">
        <v>42191801</v>
      </c>
      <c r="D1461" s="33" t="s">
        <v>1495</v>
      </c>
      <c r="E1461" s="33" t="s">
        <v>1496</v>
      </c>
      <c r="F1461" s="33" t="s">
        <v>1497</v>
      </c>
      <c r="G1461" s="33" t="s">
        <v>4408</v>
      </c>
      <c r="H1461" s="33" t="s">
        <v>4409</v>
      </c>
      <c r="I1461" s="33" t="s">
        <v>4410</v>
      </c>
      <c r="J1461" s="33">
        <v>115454</v>
      </c>
      <c r="K1461" s="33" t="s">
        <v>4483</v>
      </c>
      <c r="L1461" s="33" t="s">
        <v>4484</v>
      </c>
      <c r="M1461" s="33" t="s">
        <v>4485</v>
      </c>
      <c r="N1461" s="44">
        <v>42191801</v>
      </c>
      <c r="O1461" s="33" t="s">
        <v>4486</v>
      </c>
      <c r="P1461" s="33" t="s">
        <v>4487</v>
      </c>
      <c r="Q1461" s="34" t="s">
        <v>1494</v>
      </c>
      <c r="R1461" s="34" t="s">
        <v>1494</v>
      </c>
    </row>
    <row r="1462" spans="1:18" ht="15" customHeight="1" x14ac:dyDescent="0.25">
      <c r="A1462" t="str">
        <f>IFERROR(RANK(B1462,$B:$B,1)+COUNTIF($B$1:B1461,B1462),"")</f>
        <v/>
      </c>
      <c r="B1462" t="str">
        <f>IFERROR(SEARCH(#REF!,Table4[[#This Row],[Commodity Title]],1),"")</f>
        <v/>
      </c>
      <c r="C1462" s="35">
        <v>42191802</v>
      </c>
      <c r="D1462" s="33" t="s">
        <v>1495</v>
      </c>
      <c r="E1462" s="33" t="s">
        <v>1496</v>
      </c>
      <c r="F1462" s="33" t="s">
        <v>1497</v>
      </c>
      <c r="G1462" s="33" t="s">
        <v>4408</v>
      </c>
      <c r="H1462" s="33" t="s">
        <v>4409</v>
      </c>
      <c r="I1462" s="33" t="s">
        <v>4410</v>
      </c>
      <c r="J1462" s="33">
        <v>115455</v>
      </c>
      <c r="K1462" s="33" t="s">
        <v>4483</v>
      </c>
      <c r="L1462" s="33" t="s">
        <v>4484</v>
      </c>
      <c r="M1462" s="33" t="s">
        <v>4485</v>
      </c>
      <c r="N1462" s="44">
        <v>42191802</v>
      </c>
      <c r="O1462" s="33" t="s">
        <v>4488</v>
      </c>
      <c r="P1462" s="33" t="s">
        <v>4489</v>
      </c>
      <c r="Q1462" s="34" t="s">
        <v>1494</v>
      </c>
      <c r="R1462" s="34" t="s">
        <v>1494</v>
      </c>
    </row>
    <row r="1463" spans="1:18" ht="15" customHeight="1" x14ac:dyDescent="0.25">
      <c r="A1463" t="str">
        <f>IFERROR(RANK(B1463,$B:$B,1)+COUNTIF($B$1:B1462,B1463),"")</f>
        <v/>
      </c>
      <c r="B1463" t="str">
        <f>IFERROR(SEARCH(#REF!,Table4[[#This Row],[Commodity Title]],1),"")</f>
        <v/>
      </c>
      <c r="C1463" s="35">
        <v>42191803</v>
      </c>
      <c r="D1463" s="33" t="s">
        <v>1495</v>
      </c>
      <c r="E1463" s="33" t="s">
        <v>1496</v>
      </c>
      <c r="F1463" s="33" t="s">
        <v>1497</v>
      </c>
      <c r="G1463" s="33" t="s">
        <v>4408</v>
      </c>
      <c r="H1463" s="33" t="s">
        <v>4409</v>
      </c>
      <c r="I1463" s="33" t="s">
        <v>4410</v>
      </c>
      <c r="J1463" s="33">
        <v>115456</v>
      </c>
      <c r="K1463" s="33" t="s">
        <v>4483</v>
      </c>
      <c r="L1463" s="33" t="s">
        <v>4484</v>
      </c>
      <c r="M1463" s="33" t="s">
        <v>4485</v>
      </c>
      <c r="N1463" s="44">
        <v>42191803</v>
      </c>
      <c r="O1463" s="33" t="s">
        <v>4490</v>
      </c>
      <c r="P1463" s="33" t="s">
        <v>4491</v>
      </c>
      <c r="Q1463" s="34" t="s">
        <v>1494</v>
      </c>
      <c r="R1463" s="34" t="s">
        <v>1494</v>
      </c>
    </row>
    <row r="1464" spans="1:18" ht="15" customHeight="1" x14ac:dyDescent="0.25">
      <c r="A1464" t="str">
        <f>IFERROR(RANK(B1464,$B:$B,1)+COUNTIF($B$1:B1463,B1464),"")</f>
        <v/>
      </c>
      <c r="B1464" t="str">
        <f>IFERROR(SEARCH(#REF!,Table4[[#This Row],[Commodity Title]],1),"")</f>
        <v/>
      </c>
      <c r="C1464" s="35">
        <v>42191804</v>
      </c>
      <c r="D1464" s="33" t="s">
        <v>1495</v>
      </c>
      <c r="E1464" s="33" t="s">
        <v>1496</v>
      </c>
      <c r="F1464" s="33" t="s">
        <v>1497</v>
      </c>
      <c r="G1464" s="33" t="s">
        <v>4408</v>
      </c>
      <c r="H1464" s="33" t="s">
        <v>4409</v>
      </c>
      <c r="I1464" s="33" t="s">
        <v>4410</v>
      </c>
      <c r="J1464" s="33">
        <v>115457</v>
      </c>
      <c r="K1464" s="33" t="s">
        <v>4483</v>
      </c>
      <c r="L1464" s="33" t="s">
        <v>4484</v>
      </c>
      <c r="M1464" s="33" t="s">
        <v>4485</v>
      </c>
      <c r="N1464" s="44">
        <v>42191804</v>
      </c>
      <c r="O1464" s="33" t="s">
        <v>4492</v>
      </c>
      <c r="P1464" s="33" t="s">
        <v>4493</v>
      </c>
      <c r="Q1464" s="34" t="s">
        <v>1494</v>
      </c>
      <c r="R1464" s="34" t="s">
        <v>1494</v>
      </c>
    </row>
    <row r="1465" spans="1:18" ht="15" customHeight="1" x14ac:dyDescent="0.25">
      <c r="A1465" t="str">
        <f>IFERROR(RANK(B1465,$B:$B,1)+COUNTIF($B$1:B1464,B1465),"")</f>
        <v/>
      </c>
      <c r="B1465" t="str">
        <f>IFERROR(SEARCH(#REF!,Table4[[#This Row],[Commodity Title]],1),"")</f>
        <v/>
      </c>
      <c r="C1465" s="35">
        <v>42191805</v>
      </c>
      <c r="D1465" s="33" t="s">
        <v>1495</v>
      </c>
      <c r="E1465" s="33" t="s">
        <v>1496</v>
      </c>
      <c r="F1465" s="33" t="s">
        <v>1497</v>
      </c>
      <c r="G1465" s="33" t="s">
        <v>4408</v>
      </c>
      <c r="H1465" s="33" t="s">
        <v>4409</v>
      </c>
      <c r="I1465" s="33" t="s">
        <v>4410</v>
      </c>
      <c r="J1465" s="33">
        <v>115458</v>
      </c>
      <c r="K1465" s="33" t="s">
        <v>4483</v>
      </c>
      <c r="L1465" s="33" t="s">
        <v>4484</v>
      </c>
      <c r="M1465" s="33" t="s">
        <v>4485</v>
      </c>
      <c r="N1465" s="44">
        <v>42191805</v>
      </c>
      <c r="O1465" s="33" t="s">
        <v>4494</v>
      </c>
      <c r="P1465" s="33" t="s">
        <v>4495</v>
      </c>
      <c r="Q1465" s="34" t="s">
        <v>1494</v>
      </c>
      <c r="R1465" s="34" t="s">
        <v>1494</v>
      </c>
    </row>
    <row r="1466" spans="1:18" ht="15" customHeight="1" x14ac:dyDescent="0.25">
      <c r="A1466" t="str">
        <f>IFERROR(RANK(B1466,$B:$B,1)+COUNTIF($B$1:B1465,B1466),"")</f>
        <v/>
      </c>
      <c r="B1466" t="str">
        <f>IFERROR(SEARCH(#REF!,Table4[[#This Row],[Commodity Title]],1),"")</f>
        <v/>
      </c>
      <c r="C1466" s="35">
        <v>42191806</v>
      </c>
      <c r="D1466" s="33" t="s">
        <v>1495</v>
      </c>
      <c r="E1466" s="33" t="s">
        <v>1496</v>
      </c>
      <c r="F1466" s="33" t="s">
        <v>1497</v>
      </c>
      <c r="G1466" s="33" t="s">
        <v>4408</v>
      </c>
      <c r="H1466" s="33" t="s">
        <v>4409</v>
      </c>
      <c r="I1466" s="33" t="s">
        <v>4410</v>
      </c>
      <c r="J1466" s="33">
        <v>115459</v>
      </c>
      <c r="K1466" s="33" t="s">
        <v>4483</v>
      </c>
      <c r="L1466" s="33" t="s">
        <v>4484</v>
      </c>
      <c r="M1466" s="33" t="s">
        <v>4485</v>
      </c>
      <c r="N1466" s="44">
        <v>42191806</v>
      </c>
      <c r="O1466" s="33" t="s">
        <v>4496</v>
      </c>
      <c r="P1466" s="33" t="s">
        <v>4497</v>
      </c>
      <c r="Q1466" s="34" t="s">
        <v>1494</v>
      </c>
      <c r="R1466" s="34" t="s">
        <v>1494</v>
      </c>
    </row>
    <row r="1467" spans="1:18" ht="15" customHeight="1" x14ac:dyDescent="0.25">
      <c r="A1467" t="str">
        <f>IFERROR(RANK(B1467,$B:$B,1)+COUNTIF($B$1:B1466,B1467),"")</f>
        <v/>
      </c>
      <c r="B1467" t="str">
        <f>IFERROR(SEARCH(#REF!,Table4[[#This Row],[Commodity Title]],1),"")</f>
        <v/>
      </c>
      <c r="C1467" s="35">
        <v>42191807</v>
      </c>
      <c r="D1467" s="33" t="s">
        <v>1495</v>
      </c>
      <c r="E1467" s="33" t="s">
        <v>1496</v>
      </c>
      <c r="F1467" s="33" t="s">
        <v>1497</v>
      </c>
      <c r="G1467" s="33" t="s">
        <v>4408</v>
      </c>
      <c r="H1467" s="33" t="s">
        <v>4409</v>
      </c>
      <c r="I1467" s="33" t="s">
        <v>4410</v>
      </c>
      <c r="J1467" s="33">
        <v>115460</v>
      </c>
      <c r="K1467" s="33" t="s">
        <v>4483</v>
      </c>
      <c r="L1467" s="33" t="s">
        <v>4484</v>
      </c>
      <c r="M1467" s="33" t="s">
        <v>4485</v>
      </c>
      <c r="N1467" s="44">
        <v>42191807</v>
      </c>
      <c r="O1467" s="33" t="s">
        <v>4498</v>
      </c>
      <c r="P1467" s="33" t="s">
        <v>4499</v>
      </c>
      <c r="Q1467" s="34" t="s">
        <v>1494</v>
      </c>
      <c r="R1467" s="34" t="s">
        <v>1494</v>
      </c>
    </row>
    <row r="1468" spans="1:18" ht="15" customHeight="1" x14ac:dyDescent="0.25">
      <c r="A1468" t="str">
        <f>IFERROR(RANK(B1468,$B:$B,1)+COUNTIF($B$1:B1467,B1468),"")</f>
        <v/>
      </c>
      <c r="B1468" t="str">
        <f>IFERROR(SEARCH(#REF!,Table4[[#This Row],[Commodity Title]],1),"")</f>
        <v/>
      </c>
      <c r="C1468" s="35">
        <v>42191808</v>
      </c>
      <c r="D1468" s="33" t="s">
        <v>1495</v>
      </c>
      <c r="E1468" s="33" t="s">
        <v>1496</v>
      </c>
      <c r="F1468" s="33" t="s">
        <v>1497</v>
      </c>
      <c r="G1468" s="33" t="s">
        <v>4408</v>
      </c>
      <c r="H1468" s="33" t="s">
        <v>4409</v>
      </c>
      <c r="I1468" s="33" t="s">
        <v>4410</v>
      </c>
      <c r="J1468" s="33">
        <v>115461</v>
      </c>
      <c r="K1468" s="33" t="s">
        <v>4483</v>
      </c>
      <c r="L1468" s="33" t="s">
        <v>4484</v>
      </c>
      <c r="M1468" s="33" t="s">
        <v>4485</v>
      </c>
      <c r="N1468" s="44">
        <v>42191808</v>
      </c>
      <c r="O1468" s="33" t="s">
        <v>4500</v>
      </c>
      <c r="P1468" s="33" t="s">
        <v>4501</v>
      </c>
      <c r="Q1468" s="34" t="s">
        <v>1494</v>
      </c>
      <c r="R1468" s="34" t="s">
        <v>1494</v>
      </c>
    </row>
    <row r="1469" spans="1:18" ht="15" customHeight="1" x14ac:dyDescent="0.25">
      <c r="A1469" t="str">
        <f>IFERROR(RANK(B1469,$B:$B,1)+COUNTIF($B$1:B1468,B1469),"")</f>
        <v/>
      </c>
      <c r="B1469" t="str">
        <f>IFERROR(SEARCH(#REF!,Table4[[#This Row],[Commodity Title]],1),"")</f>
        <v/>
      </c>
      <c r="C1469" s="35">
        <v>42191810</v>
      </c>
      <c r="D1469" s="33" t="s">
        <v>1495</v>
      </c>
      <c r="E1469" s="33" t="s">
        <v>1496</v>
      </c>
      <c r="F1469" s="33" t="s">
        <v>1497</v>
      </c>
      <c r="G1469" s="33" t="s">
        <v>4408</v>
      </c>
      <c r="H1469" s="33" t="s">
        <v>4409</v>
      </c>
      <c r="I1469" s="33" t="s">
        <v>4410</v>
      </c>
      <c r="J1469" s="33">
        <v>115463</v>
      </c>
      <c r="K1469" s="33" t="s">
        <v>4483</v>
      </c>
      <c r="L1469" s="33" t="s">
        <v>4484</v>
      </c>
      <c r="M1469" s="33" t="s">
        <v>4485</v>
      </c>
      <c r="N1469" s="44">
        <v>42191810</v>
      </c>
      <c r="O1469" s="33" t="s">
        <v>4502</v>
      </c>
      <c r="P1469" s="33" t="s">
        <v>4503</v>
      </c>
      <c r="Q1469" s="34" t="s">
        <v>1494</v>
      </c>
      <c r="R1469" s="34" t="s">
        <v>1494</v>
      </c>
    </row>
    <row r="1470" spans="1:18" ht="15" customHeight="1" x14ac:dyDescent="0.25">
      <c r="A1470" t="str">
        <f>IFERROR(RANK(B1470,$B:$B,1)+COUNTIF($B$1:B1469,B1470),"")</f>
        <v/>
      </c>
      <c r="B1470" t="str">
        <f>IFERROR(SEARCH(#REF!,Table4[[#This Row],[Commodity Title]],1),"")</f>
        <v/>
      </c>
      <c r="C1470" s="35">
        <v>42191811</v>
      </c>
      <c r="D1470" s="33" t="s">
        <v>1495</v>
      </c>
      <c r="E1470" s="33" t="s">
        <v>1496</v>
      </c>
      <c r="F1470" s="33" t="s">
        <v>1497</v>
      </c>
      <c r="G1470" s="33" t="s">
        <v>4408</v>
      </c>
      <c r="H1470" s="33" t="s">
        <v>4409</v>
      </c>
      <c r="I1470" s="33" t="s">
        <v>4410</v>
      </c>
      <c r="J1470" s="33">
        <v>142034</v>
      </c>
      <c r="K1470" s="33" t="s">
        <v>4483</v>
      </c>
      <c r="L1470" s="33" t="s">
        <v>4484</v>
      </c>
      <c r="M1470" s="33" t="s">
        <v>4485</v>
      </c>
      <c r="N1470" s="44">
        <v>42191811</v>
      </c>
      <c r="O1470" s="33" t="s">
        <v>4504</v>
      </c>
      <c r="P1470" s="33" t="s">
        <v>4505</v>
      </c>
      <c r="Q1470" s="34" t="s">
        <v>1494</v>
      </c>
      <c r="R1470" s="34" t="s">
        <v>1494</v>
      </c>
    </row>
    <row r="1471" spans="1:18" ht="15" customHeight="1" x14ac:dyDescent="0.25">
      <c r="A1471" t="str">
        <f>IFERROR(RANK(B1471,$B:$B,1)+COUNTIF($B$1:B1470,B1471),"")</f>
        <v/>
      </c>
      <c r="B1471" t="str">
        <f>IFERROR(SEARCH(#REF!,Table4[[#This Row],[Commodity Title]],1),"")</f>
        <v/>
      </c>
      <c r="C1471" s="35">
        <v>42191812</v>
      </c>
      <c r="D1471" s="33" t="s">
        <v>1495</v>
      </c>
      <c r="E1471" s="33" t="s">
        <v>1496</v>
      </c>
      <c r="F1471" s="33" t="s">
        <v>1497</v>
      </c>
      <c r="G1471" s="33" t="s">
        <v>4408</v>
      </c>
      <c r="H1471" s="33" t="s">
        <v>4409</v>
      </c>
      <c r="I1471" s="33" t="s">
        <v>4410</v>
      </c>
      <c r="J1471" s="33">
        <v>142558</v>
      </c>
      <c r="K1471" s="33" t="s">
        <v>4483</v>
      </c>
      <c r="L1471" s="33" t="s">
        <v>4484</v>
      </c>
      <c r="M1471" s="33" t="s">
        <v>4485</v>
      </c>
      <c r="N1471" s="44">
        <v>42191812</v>
      </c>
      <c r="O1471" s="33" t="s">
        <v>4506</v>
      </c>
      <c r="P1471" s="33" t="s">
        <v>4507</v>
      </c>
      <c r="Q1471" s="34" t="s">
        <v>1494</v>
      </c>
      <c r="R1471" s="34" t="s">
        <v>1494</v>
      </c>
    </row>
    <row r="1472" spans="1:18" ht="15" customHeight="1" x14ac:dyDescent="0.25">
      <c r="A1472" t="str">
        <f>IFERROR(RANK(B1472,$B:$B,1)+COUNTIF($B$1:B1471,B1472),"")</f>
        <v/>
      </c>
      <c r="B1472" t="str">
        <f>IFERROR(SEARCH(#REF!,Table4[[#This Row],[Commodity Title]],1),"")</f>
        <v/>
      </c>
      <c r="C1472" s="35">
        <v>42191813</v>
      </c>
      <c r="D1472" s="33" t="s">
        <v>1495</v>
      </c>
      <c r="E1472" s="33" t="s">
        <v>1496</v>
      </c>
      <c r="F1472" s="33" t="s">
        <v>1497</v>
      </c>
      <c r="G1472" s="33" t="s">
        <v>4408</v>
      </c>
      <c r="H1472" s="33" t="s">
        <v>4409</v>
      </c>
      <c r="I1472" s="33" t="s">
        <v>4410</v>
      </c>
      <c r="J1472" s="33">
        <v>142559</v>
      </c>
      <c r="K1472" s="33" t="s">
        <v>4483</v>
      </c>
      <c r="L1472" s="33" t="s">
        <v>4484</v>
      </c>
      <c r="M1472" s="33" t="s">
        <v>4485</v>
      </c>
      <c r="N1472" s="44">
        <v>42191813</v>
      </c>
      <c r="O1472" s="33" t="s">
        <v>4508</v>
      </c>
      <c r="P1472" s="33" t="s">
        <v>4509</v>
      </c>
      <c r="Q1472" s="34" t="s">
        <v>1494</v>
      </c>
      <c r="R1472" s="34" t="s">
        <v>1494</v>
      </c>
    </row>
    <row r="1473" spans="1:18" ht="15" customHeight="1" x14ac:dyDescent="0.25">
      <c r="A1473" t="str">
        <f>IFERROR(RANK(B1473,$B:$B,1)+COUNTIF($B$1:B1472,B1473),"")</f>
        <v/>
      </c>
      <c r="B1473" t="str">
        <f>IFERROR(SEARCH(#REF!,Table4[[#This Row],[Commodity Title]],1),"")</f>
        <v/>
      </c>
      <c r="C1473" s="35">
        <v>42191814</v>
      </c>
      <c r="D1473" s="33" t="s">
        <v>1495</v>
      </c>
      <c r="E1473" s="33" t="s">
        <v>1496</v>
      </c>
      <c r="F1473" s="33" t="s">
        <v>1497</v>
      </c>
      <c r="G1473" s="33" t="s">
        <v>4408</v>
      </c>
      <c r="H1473" s="33" t="s">
        <v>4409</v>
      </c>
      <c r="I1473" s="33" t="s">
        <v>4410</v>
      </c>
      <c r="J1473" s="33">
        <v>143493</v>
      </c>
      <c r="K1473" s="33" t="s">
        <v>4483</v>
      </c>
      <c r="L1473" s="33" t="s">
        <v>4484</v>
      </c>
      <c r="M1473" s="33" t="s">
        <v>4485</v>
      </c>
      <c r="N1473" s="44">
        <v>42191814</v>
      </c>
      <c r="O1473" s="33" t="s">
        <v>4510</v>
      </c>
      <c r="P1473" s="33" t="s">
        <v>4511</v>
      </c>
      <c r="Q1473" s="34" t="s">
        <v>1494</v>
      </c>
      <c r="R1473" s="34" t="s">
        <v>1494</v>
      </c>
    </row>
    <row r="1474" spans="1:18" ht="15" customHeight="1" x14ac:dyDescent="0.25">
      <c r="A1474" t="str">
        <f>IFERROR(RANK(B1474,$B:$B,1)+COUNTIF($B$1:B1473,B1474),"")</f>
        <v/>
      </c>
      <c r="B1474" t="str">
        <f>IFERROR(SEARCH(#REF!,Table4[[#This Row],[Commodity Title]],1),"")</f>
        <v/>
      </c>
      <c r="C1474" s="35">
        <v>42191815</v>
      </c>
      <c r="D1474" s="33" t="s">
        <v>1495</v>
      </c>
      <c r="E1474" s="33" t="s">
        <v>1496</v>
      </c>
      <c r="F1474" s="33" t="s">
        <v>1497</v>
      </c>
      <c r="G1474" s="33" t="s">
        <v>4408</v>
      </c>
      <c r="H1474" s="33" t="s">
        <v>4409</v>
      </c>
      <c r="I1474" s="33" t="s">
        <v>4410</v>
      </c>
      <c r="J1474" s="33">
        <v>202775</v>
      </c>
      <c r="K1474" s="33" t="s">
        <v>4483</v>
      </c>
      <c r="L1474" s="33" t="s">
        <v>4484</v>
      </c>
      <c r="M1474" s="33" t="s">
        <v>4485</v>
      </c>
      <c r="N1474" s="44">
        <v>42191815</v>
      </c>
      <c r="O1474" s="33" t="s">
        <v>4512</v>
      </c>
      <c r="P1474" s="33" t="s">
        <v>4513</v>
      </c>
      <c r="Q1474" s="34" t="s">
        <v>1494</v>
      </c>
      <c r="R1474" s="34" t="s">
        <v>1494</v>
      </c>
    </row>
    <row r="1475" spans="1:18" ht="15" customHeight="1" x14ac:dyDescent="0.25">
      <c r="A1475" t="str">
        <f>IFERROR(RANK(B1475,$B:$B,1)+COUNTIF($B$1:B1474,B1475),"")</f>
        <v/>
      </c>
      <c r="B1475" t="str">
        <f>IFERROR(SEARCH(#REF!,Table4[[#This Row],[Commodity Title]],1),"")</f>
        <v/>
      </c>
      <c r="C1475" s="35">
        <v>42191816</v>
      </c>
      <c r="D1475" s="33" t="s">
        <v>1495</v>
      </c>
      <c r="E1475" s="33" t="s">
        <v>1496</v>
      </c>
      <c r="F1475" s="33" t="s">
        <v>1497</v>
      </c>
      <c r="G1475" s="33" t="s">
        <v>4408</v>
      </c>
      <c r="H1475" s="33" t="s">
        <v>4409</v>
      </c>
      <c r="I1475" s="33" t="s">
        <v>4410</v>
      </c>
      <c r="J1475" s="33">
        <v>202776</v>
      </c>
      <c r="K1475" s="33" t="s">
        <v>4483</v>
      </c>
      <c r="L1475" s="33" t="s">
        <v>4484</v>
      </c>
      <c r="M1475" s="33" t="s">
        <v>4485</v>
      </c>
      <c r="N1475" s="44">
        <v>42191816</v>
      </c>
      <c r="O1475" s="33" t="s">
        <v>4514</v>
      </c>
      <c r="P1475" s="33" t="s">
        <v>4515</v>
      </c>
      <c r="Q1475" s="34" t="s">
        <v>1494</v>
      </c>
      <c r="R1475" s="34" t="s">
        <v>1494</v>
      </c>
    </row>
    <row r="1476" spans="1:18" ht="15" customHeight="1" x14ac:dyDescent="0.25">
      <c r="A1476" t="str">
        <f>IFERROR(RANK(B1476,$B:$B,1)+COUNTIF($B$1:B1475,B1476),"")</f>
        <v/>
      </c>
      <c r="B1476" t="str">
        <f>IFERROR(SEARCH(#REF!,Table4[[#This Row],[Commodity Title]],1),"")</f>
        <v/>
      </c>
      <c r="C1476" s="35">
        <v>42191817</v>
      </c>
      <c r="D1476" s="33" t="s">
        <v>1495</v>
      </c>
      <c r="E1476" s="33" t="s">
        <v>1496</v>
      </c>
      <c r="F1476" s="33" t="s">
        <v>1497</v>
      </c>
      <c r="G1476" s="33" t="s">
        <v>4408</v>
      </c>
      <c r="H1476" s="33" t="s">
        <v>4409</v>
      </c>
      <c r="I1476" s="33" t="s">
        <v>4410</v>
      </c>
      <c r="J1476" s="33">
        <v>202777</v>
      </c>
      <c r="K1476" s="33" t="s">
        <v>4483</v>
      </c>
      <c r="L1476" s="33" t="s">
        <v>4484</v>
      </c>
      <c r="M1476" s="33" t="s">
        <v>4485</v>
      </c>
      <c r="N1476" s="44">
        <v>42191817</v>
      </c>
      <c r="O1476" s="33" t="s">
        <v>4516</v>
      </c>
      <c r="P1476" s="33" t="s">
        <v>4517</v>
      </c>
      <c r="Q1476" s="34" t="s">
        <v>1494</v>
      </c>
      <c r="R1476" s="34" t="s">
        <v>1494</v>
      </c>
    </row>
    <row r="1477" spans="1:18" ht="15" customHeight="1" x14ac:dyDescent="0.25">
      <c r="A1477" t="str">
        <f>IFERROR(RANK(B1477,$B:$B,1)+COUNTIF($B$1:B1476,B1477),"")</f>
        <v/>
      </c>
      <c r="B1477" t="str">
        <f>IFERROR(SEARCH(#REF!,Table4[[#This Row],[Commodity Title]],1),"")</f>
        <v/>
      </c>
      <c r="C1477" s="35">
        <v>42191818</v>
      </c>
      <c r="D1477" s="33" t="s">
        <v>1495</v>
      </c>
      <c r="E1477" s="33" t="s">
        <v>1496</v>
      </c>
      <c r="F1477" s="33" t="s">
        <v>1497</v>
      </c>
      <c r="G1477" s="33" t="s">
        <v>4408</v>
      </c>
      <c r="H1477" s="33" t="s">
        <v>4409</v>
      </c>
      <c r="I1477" s="33" t="s">
        <v>4410</v>
      </c>
      <c r="J1477" s="33">
        <v>202778</v>
      </c>
      <c r="K1477" s="33" t="s">
        <v>4483</v>
      </c>
      <c r="L1477" s="33" t="s">
        <v>4484</v>
      </c>
      <c r="M1477" s="33" t="s">
        <v>4485</v>
      </c>
      <c r="N1477" s="44">
        <v>42191818</v>
      </c>
      <c r="O1477" s="33" t="s">
        <v>4518</v>
      </c>
      <c r="P1477" s="33" t="s">
        <v>4519</v>
      </c>
      <c r="Q1477" s="34" t="s">
        <v>1494</v>
      </c>
      <c r="R1477" s="34" t="s">
        <v>1494</v>
      </c>
    </row>
    <row r="1478" spans="1:18" ht="15" customHeight="1" x14ac:dyDescent="0.25">
      <c r="A1478" t="str">
        <f>IFERROR(RANK(B1478,$B:$B,1)+COUNTIF($B$1:B1477,B1478),"")</f>
        <v/>
      </c>
      <c r="B1478" t="str">
        <f>IFERROR(SEARCH(#REF!,Table4[[#This Row],[Commodity Title]],1),"")</f>
        <v/>
      </c>
      <c r="C1478" s="35">
        <v>42191819</v>
      </c>
      <c r="D1478" s="33" t="s">
        <v>1495</v>
      </c>
      <c r="E1478" s="33" t="s">
        <v>1496</v>
      </c>
      <c r="F1478" s="33" t="s">
        <v>1497</v>
      </c>
      <c r="G1478" s="33" t="s">
        <v>4408</v>
      </c>
      <c r="H1478" s="33" t="s">
        <v>4409</v>
      </c>
      <c r="I1478" s="33" t="s">
        <v>4410</v>
      </c>
      <c r="J1478" s="33">
        <v>202779</v>
      </c>
      <c r="K1478" s="33" t="s">
        <v>4483</v>
      </c>
      <c r="L1478" s="33" t="s">
        <v>4484</v>
      </c>
      <c r="M1478" s="33" t="s">
        <v>4485</v>
      </c>
      <c r="N1478" s="44">
        <v>42191819</v>
      </c>
      <c r="O1478" s="33" t="s">
        <v>4520</v>
      </c>
      <c r="P1478" s="33" t="s">
        <v>4521</v>
      </c>
      <c r="Q1478" s="34" t="s">
        <v>1494</v>
      </c>
      <c r="R1478" s="34" t="s">
        <v>1494</v>
      </c>
    </row>
    <row r="1479" spans="1:18" ht="15" customHeight="1" x14ac:dyDescent="0.25">
      <c r="A1479" t="str">
        <f>IFERROR(RANK(B1479,$B:$B,1)+COUNTIF($B$1:B1478,B1479),"")</f>
        <v/>
      </c>
      <c r="B1479" t="str">
        <f>IFERROR(SEARCH(#REF!,Table4[[#This Row],[Commodity Title]],1),"")</f>
        <v/>
      </c>
      <c r="C1479" s="35">
        <v>42191820</v>
      </c>
      <c r="D1479" s="33" t="s">
        <v>1495</v>
      </c>
      <c r="E1479" s="33" t="s">
        <v>1496</v>
      </c>
      <c r="F1479" s="33" t="s">
        <v>1497</v>
      </c>
      <c r="G1479" s="33" t="s">
        <v>4408</v>
      </c>
      <c r="H1479" s="33" t="s">
        <v>4409</v>
      </c>
      <c r="I1479" s="33" t="s">
        <v>4410</v>
      </c>
      <c r="J1479" s="33">
        <v>202780</v>
      </c>
      <c r="K1479" s="33" t="s">
        <v>4483</v>
      </c>
      <c r="L1479" s="33" t="s">
        <v>4484</v>
      </c>
      <c r="M1479" s="33" t="s">
        <v>4485</v>
      </c>
      <c r="N1479" s="44">
        <v>42191820</v>
      </c>
      <c r="O1479" s="33" t="s">
        <v>4522</v>
      </c>
      <c r="P1479" s="33" t="s">
        <v>4523</v>
      </c>
      <c r="Q1479" s="34" t="s">
        <v>1494</v>
      </c>
      <c r="R1479" s="34" t="s">
        <v>1494</v>
      </c>
    </row>
    <row r="1480" spans="1:18" ht="15" customHeight="1" x14ac:dyDescent="0.25">
      <c r="A1480" t="str">
        <f>IFERROR(RANK(B1480,$B:$B,1)+COUNTIF($B$1:B1479,B1480),"")</f>
        <v/>
      </c>
      <c r="B1480" t="str">
        <f>IFERROR(SEARCH(#REF!,Table4[[#This Row],[Commodity Title]],1),"")</f>
        <v/>
      </c>
      <c r="C1480" s="33" t="s">
        <v>1494</v>
      </c>
      <c r="D1480" s="33" t="s">
        <v>1495</v>
      </c>
      <c r="E1480" s="33" t="s">
        <v>1496</v>
      </c>
      <c r="F1480" s="33" t="s">
        <v>1497</v>
      </c>
      <c r="G1480" s="33" t="s">
        <v>4408</v>
      </c>
      <c r="H1480" s="33" t="s">
        <v>4409</v>
      </c>
      <c r="I1480" s="33" t="s">
        <v>4410</v>
      </c>
      <c r="J1480" s="33">
        <v>115464</v>
      </c>
      <c r="K1480" s="33" t="s">
        <v>4524</v>
      </c>
      <c r="L1480" s="33" t="s">
        <v>4525</v>
      </c>
      <c r="M1480" s="33" t="s">
        <v>4526</v>
      </c>
      <c r="N1480" s="44" t="s">
        <v>1494</v>
      </c>
      <c r="O1480" s="33" t="s">
        <v>1494</v>
      </c>
      <c r="P1480" s="33" t="s">
        <v>1494</v>
      </c>
      <c r="Q1480" s="34" t="s">
        <v>1494</v>
      </c>
      <c r="R1480" s="34" t="s">
        <v>1494</v>
      </c>
    </row>
    <row r="1481" spans="1:18" ht="15" customHeight="1" x14ac:dyDescent="0.25">
      <c r="A1481" t="str">
        <f>IFERROR(RANK(B1481,$B:$B,1)+COUNTIF($B$1:B1480,B1481),"")</f>
        <v/>
      </c>
      <c r="B1481" t="str">
        <f>IFERROR(SEARCH(#REF!,Table4[[#This Row],[Commodity Title]],1),"")</f>
        <v/>
      </c>
      <c r="C1481" s="35">
        <v>42191901</v>
      </c>
      <c r="D1481" s="33" t="s">
        <v>1495</v>
      </c>
      <c r="E1481" s="33" t="s">
        <v>1496</v>
      </c>
      <c r="F1481" s="33" t="s">
        <v>1497</v>
      </c>
      <c r="G1481" s="33" t="s">
        <v>4408</v>
      </c>
      <c r="H1481" s="33" t="s">
        <v>4409</v>
      </c>
      <c r="I1481" s="33" t="s">
        <v>4410</v>
      </c>
      <c r="J1481" s="33">
        <v>115465</v>
      </c>
      <c r="K1481" s="33" t="s">
        <v>4524</v>
      </c>
      <c r="L1481" s="33" t="s">
        <v>4525</v>
      </c>
      <c r="M1481" s="33" t="s">
        <v>4526</v>
      </c>
      <c r="N1481" s="44">
        <v>42191901</v>
      </c>
      <c r="O1481" s="33" t="s">
        <v>4527</v>
      </c>
      <c r="P1481" s="33" t="s">
        <v>4528</v>
      </c>
      <c r="Q1481" s="34" t="s">
        <v>1494</v>
      </c>
      <c r="R1481" s="34" t="s">
        <v>1494</v>
      </c>
    </row>
    <row r="1482" spans="1:18" ht="15" customHeight="1" x14ac:dyDescent="0.25">
      <c r="A1482" t="str">
        <f>IFERROR(RANK(B1482,$B:$B,1)+COUNTIF($B$1:B1481,B1482),"")</f>
        <v/>
      </c>
      <c r="B1482" t="str">
        <f>IFERROR(SEARCH(#REF!,Table4[[#This Row],[Commodity Title]],1),"")</f>
        <v/>
      </c>
      <c r="C1482" s="35">
        <v>42191902</v>
      </c>
      <c r="D1482" s="33" t="s">
        <v>1495</v>
      </c>
      <c r="E1482" s="33" t="s">
        <v>1496</v>
      </c>
      <c r="F1482" s="33" t="s">
        <v>1497</v>
      </c>
      <c r="G1482" s="33" t="s">
        <v>4408</v>
      </c>
      <c r="H1482" s="33" t="s">
        <v>4409</v>
      </c>
      <c r="I1482" s="33" t="s">
        <v>4410</v>
      </c>
      <c r="J1482" s="33">
        <v>115466</v>
      </c>
      <c r="K1482" s="33" t="s">
        <v>4524</v>
      </c>
      <c r="L1482" s="33" t="s">
        <v>4525</v>
      </c>
      <c r="M1482" s="33" t="s">
        <v>4526</v>
      </c>
      <c r="N1482" s="44">
        <v>42191902</v>
      </c>
      <c r="O1482" s="33" t="s">
        <v>4529</v>
      </c>
      <c r="P1482" s="33" t="s">
        <v>4530</v>
      </c>
      <c r="Q1482" s="34" t="s">
        <v>1494</v>
      </c>
      <c r="R1482" s="34" t="s">
        <v>1494</v>
      </c>
    </row>
    <row r="1483" spans="1:18" ht="15" customHeight="1" x14ac:dyDescent="0.25">
      <c r="A1483" t="str">
        <f>IFERROR(RANK(B1483,$B:$B,1)+COUNTIF($B$1:B1482,B1483),"")</f>
        <v/>
      </c>
      <c r="B1483" t="str">
        <f>IFERROR(SEARCH(#REF!,Table4[[#This Row],[Commodity Title]],1),"")</f>
        <v/>
      </c>
      <c r="C1483" s="35">
        <v>42191903</v>
      </c>
      <c r="D1483" s="33" t="s">
        <v>1495</v>
      </c>
      <c r="E1483" s="33" t="s">
        <v>1496</v>
      </c>
      <c r="F1483" s="33" t="s">
        <v>1497</v>
      </c>
      <c r="G1483" s="33" t="s">
        <v>4408</v>
      </c>
      <c r="H1483" s="33" t="s">
        <v>4409</v>
      </c>
      <c r="I1483" s="33" t="s">
        <v>4410</v>
      </c>
      <c r="J1483" s="33">
        <v>115467</v>
      </c>
      <c r="K1483" s="33" t="s">
        <v>4524</v>
      </c>
      <c r="L1483" s="33" t="s">
        <v>4525</v>
      </c>
      <c r="M1483" s="33" t="s">
        <v>4526</v>
      </c>
      <c r="N1483" s="44">
        <v>42191903</v>
      </c>
      <c r="O1483" s="33" t="s">
        <v>4531</v>
      </c>
      <c r="P1483" s="33" t="s">
        <v>4532</v>
      </c>
      <c r="Q1483" s="34" t="s">
        <v>1494</v>
      </c>
      <c r="R1483" s="34" t="s">
        <v>1494</v>
      </c>
    </row>
    <row r="1484" spans="1:18" ht="15" customHeight="1" x14ac:dyDescent="0.25">
      <c r="A1484" t="str">
        <f>IFERROR(RANK(B1484,$B:$B,1)+COUNTIF($B$1:B1483,B1484),"")</f>
        <v/>
      </c>
      <c r="B1484" t="str">
        <f>IFERROR(SEARCH(#REF!,Table4[[#This Row],[Commodity Title]],1),"")</f>
        <v/>
      </c>
      <c r="C1484" s="35">
        <v>42191904</v>
      </c>
      <c r="D1484" s="33" t="s">
        <v>1495</v>
      </c>
      <c r="E1484" s="33" t="s">
        <v>1496</v>
      </c>
      <c r="F1484" s="33" t="s">
        <v>1497</v>
      </c>
      <c r="G1484" s="33" t="s">
        <v>4408</v>
      </c>
      <c r="H1484" s="33" t="s">
        <v>4409</v>
      </c>
      <c r="I1484" s="33" t="s">
        <v>4410</v>
      </c>
      <c r="J1484" s="33">
        <v>115468</v>
      </c>
      <c r="K1484" s="33" t="s">
        <v>4524</v>
      </c>
      <c r="L1484" s="33" t="s">
        <v>4525</v>
      </c>
      <c r="M1484" s="33" t="s">
        <v>4526</v>
      </c>
      <c r="N1484" s="44">
        <v>42191904</v>
      </c>
      <c r="O1484" s="33" t="s">
        <v>4533</v>
      </c>
      <c r="P1484" s="33" t="s">
        <v>4534</v>
      </c>
      <c r="Q1484" s="34" t="s">
        <v>1494</v>
      </c>
      <c r="R1484" s="34" t="s">
        <v>1494</v>
      </c>
    </row>
    <row r="1485" spans="1:18" ht="15" customHeight="1" x14ac:dyDescent="0.25">
      <c r="A1485" t="str">
        <f>IFERROR(RANK(B1485,$B:$B,1)+COUNTIF($B$1:B1484,B1485),"")</f>
        <v/>
      </c>
      <c r="B1485" t="str">
        <f>IFERROR(SEARCH(#REF!,Table4[[#This Row],[Commodity Title]],1),"")</f>
        <v/>
      </c>
      <c r="C1485" s="35">
        <v>42191905</v>
      </c>
      <c r="D1485" s="33" t="s">
        <v>1495</v>
      </c>
      <c r="E1485" s="33" t="s">
        <v>1496</v>
      </c>
      <c r="F1485" s="33" t="s">
        <v>1497</v>
      </c>
      <c r="G1485" s="33" t="s">
        <v>4408</v>
      </c>
      <c r="H1485" s="33" t="s">
        <v>4409</v>
      </c>
      <c r="I1485" s="33" t="s">
        <v>4410</v>
      </c>
      <c r="J1485" s="33">
        <v>115469</v>
      </c>
      <c r="K1485" s="33" t="s">
        <v>4524</v>
      </c>
      <c r="L1485" s="33" t="s">
        <v>4525</v>
      </c>
      <c r="M1485" s="33" t="s">
        <v>4526</v>
      </c>
      <c r="N1485" s="44">
        <v>42191905</v>
      </c>
      <c r="O1485" s="33" t="s">
        <v>4535</v>
      </c>
      <c r="P1485" s="33" t="s">
        <v>4536</v>
      </c>
      <c r="Q1485" s="34" t="s">
        <v>1494</v>
      </c>
      <c r="R1485" s="34" t="s">
        <v>1494</v>
      </c>
    </row>
    <row r="1486" spans="1:18" ht="15" customHeight="1" x14ac:dyDescent="0.25">
      <c r="A1486" t="str">
        <f>IFERROR(RANK(B1486,$B:$B,1)+COUNTIF($B$1:B1485,B1486),"")</f>
        <v/>
      </c>
      <c r="B1486" t="str">
        <f>IFERROR(SEARCH(#REF!,Table4[[#This Row],[Commodity Title]],1),"")</f>
        <v/>
      </c>
      <c r="C1486" s="35">
        <v>42191906</v>
      </c>
      <c r="D1486" s="33" t="s">
        <v>1495</v>
      </c>
      <c r="E1486" s="33" t="s">
        <v>1496</v>
      </c>
      <c r="F1486" s="33" t="s">
        <v>1497</v>
      </c>
      <c r="G1486" s="33" t="s">
        <v>4408</v>
      </c>
      <c r="H1486" s="33" t="s">
        <v>4409</v>
      </c>
      <c r="I1486" s="33" t="s">
        <v>4410</v>
      </c>
      <c r="J1486" s="33">
        <v>115470</v>
      </c>
      <c r="K1486" s="33" t="s">
        <v>4524</v>
      </c>
      <c r="L1486" s="33" t="s">
        <v>4525</v>
      </c>
      <c r="M1486" s="33" t="s">
        <v>4526</v>
      </c>
      <c r="N1486" s="44">
        <v>42191906</v>
      </c>
      <c r="O1486" s="33" t="s">
        <v>4537</v>
      </c>
      <c r="P1486" s="33" t="s">
        <v>4538</v>
      </c>
      <c r="Q1486" s="34" t="s">
        <v>1494</v>
      </c>
      <c r="R1486" s="34" t="s">
        <v>1494</v>
      </c>
    </row>
    <row r="1487" spans="1:18" ht="15" customHeight="1" x14ac:dyDescent="0.25">
      <c r="A1487" t="str">
        <f>IFERROR(RANK(B1487,$B:$B,1)+COUNTIF($B$1:B1486,B1487),"")</f>
        <v/>
      </c>
      <c r="B1487" t="str">
        <f>IFERROR(SEARCH(#REF!,Table4[[#This Row],[Commodity Title]],1),"")</f>
        <v/>
      </c>
      <c r="C1487" s="35">
        <v>42191907</v>
      </c>
      <c r="D1487" s="33" t="s">
        <v>1495</v>
      </c>
      <c r="E1487" s="33" t="s">
        <v>1496</v>
      </c>
      <c r="F1487" s="33" t="s">
        <v>1497</v>
      </c>
      <c r="G1487" s="33" t="s">
        <v>4408</v>
      </c>
      <c r="H1487" s="33" t="s">
        <v>4409</v>
      </c>
      <c r="I1487" s="33" t="s">
        <v>4410</v>
      </c>
      <c r="J1487" s="33">
        <v>142560</v>
      </c>
      <c r="K1487" s="33" t="s">
        <v>4524</v>
      </c>
      <c r="L1487" s="33" t="s">
        <v>4525</v>
      </c>
      <c r="M1487" s="33" t="s">
        <v>4526</v>
      </c>
      <c r="N1487" s="44">
        <v>42191907</v>
      </c>
      <c r="O1487" s="33" t="s">
        <v>4539</v>
      </c>
      <c r="P1487" s="33" t="s">
        <v>4540</v>
      </c>
      <c r="Q1487" s="34" t="s">
        <v>1494</v>
      </c>
      <c r="R1487" s="34" t="s">
        <v>1494</v>
      </c>
    </row>
    <row r="1488" spans="1:18" ht="15" customHeight="1" x14ac:dyDescent="0.25">
      <c r="A1488" t="str">
        <f>IFERROR(RANK(B1488,$B:$B,1)+COUNTIF($B$1:B1487,B1488),"")</f>
        <v/>
      </c>
      <c r="B1488" t="str">
        <f>IFERROR(SEARCH(#REF!,Table4[[#This Row],[Commodity Title]],1),"")</f>
        <v/>
      </c>
      <c r="C1488" s="35">
        <v>42191908</v>
      </c>
      <c r="D1488" s="33" t="s">
        <v>1495</v>
      </c>
      <c r="E1488" s="33" t="s">
        <v>1496</v>
      </c>
      <c r="F1488" s="33" t="s">
        <v>1497</v>
      </c>
      <c r="G1488" s="33" t="s">
        <v>4408</v>
      </c>
      <c r="H1488" s="33" t="s">
        <v>4409</v>
      </c>
      <c r="I1488" s="33" t="s">
        <v>4410</v>
      </c>
      <c r="J1488" s="33">
        <v>144228</v>
      </c>
      <c r="K1488" s="33" t="s">
        <v>4524</v>
      </c>
      <c r="L1488" s="33" t="s">
        <v>4525</v>
      </c>
      <c r="M1488" s="33" t="s">
        <v>4526</v>
      </c>
      <c r="N1488" s="44">
        <v>42191908</v>
      </c>
      <c r="O1488" s="33" t="s">
        <v>4541</v>
      </c>
      <c r="P1488" s="33" t="s">
        <v>4542</v>
      </c>
      <c r="Q1488" s="34" t="s">
        <v>1494</v>
      </c>
      <c r="R1488" s="34" t="s">
        <v>1494</v>
      </c>
    </row>
    <row r="1489" spans="1:18" ht="15" customHeight="1" x14ac:dyDescent="0.25">
      <c r="A1489" t="str">
        <f>IFERROR(RANK(B1489,$B:$B,1)+COUNTIF($B$1:B1488,B1489),"")</f>
        <v/>
      </c>
      <c r="B1489" t="str">
        <f>IFERROR(SEARCH(#REF!,Table4[[#This Row],[Commodity Title]],1),"")</f>
        <v/>
      </c>
      <c r="C1489" s="35">
        <v>42191909</v>
      </c>
      <c r="D1489" s="33" t="s">
        <v>1495</v>
      </c>
      <c r="E1489" s="33" t="s">
        <v>1496</v>
      </c>
      <c r="F1489" s="33" t="s">
        <v>1497</v>
      </c>
      <c r="G1489" s="33" t="s">
        <v>4408</v>
      </c>
      <c r="H1489" s="33" t="s">
        <v>4409</v>
      </c>
      <c r="I1489" s="33" t="s">
        <v>4410</v>
      </c>
      <c r="J1489" s="33">
        <v>176719</v>
      </c>
      <c r="K1489" s="33" t="s">
        <v>4524</v>
      </c>
      <c r="L1489" s="33" t="s">
        <v>4525</v>
      </c>
      <c r="M1489" s="33" t="s">
        <v>4526</v>
      </c>
      <c r="N1489" s="44">
        <v>42191909</v>
      </c>
      <c r="O1489" s="33" t="s">
        <v>4543</v>
      </c>
      <c r="P1489" s="33" t="s">
        <v>4544</v>
      </c>
      <c r="Q1489" s="34" t="s">
        <v>1494</v>
      </c>
      <c r="R1489" s="34" t="s">
        <v>1494</v>
      </c>
    </row>
    <row r="1490" spans="1:18" ht="15" customHeight="1" x14ac:dyDescent="0.25">
      <c r="A1490" t="str">
        <f>IFERROR(RANK(B1490,$B:$B,1)+COUNTIF($B$1:B1489,B1490),"")</f>
        <v/>
      </c>
      <c r="B1490" t="str">
        <f>IFERROR(SEARCH(#REF!,Table4[[#This Row],[Commodity Title]],1),"")</f>
        <v/>
      </c>
      <c r="C1490" s="35">
        <v>42191910</v>
      </c>
      <c r="D1490" s="33" t="s">
        <v>1495</v>
      </c>
      <c r="E1490" s="33" t="s">
        <v>1496</v>
      </c>
      <c r="F1490" s="33" t="s">
        <v>1497</v>
      </c>
      <c r="G1490" s="33" t="s">
        <v>4408</v>
      </c>
      <c r="H1490" s="33" t="s">
        <v>4409</v>
      </c>
      <c r="I1490" s="33" t="s">
        <v>4410</v>
      </c>
      <c r="J1490" s="33">
        <v>202781</v>
      </c>
      <c r="K1490" s="33" t="s">
        <v>4524</v>
      </c>
      <c r="L1490" s="33" t="s">
        <v>4525</v>
      </c>
      <c r="M1490" s="33" t="s">
        <v>4526</v>
      </c>
      <c r="N1490" s="44">
        <v>42191910</v>
      </c>
      <c r="O1490" s="33" t="s">
        <v>4545</v>
      </c>
      <c r="P1490" s="33" t="s">
        <v>4546</v>
      </c>
      <c r="Q1490" s="34" t="s">
        <v>1494</v>
      </c>
      <c r="R1490" s="34" t="s">
        <v>1494</v>
      </c>
    </row>
    <row r="1491" spans="1:18" ht="15" customHeight="1" x14ac:dyDescent="0.25">
      <c r="A1491" t="str">
        <f>IFERROR(RANK(B1491,$B:$B,1)+COUNTIF($B$1:B1490,B1491),"")</f>
        <v/>
      </c>
      <c r="B1491" t="str">
        <f>IFERROR(SEARCH(#REF!,Table4[[#This Row],[Commodity Title]],1),"")</f>
        <v/>
      </c>
      <c r="C1491" s="35">
        <v>42191911</v>
      </c>
      <c r="D1491" s="33" t="s">
        <v>1495</v>
      </c>
      <c r="E1491" s="33" t="s">
        <v>1496</v>
      </c>
      <c r="F1491" s="33" t="s">
        <v>1497</v>
      </c>
      <c r="G1491" s="33" t="s">
        <v>4408</v>
      </c>
      <c r="H1491" s="33" t="s">
        <v>4409</v>
      </c>
      <c r="I1491" s="33" t="s">
        <v>4410</v>
      </c>
      <c r="J1491" s="33">
        <v>146155</v>
      </c>
      <c r="K1491" s="33" t="s">
        <v>4524</v>
      </c>
      <c r="L1491" s="33" t="s">
        <v>4525</v>
      </c>
      <c r="M1491" s="33" t="s">
        <v>4526</v>
      </c>
      <c r="N1491" s="44">
        <v>42191911</v>
      </c>
      <c r="O1491" s="33" t="s">
        <v>4547</v>
      </c>
      <c r="P1491" s="33" t="s">
        <v>4548</v>
      </c>
      <c r="Q1491" s="34" t="s">
        <v>1494</v>
      </c>
      <c r="R1491" s="34" t="s">
        <v>1494</v>
      </c>
    </row>
    <row r="1492" spans="1:18" ht="15" customHeight="1" x14ac:dyDescent="0.25">
      <c r="A1492" t="str">
        <f>IFERROR(RANK(B1492,$B:$B,1)+COUNTIF($B$1:B1491,B1492),"")</f>
        <v/>
      </c>
      <c r="B1492" t="str">
        <f>IFERROR(SEARCH(#REF!,Table4[[#This Row],[Commodity Title]],1),"")</f>
        <v/>
      </c>
      <c r="C1492" s="35">
        <v>42191912</v>
      </c>
      <c r="D1492" s="33" t="s">
        <v>1495</v>
      </c>
      <c r="E1492" s="33" t="s">
        <v>1496</v>
      </c>
      <c r="F1492" s="33" t="s">
        <v>1497</v>
      </c>
      <c r="G1492" s="33" t="s">
        <v>4408</v>
      </c>
      <c r="H1492" s="33" t="s">
        <v>4409</v>
      </c>
      <c r="I1492" s="33" t="s">
        <v>4410</v>
      </c>
      <c r="J1492" s="33">
        <v>202782</v>
      </c>
      <c r="K1492" s="33" t="s">
        <v>4524</v>
      </c>
      <c r="L1492" s="33" t="s">
        <v>4525</v>
      </c>
      <c r="M1492" s="33" t="s">
        <v>4526</v>
      </c>
      <c r="N1492" s="44">
        <v>42191912</v>
      </c>
      <c r="O1492" s="33" t="s">
        <v>4549</v>
      </c>
      <c r="P1492" s="33" t="s">
        <v>4550</v>
      </c>
      <c r="Q1492" s="34" t="s">
        <v>1494</v>
      </c>
      <c r="R1492" s="34" t="s">
        <v>1494</v>
      </c>
    </row>
    <row r="1493" spans="1:18" ht="15" customHeight="1" x14ac:dyDescent="0.25">
      <c r="A1493" t="str">
        <f>IFERROR(RANK(B1493,$B:$B,1)+COUNTIF($B$1:B1492,B1493),"")</f>
        <v/>
      </c>
      <c r="B1493" t="str">
        <f>IFERROR(SEARCH(#REF!,Table4[[#This Row],[Commodity Title]],1),"")</f>
        <v/>
      </c>
      <c r="C1493" s="35">
        <v>42191913</v>
      </c>
      <c r="D1493" s="33" t="s">
        <v>1495</v>
      </c>
      <c r="E1493" s="33" t="s">
        <v>1496</v>
      </c>
      <c r="F1493" s="33" t="s">
        <v>1497</v>
      </c>
      <c r="G1493" s="33" t="s">
        <v>4408</v>
      </c>
      <c r="H1493" s="33" t="s">
        <v>4409</v>
      </c>
      <c r="I1493" s="33" t="s">
        <v>4410</v>
      </c>
      <c r="J1493" s="33">
        <v>202783</v>
      </c>
      <c r="K1493" s="33" t="s">
        <v>4524</v>
      </c>
      <c r="L1493" s="33" t="s">
        <v>4525</v>
      </c>
      <c r="M1493" s="33" t="s">
        <v>4526</v>
      </c>
      <c r="N1493" s="44">
        <v>42191913</v>
      </c>
      <c r="O1493" s="33" t="s">
        <v>4551</v>
      </c>
      <c r="P1493" s="33" t="s">
        <v>4552</v>
      </c>
      <c r="Q1493" s="34" t="s">
        <v>1494</v>
      </c>
      <c r="R1493" s="34" t="s">
        <v>1494</v>
      </c>
    </row>
    <row r="1494" spans="1:18" ht="15" customHeight="1" x14ac:dyDescent="0.25">
      <c r="A1494" t="str">
        <f>IFERROR(RANK(B1494,$B:$B,1)+COUNTIF($B$1:B1493,B1494),"")</f>
        <v/>
      </c>
      <c r="B1494" t="str">
        <f>IFERROR(SEARCH(#REF!,Table4[[#This Row],[Commodity Title]],1),"")</f>
        <v/>
      </c>
      <c r="C1494" s="35">
        <v>42191914</v>
      </c>
      <c r="D1494" s="33" t="s">
        <v>1495</v>
      </c>
      <c r="E1494" s="33" t="s">
        <v>1496</v>
      </c>
      <c r="F1494" s="33" t="s">
        <v>1497</v>
      </c>
      <c r="G1494" s="33" t="s">
        <v>4408</v>
      </c>
      <c r="H1494" s="33" t="s">
        <v>4409</v>
      </c>
      <c r="I1494" s="33" t="s">
        <v>4410</v>
      </c>
      <c r="J1494" s="33">
        <v>202784</v>
      </c>
      <c r="K1494" s="33" t="s">
        <v>4524</v>
      </c>
      <c r="L1494" s="33" t="s">
        <v>4525</v>
      </c>
      <c r="M1494" s="33" t="s">
        <v>4526</v>
      </c>
      <c r="N1494" s="44">
        <v>42191914</v>
      </c>
      <c r="O1494" s="33" t="s">
        <v>4553</v>
      </c>
      <c r="P1494" s="33" t="s">
        <v>4554</v>
      </c>
      <c r="Q1494" s="34" t="s">
        <v>1494</v>
      </c>
      <c r="R1494" s="34" t="s">
        <v>1494</v>
      </c>
    </row>
    <row r="1495" spans="1:18" ht="15" customHeight="1" x14ac:dyDescent="0.25">
      <c r="A1495" t="str">
        <f>IFERROR(RANK(B1495,$B:$B,1)+COUNTIF($B$1:B1494,B1495),"")</f>
        <v/>
      </c>
      <c r="B1495" t="str">
        <f>IFERROR(SEARCH(#REF!,Table4[[#This Row],[Commodity Title]],1),"")</f>
        <v/>
      </c>
      <c r="C1495" s="33" t="s">
        <v>1494</v>
      </c>
      <c r="D1495" s="33" t="s">
        <v>1495</v>
      </c>
      <c r="E1495" s="33" t="s">
        <v>1496</v>
      </c>
      <c r="F1495" s="33" t="s">
        <v>1497</v>
      </c>
      <c r="G1495" s="33" t="s">
        <v>4408</v>
      </c>
      <c r="H1495" s="33" t="s">
        <v>4409</v>
      </c>
      <c r="I1495" s="33" t="s">
        <v>4410</v>
      </c>
      <c r="J1495" s="33">
        <v>115471</v>
      </c>
      <c r="K1495" s="33" t="s">
        <v>4555</v>
      </c>
      <c r="L1495" s="33" t="s">
        <v>4556</v>
      </c>
      <c r="M1495" s="33" t="s">
        <v>4557</v>
      </c>
      <c r="N1495" s="44" t="s">
        <v>1494</v>
      </c>
      <c r="O1495" s="33" t="s">
        <v>1494</v>
      </c>
      <c r="P1495" s="33" t="s">
        <v>1494</v>
      </c>
      <c r="Q1495" s="34" t="s">
        <v>1494</v>
      </c>
      <c r="R1495" s="34" t="s">
        <v>1494</v>
      </c>
    </row>
    <row r="1496" spans="1:18" ht="15" customHeight="1" x14ac:dyDescent="0.25">
      <c r="A1496" t="str">
        <f>IFERROR(RANK(B1496,$B:$B,1)+COUNTIF($B$1:B1495,B1496),"")</f>
        <v/>
      </c>
      <c r="B1496" t="str">
        <f>IFERROR(SEARCH(#REF!,Table4[[#This Row],[Commodity Title]],1),"")</f>
        <v/>
      </c>
      <c r="C1496" s="35">
        <v>42192001</v>
      </c>
      <c r="D1496" s="33" t="s">
        <v>1495</v>
      </c>
      <c r="E1496" s="33" t="s">
        <v>1496</v>
      </c>
      <c r="F1496" s="33" t="s">
        <v>1497</v>
      </c>
      <c r="G1496" s="33" t="s">
        <v>4408</v>
      </c>
      <c r="H1496" s="33" t="s">
        <v>4409</v>
      </c>
      <c r="I1496" s="33" t="s">
        <v>4410</v>
      </c>
      <c r="J1496" s="33">
        <v>115472</v>
      </c>
      <c r="K1496" s="33" t="s">
        <v>4555</v>
      </c>
      <c r="L1496" s="33" t="s">
        <v>4556</v>
      </c>
      <c r="M1496" s="33" t="s">
        <v>4557</v>
      </c>
      <c r="N1496" s="44">
        <v>42192001</v>
      </c>
      <c r="O1496" s="33" t="s">
        <v>4558</v>
      </c>
      <c r="P1496" s="33" t="s">
        <v>4559</v>
      </c>
      <c r="Q1496" s="34" t="s">
        <v>1494</v>
      </c>
      <c r="R1496" s="34" t="s">
        <v>1494</v>
      </c>
    </row>
    <row r="1497" spans="1:18" ht="15" customHeight="1" x14ac:dyDescent="0.25">
      <c r="A1497" t="str">
        <f>IFERROR(RANK(B1497,$B:$B,1)+COUNTIF($B$1:B1496,B1497),"")</f>
        <v/>
      </c>
      <c r="B1497" t="str">
        <f>IFERROR(SEARCH(#REF!,Table4[[#This Row],[Commodity Title]],1),"")</f>
        <v/>
      </c>
      <c r="C1497" s="35">
        <v>42192002</v>
      </c>
      <c r="D1497" s="33" t="s">
        <v>1495</v>
      </c>
      <c r="E1497" s="33" t="s">
        <v>1496</v>
      </c>
      <c r="F1497" s="33" t="s">
        <v>1497</v>
      </c>
      <c r="G1497" s="33" t="s">
        <v>4408</v>
      </c>
      <c r="H1497" s="33" t="s">
        <v>4409</v>
      </c>
      <c r="I1497" s="33" t="s">
        <v>4410</v>
      </c>
      <c r="J1497" s="33">
        <v>115473</v>
      </c>
      <c r="K1497" s="33" t="s">
        <v>4555</v>
      </c>
      <c r="L1497" s="33" t="s">
        <v>4556</v>
      </c>
      <c r="M1497" s="33" t="s">
        <v>4557</v>
      </c>
      <c r="N1497" s="44">
        <v>42192002</v>
      </c>
      <c r="O1497" s="33" t="s">
        <v>4560</v>
      </c>
      <c r="P1497" s="33" t="s">
        <v>4561</v>
      </c>
      <c r="Q1497" s="34" t="s">
        <v>1494</v>
      </c>
      <c r="R1497" s="34" t="s">
        <v>1494</v>
      </c>
    </row>
    <row r="1498" spans="1:18" ht="15" customHeight="1" x14ac:dyDescent="0.25">
      <c r="A1498" t="str">
        <f>IFERROR(RANK(B1498,$B:$B,1)+COUNTIF($B$1:B1497,B1498),"")</f>
        <v/>
      </c>
      <c r="B1498" t="str">
        <f>IFERROR(SEARCH(#REF!,Table4[[#This Row],[Commodity Title]],1),"")</f>
        <v/>
      </c>
      <c r="C1498" s="35">
        <v>42192003</v>
      </c>
      <c r="D1498" s="33" t="s">
        <v>1495</v>
      </c>
      <c r="E1498" s="33" t="s">
        <v>1496</v>
      </c>
      <c r="F1498" s="33" t="s">
        <v>1497</v>
      </c>
      <c r="G1498" s="33" t="s">
        <v>4408</v>
      </c>
      <c r="H1498" s="33" t="s">
        <v>4409</v>
      </c>
      <c r="I1498" s="33" t="s">
        <v>4410</v>
      </c>
      <c r="J1498" s="33">
        <v>145084</v>
      </c>
      <c r="K1498" s="33" t="s">
        <v>4555</v>
      </c>
      <c r="L1498" s="33" t="s">
        <v>4556</v>
      </c>
      <c r="M1498" s="33" t="s">
        <v>4557</v>
      </c>
      <c r="N1498" s="44">
        <v>42192003</v>
      </c>
      <c r="O1498" s="33" t="s">
        <v>4562</v>
      </c>
      <c r="P1498" s="33" t="s">
        <v>4563</v>
      </c>
      <c r="Q1498" s="34" t="s">
        <v>1494</v>
      </c>
      <c r="R1498" s="34" t="s">
        <v>1494</v>
      </c>
    </row>
    <row r="1499" spans="1:18" ht="15" customHeight="1" x14ac:dyDescent="0.25">
      <c r="A1499" t="str">
        <f>IFERROR(RANK(B1499,$B:$B,1)+COUNTIF($B$1:B1498,B1499),"")</f>
        <v/>
      </c>
      <c r="B1499" t="str">
        <f>IFERROR(SEARCH(#REF!,Table4[[#This Row],[Commodity Title]],1),"")</f>
        <v/>
      </c>
      <c r="C1499" s="35">
        <v>42192004</v>
      </c>
      <c r="D1499" s="33" t="s">
        <v>1495</v>
      </c>
      <c r="E1499" s="33" t="s">
        <v>1496</v>
      </c>
      <c r="F1499" s="33" t="s">
        <v>1497</v>
      </c>
      <c r="G1499" s="33" t="s">
        <v>4408</v>
      </c>
      <c r="H1499" s="33" t="s">
        <v>4409</v>
      </c>
      <c r="I1499" s="33" t="s">
        <v>4410</v>
      </c>
      <c r="J1499" s="33">
        <v>202785</v>
      </c>
      <c r="K1499" s="33" t="s">
        <v>4555</v>
      </c>
      <c r="L1499" s="33" t="s">
        <v>4556</v>
      </c>
      <c r="M1499" s="33" t="s">
        <v>4557</v>
      </c>
      <c r="N1499" s="44">
        <v>42192004</v>
      </c>
      <c r="O1499" s="33" t="s">
        <v>4564</v>
      </c>
      <c r="P1499" s="33" t="s">
        <v>4565</v>
      </c>
      <c r="Q1499" s="34" t="s">
        <v>1494</v>
      </c>
      <c r="R1499" s="34" t="s">
        <v>1494</v>
      </c>
    </row>
    <row r="1500" spans="1:18" ht="15" customHeight="1" x14ac:dyDescent="0.25">
      <c r="A1500" t="str">
        <f>IFERROR(RANK(B1500,$B:$B,1)+COUNTIF($B$1:B1499,B1500),"")</f>
        <v/>
      </c>
      <c r="B1500" t="str">
        <f>IFERROR(SEARCH(#REF!,Table4[[#This Row],[Commodity Title]],1),"")</f>
        <v/>
      </c>
      <c r="C1500" s="35">
        <v>42192005</v>
      </c>
      <c r="D1500" s="33" t="s">
        <v>1495</v>
      </c>
      <c r="E1500" s="33" t="s">
        <v>1496</v>
      </c>
      <c r="F1500" s="33" t="s">
        <v>1497</v>
      </c>
      <c r="G1500" s="33" t="s">
        <v>4408</v>
      </c>
      <c r="H1500" s="33" t="s">
        <v>4409</v>
      </c>
      <c r="I1500" s="33" t="s">
        <v>4410</v>
      </c>
      <c r="J1500" s="33">
        <v>202786</v>
      </c>
      <c r="K1500" s="33" t="s">
        <v>4555</v>
      </c>
      <c r="L1500" s="33" t="s">
        <v>4556</v>
      </c>
      <c r="M1500" s="33" t="s">
        <v>4557</v>
      </c>
      <c r="N1500" s="44">
        <v>42192005</v>
      </c>
      <c r="O1500" s="33" t="s">
        <v>4566</v>
      </c>
      <c r="P1500" s="33" t="s">
        <v>4567</v>
      </c>
      <c r="Q1500" s="34" t="s">
        <v>1494</v>
      </c>
      <c r="R1500" s="34" t="s">
        <v>1494</v>
      </c>
    </row>
    <row r="1501" spans="1:18" ht="15" customHeight="1" x14ac:dyDescent="0.25">
      <c r="A1501" t="str">
        <f>IFERROR(RANK(B1501,$B:$B,1)+COUNTIF($B$1:B1500,B1501),"")</f>
        <v/>
      </c>
      <c r="B1501" t="str">
        <f>IFERROR(SEARCH(#REF!,Table4[[#This Row],[Commodity Title]],1),"")</f>
        <v/>
      </c>
      <c r="C1501" s="35">
        <v>42192006</v>
      </c>
      <c r="D1501" s="33" t="s">
        <v>1495</v>
      </c>
      <c r="E1501" s="33" t="s">
        <v>1496</v>
      </c>
      <c r="F1501" s="33" t="s">
        <v>1497</v>
      </c>
      <c r="G1501" s="33" t="s">
        <v>4408</v>
      </c>
      <c r="H1501" s="33" t="s">
        <v>4409</v>
      </c>
      <c r="I1501" s="33" t="s">
        <v>4410</v>
      </c>
      <c r="J1501" s="33">
        <v>202787</v>
      </c>
      <c r="K1501" s="33" t="s">
        <v>4555</v>
      </c>
      <c r="L1501" s="33" t="s">
        <v>4556</v>
      </c>
      <c r="M1501" s="33" t="s">
        <v>4557</v>
      </c>
      <c r="N1501" s="44">
        <v>42192006</v>
      </c>
      <c r="O1501" s="33" t="s">
        <v>4568</v>
      </c>
      <c r="P1501" s="33" t="s">
        <v>4569</v>
      </c>
      <c r="Q1501" s="34" t="s">
        <v>1494</v>
      </c>
      <c r="R1501" s="34" t="s">
        <v>1494</v>
      </c>
    </row>
    <row r="1502" spans="1:18" ht="15" customHeight="1" x14ac:dyDescent="0.25">
      <c r="A1502" t="str">
        <f>IFERROR(RANK(B1502,$B:$B,1)+COUNTIF($B$1:B1501,B1502),"")</f>
        <v/>
      </c>
      <c r="B1502" t="str">
        <f>IFERROR(SEARCH(#REF!,Table4[[#This Row],[Commodity Title]],1),"")</f>
        <v/>
      </c>
      <c r="C1502" s="33" t="s">
        <v>1494</v>
      </c>
      <c r="D1502" s="33" t="s">
        <v>1495</v>
      </c>
      <c r="E1502" s="33" t="s">
        <v>1496</v>
      </c>
      <c r="F1502" s="33" t="s">
        <v>1497</v>
      </c>
      <c r="G1502" s="33" t="s">
        <v>4408</v>
      </c>
      <c r="H1502" s="33" t="s">
        <v>4409</v>
      </c>
      <c r="I1502" s="33" t="s">
        <v>4410</v>
      </c>
      <c r="J1502" s="33">
        <v>115474</v>
      </c>
      <c r="K1502" s="33" t="s">
        <v>4570</v>
      </c>
      <c r="L1502" s="33" t="s">
        <v>4571</v>
      </c>
      <c r="M1502" s="33" t="s">
        <v>4572</v>
      </c>
      <c r="N1502" s="44" t="s">
        <v>1494</v>
      </c>
      <c r="O1502" s="33" t="s">
        <v>1494</v>
      </c>
      <c r="P1502" s="33" t="s">
        <v>1494</v>
      </c>
      <c r="Q1502" s="34" t="s">
        <v>1494</v>
      </c>
      <c r="R1502" s="34" t="s">
        <v>1494</v>
      </c>
    </row>
    <row r="1503" spans="1:18" ht="15" customHeight="1" x14ac:dyDescent="0.25">
      <c r="A1503" t="str">
        <f>IFERROR(RANK(B1503,$B:$B,1)+COUNTIF($B$1:B1502,B1503),"")</f>
        <v/>
      </c>
      <c r="B1503" t="str">
        <f>IFERROR(SEARCH(#REF!,Table4[[#This Row],[Commodity Title]],1),"")</f>
        <v/>
      </c>
      <c r="C1503" s="35">
        <v>42192101</v>
      </c>
      <c r="D1503" s="33" t="s">
        <v>1495</v>
      </c>
      <c r="E1503" s="33" t="s">
        <v>1496</v>
      </c>
      <c r="F1503" s="33" t="s">
        <v>1497</v>
      </c>
      <c r="G1503" s="33" t="s">
        <v>4408</v>
      </c>
      <c r="H1503" s="33" t="s">
        <v>4409</v>
      </c>
      <c r="I1503" s="33" t="s">
        <v>4410</v>
      </c>
      <c r="J1503" s="33">
        <v>115475</v>
      </c>
      <c r="K1503" s="33" t="s">
        <v>4570</v>
      </c>
      <c r="L1503" s="33" t="s">
        <v>4571</v>
      </c>
      <c r="M1503" s="33" t="s">
        <v>4572</v>
      </c>
      <c r="N1503" s="44">
        <v>42192101</v>
      </c>
      <c r="O1503" s="33" t="s">
        <v>4573</v>
      </c>
      <c r="P1503" s="33" t="s">
        <v>4574</v>
      </c>
      <c r="Q1503" s="34" t="s">
        <v>1494</v>
      </c>
      <c r="R1503" s="34" t="s">
        <v>1494</v>
      </c>
    </row>
    <row r="1504" spans="1:18" ht="15" customHeight="1" x14ac:dyDescent="0.25">
      <c r="A1504" t="str">
        <f>IFERROR(RANK(B1504,$B:$B,1)+COUNTIF($B$1:B1503,B1504),"")</f>
        <v/>
      </c>
      <c r="B1504" t="str">
        <f>IFERROR(SEARCH(#REF!,Table4[[#This Row],[Commodity Title]],1),"")</f>
        <v/>
      </c>
      <c r="C1504" s="35">
        <v>42192102</v>
      </c>
      <c r="D1504" s="33" t="s">
        <v>1495</v>
      </c>
      <c r="E1504" s="33" t="s">
        <v>1496</v>
      </c>
      <c r="F1504" s="33" t="s">
        <v>1497</v>
      </c>
      <c r="G1504" s="33" t="s">
        <v>4408</v>
      </c>
      <c r="H1504" s="33" t="s">
        <v>4409</v>
      </c>
      <c r="I1504" s="33" t="s">
        <v>4410</v>
      </c>
      <c r="J1504" s="33">
        <v>115476</v>
      </c>
      <c r="K1504" s="33" t="s">
        <v>4570</v>
      </c>
      <c r="L1504" s="33" t="s">
        <v>4571</v>
      </c>
      <c r="M1504" s="33" t="s">
        <v>4572</v>
      </c>
      <c r="N1504" s="44">
        <v>42192102</v>
      </c>
      <c r="O1504" s="33" t="s">
        <v>4575</v>
      </c>
      <c r="P1504" s="33" t="s">
        <v>4576</v>
      </c>
      <c r="Q1504" s="34" t="s">
        <v>1494</v>
      </c>
      <c r="R1504" s="34" t="s">
        <v>1494</v>
      </c>
    </row>
    <row r="1505" spans="1:18" ht="15" customHeight="1" x14ac:dyDescent="0.25">
      <c r="A1505" t="str">
        <f>IFERROR(RANK(B1505,$B:$B,1)+COUNTIF($B$1:B1504,B1505),"")</f>
        <v/>
      </c>
      <c r="B1505" t="str">
        <f>IFERROR(SEARCH(#REF!,Table4[[#This Row],[Commodity Title]],1),"")</f>
        <v/>
      </c>
      <c r="C1505" s="35">
        <v>42192103</v>
      </c>
      <c r="D1505" s="33" t="s">
        <v>1495</v>
      </c>
      <c r="E1505" s="33" t="s">
        <v>1496</v>
      </c>
      <c r="F1505" s="33" t="s">
        <v>1497</v>
      </c>
      <c r="G1505" s="33" t="s">
        <v>4408</v>
      </c>
      <c r="H1505" s="33" t="s">
        <v>4409</v>
      </c>
      <c r="I1505" s="33" t="s">
        <v>4410</v>
      </c>
      <c r="J1505" s="33">
        <v>115477</v>
      </c>
      <c r="K1505" s="33" t="s">
        <v>4570</v>
      </c>
      <c r="L1505" s="33" t="s">
        <v>4571</v>
      </c>
      <c r="M1505" s="33" t="s">
        <v>4572</v>
      </c>
      <c r="N1505" s="44">
        <v>42192103</v>
      </c>
      <c r="O1505" s="33" t="s">
        <v>4577</v>
      </c>
      <c r="P1505" s="33" t="s">
        <v>4578</v>
      </c>
      <c r="Q1505" s="34" t="s">
        <v>1494</v>
      </c>
      <c r="R1505" s="34" t="s">
        <v>1494</v>
      </c>
    </row>
    <row r="1506" spans="1:18" ht="15" customHeight="1" x14ac:dyDescent="0.25">
      <c r="A1506" t="str">
        <f>IFERROR(RANK(B1506,$B:$B,1)+COUNTIF($B$1:B1505,B1506),"")</f>
        <v/>
      </c>
      <c r="B1506" t="str">
        <f>IFERROR(SEARCH(#REF!,Table4[[#This Row],[Commodity Title]],1),"")</f>
        <v/>
      </c>
      <c r="C1506" s="35">
        <v>42192104</v>
      </c>
      <c r="D1506" s="33" t="s">
        <v>1495</v>
      </c>
      <c r="E1506" s="33" t="s">
        <v>1496</v>
      </c>
      <c r="F1506" s="33" t="s">
        <v>1497</v>
      </c>
      <c r="G1506" s="33" t="s">
        <v>4408</v>
      </c>
      <c r="H1506" s="33" t="s">
        <v>4409</v>
      </c>
      <c r="I1506" s="33" t="s">
        <v>4410</v>
      </c>
      <c r="J1506" s="33">
        <v>115478</v>
      </c>
      <c r="K1506" s="33" t="s">
        <v>4570</v>
      </c>
      <c r="L1506" s="33" t="s">
        <v>4571</v>
      </c>
      <c r="M1506" s="33" t="s">
        <v>4572</v>
      </c>
      <c r="N1506" s="44">
        <v>42192104</v>
      </c>
      <c r="O1506" s="33" t="s">
        <v>4579</v>
      </c>
      <c r="P1506" s="33" t="s">
        <v>4580</v>
      </c>
      <c r="Q1506" s="34" t="s">
        <v>1494</v>
      </c>
      <c r="R1506" s="34" t="s">
        <v>1494</v>
      </c>
    </row>
    <row r="1507" spans="1:18" ht="15" customHeight="1" x14ac:dyDescent="0.25">
      <c r="A1507" t="str">
        <f>IFERROR(RANK(B1507,$B:$B,1)+COUNTIF($B$1:B1506,B1507),"")</f>
        <v/>
      </c>
      <c r="B1507" t="str">
        <f>IFERROR(SEARCH(#REF!,Table4[[#This Row],[Commodity Title]],1),"")</f>
        <v/>
      </c>
      <c r="C1507" s="35">
        <v>42192106</v>
      </c>
      <c r="D1507" s="33" t="s">
        <v>1495</v>
      </c>
      <c r="E1507" s="33" t="s">
        <v>1496</v>
      </c>
      <c r="F1507" s="33" t="s">
        <v>1497</v>
      </c>
      <c r="G1507" s="33" t="s">
        <v>4408</v>
      </c>
      <c r="H1507" s="33" t="s">
        <v>4409</v>
      </c>
      <c r="I1507" s="33" t="s">
        <v>4410</v>
      </c>
      <c r="J1507" s="33">
        <v>115480</v>
      </c>
      <c r="K1507" s="33" t="s">
        <v>4570</v>
      </c>
      <c r="L1507" s="33" t="s">
        <v>4571</v>
      </c>
      <c r="M1507" s="33" t="s">
        <v>4572</v>
      </c>
      <c r="N1507" s="44">
        <v>42192106</v>
      </c>
      <c r="O1507" s="33" t="s">
        <v>4581</v>
      </c>
      <c r="P1507" s="33" t="s">
        <v>4582</v>
      </c>
      <c r="Q1507" s="34" t="s">
        <v>1494</v>
      </c>
      <c r="R1507" s="34" t="s">
        <v>1494</v>
      </c>
    </row>
    <row r="1508" spans="1:18" ht="15" customHeight="1" x14ac:dyDescent="0.25">
      <c r="A1508" t="str">
        <f>IFERROR(RANK(B1508,$B:$B,1)+COUNTIF($B$1:B1507,B1508),"")</f>
        <v/>
      </c>
      <c r="B1508" t="str">
        <f>IFERROR(SEARCH(#REF!,Table4[[#This Row],[Commodity Title]],1),"")</f>
        <v/>
      </c>
      <c r="C1508" s="35">
        <v>42192107</v>
      </c>
      <c r="D1508" s="33" t="s">
        <v>1495</v>
      </c>
      <c r="E1508" s="33" t="s">
        <v>1496</v>
      </c>
      <c r="F1508" s="33" t="s">
        <v>1497</v>
      </c>
      <c r="G1508" s="33" t="s">
        <v>4408</v>
      </c>
      <c r="H1508" s="33" t="s">
        <v>4409</v>
      </c>
      <c r="I1508" s="33" t="s">
        <v>4410</v>
      </c>
      <c r="J1508" s="33">
        <v>115481</v>
      </c>
      <c r="K1508" s="33" t="s">
        <v>4570</v>
      </c>
      <c r="L1508" s="33" t="s">
        <v>4571</v>
      </c>
      <c r="M1508" s="33" t="s">
        <v>4572</v>
      </c>
      <c r="N1508" s="44">
        <v>42192107</v>
      </c>
      <c r="O1508" s="33" t="s">
        <v>4583</v>
      </c>
      <c r="P1508" s="33" t="s">
        <v>4584</v>
      </c>
      <c r="Q1508" s="34" t="s">
        <v>1494</v>
      </c>
      <c r="R1508" s="34" t="s">
        <v>1494</v>
      </c>
    </row>
    <row r="1509" spans="1:18" ht="15" customHeight="1" x14ac:dyDescent="0.25">
      <c r="A1509" t="str">
        <f>IFERROR(RANK(B1509,$B:$B,1)+COUNTIF($B$1:B1508,B1509),"")</f>
        <v/>
      </c>
      <c r="B1509" t="str">
        <f>IFERROR(SEARCH(#REF!,Table4[[#This Row],[Commodity Title]],1),"")</f>
        <v/>
      </c>
      <c r="C1509" s="35">
        <v>42192108</v>
      </c>
      <c r="D1509" s="33" t="s">
        <v>1495</v>
      </c>
      <c r="E1509" s="33" t="s">
        <v>1496</v>
      </c>
      <c r="F1509" s="33" t="s">
        <v>1497</v>
      </c>
      <c r="G1509" s="33" t="s">
        <v>4408</v>
      </c>
      <c r="H1509" s="33" t="s">
        <v>4409</v>
      </c>
      <c r="I1509" s="33" t="s">
        <v>4410</v>
      </c>
      <c r="J1509" s="33">
        <v>202788</v>
      </c>
      <c r="K1509" s="33" t="s">
        <v>4570</v>
      </c>
      <c r="L1509" s="33" t="s">
        <v>4571</v>
      </c>
      <c r="M1509" s="33" t="s">
        <v>4572</v>
      </c>
      <c r="N1509" s="44">
        <v>42192108</v>
      </c>
      <c r="O1509" s="33" t="s">
        <v>4585</v>
      </c>
      <c r="P1509" s="33" t="s">
        <v>4584</v>
      </c>
      <c r="Q1509" s="34" t="s">
        <v>1494</v>
      </c>
      <c r="R1509" s="34" t="s">
        <v>1494</v>
      </c>
    </row>
    <row r="1510" spans="1:18" ht="15" customHeight="1" x14ac:dyDescent="0.25">
      <c r="A1510" t="str">
        <f>IFERROR(RANK(B1510,$B:$B,1)+COUNTIF($B$1:B1509,B1510),"")</f>
        <v/>
      </c>
      <c r="B1510" t="str">
        <f>IFERROR(SEARCH(#REF!,Table4[[#This Row],[Commodity Title]],1),"")</f>
        <v/>
      </c>
      <c r="C1510" s="35">
        <v>42192109</v>
      </c>
      <c r="D1510" s="33" t="s">
        <v>1495</v>
      </c>
      <c r="E1510" s="33" t="s">
        <v>1496</v>
      </c>
      <c r="F1510" s="33" t="s">
        <v>1497</v>
      </c>
      <c r="G1510" s="33" t="s">
        <v>4408</v>
      </c>
      <c r="H1510" s="33" t="s">
        <v>4409</v>
      </c>
      <c r="I1510" s="33" t="s">
        <v>4410</v>
      </c>
      <c r="J1510" s="33">
        <v>202789</v>
      </c>
      <c r="K1510" s="33" t="s">
        <v>4570</v>
      </c>
      <c r="L1510" s="33" t="s">
        <v>4571</v>
      </c>
      <c r="M1510" s="33" t="s">
        <v>4572</v>
      </c>
      <c r="N1510" s="44">
        <v>42192109</v>
      </c>
      <c r="O1510" s="33" t="s">
        <v>4586</v>
      </c>
      <c r="P1510" s="33" t="s">
        <v>4587</v>
      </c>
      <c r="Q1510" s="34" t="s">
        <v>1494</v>
      </c>
      <c r="R1510" s="34" t="s">
        <v>1494</v>
      </c>
    </row>
    <row r="1511" spans="1:18" ht="15" customHeight="1" x14ac:dyDescent="0.25">
      <c r="A1511" t="str">
        <f>IFERROR(RANK(B1511,$B:$B,1)+COUNTIF($B$1:B1510,B1511),"")</f>
        <v/>
      </c>
      <c r="B1511" t="str">
        <f>IFERROR(SEARCH(#REF!,Table4[[#This Row],[Commodity Title]],1),"")</f>
        <v/>
      </c>
      <c r="C1511" s="35">
        <v>42192110</v>
      </c>
      <c r="D1511" s="33" t="s">
        <v>1495</v>
      </c>
      <c r="E1511" s="33" t="s">
        <v>1496</v>
      </c>
      <c r="F1511" s="33" t="s">
        <v>1497</v>
      </c>
      <c r="G1511" s="33" t="s">
        <v>4408</v>
      </c>
      <c r="H1511" s="33" t="s">
        <v>4409</v>
      </c>
      <c r="I1511" s="33" t="s">
        <v>4410</v>
      </c>
      <c r="J1511" s="33">
        <v>202790</v>
      </c>
      <c r="K1511" s="33" t="s">
        <v>4570</v>
      </c>
      <c r="L1511" s="33" t="s">
        <v>4571</v>
      </c>
      <c r="M1511" s="33" t="s">
        <v>4572</v>
      </c>
      <c r="N1511" s="44">
        <v>42192110</v>
      </c>
      <c r="O1511" s="33" t="s">
        <v>4588</v>
      </c>
      <c r="P1511" s="33" t="s">
        <v>4589</v>
      </c>
      <c r="Q1511" s="34" t="s">
        <v>1494</v>
      </c>
      <c r="R1511" s="34" t="s">
        <v>1494</v>
      </c>
    </row>
    <row r="1512" spans="1:18" ht="15" customHeight="1" x14ac:dyDescent="0.25">
      <c r="A1512" t="str">
        <f>IFERROR(RANK(B1512,$B:$B,1)+COUNTIF($B$1:B1511,B1512),"")</f>
        <v/>
      </c>
      <c r="B1512" t="str">
        <f>IFERROR(SEARCH(#REF!,Table4[[#This Row],[Commodity Title]],1),"")</f>
        <v/>
      </c>
      <c r="C1512" s="35">
        <v>42192111</v>
      </c>
      <c r="D1512" s="33" t="s">
        <v>1495</v>
      </c>
      <c r="E1512" s="33" t="s">
        <v>1496</v>
      </c>
      <c r="F1512" s="33" t="s">
        <v>1497</v>
      </c>
      <c r="G1512" s="33" t="s">
        <v>4408</v>
      </c>
      <c r="H1512" s="33" t="s">
        <v>4409</v>
      </c>
      <c r="I1512" s="33" t="s">
        <v>4410</v>
      </c>
      <c r="J1512" s="33">
        <v>202791</v>
      </c>
      <c r="K1512" s="33" t="s">
        <v>4570</v>
      </c>
      <c r="L1512" s="33" t="s">
        <v>4571</v>
      </c>
      <c r="M1512" s="33" t="s">
        <v>4572</v>
      </c>
      <c r="N1512" s="44">
        <v>42192111</v>
      </c>
      <c r="O1512" s="33" t="s">
        <v>4590</v>
      </c>
      <c r="P1512" s="33" t="s">
        <v>4591</v>
      </c>
      <c r="Q1512" s="34" t="s">
        <v>1494</v>
      </c>
      <c r="R1512" s="34" t="s">
        <v>1494</v>
      </c>
    </row>
    <row r="1513" spans="1:18" ht="15" customHeight="1" x14ac:dyDescent="0.25">
      <c r="A1513" t="str">
        <f>IFERROR(RANK(B1513,$B:$B,1)+COUNTIF($B$1:B1512,B1513),"")</f>
        <v/>
      </c>
      <c r="B1513" t="str">
        <f>IFERROR(SEARCH(#REF!,Table4[[#This Row],[Commodity Title]],1),"")</f>
        <v/>
      </c>
      <c r="C1513" s="35">
        <v>42192112</v>
      </c>
      <c r="D1513" s="33" t="s">
        <v>1495</v>
      </c>
      <c r="E1513" s="33" t="s">
        <v>1496</v>
      </c>
      <c r="F1513" s="33" t="s">
        <v>1497</v>
      </c>
      <c r="G1513" s="33" t="s">
        <v>4408</v>
      </c>
      <c r="H1513" s="33" t="s">
        <v>4409</v>
      </c>
      <c r="I1513" s="33" t="s">
        <v>4410</v>
      </c>
      <c r="J1513" s="33">
        <v>202792</v>
      </c>
      <c r="K1513" s="33" t="s">
        <v>4570</v>
      </c>
      <c r="L1513" s="33" t="s">
        <v>4571</v>
      </c>
      <c r="M1513" s="33" t="s">
        <v>4572</v>
      </c>
      <c r="N1513" s="44">
        <v>42192112</v>
      </c>
      <c r="O1513" s="33" t="s">
        <v>4592</v>
      </c>
      <c r="P1513" s="33" t="s">
        <v>4593</v>
      </c>
      <c r="Q1513" s="34" t="s">
        <v>1494</v>
      </c>
      <c r="R1513" s="34" t="s">
        <v>1494</v>
      </c>
    </row>
    <row r="1514" spans="1:18" ht="15" customHeight="1" x14ac:dyDescent="0.25">
      <c r="A1514" t="str">
        <f>IFERROR(RANK(B1514,$B:$B,1)+COUNTIF($B$1:B1513,B1514),"")</f>
        <v/>
      </c>
      <c r="B1514" t="str">
        <f>IFERROR(SEARCH(#REF!,Table4[[#This Row],[Commodity Title]],1),"")</f>
        <v/>
      </c>
      <c r="C1514" s="33" t="s">
        <v>1494</v>
      </c>
      <c r="D1514" s="33" t="s">
        <v>1495</v>
      </c>
      <c r="E1514" s="33" t="s">
        <v>1496</v>
      </c>
      <c r="F1514" s="33" t="s">
        <v>1497</v>
      </c>
      <c r="G1514" s="33" t="s">
        <v>4408</v>
      </c>
      <c r="H1514" s="33" t="s">
        <v>4409</v>
      </c>
      <c r="I1514" s="33" t="s">
        <v>4410</v>
      </c>
      <c r="J1514" s="33">
        <v>115482</v>
      </c>
      <c r="K1514" s="33" t="s">
        <v>4594</v>
      </c>
      <c r="L1514" s="33" t="s">
        <v>4595</v>
      </c>
      <c r="M1514" s="33" t="s">
        <v>4596</v>
      </c>
      <c r="N1514" s="44" t="s">
        <v>1494</v>
      </c>
      <c r="O1514" s="33" t="s">
        <v>1494</v>
      </c>
      <c r="P1514" s="33" t="s">
        <v>1494</v>
      </c>
      <c r="Q1514" s="34" t="s">
        <v>1494</v>
      </c>
      <c r="R1514" s="34" t="s">
        <v>1494</v>
      </c>
    </row>
    <row r="1515" spans="1:18" ht="15" customHeight="1" x14ac:dyDescent="0.25">
      <c r="A1515" t="str">
        <f>IFERROR(RANK(B1515,$B:$B,1)+COUNTIF($B$1:B1514,B1515),"")</f>
        <v/>
      </c>
      <c r="B1515" t="str">
        <f>IFERROR(SEARCH(#REF!,Table4[[#This Row],[Commodity Title]],1),"")</f>
        <v/>
      </c>
      <c r="C1515" s="35">
        <v>42192201</v>
      </c>
      <c r="D1515" s="33" t="s">
        <v>1495</v>
      </c>
      <c r="E1515" s="33" t="s">
        <v>1496</v>
      </c>
      <c r="F1515" s="33" t="s">
        <v>1497</v>
      </c>
      <c r="G1515" s="33" t="s">
        <v>4408</v>
      </c>
      <c r="H1515" s="33" t="s">
        <v>4409</v>
      </c>
      <c r="I1515" s="33" t="s">
        <v>4410</v>
      </c>
      <c r="J1515" s="33">
        <v>115483</v>
      </c>
      <c r="K1515" s="33" t="s">
        <v>4594</v>
      </c>
      <c r="L1515" s="33" t="s">
        <v>4595</v>
      </c>
      <c r="M1515" s="33" t="s">
        <v>4596</v>
      </c>
      <c r="N1515" s="44">
        <v>42192201</v>
      </c>
      <c r="O1515" s="33" t="s">
        <v>4597</v>
      </c>
      <c r="P1515" s="33" t="s">
        <v>4598</v>
      </c>
      <c r="Q1515" s="34" t="s">
        <v>1494</v>
      </c>
      <c r="R1515" s="34" t="s">
        <v>1494</v>
      </c>
    </row>
    <row r="1516" spans="1:18" ht="15" customHeight="1" x14ac:dyDescent="0.25">
      <c r="A1516" t="str">
        <f>IFERROR(RANK(B1516,$B:$B,1)+COUNTIF($B$1:B1515,B1516),"")</f>
        <v/>
      </c>
      <c r="B1516" t="str">
        <f>IFERROR(SEARCH(#REF!,Table4[[#This Row],[Commodity Title]],1),"")</f>
        <v/>
      </c>
      <c r="C1516" s="35">
        <v>42192202</v>
      </c>
      <c r="D1516" s="33" t="s">
        <v>1495</v>
      </c>
      <c r="E1516" s="33" t="s">
        <v>1496</v>
      </c>
      <c r="F1516" s="33" t="s">
        <v>1497</v>
      </c>
      <c r="G1516" s="33" t="s">
        <v>4408</v>
      </c>
      <c r="H1516" s="33" t="s">
        <v>4409</v>
      </c>
      <c r="I1516" s="33" t="s">
        <v>4410</v>
      </c>
      <c r="J1516" s="33">
        <v>115484</v>
      </c>
      <c r="K1516" s="33" t="s">
        <v>4594</v>
      </c>
      <c r="L1516" s="33" t="s">
        <v>4595</v>
      </c>
      <c r="M1516" s="33" t="s">
        <v>4596</v>
      </c>
      <c r="N1516" s="44">
        <v>42192202</v>
      </c>
      <c r="O1516" s="33" t="s">
        <v>4599</v>
      </c>
      <c r="P1516" s="33" t="s">
        <v>4600</v>
      </c>
      <c r="Q1516" s="34" t="s">
        <v>1494</v>
      </c>
      <c r="R1516" s="34" t="s">
        <v>1494</v>
      </c>
    </row>
    <row r="1517" spans="1:18" ht="15" customHeight="1" x14ac:dyDescent="0.25">
      <c r="A1517" t="str">
        <f>IFERROR(RANK(B1517,$B:$B,1)+COUNTIF($B$1:B1516,B1517),"")</f>
        <v/>
      </c>
      <c r="B1517" t="str">
        <f>IFERROR(SEARCH(#REF!,Table4[[#This Row],[Commodity Title]],1),"")</f>
        <v/>
      </c>
      <c r="C1517" s="35">
        <v>42192203</v>
      </c>
      <c r="D1517" s="33" t="s">
        <v>1495</v>
      </c>
      <c r="E1517" s="33" t="s">
        <v>1496</v>
      </c>
      <c r="F1517" s="33" t="s">
        <v>1497</v>
      </c>
      <c r="G1517" s="33" t="s">
        <v>4408</v>
      </c>
      <c r="H1517" s="33" t="s">
        <v>4409</v>
      </c>
      <c r="I1517" s="33" t="s">
        <v>4410</v>
      </c>
      <c r="J1517" s="33">
        <v>115485</v>
      </c>
      <c r="K1517" s="33" t="s">
        <v>4594</v>
      </c>
      <c r="L1517" s="33" t="s">
        <v>4595</v>
      </c>
      <c r="M1517" s="33" t="s">
        <v>4596</v>
      </c>
      <c r="N1517" s="44">
        <v>42192203</v>
      </c>
      <c r="O1517" s="33" t="s">
        <v>4601</v>
      </c>
      <c r="P1517" s="33" t="s">
        <v>4602</v>
      </c>
      <c r="Q1517" s="34" t="s">
        <v>1494</v>
      </c>
      <c r="R1517" s="34" t="s">
        <v>1494</v>
      </c>
    </row>
    <row r="1518" spans="1:18" ht="15" customHeight="1" x14ac:dyDescent="0.25">
      <c r="A1518" t="str">
        <f>IFERROR(RANK(B1518,$B:$B,1)+COUNTIF($B$1:B1517,B1518),"")</f>
        <v/>
      </c>
      <c r="B1518" t="str">
        <f>IFERROR(SEARCH(#REF!,Table4[[#This Row],[Commodity Title]],1),"")</f>
        <v/>
      </c>
      <c r="C1518" s="35">
        <v>42192204</v>
      </c>
      <c r="D1518" s="33" t="s">
        <v>1495</v>
      </c>
      <c r="E1518" s="33" t="s">
        <v>1496</v>
      </c>
      <c r="F1518" s="33" t="s">
        <v>1497</v>
      </c>
      <c r="G1518" s="33" t="s">
        <v>4408</v>
      </c>
      <c r="H1518" s="33" t="s">
        <v>4409</v>
      </c>
      <c r="I1518" s="33" t="s">
        <v>4410</v>
      </c>
      <c r="J1518" s="33">
        <v>115486</v>
      </c>
      <c r="K1518" s="33" t="s">
        <v>4594</v>
      </c>
      <c r="L1518" s="33" t="s">
        <v>4595</v>
      </c>
      <c r="M1518" s="33" t="s">
        <v>4596</v>
      </c>
      <c r="N1518" s="44">
        <v>42192204</v>
      </c>
      <c r="O1518" s="33" t="s">
        <v>4603</v>
      </c>
      <c r="P1518" s="33" t="s">
        <v>4604</v>
      </c>
      <c r="Q1518" s="34" t="s">
        <v>1494</v>
      </c>
      <c r="R1518" s="34" t="s">
        <v>1494</v>
      </c>
    </row>
    <row r="1519" spans="1:18" ht="15" customHeight="1" x14ac:dyDescent="0.25">
      <c r="A1519" t="str">
        <f>IFERROR(RANK(B1519,$B:$B,1)+COUNTIF($B$1:B1518,B1519),"")</f>
        <v/>
      </c>
      <c r="B1519" t="str">
        <f>IFERROR(SEARCH(#REF!,Table4[[#This Row],[Commodity Title]],1),"")</f>
        <v/>
      </c>
      <c r="C1519" s="35">
        <v>42192205</v>
      </c>
      <c r="D1519" s="33" t="s">
        <v>1495</v>
      </c>
      <c r="E1519" s="33" t="s">
        <v>1496</v>
      </c>
      <c r="F1519" s="33" t="s">
        <v>1497</v>
      </c>
      <c r="G1519" s="33" t="s">
        <v>4408</v>
      </c>
      <c r="H1519" s="33" t="s">
        <v>4409</v>
      </c>
      <c r="I1519" s="33" t="s">
        <v>4410</v>
      </c>
      <c r="J1519" s="33">
        <v>115487</v>
      </c>
      <c r="K1519" s="33" t="s">
        <v>4594</v>
      </c>
      <c r="L1519" s="33" t="s">
        <v>4595</v>
      </c>
      <c r="M1519" s="33" t="s">
        <v>4596</v>
      </c>
      <c r="N1519" s="44">
        <v>42192205</v>
      </c>
      <c r="O1519" s="33" t="s">
        <v>4605</v>
      </c>
      <c r="P1519" s="33" t="s">
        <v>4606</v>
      </c>
      <c r="Q1519" s="34" t="s">
        <v>1494</v>
      </c>
      <c r="R1519" s="34" t="s">
        <v>1494</v>
      </c>
    </row>
    <row r="1520" spans="1:18" ht="15" customHeight="1" x14ac:dyDescent="0.25">
      <c r="A1520" t="str">
        <f>IFERROR(RANK(B1520,$B:$B,1)+COUNTIF($B$1:B1519,B1520),"")</f>
        <v/>
      </c>
      <c r="B1520" t="str">
        <f>IFERROR(SEARCH(#REF!,Table4[[#This Row],[Commodity Title]],1),"")</f>
        <v/>
      </c>
      <c r="C1520" s="35">
        <v>42192206</v>
      </c>
      <c r="D1520" s="33" t="s">
        <v>1495</v>
      </c>
      <c r="E1520" s="33" t="s">
        <v>1496</v>
      </c>
      <c r="F1520" s="33" t="s">
        <v>1497</v>
      </c>
      <c r="G1520" s="33" t="s">
        <v>4408</v>
      </c>
      <c r="H1520" s="33" t="s">
        <v>4409</v>
      </c>
      <c r="I1520" s="33" t="s">
        <v>4410</v>
      </c>
      <c r="J1520" s="33">
        <v>115488</v>
      </c>
      <c r="K1520" s="33" t="s">
        <v>4594</v>
      </c>
      <c r="L1520" s="33" t="s">
        <v>4595</v>
      </c>
      <c r="M1520" s="33" t="s">
        <v>4596</v>
      </c>
      <c r="N1520" s="44">
        <v>42192206</v>
      </c>
      <c r="O1520" s="33" t="s">
        <v>4607</v>
      </c>
      <c r="P1520" s="33" t="s">
        <v>4608</v>
      </c>
      <c r="Q1520" s="34" t="s">
        <v>1494</v>
      </c>
      <c r="R1520" s="34" t="s">
        <v>1494</v>
      </c>
    </row>
    <row r="1521" spans="1:18" ht="15" customHeight="1" x14ac:dyDescent="0.25">
      <c r="A1521" t="str">
        <f>IFERROR(RANK(B1521,$B:$B,1)+COUNTIF($B$1:B1520,B1521),"")</f>
        <v/>
      </c>
      <c r="B1521" t="str">
        <f>IFERROR(SEARCH(#REF!,Table4[[#This Row],[Commodity Title]],1),"")</f>
        <v/>
      </c>
      <c r="C1521" s="35">
        <v>42192207</v>
      </c>
      <c r="D1521" s="33" t="s">
        <v>1495</v>
      </c>
      <c r="E1521" s="33" t="s">
        <v>1496</v>
      </c>
      <c r="F1521" s="33" t="s">
        <v>1497</v>
      </c>
      <c r="G1521" s="33" t="s">
        <v>4408</v>
      </c>
      <c r="H1521" s="33" t="s">
        <v>4409</v>
      </c>
      <c r="I1521" s="33" t="s">
        <v>4410</v>
      </c>
      <c r="J1521" s="33">
        <v>115489</v>
      </c>
      <c r="K1521" s="33" t="s">
        <v>4594</v>
      </c>
      <c r="L1521" s="33" t="s">
        <v>4595</v>
      </c>
      <c r="M1521" s="33" t="s">
        <v>4596</v>
      </c>
      <c r="N1521" s="44">
        <v>42192207</v>
      </c>
      <c r="O1521" s="33" t="s">
        <v>4609</v>
      </c>
      <c r="P1521" s="33" t="s">
        <v>4610</v>
      </c>
      <c r="Q1521" s="34" t="s">
        <v>1494</v>
      </c>
      <c r="R1521" s="34" t="s">
        <v>1494</v>
      </c>
    </row>
    <row r="1522" spans="1:18" ht="15" customHeight="1" x14ac:dyDescent="0.25">
      <c r="A1522" t="str">
        <f>IFERROR(RANK(B1522,$B:$B,1)+COUNTIF($B$1:B1521,B1522),"")</f>
        <v/>
      </c>
      <c r="B1522" t="str">
        <f>IFERROR(SEARCH(#REF!,Table4[[#This Row],[Commodity Title]],1),"")</f>
        <v/>
      </c>
      <c r="C1522" s="35">
        <v>42192208</v>
      </c>
      <c r="D1522" s="33" t="s">
        <v>1495</v>
      </c>
      <c r="E1522" s="33" t="s">
        <v>1496</v>
      </c>
      <c r="F1522" s="33" t="s">
        <v>1497</v>
      </c>
      <c r="G1522" s="33" t="s">
        <v>4408</v>
      </c>
      <c r="H1522" s="33" t="s">
        <v>4409</v>
      </c>
      <c r="I1522" s="33" t="s">
        <v>4410</v>
      </c>
      <c r="J1522" s="33">
        <v>104703</v>
      </c>
      <c r="K1522" s="33" t="s">
        <v>4594</v>
      </c>
      <c r="L1522" s="33" t="s">
        <v>4595</v>
      </c>
      <c r="M1522" s="33" t="s">
        <v>4596</v>
      </c>
      <c r="N1522" s="44">
        <v>42192208</v>
      </c>
      <c r="O1522" s="33" t="s">
        <v>4611</v>
      </c>
      <c r="P1522" s="33" t="s">
        <v>4612</v>
      </c>
      <c r="Q1522" s="34" t="s">
        <v>1494</v>
      </c>
      <c r="R1522" s="34" t="s">
        <v>1494</v>
      </c>
    </row>
    <row r="1523" spans="1:18" ht="15" customHeight="1" x14ac:dyDescent="0.25">
      <c r="A1523" t="str">
        <f>IFERROR(RANK(B1523,$B:$B,1)+COUNTIF($B$1:B1522,B1523),"")</f>
        <v/>
      </c>
      <c r="B1523" t="str">
        <f>IFERROR(SEARCH(#REF!,Table4[[#This Row],[Commodity Title]],1),"")</f>
        <v/>
      </c>
      <c r="C1523" s="35">
        <v>42192209</v>
      </c>
      <c r="D1523" s="33" t="s">
        <v>1495</v>
      </c>
      <c r="E1523" s="33" t="s">
        <v>1496</v>
      </c>
      <c r="F1523" s="33" t="s">
        <v>1497</v>
      </c>
      <c r="G1523" s="33" t="s">
        <v>4408</v>
      </c>
      <c r="H1523" s="33" t="s">
        <v>4409</v>
      </c>
      <c r="I1523" s="33" t="s">
        <v>4410</v>
      </c>
      <c r="J1523" s="33">
        <v>104708</v>
      </c>
      <c r="K1523" s="33" t="s">
        <v>4594</v>
      </c>
      <c r="L1523" s="33" t="s">
        <v>4595</v>
      </c>
      <c r="M1523" s="33" t="s">
        <v>4596</v>
      </c>
      <c r="N1523" s="44">
        <v>42192209</v>
      </c>
      <c r="O1523" s="33" t="s">
        <v>4613</v>
      </c>
      <c r="P1523" s="33" t="s">
        <v>4614</v>
      </c>
      <c r="Q1523" s="34" t="s">
        <v>1494</v>
      </c>
      <c r="R1523" s="34" t="s">
        <v>1494</v>
      </c>
    </row>
    <row r="1524" spans="1:18" ht="15" customHeight="1" x14ac:dyDescent="0.25">
      <c r="A1524" t="str">
        <f>IFERROR(RANK(B1524,$B:$B,1)+COUNTIF($B$1:B1523,B1524),"")</f>
        <v/>
      </c>
      <c r="B1524" t="str">
        <f>IFERROR(SEARCH(#REF!,Table4[[#This Row],[Commodity Title]],1),"")</f>
        <v/>
      </c>
      <c r="C1524" s="35">
        <v>42192210</v>
      </c>
      <c r="D1524" s="33" t="s">
        <v>1495</v>
      </c>
      <c r="E1524" s="33" t="s">
        <v>1496</v>
      </c>
      <c r="F1524" s="33" t="s">
        <v>1497</v>
      </c>
      <c r="G1524" s="33" t="s">
        <v>4408</v>
      </c>
      <c r="H1524" s="33" t="s">
        <v>4409</v>
      </c>
      <c r="I1524" s="33" t="s">
        <v>4410</v>
      </c>
      <c r="J1524" s="33">
        <v>104702</v>
      </c>
      <c r="K1524" s="33" t="s">
        <v>4594</v>
      </c>
      <c r="L1524" s="33" t="s">
        <v>4595</v>
      </c>
      <c r="M1524" s="33" t="s">
        <v>4596</v>
      </c>
      <c r="N1524" s="44">
        <v>42192210</v>
      </c>
      <c r="O1524" s="33" t="s">
        <v>4615</v>
      </c>
      <c r="P1524" s="33" t="s">
        <v>4616</v>
      </c>
      <c r="Q1524" s="34" t="s">
        <v>1494</v>
      </c>
      <c r="R1524" s="34" t="s">
        <v>1494</v>
      </c>
    </row>
    <row r="1525" spans="1:18" ht="15" customHeight="1" x14ac:dyDescent="0.25">
      <c r="A1525" t="str">
        <f>IFERROR(RANK(B1525,$B:$B,1)+COUNTIF($B$1:B1524,B1525),"")</f>
        <v/>
      </c>
      <c r="B1525" t="str">
        <f>IFERROR(SEARCH(#REF!,Table4[[#This Row],[Commodity Title]],1),"")</f>
        <v/>
      </c>
      <c r="C1525" s="35">
        <v>42192211</v>
      </c>
      <c r="D1525" s="33" t="s">
        <v>1495</v>
      </c>
      <c r="E1525" s="33" t="s">
        <v>1496</v>
      </c>
      <c r="F1525" s="33" t="s">
        <v>1497</v>
      </c>
      <c r="G1525" s="33" t="s">
        <v>4408</v>
      </c>
      <c r="H1525" s="33" t="s">
        <v>4409</v>
      </c>
      <c r="I1525" s="33" t="s">
        <v>4410</v>
      </c>
      <c r="J1525" s="33">
        <v>142561</v>
      </c>
      <c r="K1525" s="33" t="s">
        <v>4594</v>
      </c>
      <c r="L1525" s="33" t="s">
        <v>4595</v>
      </c>
      <c r="M1525" s="33" t="s">
        <v>4596</v>
      </c>
      <c r="N1525" s="44">
        <v>42192211</v>
      </c>
      <c r="O1525" s="33" t="s">
        <v>4617</v>
      </c>
      <c r="P1525" s="33" t="s">
        <v>4618</v>
      </c>
      <c r="Q1525" s="34" t="s">
        <v>1494</v>
      </c>
      <c r="R1525" s="34" t="s">
        <v>1494</v>
      </c>
    </row>
    <row r="1526" spans="1:18" ht="15" customHeight="1" x14ac:dyDescent="0.25">
      <c r="A1526" t="str">
        <f>IFERROR(RANK(B1526,$B:$B,1)+COUNTIF($B$1:B1525,B1526),"")</f>
        <v/>
      </c>
      <c r="B1526" t="str">
        <f>IFERROR(SEARCH(#REF!,Table4[[#This Row],[Commodity Title]],1),"")</f>
        <v/>
      </c>
      <c r="C1526" s="35">
        <v>42192212</v>
      </c>
      <c r="D1526" s="33" t="s">
        <v>1495</v>
      </c>
      <c r="E1526" s="33" t="s">
        <v>1496</v>
      </c>
      <c r="F1526" s="33" t="s">
        <v>1497</v>
      </c>
      <c r="G1526" s="33" t="s">
        <v>4408</v>
      </c>
      <c r="H1526" s="33" t="s">
        <v>4409</v>
      </c>
      <c r="I1526" s="33" t="s">
        <v>4410</v>
      </c>
      <c r="J1526" s="33">
        <v>142562</v>
      </c>
      <c r="K1526" s="33" t="s">
        <v>4594</v>
      </c>
      <c r="L1526" s="33" t="s">
        <v>4595</v>
      </c>
      <c r="M1526" s="33" t="s">
        <v>4596</v>
      </c>
      <c r="N1526" s="44">
        <v>42192212</v>
      </c>
      <c r="O1526" s="33" t="s">
        <v>4619</v>
      </c>
      <c r="P1526" s="33" t="s">
        <v>4620</v>
      </c>
      <c r="Q1526" s="34" t="s">
        <v>1494</v>
      </c>
      <c r="R1526" s="34" t="s">
        <v>1494</v>
      </c>
    </row>
    <row r="1527" spans="1:18" ht="15" customHeight="1" x14ac:dyDescent="0.25">
      <c r="A1527" t="str">
        <f>IFERROR(RANK(B1527,$B:$B,1)+COUNTIF($B$1:B1526,B1527),"")</f>
        <v/>
      </c>
      <c r="B1527" t="str">
        <f>IFERROR(SEARCH(#REF!,Table4[[#This Row],[Commodity Title]],1),"")</f>
        <v/>
      </c>
      <c r="C1527" s="35">
        <v>42192214</v>
      </c>
      <c r="D1527" s="33" t="s">
        <v>1495</v>
      </c>
      <c r="E1527" s="33" t="s">
        <v>1496</v>
      </c>
      <c r="F1527" s="33" t="s">
        <v>1497</v>
      </c>
      <c r="G1527" s="33" t="s">
        <v>4408</v>
      </c>
      <c r="H1527" s="33" t="s">
        <v>4409</v>
      </c>
      <c r="I1527" s="33" t="s">
        <v>4410</v>
      </c>
      <c r="J1527" s="33">
        <v>176720</v>
      </c>
      <c r="K1527" s="33" t="s">
        <v>4594</v>
      </c>
      <c r="L1527" s="33" t="s">
        <v>4595</v>
      </c>
      <c r="M1527" s="33" t="s">
        <v>4596</v>
      </c>
      <c r="N1527" s="44">
        <v>42192214</v>
      </c>
      <c r="O1527" s="33" t="s">
        <v>4621</v>
      </c>
      <c r="P1527" s="33" t="s">
        <v>4622</v>
      </c>
      <c r="Q1527" s="34" t="s">
        <v>1494</v>
      </c>
      <c r="R1527" s="34" t="s">
        <v>1494</v>
      </c>
    </row>
    <row r="1528" spans="1:18" ht="15" customHeight="1" x14ac:dyDescent="0.25">
      <c r="A1528" t="str">
        <f>IFERROR(RANK(B1528,$B:$B,1)+COUNTIF($B$1:B1527,B1528),"")</f>
        <v/>
      </c>
      <c r="B1528" t="str">
        <f>IFERROR(SEARCH(#REF!,Table4[[#This Row],[Commodity Title]],1),"")</f>
        <v/>
      </c>
      <c r="C1528" s="35">
        <v>42192215</v>
      </c>
      <c r="D1528" s="33" t="s">
        <v>1495</v>
      </c>
      <c r="E1528" s="33" t="s">
        <v>1496</v>
      </c>
      <c r="F1528" s="33" t="s">
        <v>1497</v>
      </c>
      <c r="G1528" s="33" t="s">
        <v>4408</v>
      </c>
      <c r="H1528" s="33" t="s">
        <v>4409</v>
      </c>
      <c r="I1528" s="33" t="s">
        <v>4410</v>
      </c>
      <c r="J1528" s="33">
        <v>202793</v>
      </c>
      <c r="K1528" s="33" t="s">
        <v>4594</v>
      </c>
      <c r="L1528" s="33" t="s">
        <v>4595</v>
      </c>
      <c r="M1528" s="33" t="s">
        <v>4596</v>
      </c>
      <c r="N1528" s="44">
        <v>42192215</v>
      </c>
      <c r="O1528" s="33" t="s">
        <v>4623</v>
      </c>
      <c r="P1528" s="33" t="s">
        <v>4624</v>
      </c>
      <c r="Q1528" s="34" t="s">
        <v>1494</v>
      </c>
      <c r="R1528" s="34" t="s">
        <v>1494</v>
      </c>
    </row>
    <row r="1529" spans="1:18" ht="15" customHeight="1" x14ac:dyDescent="0.25">
      <c r="A1529" t="str">
        <f>IFERROR(RANK(B1529,$B:$B,1)+COUNTIF($B$1:B1528,B1529),"")</f>
        <v/>
      </c>
      <c r="B1529" t="str">
        <f>IFERROR(SEARCH(#REF!,Table4[[#This Row],[Commodity Title]],1),"")</f>
        <v/>
      </c>
      <c r="C1529" s="35">
        <v>42192216</v>
      </c>
      <c r="D1529" s="33" t="s">
        <v>1495</v>
      </c>
      <c r="E1529" s="33" t="s">
        <v>1496</v>
      </c>
      <c r="F1529" s="33" t="s">
        <v>1497</v>
      </c>
      <c r="G1529" s="33" t="s">
        <v>4408</v>
      </c>
      <c r="H1529" s="33" t="s">
        <v>4409</v>
      </c>
      <c r="I1529" s="33" t="s">
        <v>4410</v>
      </c>
      <c r="J1529" s="33">
        <v>202794</v>
      </c>
      <c r="K1529" s="33" t="s">
        <v>4594</v>
      </c>
      <c r="L1529" s="33" t="s">
        <v>4595</v>
      </c>
      <c r="M1529" s="33" t="s">
        <v>4596</v>
      </c>
      <c r="N1529" s="44">
        <v>42192216</v>
      </c>
      <c r="O1529" s="33" t="s">
        <v>4625</v>
      </c>
      <c r="P1529" s="33" t="s">
        <v>4626</v>
      </c>
      <c r="Q1529" s="34" t="s">
        <v>1494</v>
      </c>
      <c r="R1529" s="34" t="s">
        <v>1494</v>
      </c>
    </row>
    <row r="1530" spans="1:18" ht="15" customHeight="1" x14ac:dyDescent="0.25">
      <c r="A1530" t="str">
        <f>IFERROR(RANK(B1530,$B:$B,1)+COUNTIF($B$1:B1529,B1530),"")</f>
        <v/>
      </c>
      <c r="B1530" t="str">
        <f>IFERROR(SEARCH(#REF!,Table4[[#This Row],[Commodity Title]],1),"")</f>
        <v/>
      </c>
      <c r="C1530" s="35">
        <v>42192217</v>
      </c>
      <c r="D1530" s="33" t="s">
        <v>1495</v>
      </c>
      <c r="E1530" s="33" t="s">
        <v>1496</v>
      </c>
      <c r="F1530" s="33" t="s">
        <v>1497</v>
      </c>
      <c r="G1530" s="33" t="s">
        <v>4408</v>
      </c>
      <c r="H1530" s="33" t="s">
        <v>4409</v>
      </c>
      <c r="I1530" s="33" t="s">
        <v>4410</v>
      </c>
      <c r="J1530" s="33">
        <v>202795</v>
      </c>
      <c r="K1530" s="33" t="s">
        <v>4594</v>
      </c>
      <c r="L1530" s="33" t="s">
        <v>4595</v>
      </c>
      <c r="M1530" s="33" t="s">
        <v>4596</v>
      </c>
      <c r="N1530" s="44">
        <v>42192217</v>
      </c>
      <c r="O1530" s="33" t="s">
        <v>4627</v>
      </c>
      <c r="P1530" s="33" t="s">
        <v>4628</v>
      </c>
      <c r="Q1530" s="34" t="s">
        <v>1494</v>
      </c>
      <c r="R1530" s="34" t="s">
        <v>1494</v>
      </c>
    </row>
    <row r="1531" spans="1:18" ht="15" customHeight="1" x14ac:dyDescent="0.25">
      <c r="A1531" t="str">
        <f>IFERROR(RANK(B1531,$B:$B,1)+COUNTIF($B$1:B1530,B1531),"")</f>
        <v/>
      </c>
      <c r="B1531" t="str">
        <f>IFERROR(SEARCH(#REF!,Table4[[#This Row],[Commodity Title]],1),"")</f>
        <v/>
      </c>
      <c r="C1531" s="35">
        <v>42192218</v>
      </c>
      <c r="D1531" s="33" t="s">
        <v>1495</v>
      </c>
      <c r="E1531" s="33" t="s">
        <v>1496</v>
      </c>
      <c r="F1531" s="33" t="s">
        <v>1497</v>
      </c>
      <c r="G1531" s="33" t="s">
        <v>4408</v>
      </c>
      <c r="H1531" s="33" t="s">
        <v>4409</v>
      </c>
      <c r="I1531" s="33" t="s">
        <v>4410</v>
      </c>
      <c r="J1531" s="33">
        <v>202796</v>
      </c>
      <c r="K1531" s="33" t="s">
        <v>4594</v>
      </c>
      <c r="L1531" s="33" t="s">
        <v>4595</v>
      </c>
      <c r="M1531" s="33" t="s">
        <v>4596</v>
      </c>
      <c r="N1531" s="44">
        <v>42192218</v>
      </c>
      <c r="O1531" s="33" t="s">
        <v>4629</v>
      </c>
      <c r="P1531" s="33" t="s">
        <v>4630</v>
      </c>
      <c r="Q1531" s="34" t="s">
        <v>1494</v>
      </c>
      <c r="R1531" s="34" t="s">
        <v>1494</v>
      </c>
    </row>
    <row r="1532" spans="1:18" ht="15" customHeight="1" x14ac:dyDescent="0.25">
      <c r="A1532" t="str">
        <f>IFERROR(RANK(B1532,$B:$B,1)+COUNTIF($B$1:B1531,B1532),"")</f>
        <v/>
      </c>
      <c r="B1532" t="str">
        <f>IFERROR(SEARCH(#REF!,Table4[[#This Row],[Commodity Title]],1),"")</f>
        <v/>
      </c>
      <c r="C1532" s="35">
        <v>42192219</v>
      </c>
      <c r="D1532" s="33" t="s">
        <v>1495</v>
      </c>
      <c r="E1532" s="33" t="s">
        <v>1496</v>
      </c>
      <c r="F1532" s="33" t="s">
        <v>1497</v>
      </c>
      <c r="G1532" s="33" t="s">
        <v>4408</v>
      </c>
      <c r="H1532" s="33" t="s">
        <v>4409</v>
      </c>
      <c r="I1532" s="33" t="s">
        <v>4410</v>
      </c>
      <c r="J1532" s="33">
        <v>202797</v>
      </c>
      <c r="K1532" s="33" t="s">
        <v>4594</v>
      </c>
      <c r="L1532" s="33" t="s">
        <v>4595</v>
      </c>
      <c r="M1532" s="33" t="s">
        <v>4596</v>
      </c>
      <c r="N1532" s="44">
        <v>42192219</v>
      </c>
      <c r="O1532" s="33" t="s">
        <v>4631</v>
      </c>
      <c r="P1532" s="33" t="s">
        <v>4632</v>
      </c>
      <c r="Q1532" s="34" t="s">
        <v>1494</v>
      </c>
      <c r="R1532" s="34" t="s">
        <v>1494</v>
      </c>
    </row>
    <row r="1533" spans="1:18" ht="15" customHeight="1" x14ac:dyDescent="0.25">
      <c r="A1533" t="str">
        <f>IFERROR(RANK(B1533,$B:$B,1)+COUNTIF($B$1:B1532,B1533),"")</f>
        <v/>
      </c>
      <c r="B1533" t="str">
        <f>IFERROR(SEARCH(#REF!,Table4[[#This Row],[Commodity Title]],1),"")</f>
        <v/>
      </c>
      <c r="C1533" s="35">
        <v>42192220</v>
      </c>
      <c r="D1533" s="33" t="s">
        <v>1495</v>
      </c>
      <c r="E1533" s="33" t="s">
        <v>1496</v>
      </c>
      <c r="F1533" s="33" t="s">
        <v>1497</v>
      </c>
      <c r="G1533" s="33" t="s">
        <v>4408</v>
      </c>
      <c r="H1533" s="33" t="s">
        <v>4409</v>
      </c>
      <c r="I1533" s="33" t="s">
        <v>4410</v>
      </c>
      <c r="J1533" s="33">
        <v>202798</v>
      </c>
      <c r="K1533" s="33" t="s">
        <v>4594</v>
      </c>
      <c r="L1533" s="33" t="s">
        <v>4595</v>
      </c>
      <c r="M1533" s="33" t="s">
        <v>4596</v>
      </c>
      <c r="N1533" s="44">
        <v>42192220</v>
      </c>
      <c r="O1533" s="33" t="s">
        <v>4633</v>
      </c>
      <c r="P1533" s="33" t="s">
        <v>4634</v>
      </c>
      <c r="Q1533" s="34" t="s">
        <v>1494</v>
      </c>
      <c r="R1533" s="34" t="s">
        <v>1494</v>
      </c>
    </row>
    <row r="1534" spans="1:18" ht="15" customHeight="1" x14ac:dyDescent="0.25">
      <c r="A1534" t="str">
        <f>IFERROR(RANK(B1534,$B:$B,1)+COUNTIF($B$1:B1533,B1534),"")</f>
        <v/>
      </c>
      <c r="B1534" t="str">
        <f>IFERROR(SEARCH(#REF!,Table4[[#This Row],[Commodity Title]],1),"")</f>
        <v/>
      </c>
      <c r="C1534" s="35">
        <v>42192221</v>
      </c>
      <c r="D1534" s="33" t="s">
        <v>1495</v>
      </c>
      <c r="E1534" s="33" t="s">
        <v>1496</v>
      </c>
      <c r="F1534" s="33" t="s">
        <v>1497</v>
      </c>
      <c r="G1534" s="33" t="s">
        <v>4408</v>
      </c>
      <c r="H1534" s="33" t="s">
        <v>4409</v>
      </c>
      <c r="I1534" s="33" t="s">
        <v>4410</v>
      </c>
      <c r="J1534" s="33">
        <v>202799</v>
      </c>
      <c r="K1534" s="33" t="s">
        <v>4594</v>
      </c>
      <c r="L1534" s="33" t="s">
        <v>4595</v>
      </c>
      <c r="M1534" s="33" t="s">
        <v>4596</v>
      </c>
      <c r="N1534" s="44">
        <v>42192221</v>
      </c>
      <c r="O1534" s="33" t="s">
        <v>4635</v>
      </c>
      <c r="P1534" s="33" t="s">
        <v>4636</v>
      </c>
      <c r="Q1534" s="34" t="s">
        <v>1494</v>
      </c>
      <c r="R1534" s="34" t="s">
        <v>1494</v>
      </c>
    </row>
    <row r="1535" spans="1:18" ht="15" customHeight="1" x14ac:dyDescent="0.25">
      <c r="A1535" t="str">
        <f>IFERROR(RANK(B1535,$B:$B,1)+COUNTIF($B$1:B1534,B1535),"")</f>
        <v/>
      </c>
      <c r="B1535" t="str">
        <f>IFERROR(SEARCH(#REF!,Table4[[#This Row],[Commodity Title]],1),"")</f>
        <v/>
      </c>
      <c r="C1535" s="33" t="s">
        <v>1494</v>
      </c>
      <c r="D1535" s="33" t="s">
        <v>1495</v>
      </c>
      <c r="E1535" s="33" t="s">
        <v>1496</v>
      </c>
      <c r="F1535" s="33" t="s">
        <v>1497</v>
      </c>
      <c r="G1535" s="33" t="s">
        <v>4408</v>
      </c>
      <c r="H1535" s="33" t="s">
        <v>4409</v>
      </c>
      <c r="I1535" s="33" t="s">
        <v>4410</v>
      </c>
      <c r="J1535" s="33">
        <v>115493</v>
      </c>
      <c r="K1535" s="33" t="s">
        <v>4637</v>
      </c>
      <c r="L1535" s="33" t="s">
        <v>4638</v>
      </c>
      <c r="M1535" s="33" t="s">
        <v>4639</v>
      </c>
      <c r="N1535" s="44" t="s">
        <v>1494</v>
      </c>
      <c r="O1535" s="33" t="s">
        <v>1494</v>
      </c>
      <c r="P1535" s="33" t="s">
        <v>1494</v>
      </c>
      <c r="Q1535" s="34" t="s">
        <v>1494</v>
      </c>
      <c r="R1535" s="34" t="s">
        <v>1494</v>
      </c>
    </row>
    <row r="1536" spans="1:18" ht="15" customHeight="1" x14ac:dyDescent="0.25">
      <c r="A1536" t="str">
        <f>IFERROR(RANK(B1536,$B:$B,1)+COUNTIF($B$1:B1535,B1536),"")</f>
        <v/>
      </c>
      <c r="B1536" t="str">
        <f>IFERROR(SEARCH(#REF!,Table4[[#This Row],[Commodity Title]],1),"")</f>
        <v/>
      </c>
      <c r="C1536" s="35">
        <v>42192301</v>
      </c>
      <c r="D1536" s="33" t="s">
        <v>1495</v>
      </c>
      <c r="E1536" s="33" t="s">
        <v>1496</v>
      </c>
      <c r="F1536" s="33" t="s">
        <v>1497</v>
      </c>
      <c r="G1536" s="33" t="s">
        <v>4408</v>
      </c>
      <c r="H1536" s="33" t="s">
        <v>4409</v>
      </c>
      <c r="I1536" s="33" t="s">
        <v>4410</v>
      </c>
      <c r="J1536" s="33">
        <v>104412</v>
      </c>
      <c r="K1536" s="33" t="s">
        <v>4637</v>
      </c>
      <c r="L1536" s="33" t="s">
        <v>4638</v>
      </c>
      <c r="M1536" s="33" t="s">
        <v>4639</v>
      </c>
      <c r="N1536" s="44">
        <v>42192301</v>
      </c>
      <c r="O1536" s="33" t="s">
        <v>4640</v>
      </c>
      <c r="P1536" s="33" t="s">
        <v>4641</v>
      </c>
      <c r="Q1536" s="34" t="s">
        <v>1494</v>
      </c>
      <c r="R1536" s="34" t="s">
        <v>1494</v>
      </c>
    </row>
    <row r="1537" spans="1:18" ht="15" customHeight="1" x14ac:dyDescent="0.25">
      <c r="A1537" t="str">
        <f>IFERROR(RANK(B1537,$B:$B,1)+COUNTIF($B$1:B1536,B1537),"")</f>
        <v/>
      </c>
      <c r="B1537" t="str">
        <f>IFERROR(SEARCH(#REF!,Table4[[#This Row],[Commodity Title]],1),"")</f>
        <v/>
      </c>
      <c r="C1537" s="35">
        <v>42192302</v>
      </c>
      <c r="D1537" s="33" t="s">
        <v>1495</v>
      </c>
      <c r="E1537" s="33" t="s">
        <v>1496</v>
      </c>
      <c r="F1537" s="33" t="s">
        <v>1497</v>
      </c>
      <c r="G1537" s="33" t="s">
        <v>4408</v>
      </c>
      <c r="H1537" s="33" t="s">
        <v>4409</v>
      </c>
      <c r="I1537" s="33" t="s">
        <v>4410</v>
      </c>
      <c r="J1537" s="33">
        <v>115495</v>
      </c>
      <c r="K1537" s="33" t="s">
        <v>4637</v>
      </c>
      <c r="L1537" s="33" t="s">
        <v>4638</v>
      </c>
      <c r="M1537" s="33" t="s">
        <v>4639</v>
      </c>
      <c r="N1537" s="44">
        <v>42192302</v>
      </c>
      <c r="O1537" s="33" t="s">
        <v>4642</v>
      </c>
      <c r="P1537" s="33" t="s">
        <v>4643</v>
      </c>
      <c r="Q1537" s="34" t="s">
        <v>1494</v>
      </c>
      <c r="R1537" s="34" t="s">
        <v>1494</v>
      </c>
    </row>
    <row r="1538" spans="1:18" ht="15" customHeight="1" x14ac:dyDescent="0.25">
      <c r="A1538" t="str">
        <f>IFERROR(RANK(B1538,$B:$B,1)+COUNTIF($B$1:B1537,B1538),"")</f>
        <v/>
      </c>
      <c r="B1538" t="str">
        <f>IFERROR(SEARCH(#REF!,Table4[[#This Row],[Commodity Title]],1),"")</f>
        <v/>
      </c>
      <c r="C1538" s="35">
        <v>42192303</v>
      </c>
      <c r="D1538" s="33" t="s">
        <v>1495</v>
      </c>
      <c r="E1538" s="33" t="s">
        <v>1496</v>
      </c>
      <c r="F1538" s="33" t="s">
        <v>1497</v>
      </c>
      <c r="G1538" s="33" t="s">
        <v>4408</v>
      </c>
      <c r="H1538" s="33" t="s">
        <v>4409</v>
      </c>
      <c r="I1538" s="33" t="s">
        <v>4410</v>
      </c>
      <c r="J1538" s="33">
        <v>115496</v>
      </c>
      <c r="K1538" s="33" t="s">
        <v>4637</v>
      </c>
      <c r="L1538" s="33" t="s">
        <v>4638</v>
      </c>
      <c r="M1538" s="33" t="s">
        <v>4639</v>
      </c>
      <c r="N1538" s="44">
        <v>42192303</v>
      </c>
      <c r="O1538" s="33" t="s">
        <v>4644</v>
      </c>
      <c r="P1538" s="33" t="s">
        <v>4645</v>
      </c>
      <c r="Q1538" s="34" t="s">
        <v>1494</v>
      </c>
      <c r="R1538" s="34" t="s">
        <v>1494</v>
      </c>
    </row>
    <row r="1539" spans="1:18" ht="15" customHeight="1" x14ac:dyDescent="0.25">
      <c r="A1539" t="str">
        <f>IFERROR(RANK(B1539,$B:$B,1)+COUNTIF($B$1:B1538,B1539),"")</f>
        <v/>
      </c>
      <c r="B1539" t="str">
        <f>IFERROR(SEARCH(#REF!,Table4[[#This Row],[Commodity Title]],1),"")</f>
        <v/>
      </c>
      <c r="C1539" s="35">
        <v>42192304</v>
      </c>
      <c r="D1539" s="33" t="s">
        <v>1495</v>
      </c>
      <c r="E1539" s="33" t="s">
        <v>1496</v>
      </c>
      <c r="F1539" s="33" t="s">
        <v>1497</v>
      </c>
      <c r="G1539" s="33" t="s">
        <v>4408</v>
      </c>
      <c r="H1539" s="33" t="s">
        <v>4409</v>
      </c>
      <c r="I1539" s="33" t="s">
        <v>4410</v>
      </c>
      <c r="J1539" s="33">
        <v>115497</v>
      </c>
      <c r="K1539" s="33" t="s">
        <v>4637</v>
      </c>
      <c r="L1539" s="33" t="s">
        <v>4638</v>
      </c>
      <c r="M1539" s="33" t="s">
        <v>4639</v>
      </c>
      <c r="N1539" s="44">
        <v>42192304</v>
      </c>
      <c r="O1539" s="33" t="s">
        <v>4646</v>
      </c>
      <c r="P1539" s="33" t="s">
        <v>4647</v>
      </c>
      <c r="Q1539" s="34" t="s">
        <v>1494</v>
      </c>
      <c r="R1539" s="34" t="s">
        <v>1494</v>
      </c>
    </row>
    <row r="1540" spans="1:18" ht="15" customHeight="1" x14ac:dyDescent="0.25">
      <c r="A1540" t="str">
        <f>IFERROR(RANK(B1540,$B:$B,1)+COUNTIF($B$1:B1539,B1540),"")</f>
        <v/>
      </c>
      <c r="B1540" t="str">
        <f>IFERROR(SEARCH(#REF!,Table4[[#This Row],[Commodity Title]],1),"")</f>
        <v/>
      </c>
      <c r="C1540" s="35">
        <v>42192305</v>
      </c>
      <c r="D1540" s="33" t="s">
        <v>1495</v>
      </c>
      <c r="E1540" s="33" t="s">
        <v>1496</v>
      </c>
      <c r="F1540" s="33" t="s">
        <v>1497</v>
      </c>
      <c r="G1540" s="33" t="s">
        <v>4408</v>
      </c>
      <c r="H1540" s="33" t="s">
        <v>4409</v>
      </c>
      <c r="I1540" s="33" t="s">
        <v>4410</v>
      </c>
      <c r="J1540" s="33">
        <v>142563</v>
      </c>
      <c r="K1540" s="33" t="s">
        <v>4637</v>
      </c>
      <c r="L1540" s="33" t="s">
        <v>4638</v>
      </c>
      <c r="M1540" s="33" t="s">
        <v>4639</v>
      </c>
      <c r="N1540" s="44">
        <v>42192305</v>
      </c>
      <c r="O1540" s="33" t="s">
        <v>4648</v>
      </c>
      <c r="P1540" s="33" t="s">
        <v>4649</v>
      </c>
      <c r="Q1540" s="34" t="s">
        <v>1494</v>
      </c>
      <c r="R1540" s="34" t="s">
        <v>1494</v>
      </c>
    </row>
    <row r="1541" spans="1:18" ht="15" customHeight="1" x14ac:dyDescent="0.25">
      <c r="A1541" t="str">
        <f>IFERROR(RANK(B1541,$B:$B,1)+COUNTIF($B$1:B1540,B1541),"")</f>
        <v/>
      </c>
      <c r="B1541" t="str">
        <f>IFERROR(SEARCH(#REF!,Table4[[#This Row],[Commodity Title]],1),"")</f>
        <v/>
      </c>
      <c r="C1541" s="35">
        <v>42192306</v>
      </c>
      <c r="D1541" s="33" t="s">
        <v>1495</v>
      </c>
      <c r="E1541" s="33" t="s">
        <v>1496</v>
      </c>
      <c r="F1541" s="33" t="s">
        <v>1497</v>
      </c>
      <c r="G1541" s="33" t="s">
        <v>4408</v>
      </c>
      <c r="H1541" s="33" t="s">
        <v>4409</v>
      </c>
      <c r="I1541" s="33" t="s">
        <v>4410</v>
      </c>
      <c r="J1541" s="33">
        <v>202800</v>
      </c>
      <c r="K1541" s="33" t="s">
        <v>4637</v>
      </c>
      <c r="L1541" s="33" t="s">
        <v>4638</v>
      </c>
      <c r="M1541" s="33" t="s">
        <v>4639</v>
      </c>
      <c r="N1541" s="44">
        <v>42192306</v>
      </c>
      <c r="O1541" s="33" t="s">
        <v>4650</v>
      </c>
      <c r="P1541" s="33" t="s">
        <v>4651</v>
      </c>
      <c r="Q1541" s="34" t="s">
        <v>1494</v>
      </c>
      <c r="R1541" s="34" t="s">
        <v>1494</v>
      </c>
    </row>
    <row r="1542" spans="1:18" ht="15" customHeight="1" x14ac:dyDescent="0.25">
      <c r="A1542" t="str">
        <f>IFERROR(RANK(B1542,$B:$B,1)+COUNTIF($B$1:B1541,B1542),"")</f>
        <v/>
      </c>
      <c r="B1542" t="str">
        <f>IFERROR(SEARCH(#REF!,Table4[[#This Row],[Commodity Title]],1),"")</f>
        <v/>
      </c>
      <c r="C1542" s="35">
        <v>42192307</v>
      </c>
      <c r="D1542" s="33" t="s">
        <v>1495</v>
      </c>
      <c r="E1542" s="33" t="s">
        <v>1496</v>
      </c>
      <c r="F1542" s="33" t="s">
        <v>1497</v>
      </c>
      <c r="G1542" s="33" t="s">
        <v>4408</v>
      </c>
      <c r="H1542" s="33" t="s">
        <v>4409</v>
      </c>
      <c r="I1542" s="33" t="s">
        <v>4410</v>
      </c>
      <c r="J1542" s="33">
        <v>202801</v>
      </c>
      <c r="K1542" s="33" t="s">
        <v>4637</v>
      </c>
      <c r="L1542" s="33" t="s">
        <v>4638</v>
      </c>
      <c r="M1542" s="33" t="s">
        <v>4639</v>
      </c>
      <c r="N1542" s="44">
        <v>42192307</v>
      </c>
      <c r="O1542" s="33" t="s">
        <v>4652</v>
      </c>
      <c r="P1542" s="33" t="s">
        <v>4653</v>
      </c>
      <c r="Q1542" s="34" t="s">
        <v>1494</v>
      </c>
      <c r="R1542" s="34" t="s">
        <v>1494</v>
      </c>
    </row>
    <row r="1543" spans="1:18" ht="15" customHeight="1" x14ac:dyDescent="0.25">
      <c r="A1543" t="str">
        <f>IFERROR(RANK(B1543,$B:$B,1)+COUNTIF($B$1:B1542,B1543),"")</f>
        <v/>
      </c>
      <c r="B1543" t="str">
        <f>IFERROR(SEARCH(#REF!,Table4[[#This Row],[Commodity Title]],1),"")</f>
        <v/>
      </c>
      <c r="C1543" s="35">
        <v>42192308</v>
      </c>
      <c r="D1543" s="33" t="s">
        <v>1495</v>
      </c>
      <c r="E1543" s="33" t="s">
        <v>1496</v>
      </c>
      <c r="F1543" s="33" t="s">
        <v>1497</v>
      </c>
      <c r="G1543" s="33" t="s">
        <v>4408</v>
      </c>
      <c r="H1543" s="33" t="s">
        <v>4409</v>
      </c>
      <c r="I1543" s="33" t="s">
        <v>4410</v>
      </c>
      <c r="J1543" s="33">
        <v>202802</v>
      </c>
      <c r="K1543" s="33" t="s">
        <v>4637</v>
      </c>
      <c r="L1543" s="33" t="s">
        <v>4638</v>
      </c>
      <c r="M1543" s="33" t="s">
        <v>4639</v>
      </c>
      <c r="N1543" s="44">
        <v>42192308</v>
      </c>
      <c r="O1543" s="33" t="s">
        <v>4654</v>
      </c>
      <c r="P1543" s="33" t="s">
        <v>4655</v>
      </c>
      <c r="Q1543" s="34" t="s">
        <v>1494</v>
      </c>
      <c r="R1543" s="34" t="s">
        <v>1494</v>
      </c>
    </row>
    <row r="1544" spans="1:18" ht="15" customHeight="1" x14ac:dyDescent="0.25">
      <c r="A1544" t="str">
        <f>IFERROR(RANK(B1544,$B:$B,1)+COUNTIF($B$1:B1543,B1544),"")</f>
        <v/>
      </c>
      <c r="B1544" t="str">
        <f>IFERROR(SEARCH(#REF!,Table4[[#This Row],[Commodity Title]],1),"")</f>
        <v/>
      </c>
      <c r="C1544" s="33" t="s">
        <v>1494</v>
      </c>
      <c r="D1544" s="33" t="s">
        <v>1495</v>
      </c>
      <c r="E1544" s="33" t="s">
        <v>1496</v>
      </c>
      <c r="F1544" s="33" t="s">
        <v>1497</v>
      </c>
      <c r="G1544" s="33" t="s">
        <v>4408</v>
      </c>
      <c r="H1544" s="33" t="s">
        <v>4409</v>
      </c>
      <c r="I1544" s="33" t="s">
        <v>4410</v>
      </c>
      <c r="J1544" s="33">
        <v>115498</v>
      </c>
      <c r="K1544" s="33" t="s">
        <v>4656</v>
      </c>
      <c r="L1544" s="33" t="s">
        <v>4657</v>
      </c>
      <c r="M1544" s="33" t="s">
        <v>4658</v>
      </c>
      <c r="N1544" s="44" t="s">
        <v>1494</v>
      </c>
      <c r="O1544" s="33" t="s">
        <v>1494</v>
      </c>
      <c r="P1544" s="33" t="s">
        <v>1494</v>
      </c>
      <c r="Q1544" s="34" t="s">
        <v>1494</v>
      </c>
      <c r="R1544" s="34" t="s">
        <v>1494</v>
      </c>
    </row>
    <row r="1545" spans="1:18" ht="15" customHeight="1" x14ac:dyDescent="0.25">
      <c r="A1545" t="str">
        <f>IFERROR(RANK(B1545,$B:$B,1)+COUNTIF($B$1:B1544,B1545),"")</f>
        <v/>
      </c>
      <c r="B1545" t="str">
        <f>IFERROR(SEARCH(#REF!,Table4[[#This Row],[Commodity Title]],1),"")</f>
        <v/>
      </c>
      <c r="C1545" s="35">
        <v>42192401</v>
      </c>
      <c r="D1545" s="33" t="s">
        <v>1495</v>
      </c>
      <c r="E1545" s="33" t="s">
        <v>1496</v>
      </c>
      <c r="F1545" s="33" t="s">
        <v>1497</v>
      </c>
      <c r="G1545" s="33" t="s">
        <v>4408</v>
      </c>
      <c r="H1545" s="33" t="s">
        <v>4409</v>
      </c>
      <c r="I1545" s="33" t="s">
        <v>4410</v>
      </c>
      <c r="J1545" s="33">
        <v>115499</v>
      </c>
      <c r="K1545" s="33" t="s">
        <v>4656</v>
      </c>
      <c r="L1545" s="33" t="s">
        <v>4657</v>
      </c>
      <c r="M1545" s="33" t="s">
        <v>4658</v>
      </c>
      <c r="N1545" s="44">
        <v>42192401</v>
      </c>
      <c r="O1545" s="33" t="s">
        <v>4659</v>
      </c>
      <c r="P1545" s="33" t="s">
        <v>4660</v>
      </c>
      <c r="Q1545" s="34" t="s">
        <v>1494</v>
      </c>
      <c r="R1545" s="34" t="s">
        <v>1494</v>
      </c>
    </row>
    <row r="1546" spans="1:18" ht="15" customHeight="1" x14ac:dyDescent="0.25">
      <c r="A1546" t="str">
        <f>IFERROR(RANK(B1546,$B:$B,1)+COUNTIF($B$1:B1545,B1546),"")</f>
        <v/>
      </c>
      <c r="B1546" t="str">
        <f>IFERROR(SEARCH(#REF!,Table4[[#This Row],[Commodity Title]],1),"")</f>
        <v/>
      </c>
      <c r="C1546" s="35">
        <v>42192402</v>
      </c>
      <c r="D1546" s="33" t="s">
        <v>1495</v>
      </c>
      <c r="E1546" s="33" t="s">
        <v>1496</v>
      </c>
      <c r="F1546" s="33" t="s">
        <v>1497</v>
      </c>
      <c r="G1546" s="33" t="s">
        <v>4408</v>
      </c>
      <c r="H1546" s="33" t="s">
        <v>4409</v>
      </c>
      <c r="I1546" s="33" t="s">
        <v>4410</v>
      </c>
      <c r="J1546" s="33">
        <v>115500</v>
      </c>
      <c r="K1546" s="33" t="s">
        <v>4656</v>
      </c>
      <c r="L1546" s="33" t="s">
        <v>4657</v>
      </c>
      <c r="M1546" s="33" t="s">
        <v>4658</v>
      </c>
      <c r="N1546" s="44">
        <v>42192402</v>
      </c>
      <c r="O1546" s="33" t="s">
        <v>4661</v>
      </c>
      <c r="P1546" s="33" t="s">
        <v>4662</v>
      </c>
      <c r="Q1546" s="34" t="s">
        <v>1494</v>
      </c>
      <c r="R1546" s="34" t="s">
        <v>1494</v>
      </c>
    </row>
    <row r="1547" spans="1:18" ht="15" customHeight="1" x14ac:dyDescent="0.25">
      <c r="A1547" t="str">
        <f>IFERROR(RANK(B1547,$B:$B,1)+COUNTIF($B$1:B1546,B1547),"")</f>
        <v/>
      </c>
      <c r="B1547" t="str">
        <f>IFERROR(SEARCH(#REF!,Table4[[#This Row],[Commodity Title]],1),"")</f>
        <v/>
      </c>
      <c r="C1547" s="35">
        <v>42192403</v>
      </c>
      <c r="D1547" s="33" t="s">
        <v>1495</v>
      </c>
      <c r="E1547" s="33" t="s">
        <v>1496</v>
      </c>
      <c r="F1547" s="33" t="s">
        <v>1497</v>
      </c>
      <c r="G1547" s="33" t="s">
        <v>4408</v>
      </c>
      <c r="H1547" s="33" t="s">
        <v>4409</v>
      </c>
      <c r="I1547" s="33" t="s">
        <v>4410</v>
      </c>
      <c r="J1547" s="33">
        <v>115501</v>
      </c>
      <c r="K1547" s="33" t="s">
        <v>4656</v>
      </c>
      <c r="L1547" s="33" t="s">
        <v>4657</v>
      </c>
      <c r="M1547" s="33" t="s">
        <v>4658</v>
      </c>
      <c r="N1547" s="44">
        <v>42192403</v>
      </c>
      <c r="O1547" s="33" t="s">
        <v>4663</v>
      </c>
      <c r="P1547" s="33" t="s">
        <v>4664</v>
      </c>
      <c r="Q1547" s="34" t="s">
        <v>1494</v>
      </c>
      <c r="R1547" s="34" t="s">
        <v>1494</v>
      </c>
    </row>
    <row r="1548" spans="1:18" ht="15" customHeight="1" x14ac:dyDescent="0.25">
      <c r="A1548" t="str">
        <f>IFERROR(RANK(B1548,$B:$B,1)+COUNTIF($B$1:B1547,B1548),"")</f>
        <v/>
      </c>
      <c r="B1548" t="str">
        <f>IFERROR(SEARCH(#REF!,Table4[[#This Row],[Commodity Title]],1),"")</f>
        <v/>
      </c>
      <c r="C1548" s="35">
        <v>42192404</v>
      </c>
      <c r="D1548" s="33" t="s">
        <v>1495</v>
      </c>
      <c r="E1548" s="33" t="s">
        <v>1496</v>
      </c>
      <c r="F1548" s="33" t="s">
        <v>1497</v>
      </c>
      <c r="G1548" s="33" t="s">
        <v>4408</v>
      </c>
      <c r="H1548" s="33" t="s">
        <v>4409</v>
      </c>
      <c r="I1548" s="33" t="s">
        <v>4410</v>
      </c>
      <c r="J1548" s="33">
        <v>115502</v>
      </c>
      <c r="K1548" s="33" t="s">
        <v>4656</v>
      </c>
      <c r="L1548" s="33" t="s">
        <v>4657</v>
      </c>
      <c r="M1548" s="33" t="s">
        <v>4658</v>
      </c>
      <c r="N1548" s="44">
        <v>42192404</v>
      </c>
      <c r="O1548" s="33" t="s">
        <v>4665</v>
      </c>
      <c r="P1548" s="33" t="s">
        <v>4666</v>
      </c>
      <c r="Q1548" s="34" t="s">
        <v>1494</v>
      </c>
      <c r="R1548" s="34" t="s">
        <v>1494</v>
      </c>
    </row>
    <row r="1549" spans="1:18" ht="15" customHeight="1" x14ac:dyDescent="0.25">
      <c r="A1549" t="str">
        <f>IFERROR(RANK(B1549,$B:$B,1)+COUNTIF($B$1:B1548,B1549),"")</f>
        <v/>
      </c>
      <c r="B1549" t="str">
        <f>IFERROR(SEARCH(#REF!,Table4[[#This Row],[Commodity Title]],1),"")</f>
        <v/>
      </c>
      <c r="C1549" s="35">
        <v>42192405</v>
      </c>
      <c r="D1549" s="33" t="s">
        <v>1495</v>
      </c>
      <c r="E1549" s="33" t="s">
        <v>1496</v>
      </c>
      <c r="F1549" s="33" t="s">
        <v>1497</v>
      </c>
      <c r="G1549" s="33" t="s">
        <v>4408</v>
      </c>
      <c r="H1549" s="33" t="s">
        <v>4409</v>
      </c>
      <c r="I1549" s="33" t="s">
        <v>4410</v>
      </c>
      <c r="J1549" s="33">
        <v>115503</v>
      </c>
      <c r="K1549" s="33" t="s">
        <v>4656</v>
      </c>
      <c r="L1549" s="33" t="s">
        <v>4657</v>
      </c>
      <c r="M1549" s="33" t="s">
        <v>4658</v>
      </c>
      <c r="N1549" s="44">
        <v>42192405</v>
      </c>
      <c r="O1549" s="33" t="s">
        <v>4667</v>
      </c>
      <c r="P1549" s="33" t="s">
        <v>4668</v>
      </c>
      <c r="Q1549" s="34" t="s">
        <v>1494</v>
      </c>
      <c r="R1549" s="34" t="s">
        <v>1494</v>
      </c>
    </row>
    <row r="1550" spans="1:18" ht="15" customHeight="1" x14ac:dyDescent="0.25">
      <c r="A1550" t="str">
        <f>IFERROR(RANK(B1550,$B:$B,1)+COUNTIF($B$1:B1549,B1550),"")</f>
        <v/>
      </c>
      <c r="B1550" t="str">
        <f>IFERROR(SEARCH(#REF!,Table4[[#This Row],[Commodity Title]],1),"")</f>
        <v/>
      </c>
      <c r="C1550" s="35">
        <v>42192406</v>
      </c>
      <c r="D1550" s="33" t="s">
        <v>1495</v>
      </c>
      <c r="E1550" s="33" t="s">
        <v>1496</v>
      </c>
      <c r="F1550" s="33" t="s">
        <v>1497</v>
      </c>
      <c r="G1550" s="33" t="s">
        <v>4408</v>
      </c>
      <c r="H1550" s="33" t="s">
        <v>4409</v>
      </c>
      <c r="I1550" s="33" t="s">
        <v>4410</v>
      </c>
      <c r="J1550" s="33">
        <v>141987</v>
      </c>
      <c r="K1550" s="33" t="s">
        <v>4656</v>
      </c>
      <c r="L1550" s="33" t="s">
        <v>4657</v>
      </c>
      <c r="M1550" s="33" t="s">
        <v>4658</v>
      </c>
      <c r="N1550" s="44">
        <v>42192406</v>
      </c>
      <c r="O1550" s="33" t="s">
        <v>4669</v>
      </c>
      <c r="P1550" s="33" t="s">
        <v>4670</v>
      </c>
      <c r="Q1550" s="34" t="s">
        <v>1494</v>
      </c>
      <c r="R1550" s="34" t="s">
        <v>1494</v>
      </c>
    </row>
    <row r="1551" spans="1:18" ht="15" customHeight="1" x14ac:dyDescent="0.25">
      <c r="A1551" t="str">
        <f>IFERROR(RANK(B1551,$B:$B,1)+COUNTIF($B$1:B1550,B1551),"")</f>
        <v/>
      </c>
      <c r="B1551" t="str">
        <f>IFERROR(SEARCH(#REF!,Table4[[#This Row],[Commodity Title]],1),"")</f>
        <v/>
      </c>
      <c r="C1551" s="35">
        <v>42192407</v>
      </c>
      <c r="D1551" s="33" t="s">
        <v>1495</v>
      </c>
      <c r="E1551" s="33" t="s">
        <v>1496</v>
      </c>
      <c r="F1551" s="33" t="s">
        <v>1497</v>
      </c>
      <c r="G1551" s="33" t="s">
        <v>4408</v>
      </c>
      <c r="H1551" s="33" t="s">
        <v>4409</v>
      </c>
      <c r="I1551" s="33" t="s">
        <v>4410</v>
      </c>
      <c r="J1551" s="33">
        <v>202803</v>
      </c>
      <c r="K1551" s="33" t="s">
        <v>4656</v>
      </c>
      <c r="L1551" s="33" t="s">
        <v>4657</v>
      </c>
      <c r="M1551" s="33" t="s">
        <v>4658</v>
      </c>
      <c r="N1551" s="44">
        <v>42192407</v>
      </c>
      <c r="O1551" s="33" t="s">
        <v>4671</v>
      </c>
      <c r="P1551" s="33" t="s">
        <v>4672</v>
      </c>
      <c r="Q1551" s="34" t="s">
        <v>1494</v>
      </c>
      <c r="R1551" s="34" t="s">
        <v>1494</v>
      </c>
    </row>
    <row r="1552" spans="1:18" ht="15" customHeight="1" x14ac:dyDescent="0.25">
      <c r="A1552" t="str">
        <f>IFERROR(RANK(B1552,$B:$B,1)+COUNTIF($B$1:B1551,B1552),"")</f>
        <v/>
      </c>
      <c r="B1552" t="str">
        <f>IFERROR(SEARCH(#REF!,Table4[[#This Row],[Commodity Title]],1),"")</f>
        <v/>
      </c>
      <c r="C1552" s="35">
        <v>42192408</v>
      </c>
      <c r="D1552" s="33" t="s">
        <v>1495</v>
      </c>
      <c r="E1552" s="33" t="s">
        <v>1496</v>
      </c>
      <c r="F1552" s="33" t="s">
        <v>1497</v>
      </c>
      <c r="G1552" s="33" t="s">
        <v>4408</v>
      </c>
      <c r="H1552" s="33" t="s">
        <v>4409</v>
      </c>
      <c r="I1552" s="33" t="s">
        <v>4410</v>
      </c>
      <c r="J1552" s="33">
        <v>202804</v>
      </c>
      <c r="K1552" s="33" t="s">
        <v>4656</v>
      </c>
      <c r="L1552" s="33" t="s">
        <v>4657</v>
      </c>
      <c r="M1552" s="33" t="s">
        <v>4658</v>
      </c>
      <c r="N1552" s="44">
        <v>42192408</v>
      </c>
      <c r="O1552" s="33" t="s">
        <v>4673</v>
      </c>
      <c r="P1552" s="33" t="s">
        <v>4674</v>
      </c>
      <c r="Q1552" s="34" t="s">
        <v>1494</v>
      </c>
      <c r="R1552" s="34" t="s">
        <v>1494</v>
      </c>
    </row>
    <row r="1553" spans="1:18" ht="15" customHeight="1" x14ac:dyDescent="0.25">
      <c r="A1553" t="str">
        <f>IFERROR(RANK(B1553,$B:$B,1)+COUNTIF($B$1:B1552,B1553),"")</f>
        <v/>
      </c>
      <c r="B1553" t="str">
        <f>IFERROR(SEARCH(#REF!,Table4[[#This Row],[Commodity Title]],1),"")</f>
        <v/>
      </c>
      <c r="C1553" s="35">
        <v>42192409</v>
      </c>
      <c r="D1553" s="33" t="s">
        <v>1495</v>
      </c>
      <c r="E1553" s="33" t="s">
        <v>1496</v>
      </c>
      <c r="F1553" s="33" t="s">
        <v>1497</v>
      </c>
      <c r="G1553" s="33" t="s">
        <v>4408</v>
      </c>
      <c r="H1553" s="33" t="s">
        <v>4409</v>
      </c>
      <c r="I1553" s="33" t="s">
        <v>4410</v>
      </c>
      <c r="J1553" s="33">
        <v>115854</v>
      </c>
      <c r="K1553" s="33" t="s">
        <v>4656</v>
      </c>
      <c r="L1553" s="33" t="s">
        <v>4657</v>
      </c>
      <c r="M1553" s="33" t="s">
        <v>4658</v>
      </c>
      <c r="N1553" s="44">
        <v>42192409</v>
      </c>
      <c r="O1553" s="33" t="s">
        <v>4675</v>
      </c>
      <c r="P1553" s="33" t="s">
        <v>4676</v>
      </c>
      <c r="Q1553" s="34" t="s">
        <v>1494</v>
      </c>
      <c r="R1553" s="34" t="s">
        <v>1494</v>
      </c>
    </row>
    <row r="1554" spans="1:18" ht="15" customHeight="1" x14ac:dyDescent="0.25">
      <c r="A1554" t="str">
        <f>IFERROR(RANK(B1554,$B:$B,1)+COUNTIF($B$1:B1553,B1554),"")</f>
        <v/>
      </c>
      <c r="B1554" t="str">
        <f>IFERROR(SEARCH(#REF!,Table4[[#This Row],[Commodity Title]],1),"")</f>
        <v/>
      </c>
      <c r="C1554" s="35">
        <v>42192410</v>
      </c>
      <c r="D1554" s="33" t="s">
        <v>1495</v>
      </c>
      <c r="E1554" s="33" t="s">
        <v>1496</v>
      </c>
      <c r="F1554" s="33" t="s">
        <v>1497</v>
      </c>
      <c r="G1554" s="33" t="s">
        <v>4408</v>
      </c>
      <c r="H1554" s="33" t="s">
        <v>4409</v>
      </c>
      <c r="I1554" s="33" t="s">
        <v>4410</v>
      </c>
      <c r="J1554" s="33">
        <v>115207</v>
      </c>
      <c r="K1554" s="33" t="s">
        <v>4656</v>
      </c>
      <c r="L1554" s="33" t="s">
        <v>4657</v>
      </c>
      <c r="M1554" s="33" t="s">
        <v>4658</v>
      </c>
      <c r="N1554" s="44">
        <v>42192410</v>
      </c>
      <c r="O1554" s="33" t="s">
        <v>4677</v>
      </c>
      <c r="P1554" s="33" t="s">
        <v>4678</v>
      </c>
      <c r="Q1554" s="34" t="s">
        <v>1494</v>
      </c>
      <c r="R1554" s="34" t="s">
        <v>1494</v>
      </c>
    </row>
    <row r="1555" spans="1:18" ht="15" customHeight="1" x14ac:dyDescent="0.25">
      <c r="A1555" t="str">
        <f>IFERROR(RANK(B1555,$B:$B,1)+COUNTIF($B$1:B1554,B1555),"")</f>
        <v/>
      </c>
      <c r="B1555" t="str">
        <f>IFERROR(SEARCH(#REF!,Table4[[#This Row],[Commodity Title]],1),"")</f>
        <v/>
      </c>
      <c r="C1555" s="35">
        <v>42192411</v>
      </c>
      <c r="D1555" s="33" t="s">
        <v>1495</v>
      </c>
      <c r="E1555" s="33" t="s">
        <v>1496</v>
      </c>
      <c r="F1555" s="33" t="s">
        <v>1497</v>
      </c>
      <c r="G1555" s="33" t="s">
        <v>4408</v>
      </c>
      <c r="H1555" s="33" t="s">
        <v>4409</v>
      </c>
      <c r="I1555" s="33" t="s">
        <v>4410</v>
      </c>
      <c r="J1555" s="33">
        <v>202805</v>
      </c>
      <c r="K1555" s="33" t="s">
        <v>4656</v>
      </c>
      <c r="L1555" s="33" t="s">
        <v>4657</v>
      </c>
      <c r="M1555" s="33" t="s">
        <v>4658</v>
      </c>
      <c r="N1555" s="44">
        <v>42192411</v>
      </c>
      <c r="O1555" s="33" t="s">
        <v>4679</v>
      </c>
      <c r="P1555" s="33" t="s">
        <v>4680</v>
      </c>
      <c r="Q1555" s="34" t="s">
        <v>1494</v>
      </c>
      <c r="R1555" s="34" t="s">
        <v>1494</v>
      </c>
    </row>
    <row r="1556" spans="1:18" ht="15" customHeight="1" x14ac:dyDescent="0.25">
      <c r="A1556" t="str">
        <f>IFERROR(RANK(B1556,$B:$B,1)+COUNTIF($B$1:B1555,B1556),"")</f>
        <v/>
      </c>
      <c r="B1556" t="str">
        <f>IFERROR(SEARCH(#REF!,Table4[[#This Row],[Commodity Title]],1),"")</f>
        <v/>
      </c>
      <c r="C1556" s="35">
        <v>42192412</v>
      </c>
      <c r="D1556" s="33" t="s">
        <v>1495</v>
      </c>
      <c r="E1556" s="33" t="s">
        <v>1496</v>
      </c>
      <c r="F1556" s="33" t="s">
        <v>1497</v>
      </c>
      <c r="G1556" s="33" t="s">
        <v>4408</v>
      </c>
      <c r="H1556" s="33" t="s">
        <v>4409</v>
      </c>
      <c r="I1556" s="33" t="s">
        <v>4410</v>
      </c>
      <c r="J1556" s="33">
        <v>202806</v>
      </c>
      <c r="K1556" s="33" t="s">
        <v>4656</v>
      </c>
      <c r="L1556" s="33" t="s">
        <v>4657</v>
      </c>
      <c r="M1556" s="33" t="s">
        <v>4658</v>
      </c>
      <c r="N1556" s="44">
        <v>42192412</v>
      </c>
      <c r="O1556" s="33" t="s">
        <v>4681</v>
      </c>
      <c r="P1556" s="33" t="s">
        <v>4682</v>
      </c>
      <c r="Q1556" s="34" t="s">
        <v>1494</v>
      </c>
      <c r="R1556" s="34" t="s">
        <v>1494</v>
      </c>
    </row>
    <row r="1557" spans="1:18" ht="15" customHeight="1" x14ac:dyDescent="0.25">
      <c r="A1557" t="str">
        <f>IFERROR(RANK(B1557,$B:$B,1)+COUNTIF($B$1:B1556,B1557),"")</f>
        <v/>
      </c>
      <c r="B1557" t="str">
        <f>IFERROR(SEARCH(#REF!,Table4[[#This Row],[Commodity Title]],1),"")</f>
        <v/>
      </c>
      <c r="C1557" s="35">
        <v>42192413</v>
      </c>
      <c r="D1557" s="33" t="s">
        <v>1495</v>
      </c>
      <c r="E1557" s="33" t="s">
        <v>1496</v>
      </c>
      <c r="F1557" s="33" t="s">
        <v>1497</v>
      </c>
      <c r="G1557" s="33" t="s">
        <v>4408</v>
      </c>
      <c r="H1557" s="33" t="s">
        <v>4409</v>
      </c>
      <c r="I1557" s="33" t="s">
        <v>4410</v>
      </c>
      <c r="J1557" s="33">
        <v>116564</v>
      </c>
      <c r="K1557" s="33" t="s">
        <v>4656</v>
      </c>
      <c r="L1557" s="33" t="s">
        <v>4657</v>
      </c>
      <c r="M1557" s="33" t="s">
        <v>4658</v>
      </c>
      <c r="N1557" s="44">
        <v>42192413</v>
      </c>
      <c r="O1557" s="33" t="s">
        <v>4683</v>
      </c>
      <c r="P1557" s="33" t="s">
        <v>4684</v>
      </c>
      <c r="Q1557" s="34" t="s">
        <v>1494</v>
      </c>
      <c r="R1557" s="34" t="s">
        <v>1494</v>
      </c>
    </row>
    <row r="1558" spans="1:18" ht="15" customHeight="1" x14ac:dyDescent="0.25">
      <c r="A1558" t="str">
        <f>IFERROR(RANK(B1558,$B:$B,1)+COUNTIF($B$1:B1557,B1558),"")</f>
        <v/>
      </c>
      <c r="B1558" t="str">
        <f>IFERROR(SEARCH(#REF!,Table4[[#This Row],[Commodity Title]],1),"")</f>
        <v/>
      </c>
      <c r="C1558" s="35">
        <v>42192414</v>
      </c>
      <c r="D1558" s="33" t="s">
        <v>1495</v>
      </c>
      <c r="E1558" s="33" t="s">
        <v>1496</v>
      </c>
      <c r="F1558" s="33" t="s">
        <v>1497</v>
      </c>
      <c r="G1558" s="33" t="s">
        <v>4408</v>
      </c>
      <c r="H1558" s="33" t="s">
        <v>4409</v>
      </c>
      <c r="I1558" s="33" t="s">
        <v>4410</v>
      </c>
      <c r="J1558" s="33">
        <v>115256</v>
      </c>
      <c r="K1558" s="33" t="s">
        <v>4656</v>
      </c>
      <c r="L1558" s="33" t="s">
        <v>4657</v>
      </c>
      <c r="M1558" s="33" t="s">
        <v>4658</v>
      </c>
      <c r="N1558" s="44">
        <v>42192414</v>
      </c>
      <c r="O1558" s="33" t="s">
        <v>4685</v>
      </c>
      <c r="P1558" s="33" t="s">
        <v>4686</v>
      </c>
      <c r="Q1558" s="34" t="s">
        <v>1494</v>
      </c>
      <c r="R1558" s="34" t="s">
        <v>1494</v>
      </c>
    </row>
    <row r="1559" spans="1:18" ht="15" customHeight="1" x14ac:dyDescent="0.25">
      <c r="A1559" t="str">
        <f>IFERROR(RANK(B1559,$B:$B,1)+COUNTIF($B$1:B1558,B1559),"")</f>
        <v/>
      </c>
      <c r="B1559" t="str">
        <f>IFERROR(SEARCH(#REF!,Table4[[#This Row],[Commodity Title]],1),"")</f>
        <v/>
      </c>
      <c r="C1559" s="35">
        <v>42192415</v>
      </c>
      <c r="D1559" s="33" t="s">
        <v>1495</v>
      </c>
      <c r="E1559" s="33" t="s">
        <v>1496</v>
      </c>
      <c r="F1559" s="33" t="s">
        <v>1497</v>
      </c>
      <c r="G1559" s="33" t="s">
        <v>4408</v>
      </c>
      <c r="H1559" s="33" t="s">
        <v>4409</v>
      </c>
      <c r="I1559" s="33" t="s">
        <v>4410</v>
      </c>
      <c r="J1559" s="33">
        <v>142454</v>
      </c>
      <c r="K1559" s="33" t="s">
        <v>4656</v>
      </c>
      <c r="L1559" s="33" t="s">
        <v>4657</v>
      </c>
      <c r="M1559" s="33" t="s">
        <v>4658</v>
      </c>
      <c r="N1559" s="44">
        <v>42192415</v>
      </c>
      <c r="O1559" s="33" t="s">
        <v>4687</v>
      </c>
      <c r="P1559" s="33" t="s">
        <v>4688</v>
      </c>
      <c r="Q1559" s="34" t="s">
        <v>1494</v>
      </c>
      <c r="R1559" s="34" t="s">
        <v>1494</v>
      </c>
    </row>
    <row r="1560" spans="1:18" ht="15" customHeight="1" x14ac:dyDescent="0.25">
      <c r="A1560" t="str">
        <f>IFERROR(RANK(B1560,$B:$B,1)+COUNTIF($B$1:B1559,B1560),"")</f>
        <v/>
      </c>
      <c r="B1560" t="str">
        <f>IFERROR(SEARCH(#REF!,Table4[[#This Row],[Commodity Title]],1),"")</f>
        <v/>
      </c>
      <c r="C1560" s="35">
        <v>42192416</v>
      </c>
      <c r="D1560" s="33" t="s">
        <v>1495</v>
      </c>
      <c r="E1560" s="33" t="s">
        <v>1496</v>
      </c>
      <c r="F1560" s="33" t="s">
        <v>1497</v>
      </c>
      <c r="G1560" s="33" t="s">
        <v>4408</v>
      </c>
      <c r="H1560" s="33" t="s">
        <v>4409</v>
      </c>
      <c r="I1560" s="33" t="s">
        <v>4410</v>
      </c>
      <c r="J1560" s="33">
        <v>115257</v>
      </c>
      <c r="K1560" s="33" t="s">
        <v>4656</v>
      </c>
      <c r="L1560" s="33" t="s">
        <v>4657</v>
      </c>
      <c r="M1560" s="33" t="s">
        <v>4658</v>
      </c>
      <c r="N1560" s="44">
        <v>42192416</v>
      </c>
      <c r="O1560" s="33" t="s">
        <v>4689</v>
      </c>
      <c r="P1560" s="33" t="s">
        <v>4690</v>
      </c>
      <c r="Q1560" s="34" t="s">
        <v>1494</v>
      </c>
      <c r="R1560" s="34" t="s">
        <v>1494</v>
      </c>
    </row>
    <row r="1561" spans="1:18" ht="15" customHeight="1" x14ac:dyDescent="0.25">
      <c r="A1561" t="str">
        <f>IFERROR(RANK(B1561,$B:$B,1)+COUNTIF($B$1:B1560,B1561),"")</f>
        <v/>
      </c>
      <c r="B1561" t="str">
        <f>IFERROR(SEARCH(#REF!,Table4[[#This Row],[Commodity Title]],1),"")</f>
        <v/>
      </c>
      <c r="C1561" s="35">
        <v>42192417</v>
      </c>
      <c r="D1561" s="33" t="s">
        <v>1495</v>
      </c>
      <c r="E1561" s="33" t="s">
        <v>1496</v>
      </c>
      <c r="F1561" s="33" t="s">
        <v>1497</v>
      </c>
      <c r="G1561" s="33" t="s">
        <v>4408</v>
      </c>
      <c r="H1561" s="33" t="s">
        <v>4409</v>
      </c>
      <c r="I1561" s="33" t="s">
        <v>4410</v>
      </c>
      <c r="J1561" s="33">
        <v>115258</v>
      </c>
      <c r="K1561" s="33" t="s">
        <v>4656</v>
      </c>
      <c r="L1561" s="33" t="s">
        <v>4657</v>
      </c>
      <c r="M1561" s="33" t="s">
        <v>4658</v>
      </c>
      <c r="N1561" s="44">
        <v>42192417</v>
      </c>
      <c r="O1561" s="33" t="s">
        <v>4691</v>
      </c>
      <c r="P1561" s="33" t="s">
        <v>4692</v>
      </c>
      <c r="Q1561" s="34" t="s">
        <v>1494</v>
      </c>
      <c r="R1561" s="34" t="s">
        <v>1494</v>
      </c>
    </row>
    <row r="1562" spans="1:18" ht="15" customHeight="1" x14ac:dyDescent="0.25">
      <c r="A1562" t="str">
        <f>IFERROR(RANK(B1562,$B:$B,1)+COUNTIF($B$1:B1561,B1562),"")</f>
        <v/>
      </c>
      <c r="B1562" t="str">
        <f>IFERROR(SEARCH(#REF!,Table4[[#This Row],[Commodity Title]],1),"")</f>
        <v/>
      </c>
      <c r="C1562" s="35">
        <v>42192418</v>
      </c>
      <c r="D1562" s="33" t="s">
        <v>1495</v>
      </c>
      <c r="E1562" s="33" t="s">
        <v>1496</v>
      </c>
      <c r="F1562" s="33" t="s">
        <v>1497</v>
      </c>
      <c r="G1562" s="33" t="s">
        <v>4408</v>
      </c>
      <c r="H1562" s="33" t="s">
        <v>4409</v>
      </c>
      <c r="I1562" s="33" t="s">
        <v>4410</v>
      </c>
      <c r="J1562" s="33">
        <v>142453</v>
      </c>
      <c r="K1562" s="33" t="s">
        <v>4656</v>
      </c>
      <c r="L1562" s="33" t="s">
        <v>4657</v>
      </c>
      <c r="M1562" s="33" t="s">
        <v>4658</v>
      </c>
      <c r="N1562" s="44">
        <v>42192418</v>
      </c>
      <c r="O1562" s="33" t="s">
        <v>4693</v>
      </c>
      <c r="P1562" s="33" t="s">
        <v>4694</v>
      </c>
      <c r="Q1562" s="34" t="s">
        <v>1494</v>
      </c>
      <c r="R1562" s="34" t="s">
        <v>1494</v>
      </c>
    </row>
    <row r="1563" spans="1:18" ht="15" customHeight="1" x14ac:dyDescent="0.25">
      <c r="A1563" t="str">
        <f>IFERROR(RANK(B1563,$B:$B,1)+COUNTIF($B$1:B1562,B1563),"")</f>
        <v/>
      </c>
      <c r="B1563" t="str">
        <f>IFERROR(SEARCH(#REF!,Table4[[#This Row],[Commodity Title]],1),"")</f>
        <v/>
      </c>
      <c r="C1563" s="35">
        <v>42192419</v>
      </c>
      <c r="D1563" s="33" t="s">
        <v>1495</v>
      </c>
      <c r="E1563" s="33" t="s">
        <v>1496</v>
      </c>
      <c r="F1563" s="33" t="s">
        <v>1497</v>
      </c>
      <c r="G1563" s="33" t="s">
        <v>4408</v>
      </c>
      <c r="H1563" s="33" t="s">
        <v>4409</v>
      </c>
      <c r="I1563" s="33" t="s">
        <v>4410</v>
      </c>
      <c r="J1563" s="33">
        <v>115259</v>
      </c>
      <c r="K1563" s="33" t="s">
        <v>4656</v>
      </c>
      <c r="L1563" s="33" t="s">
        <v>4657</v>
      </c>
      <c r="M1563" s="33" t="s">
        <v>4658</v>
      </c>
      <c r="N1563" s="44">
        <v>42192419</v>
      </c>
      <c r="O1563" s="33" t="s">
        <v>4695</v>
      </c>
      <c r="P1563" s="33" t="s">
        <v>4696</v>
      </c>
      <c r="Q1563" s="34" t="s">
        <v>1494</v>
      </c>
      <c r="R1563" s="34" t="s">
        <v>1494</v>
      </c>
    </row>
    <row r="1564" spans="1:18" ht="15" customHeight="1" x14ac:dyDescent="0.25">
      <c r="A1564" t="str">
        <f>IFERROR(RANK(B1564,$B:$B,1)+COUNTIF($B$1:B1563,B1564),"")</f>
        <v/>
      </c>
      <c r="B1564" t="str">
        <f>IFERROR(SEARCH(#REF!,Table4[[#This Row],[Commodity Title]],1),"")</f>
        <v/>
      </c>
      <c r="C1564" s="35">
        <v>42192420</v>
      </c>
      <c r="D1564" s="33" t="s">
        <v>1495</v>
      </c>
      <c r="E1564" s="33" t="s">
        <v>1496</v>
      </c>
      <c r="F1564" s="33" t="s">
        <v>1497</v>
      </c>
      <c r="G1564" s="33" t="s">
        <v>4408</v>
      </c>
      <c r="H1564" s="33" t="s">
        <v>4409</v>
      </c>
      <c r="I1564" s="33" t="s">
        <v>4410</v>
      </c>
      <c r="J1564" s="33">
        <v>142451</v>
      </c>
      <c r="K1564" s="33" t="s">
        <v>4656</v>
      </c>
      <c r="L1564" s="33" t="s">
        <v>4657</v>
      </c>
      <c r="M1564" s="33" t="s">
        <v>4658</v>
      </c>
      <c r="N1564" s="44">
        <v>42192420</v>
      </c>
      <c r="O1564" s="33" t="s">
        <v>4697</v>
      </c>
      <c r="P1564" s="33" t="s">
        <v>4698</v>
      </c>
      <c r="Q1564" s="34" t="s">
        <v>1494</v>
      </c>
      <c r="R1564" s="34" t="s">
        <v>1494</v>
      </c>
    </row>
    <row r="1565" spans="1:18" ht="15" customHeight="1" x14ac:dyDescent="0.25">
      <c r="A1565" t="str">
        <f>IFERROR(RANK(B1565,$B:$B,1)+COUNTIF($B$1:B1564,B1565),"")</f>
        <v/>
      </c>
      <c r="B1565" t="str">
        <f>IFERROR(SEARCH(#REF!,Table4[[#This Row],[Commodity Title]],1),"")</f>
        <v/>
      </c>
      <c r="C1565" s="35">
        <v>42192421</v>
      </c>
      <c r="D1565" s="33" t="s">
        <v>1495</v>
      </c>
      <c r="E1565" s="33" t="s">
        <v>1496</v>
      </c>
      <c r="F1565" s="33" t="s">
        <v>1497</v>
      </c>
      <c r="G1565" s="33" t="s">
        <v>4408</v>
      </c>
      <c r="H1565" s="33" t="s">
        <v>4409</v>
      </c>
      <c r="I1565" s="33" t="s">
        <v>4410</v>
      </c>
      <c r="J1565" s="33">
        <v>142452</v>
      </c>
      <c r="K1565" s="33" t="s">
        <v>4656</v>
      </c>
      <c r="L1565" s="33" t="s">
        <v>4657</v>
      </c>
      <c r="M1565" s="33" t="s">
        <v>4658</v>
      </c>
      <c r="N1565" s="44">
        <v>42192421</v>
      </c>
      <c r="O1565" s="33" t="s">
        <v>4699</v>
      </c>
      <c r="P1565" s="33" t="s">
        <v>4700</v>
      </c>
      <c r="Q1565" s="34" t="s">
        <v>1494</v>
      </c>
      <c r="R1565" s="34" t="s">
        <v>1494</v>
      </c>
    </row>
    <row r="1566" spans="1:18" ht="15" customHeight="1" x14ac:dyDescent="0.25">
      <c r="A1566" t="str">
        <f>IFERROR(RANK(B1566,$B:$B,1)+COUNTIF($B$1:B1565,B1566),"")</f>
        <v/>
      </c>
      <c r="B1566" t="str">
        <f>IFERROR(SEARCH(#REF!,Table4[[#This Row],[Commodity Title]],1),"")</f>
        <v/>
      </c>
      <c r="C1566" s="35">
        <v>42192422</v>
      </c>
      <c r="D1566" s="33" t="s">
        <v>1495</v>
      </c>
      <c r="E1566" s="33" t="s">
        <v>1496</v>
      </c>
      <c r="F1566" s="33" t="s">
        <v>1497</v>
      </c>
      <c r="G1566" s="33" t="s">
        <v>4408</v>
      </c>
      <c r="H1566" s="33" t="s">
        <v>4409</v>
      </c>
      <c r="I1566" s="33" t="s">
        <v>4410</v>
      </c>
      <c r="J1566" s="33">
        <v>142450</v>
      </c>
      <c r="K1566" s="33" t="s">
        <v>4656</v>
      </c>
      <c r="L1566" s="33" t="s">
        <v>4657</v>
      </c>
      <c r="M1566" s="33" t="s">
        <v>4658</v>
      </c>
      <c r="N1566" s="44">
        <v>42192422</v>
      </c>
      <c r="O1566" s="33" t="s">
        <v>4701</v>
      </c>
      <c r="P1566" s="33" t="s">
        <v>4702</v>
      </c>
      <c r="Q1566" s="34" t="s">
        <v>1494</v>
      </c>
      <c r="R1566" s="34" t="s">
        <v>1494</v>
      </c>
    </row>
    <row r="1567" spans="1:18" ht="15" customHeight="1" x14ac:dyDescent="0.25">
      <c r="A1567" t="str">
        <f>IFERROR(RANK(B1567,$B:$B,1)+COUNTIF($B$1:B1566,B1567),"")</f>
        <v/>
      </c>
      <c r="B1567" t="str">
        <f>IFERROR(SEARCH(#REF!,Table4[[#This Row],[Commodity Title]],1),"")</f>
        <v/>
      </c>
      <c r="C1567" s="35">
        <v>42192423</v>
      </c>
      <c r="D1567" s="33" t="s">
        <v>1495</v>
      </c>
      <c r="E1567" s="33" t="s">
        <v>1496</v>
      </c>
      <c r="F1567" s="33" t="s">
        <v>1497</v>
      </c>
      <c r="G1567" s="33" t="s">
        <v>4408</v>
      </c>
      <c r="H1567" s="33" t="s">
        <v>4409</v>
      </c>
      <c r="I1567" s="33" t="s">
        <v>4410</v>
      </c>
      <c r="J1567" s="33">
        <v>115260</v>
      </c>
      <c r="K1567" s="33" t="s">
        <v>4656</v>
      </c>
      <c r="L1567" s="33" t="s">
        <v>4657</v>
      </c>
      <c r="M1567" s="33" t="s">
        <v>4658</v>
      </c>
      <c r="N1567" s="44">
        <v>42192423</v>
      </c>
      <c r="O1567" s="33" t="s">
        <v>4703</v>
      </c>
      <c r="P1567" s="33" t="s">
        <v>4704</v>
      </c>
      <c r="Q1567" s="34" t="s">
        <v>1494</v>
      </c>
      <c r="R1567" s="34" t="s">
        <v>1494</v>
      </c>
    </row>
    <row r="1568" spans="1:18" ht="15" customHeight="1" x14ac:dyDescent="0.25">
      <c r="A1568" t="str">
        <f>IFERROR(RANK(B1568,$B:$B,1)+COUNTIF($B$1:B1567,B1568),"")</f>
        <v/>
      </c>
      <c r="B1568" t="str">
        <f>IFERROR(SEARCH(#REF!,Table4[[#This Row],[Commodity Title]],1),"")</f>
        <v/>
      </c>
      <c r="C1568" s="35">
        <v>42192424</v>
      </c>
      <c r="D1568" s="33" t="s">
        <v>1495</v>
      </c>
      <c r="E1568" s="33" t="s">
        <v>1496</v>
      </c>
      <c r="F1568" s="33" t="s">
        <v>1497</v>
      </c>
      <c r="G1568" s="33" t="s">
        <v>4408</v>
      </c>
      <c r="H1568" s="33" t="s">
        <v>4409</v>
      </c>
      <c r="I1568" s="33" t="s">
        <v>4410</v>
      </c>
      <c r="J1568" s="33">
        <v>115263</v>
      </c>
      <c r="K1568" s="33" t="s">
        <v>4656</v>
      </c>
      <c r="L1568" s="33" t="s">
        <v>4657</v>
      </c>
      <c r="M1568" s="33" t="s">
        <v>4658</v>
      </c>
      <c r="N1568" s="44">
        <v>42192424</v>
      </c>
      <c r="O1568" s="33" t="s">
        <v>4705</v>
      </c>
      <c r="P1568" s="33" t="s">
        <v>4706</v>
      </c>
      <c r="Q1568" s="34" t="s">
        <v>1494</v>
      </c>
      <c r="R1568" s="34" t="s">
        <v>1494</v>
      </c>
    </row>
    <row r="1569" spans="1:18" ht="15" customHeight="1" x14ac:dyDescent="0.25">
      <c r="A1569" t="str">
        <f>IFERROR(RANK(B1569,$B:$B,1)+COUNTIF($B$1:B1568,B1569),"")</f>
        <v/>
      </c>
      <c r="B1569" t="str">
        <f>IFERROR(SEARCH(#REF!,Table4[[#This Row],[Commodity Title]],1),"")</f>
        <v/>
      </c>
      <c r="C1569" s="35">
        <v>42192425</v>
      </c>
      <c r="D1569" s="33" t="s">
        <v>1495</v>
      </c>
      <c r="E1569" s="33" t="s">
        <v>1496</v>
      </c>
      <c r="F1569" s="33" t="s">
        <v>1497</v>
      </c>
      <c r="G1569" s="33" t="s">
        <v>4408</v>
      </c>
      <c r="H1569" s="33" t="s">
        <v>4409</v>
      </c>
      <c r="I1569" s="33" t="s">
        <v>4410</v>
      </c>
      <c r="J1569" s="33">
        <v>115264</v>
      </c>
      <c r="K1569" s="33" t="s">
        <v>4656</v>
      </c>
      <c r="L1569" s="33" t="s">
        <v>4657</v>
      </c>
      <c r="M1569" s="33" t="s">
        <v>4658</v>
      </c>
      <c r="N1569" s="44">
        <v>42192425</v>
      </c>
      <c r="O1569" s="33" t="s">
        <v>4707</v>
      </c>
      <c r="P1569" s="33" t="s">
        <v>4708</v>
      </c>
      <c r="Q1569" s="34" t="s">
        <v>1494</v>
      </c>
      <c r="R1569" s="34" t="s">
        <v>1494</v>
      </c>
    </row>
    <row r="1570" spans="1:18" ht="15" customHeight="1" x14ac:dyDescent="0.25">
      <c r="A1570" t="str">
        <f>IFERROR(RANK(B1570,$B:$B,1)+COUNTIF($B$1:B1569,B1570),"")</f>
        <v/>
      </c>
      <c r="B1570" t="str">
        <f>IFERROR(SEARCH(#REF!,Table4[[#This Row],[Commodity Title]],1),"")</f>
        <v/>
      </c>
      <c r="C1570" s="35">
        <v>42192426</v>
      </c>
      <c r="D1570" s="33" t="s">
        <v>1495</v>
      </c>
      <c r="E1570" s="33" t="s">
        <v>1496</v>
      </c>
      <c r="F1570" s="33" t="s">
        <v>1497</v>
      </c>
      <c r="G1570" s="33" t="s">
        <v>4408</v>
      </c>
      <c r="H1570" s="33" t="s">
        <v>4409</v>
      </c>
      <c r="I1570" s="33" t="s">
        <v>4410</v>
      </c>
      <c r="J1570" s="33">
        <v>202807</v>
      </c>
      <c r="K1570" s="33" t="s">
        <v>4656</v>
      </c>
      <c r="L1570" s="33" t="s">
        <v>4657</v>
      </c>
      <c r="M1570" s="33" t="s">
        <v>4658</v>
      </c>
      <c r="N1570" s="44">
        <v>42192426</v>
      </c>
      <c r="O1570" s="33" t="s">
        <v>4709</v>
      </c>
      <c r="P1570" s="33" t="s">
        <v>4710</v>
      </c>
      <c r="Q1570" s="34" t="s">
        <v>1494</v>
      </c>
      <c r="R1570" s="34" t="s">
        <v>1494</v>
      </c>
    </row>
    <row r="1571" spans="1:18" ht="15" customHeight="1" x14ac:dyDescent="0.25">
      <c r="A1571" t="str">
        <f>IFERROR(RANK(B1571,$B:$B,1)+COUNTIF($B$1:B1570,B1571),"")</f>
        <v/>
      </c>
      <c r="B1571" t="str">
        <f>IFERROR(SEARCH(#REF!,Table4[[#This Row],[Commodity Title]],1),"")</f>
        <v/>
      </c>
      <c r="C1571" s="35">
        <v>42192427</v>
      </c>
      <c r="D1571" s="33" t="s">
        <v>1495</v>
      </c>
      <c r="E1571" s="33" t="s">
        <v>1496</v>
      </c>
      <c r="F1571" s="33" t="s">
        <v>1497</v>
      </c>
      <c r="G1571" s="33" t="s">
        <v>4408</v>
      </c>
      <c r="H1571" s="33" t="s">
        <v>4409</v>
      </c>
      <c r="I1571" s="33" t="s">
        <v>4410</v>
      </c>
      <c r="J1571" s="33">
        <v>115265</v>
      </c>
      <c r="K1571" s="33" t="s">
        <v>4656</v>
      </c>
      <c r="L1571" s="33" t="s">
        <v>4657</v>
      </c>
      <c r="M1571" s="33" t="s">
        <v>4658</v>
      </c>
      <c r="N1571" s="44">
        <v>42192427</v>
      </c>
      <c r="O1571" s="33" t="s">
        <v>4711</v>
      </c>
      <c r="P1571" s="33" t="s">
        <v>4712</v>
      </c>
      <c r="Q1571" s="34" t="s">
        <v>1494</v>
      </c>
      <c r="R1571" s="34" t="s">
        <v>1494</v>
      </c>
    </row>
    <row r="1572" spans="1:18" ht="15" customHeight="1" x14ac:dyDescent="0.25">
      <c r="A1572" t="str">
        <f>IFERROR(RANK(B1572,$B:$B,1)+COUNTIF($B$1:B1571,B1572),"")</f>
        <v/>
      </c>
      <c r="B1572" t="str">
        <f>IFERROR(SEARCH(#REF!,Table4[[#This Row],[Commodity Title]],1),"")</f>
        <v/>
      </c>
      <c r="C1572" s="35">
        <v>42192428</v>
      </c>
      <c r="D1572" s="33" t="s">
        <v>1495</v>
      </c>
      <c r="E1572" s="33" t="s">
        <v>1496</v>
      </c>
      <c r="F1572" s="33" t="s">
        <v>1497</v>
      </c>
      <c r="G1572" s="33" t="s">
        <v>4408</v>
      </c>
      <c r="H1572" s="33" t="s">
        <v>4409</v>
      </c>
      <c r="I1572" s="33" t="s">
        <v>4410</v>
      </c>
      <c r="J1572" s="33">
        <v>115266</v>
      </c>
      <c r="K1572" s="33" t="s">
        <v>4656</v>
      </c>
      <c r="L1572" s="33" t="s">
        <v>4657</v>
      </c>
      <c r="M1572" s="33" t="s">
        <v>4658</v>
      </c>
      <c r="N1572" s="44">
        <v>42192428</v>
      </c>
      <c r="O1572" s="33" t="s">
        <v>4713</v>
      </c>
      <c r="P1572" s="33" t="s">
        <v>4714</v>
      </c>
      <c r="Q1572" s="34" t="s">
        <v>1494</v>
      </c>
      <c r="R1572" s="34" t="s">
        <v>1494</v>
      </c>
    </row>
    <row r="1573" spans="1:18" ht="15" customHeight="1" x14ac:dyDescent="0.25">
      <c r="A1573" t="str">
        <f>IFERROR(RANK(B1573,$B:$B,1)+COUNTIF($B$1:B1572,B1573),"")</f>
        <v/>
      </c>
      <c r="B1573" t="str">
        <f>IFERROR(SEARCH(#REF!,Table4[[#This Row],[Commodity Title]],1),"")</f>
        <v/>
      </c>
      <c r="C1573" s="35">
        <v>42192429</v>
      </c>
      <c r="D1573" s="33" t="s">
        <v>1495</v>
      </c>
      <c r="E1573" s="33" t="s">
        <v>1496</v>
      </c>
      <c r="F1573" s="33" t="s">
        <v>1497</v>
      </c>
      <c r="G1573" s="33" t="s">
        <v>4408</v>
      </c>
      <c r="H1573" s="33" t="s">
        <v>4409</v>
      </c>
      <c r="I1573" s="33" t="s">
        <v>4410</v>
      </c>
      <c r="J1573" s="33">
        <v>142600</v>
      </c>
      <c r="K1573" s="33" t="s">
        <v>4656</v>
      </c>
      <c r="L1573" s="33" t="s">
        <v>4657</v>
      </c>
      <c r="M1573" s="33" t="s">
        <v>4658</v>
      </c>
      <c r="N1573" s="44">
        <v>42192429</v>
      </c>
      <c r="O1573" s="33" t="s">
        <v>4713</v>
      </c>
      <c r="P1573" s="33" t="s">
        <v>4715</v>
      </c>
      <c r="Q1573" s="34" t="s">
        <v>1494</v>
      </c>
      <c r="R1573" s="34" t="s">
        <v>1494</v>
      </c>
    </row>
    <row r="1574" spans="1:18" ht="15" customHeight="1" x14ac:dyDescent="0.25">
      <c r="A1574" t="str">
        <f>IFERROR(RANK(B1574,$B:$B,1)+COUNTIF($B$1:B1573,B1574),"")</f>
        <v/>
      </c>
      <c r="B1574" t="str">
        <f>IFERROR(SEARCH(#REF!,Table4[[#This Row],[Commodity Title]],1),"")</f>
        <v/>
      </c>
      <c r="C1574" s="35">
        <v>42192430</v>
      </c>
      <c r="D1574" s="33" t="s">
        <v>1495</v>
      </c>
      <c r="E1574" s="33" t="s">
        <v>1496</v>
      </c>
      <c r="F1574" s="33" t="s">
        <v>1497</v>
      </c>
      <c r="G1574" s="33" t="s">
        <v>4408</v>
      </c>
      <c r="H1574" s="33" t="s">
        <v>4409</v>
      </c>
      <c r="I1574" s="33" t="s">
        <v>4410</v>
      </c>
      <c r="J1574" s="33">
        <v>115888</v>
      </c>
      <c r="K1574" s="33" t="s">
        <v>4656</v>
      </c>
      <c r="L1574" s="33" t="s">
        <v>4657</v>
      </c>
      <c r="M1574" s="33" t="s">
        <v>4658</v>
      </c>
      <c r="N1574" s="44">
        <v>42192430</v>
      </c>
      <c r="O1574" s="33" t="s">
        <v>4716</v>
      </c>
      <c r="P1574" s="33" t="s">
        <v>4717</v>
      </c>
      <c r="Q1574" s="34" t="s">
        <v>1494</v>
      </c>
      <c r="R1574" s="34" t="s">
        <v>1494</v>
      </c>
    </row>
    <row r="1575" spans="1:18" ht="15" customHeight="1" x14ac:dyDescent="0.25">
      <c r="A1575" t="str">
        <f>IFERROR(RANK(B1575,$B:$B,1)+COUNTIF($B$1:B1574,B1575),"")</f>
        <v/>
      </c>
      <c r="B1575" t="str">
        <f>IFERROR(SEARCH(#REF!,Table4[[#This Row],[Commodity Title]],1),"")</f>
        <v/>
      </c>
      <c r="C1575" s="35">
        <v>42192431</v>
      </c>
      <c r="D1575" s="33" t="s">
        <v>1495</v>
      </c>
      <c r="E1575" s="33" t="s">
        <v>1496</v>
      </c>
      <c r="F1575" s="33" t="s">
        <v>1497</v>
      </c>
      <c r="G1575" s="33" t="s">
        <v>4408</v>
      </c>
      <c r="H1575" s="33" t="s">
        <v>4409</v>
      </c>
      <c r="I1575" s="33" t="s">
        <v>4410</v>
      </c>
      <c r="J1575" s="33">
        <v>142680</v>
      </c>
      <c r="K1575" s="33" t="s">
        <v>4656</v>
      </c>
      <c r="L1575" s="33" t="s">
        <v>4657</v>
      </c>
      <c r="M1575" s="33" t="s">
        <v>4658</v>
      </c>
      <c r="N1575" s="44">
        <v>42192431</v>
      </c>
      <c r="O1575" s="33" t="s">
        <v>4718</v>
      </c>
      <c r="P1575" s="33" t="s">
        <v>4719</v>
      </c>
      <c r="Q1575" s="34" t="s">
        <v>1494</v>
      </c>
      <c r="R1575" s="34" t="s">
        <v>1494</v>
      </c>
    </row>
    <row r="1576" spans="1:18" ht="15" customHeight="1" x14ac:dyDescent="0.25">
      <c r="A1576" t="str">
        <f>IFERROR(RANK(B1576,$B:$B,1)+COUNTIF($B$1:B1575,B1576),"")</f>
        <v/>
      </c>
      <c r="B1576" t="str">
        <f>IFERROR(SEARCH(#REF!,Table4[[#This Row],[Commodity Title]],1),"")</f>
        <v/>
      </c>
      <c r="C1576" s="33" t="s">
        <v>1494</v>
      </c>
      <c r="D1576" s="33" t="s">
        <v>1495</v>
      </c>
      <c r="E1576" s="33" t="s">
        <v>1496</v>
      </c>
      <c r="F1576" s="33" t="s">
        <v>1497</v>
      </c>
      <c r="G1576" s="33" t="s">
        <v>4408</v>
      </c>
      <c r="H1576" s="33" t="s">
        <v>4409</v>
      </c>
      <c r="I1576" s="33" t="s">
        <v>4410</v>
      </c>
      <c r="J1576" s="33">
        <v>117625</v>
      </c>
      <c r="K1576" s="33" t="s">
        <v>4720</v>
      </c>
      <c r="L1576" s="33" t="s">
        <v>4721</v>
      </c>
      <c r="M1576" s="33" t="s">
        <v>4722</v>
      </c>
      <c r="N1576" s="44" t="s">
        <v>1494</v>
      </c>
      <c r="O1576" s="33" t="s">
        <v>1494</v>
      </c>
      <c r="P1576" s="33" t="s">
        <v>1494</v>
      </c>
      <c r="Q1576" s="34" t="s">
        <v>1494</v>
      </c>
      <c r="R1576" s="34" t="s">
        <v>1494</v>
      </c>
    </row>
    <row r="1577" spans="1:18" ht="15" customHeight="1" x14ac:dyDescent="0.25">
      <c r="A1577" t="str">
        <f>IFERROR(RANK(B1577,$B:$B,1)+COUNTIF($B$1:B1576,B1577),"")</f>
        <v/>
      </c>
      <c r="B1577" t="str">
        <f>IFERROR(SEARCH(#REF!,Table4[[#This Row],[Commodity Title]],1),"")</f>
        <v/>
      </c>
      <c r="C1577" s="35">
        <v>42192501</v>
      </c>
      <c r="D1577" s="33" t="s">
        <v>1495</v>
      </c>
      <c r="E1577" s="33" t="s">
        <v>1496</v>
      </c>
      <c r="F1577" s="33" t="s">
        <v>1497</v>
      </c>
      <c r="G1577" s="33" t="s">
        <v>4408</v>
      </c>
      <c r="H1577" s="33" t="s">
        <v>4409</v>
      </c>
      <c r="I1577" s="33" t="s">
        <v>4410</v>
      </c>
      <c r="J1577" s="33">
        <v>117626</v>
      </c>
      <c r="K1577" s="33" t="s">
        <v>4720</v>
      </c>
      <c r="L1577" s="33" t="s">
        <v>4721</v>
      </c>
      <c r="M1577" s="33" t="s">
        <v>4722</v>
      </c>
      <c r="N1577" s="44">
        <v>42192501</v>
      </c>
      <c r="O1577" s="33" t="s">
        <v>4723</v>
      </c>
      <c r="P1577" s="33" t="s">
        <v>4724</v>
      </c>
      <c r="Q1577" s="34" t="s">
        <v>1494</v>
      </c>
      <c r="R1577" s="34" t="s">
        <v>1494</v>
      </c>
    </row>
    <row r="1578" spans="1:18" ht="15" customHeight="1" x14ac:dyDescent="0.25">
      <c r="A1578" t="str">
        <f>IFERROR(RANK(B1578,$B:$B,1)+COUNTIF($B$1:B1577,B1578),"")</f>
        <v/>
      </c>
      <c r="B1578" t="str">
        <f>IFERROR(SEARCH(#REF!,Table4[[#This Row],[Commodity Title]],1),"")</f>
        <v/>
      </c>
      <c r="C1578" s="35">
        <v>42192502</v>
      </c>
      <c r="D1578" s="33" t="s">
        <v>1495</v>
      </c>
      <c r="E1578" s="33" t="s">
        <v>1496</v>
      </c>
      <c r="F1578" s="33" t="s">
        <v>1497</v>
      </c>
      <c r="G1578" s="33" t="s">
        <v>4408</v>
      </c>
      <c r="H1578" s="33" t="s">
        <v>4409</v>
      </c>
      <c r="I1578" s="33" t="s">
        <v>4410</v>
      </c>
      <c r="J1578" s="33">
        <v>117627</v>
      </c>
      <c r="K1578" s="33" t="s">
        <v>4720</v>
      </c>
      <c r="L1578" s="33" t="s">
        <v>4721</v>
      </c>
      <c r="M1578" s="33" t="s">
        <v>4722</v>
      </c>
      <c r="N1578" s="44">
        <v>42192502</v>
      </c>
      <c r="O1578" s="33" t="s">
        <v>4725</v>
      </c>
      <c r="P1578" s="33" t="s">
        <v>4726</v>
      </c>
      <c r="Q1578" s="34" t="s">
        <v>1494</v>
      </c>
      <c r="R1578" s="34" t="s">
        <v>1494</v>
      </c>
    </row>
    <row r="1579" spans="1:18" ht="15" customHeight="1" x14ac:dyDescent="0.25">
      <c r="A1579" t="str">
        <f>IFERROR(RANK(B1579,$B:$B,1)+COUNTIF($B$1:B1578,B1579),"")</f>
        <v/>
      </c>
      <c r="B1579" t="str">
        <f>IFERROR(SEARCH(#REF!,Table4[[#This Row],[Commodity Title]],1),"")</f>
        <v/>
      </c>
      <c r="C1579" s="33" t="s">
        <v>1494</v>
      </c>
      <c r="D1579" s="33" t="s">
        <v>1495</v>
      </c>
      <c r="E1579" s="33" t="s">
        <v>1496</v>
      </c>
      <c r="F1579" s="33" t="s">
        <v>1497</v>
      </c>
      <c r="G1579" s="33" t="s">
        <v>4408</v>
      </c>
      <c r="H1579" s="33" t="s">
        <v>4409</v>
      </c>
      <c r="I1579" s="33" t="s">
        <v>4410</v>
      </c>
      <c r="J1579" s="33">
        <v>142546</v>
      </c>
      <c r="K1579" s="33" t="s">
        <v>4727</v>
      </c>
      <c r="L1579" s="33" t="s">
        <v>4728</v>
      </c>
      <c r="M1579" s="33" t="s">
        <v>4729</v>
      </c>
      <c r="N1579" s="44" t="s">
        <v>1494</v>
      </c>
      <c r="O1579" s="33" t="s">
        <v>1494</v>
      </c>
      <c r="P1579" s="33" t="s">
        <v>1494</v>
      </c>
      <c r="Q1579" s="34" t="s">
        <v>1494</v>
      </c>
      <c r="R1579" s="34" t="s">
        <v>1494</v>
      </c>
    </row>
    <row r="1580" spans="1:18" ht="15" customHeight="1" x14ac:dyDescent="0.25">
      <c r="A1580" t="str">
        <f>IFERROR(RANK(B1580,$B:$B,1)+COUNTIF($B$1:B1579,B1580),"")</f>
        <v/>
      </c>
      <c r="B1580" t="str">
        <f>IFERROR(SEARCH(#REF!,Table4[[#This Row],[Commodity Title]],1),"")</f>
        <v/>
      </c>
      <c r="C1580" s="35">
        <v>42192601</v>
      </c>
      <c r="D1580" s="33" t="s">
        <v>1495</v>
      </c>
      <c r="E1580" s="33" t="s">
        <v>1496</v>
      </c>
      <c r="F1580" s="33" t="s">
        <v>1497</v>
      </c>
      <c r="G1580" s="33" t="s">
        <v>4408</v>
      </c>
      <c r="H1580" s="33" t="s">
        <v>4409</v>
      </c>
      <c r="I1580" s="33" t="s">
        <v>4410</v>
      </c>
      <c r="J1580" s="33">
        <v>142547</v>
      </c>
      <c r="K1580" s="33" t="s">
        <v>4727</v>
      </c>
      <c r="L1580" s="33" t="s">
        <v>4728</v>
      </c>
      <c r="M1580" s="33" t="s">
        <v>4729</v>
      </c>
      <c r="N1580" s="44">
        <v>42192601</v>
      </c>
      <c r="O1580" s="33" t="s">
        <v>4730</v>
      </c>
      <c r="P1580" s="33" t="s">
        <v>4731</v>
      </c>
      <c r="Q1580" s="34" t="s">
        <v>1494</v>
      </c>
      <c r="R1580" s="34" t="s">
        <v>1494</v>
      </c>
    </row>
    <row r="1581" spans="1:18" ht="15" customHeight="1" x14ac:dyDescent="0.25">
      <c r="A1581" t="str">
        <f>IFERROR(RANK(B1581,$B:$B,1)+COUNTIF($B$1:B1580,B1581),"")</f>
        <v/>
      </c>
      <c r="B1581" t="str">
        <f>IFERROR(SEARCH(#REF!,Table4[[#This Row],[Commodity Title]],1),"")</f>
        <v/>
      </c>
      <c r="C1581" s="35">
        <v>42192602</v>
      </c>
      <c r="D1581" s="33" t="s">
        <v>1495</v>
      </c>
      <c r="E1581" s="33" t="s">
        <v>1496</v>
      </c>
      <c r="F1581" s="33" t="s">
        <v>1497</v>
      </c>
      <c r="G1581" s="33" t="s">
        <v>4408</v>
      </c>
      <c r="H1581" s="33" t="s">
        <v>4409</v>
      </c>
      <c r="I1581" s="33" t="s">
        <v>4410</v>
      </c>
      <c r="J1581" s="33">
        <v>142548</v>
      </c>
      <c r="K1581" s="33" t="s">
        <v>4727</v>
      </c>
      <c r="L1581" s="33" t="s">
        <v>4728</v>
      </c>
      <c r="M1581" s="33" t="s">
        <v>4729</v>
      </c>
      <c r="N1581" s="44">
        <v>42192602</v>
      </c>
      <c r="O1581" s="33" t="s">
        <v>4732</v>
      </c>
      <c r="P1581" s="33" t="s">
        <v>4733</v>
      </c>
      <c r="Q1581" s="34" t="s">
        <v>1494</v>
      </c>
      <c r="R1581" s="34" t="s">
        <v>1494</v>
      </c>
    </row>
    <row r="1582" spans="1:18" ht="15" customHeight="1" x14ac:dyDescent="0.25">
      <c r="A1582" t="str">
        <f>IFERROR(RANK(B1582,$B:$B,1)+COUNTIF($B$1:B1581,B1582),"")</f>
        <v/>
      </c>
      <c r="B1582" t="str">
        <f>IFERROR(SEARCH(#REF!,Table4[[#This Row],[Commodity Title]],1),"")</f>
        <v/>
      </c>
      <c r="C1582" s="35">
        <v>42192603</v>
      </c>
      <c r="D1582" s="33" t="s">
        <v>1495</v>
      </c>
      <c r="E1582" s="33" t="s">
        <v>1496</v>
      </c>
      <c r="F1582" s="33" t="s">
        <v>1497</v>
      </c>
      <c r="G1582" s="33" t="s">
        <v>4408</v>
      </c>
      <c r="H1582" s="33" t="s">
        <v>4409</v>
      </c>
      <c r="I1582" s="33" t="s">
        <v>4410</v>
      </c>
      <c r="J1582" s="33">
        <v>142549</v>
      </c>
      <c r="K1582" s="33" t="s">
        <v>4727</v>
      </c>
      <c r="L1582" s="33" t="s">
        <v>4728</v>
      </c>
      <c r="M1582" s="33" t="s">
        <v>4729</v>
      </c>
      <c r="N1582" s="44">
        <v>42192603</v>
      </c>
      <c r="O1582" s="33" t="s">
        <v>4734</v>
      </c>
      <c r="P1582" s="33" t="s">
        <v>4735</v>
      </c>
      <c r="Q1582" s="34" t="s">
        <v>1494</v>
      </c>
      <c r="R1582" s="34" t="s">
        <v>1494</v>
      </c>
    </row>
    <row r="1583" spans="1:18" ht="15" customHeight="1" x14ac:dyDescent="0.25">
      <c r="A1583" t="str">
        <f>IFERROR(RANK(B1583,$B:$B,1)+COUNTIF($B$1:B1582,B1583),"")</f>
        <v/>
      </c>
      <c r="B1583" t="str">
        <f>IFERROR(SEARCH(#REF!,Table4[[#This Row],[Commodity Title]],1),"")</f>
        <v/>
      </c>
      <c r="C1583" s="35">
        <v>42192604</v>
      </c>
      <c r="D1583" s="33" t="s">
        <v>1495</v>
      </c>
      <c r="E1583" s="33" t="s">
        <v>1496</v>
      </c>
      <c r="F1583" s="33" t="s">
        <v>1497</v>
      </c>
      <c r="G1583" s="33" t="s">
        <v>4408</v>
      </c>
      <c r="H1583" s="33" t="s">
        <v>4409</v>
      </c>
      <c r="I1583" s="33" t="s">
        <v>4410</v>
      </c>
      <c r="J1583" s="33">
        <v>142550</v>
      </c>
      <c r="K1583" s="33" t="s">
        <v>4727</v>
      </c>
      <c r="L1583" s="33" t="s">
        <v>4728</v>
      </c>
      <c r="M1583" s="33" t="s">
        <v>4729</v>
      </c>
      <c r="N1583" s="44">
        <v>42192604</v>
      </c>
      <c r="O1583" s="33" t="s">
        <v>4736</v>
      </c>
      <c r="P1583" s="33" t="s">
        <v>4737</v>
      </c>
      <c r="Q1583" s="34" t="s">
        <v>1494</v>
      </c>
      <c r="R1583" s="34" t="s">
        <v>1494</v>
      </c>
    </row>
    <row r="1584" spans="1:18" ht="15" customHeight="1" x14ac:dyDescent="0.25">
      <c r="A1584" t="str">
        <f>IFERROR(RANK(B1584,$B:$B,1)+COUNTIF($B$1:B1583,B1584),"")</f>
        <v/>
      </c>
      <c r="B1584" t="str">
        <f>IFERROR(SEARCH(#REF!,Table4[[#This Row],[Commodity Title]],1),"")</f>
        <v/>
      </c>
      <c r="C1584" s="35">
        <v>42192606</v>
      </c>
      <c r="D1584" s="33" t="s">
        <v>1495</v>
      </c>
      <c r="E1584" s="33" t="s">
        <v>1496</v>
      </c>
      <c r="F1584" s="33" t="s">
        <v>1497</v>
      </c>
      <c r="G1584" s="33" t="s">
        <v>4408</v>
      </c>
      <c r="H1584" s="33" t="s">
        <v>4409</v>
      </c>
      <c r="I1584" s="33" t="s">
        <v>4410</v>
      </c>
      <c r="J1584" s="33">
        <v>174380</v>
      </c>
      <c r="K1584" s="33" t="s">
        <v>4727</v>
      </c>
      <c r="L1584" s="33" t="s">
        <v>4728</v>
      </c>
      <c r="M1584" s="33" t="s">
        <v>4729</v>
      </c>
      <c r="N1584" s="44">
        <v>42192606</v>
      </c>
      <c r="O1584" s="33" t="s">
        <v>4738</v>
      </c>
      <c r="P1584" s="33" t="s">
        <v>4739</v>
      </c>
      <c r="Q1584" s="34" t="s">
        <v>1494</v>
      </c>
      <c r="R1584" s="34" t="s">
        <v>1494</v>
      </c>
    </row>
    <row r="1585" spans="1:18" ht="15" customHeight="1" x14ac:dyDescent="0.25">
      <c r="A1585" t="str">
        <f>IFERROR(RANK(B1585,$B:$B,1)+COUNTIF($B$1:B1584,B1585),"")</f>
        <v/>
      </c>
      <c r="B1585" t="str">
        <f>IFERROR(SEARCH(#REF!,Table4[[#This Row],[Commodity Title]],1),"")</f>
        <v/>
      </c>
      <c r="C1585" s="35">
        <v>42192607</v>
      </c>
      <c r="D1585" s="33" t="s">
        <v>1495</v>
      </c>
      <c r="E1585" s="33" t="s">
        <v>1496</v>
      </c>
      <c r="F1585" s="33" t="s">
        <v>1497</v>
      </c>
      <c r="G1585" s="33" t="s">
        <v>4408</v>
      </c>
      <c r="H1585" s="33" t="s">
        <v>4409</v>
      </c>
      <c r="I1585" s="33" t="s">
        <v>4410</v>
      </c>
      <c r="J1585" s="33">
        <v>202808</v>
      </c>
      <c r="K1585" s="33" t="s">
        <v>4727</v>
      </c>
      <c r="L1585" s="33" t="s">
        <v>4728</v>
      </c>
      <c r="M1585" s="33" t="s">
        <v>4729</v>
      </c>
      <c r="N1585" s="44">
        <v>42192607</v>
      </c>
      <c r="O1585" s="33" t="s">
        <v>4740</v>
      </c>
      <c r="P1585" s="33" t="s">
        <v>4741</v>
      </c>
      <c r="Q1585" s="34" t="s">
        <v>1494</v>
      </c>
      <c r="R1585" s="34" t="s">
        <v>1494</v>
      </c>
    </row>
    <row r="1586" spans="1:18" ht="15" customHeight="1" x14ac:dyDescent="0.25">
      <c r="A1586" t="str">
        <f>IFERROR(RANK(B1586,$B:$B,1)+COUNTIF($B$1:B1585,B1586),"")</f>
        <v/>
      </c>
      <c r="B1586" t="str">
        <f>IFERROR(SEARCH(#REF!,Table4[[#This Row],[Commodity Title]],1),"")</f>
        <v/>
      </c>
      <c r="C1586" s="35">
        <v>42192608</v>
      </c>
      <c r="D1586" s="33" t="s">
        <v>1495</v>
      </c>
      <c r="E1586" s="33" t="s">
        <v>1496</v>
      </c>
      <c r="F1586" s="33" t="s">
        <v>1497</v>
      </c>
      <c r="G1586" s="33" t="s">
        <v>4408</v>
      </c>
      <c r="H1586" s="33" t="s">
        <v>4409</v>
      </c>
      <c r="I1586" s="33" t="s">
        <v>4410</v>
      </c>
      <c r="J1586" s="33">
        <v>202809</v>
      </c>
      <c r="K1586" s="33" t="s">
        <v>4727</v>
      </c>
      <c r="L1586" s="33" t="s">
        <v>4728</v>
      </c>
      <c r="M1586" s="33" t="s">
        <v>4729</v>
      </c>
      <c r="N1586" s="44">
        <v>42192608</v>
      </c>
      <c r="O1586" s="33" t="s">
        <v>4742</v>
      </c>
      <c r="P1586" s="33" t="s">
        <v>4743</v>
      </c>
      <c r="Q1586" s="34" t="s">
        <v>1494</v>
      </c>
      <c r="R1586" s="34" t="s">
        <v>1494</v>
      </c>
    </row>
    <row r="1587" spans="1:18" ht="15" customHeight="1" x14ac:dyDescent="0.25">
      <c r="A1587" t="str">
        <f>IFERROR(RANK(B1587,$B:$B,1)+COUNTIF($B$1:B1586,B1587),"")</f>
        <v/>
      </c>
      <c r="B1587" t="str">
        <f>IFERROR(SEARCH(#REF!,Table4[[#This Row],[Commodity Title]],1),"")</f>
        <v/>
      </c>
      <c r="C1587" s="35">
        <v>42192609</v>
      </c>
      <c r="D1587" s="33" t="s">
        <v>1495</v>
      </c>
      <c r="E1587" s="33" t="s">
        <v>1496</v>
      </c>
      <c r="F1587" s="33" t="s">
        <v>1497</v>
      </c>
      <c r="G1587" s="33" t="s">
        <v>4408</v>
      </c>
      <c r="H1587" s="33" t="s">
        <v>4409</v>
      </c>
      <c r="I1587" s="33" t="s">
        <v>4410</v>
      </c>
      <c r="J1587" s="33">
        <v>202810</v>
      </c>
      <c r="K1587" s="33" t="s">
        <v>4727</v>
      </c>
      <c r="L1587" s="33" t="s">
        <v>4728</v>
      </c>
      <c r="M1587" s="33" t="s">
        <v>4729</v>
      </c>
      <c r="N1587" s="44">
        <v>42192609</v>
      </c>
      <c r="O1587" s="33" t="s">
        <v>4744</v>
      </c>
      <c r="P1587" s="33" t="s">
        <v>4745</v>
      </c>
      <c r="Q1587" s="34" t="s">
        <v>1494</v>
      </c>
      <c r="R1587" s="34" t="s">
        <v>1494</v>
      </c>
    </row>
    <row r="1588" spans="1:18" ht="15" customHeight="1" x14ac:dyDescent="0.25">
      <c r="A1588" t="str">
        <f>IFERROR(RANK(B1588,$B:$B,1)+COUNTIF($B$1:B1587,B1588),"")</f>
        <v/>
      </c>
      <c r="B1588" t="str">
        <f>IFERROR(SEARCH(#REF!,Table4[[#This Row],[Commodity Title]],1),"")</f>
        <v/>
      </c>
      <c r="C1588" s="35">
        <v>42192610</v>
      </c>
      <c r="D1588" s="33" t="s">
        <v>1495</v>
      </c>
      <c r="E1588" s="33" t="s">
        <v>1496</v>
      </c>
      <c r="F1588" s="33" t="s">
        <v>1497</v>
      </c>
      <c r="G1588" s="33" t="s">
        <v>4408</v>
      </c>
      <c r="H1588" s="33" t="s">
        <v>4409</v>
      </c>
      <c r="I1588" s="33" t="s">
        <v>4410</v>
      </c>
      <c r="J1588" s="33">
        <v>202811</v>
      </c>
      <c r="K1588" s="33" t="s">
        <v>4727</v>
      </c>
      <c r="L1588" s="33" t="s">
        <v>4728</v>
      </c>
      <c r="M1588" s="33" t="s">
        <v>4729</v>
      </c>
      <c r="N1588" s="44">
        <v>42192610</v>
      </c>
      <c r="O1588" s="33" t="s">
        <v>4746</v>
      </c>
      <c r="P1588" s="33" t="s">
        <v>4747</v>
      </c>
      <c r="Q1588" s="34" t="s">
        <v>1494</v>
      </c>
      <c r="R1588" s="34" t="s">
        <v>1494</v>
      </c>
    </row>
    <row r="1589" spans="1:18" ht="15" customHeight="1" x14ac:dyDescent="0.25">
      <c r="A1589" t="str">
        <f>IFERROR(RANK(B1589,$B:$B,1)+COUNTIF($B$1:B1588,B1589),"")</f>
        <v/>
      </c>
      <c r="B1589" t="str">
        <f>IFERROR(SEARCH(#REF!,Table4[[#This Row],[Commodity Title]],1),"")</f>
        <v/>
      </c>
      <c r="C1589" s="35">
        <v>42192611</v>
      </c>
      <c r="D1589" s="33" t="s">
        <v>1495</v>
      </c>
      <c r="E1589" s="33" t="s">
        <v>1496</v>
      </c>
      <c r="F1589" s="33" t="s">
        <v>1497</v>
      </c>
      <c r="G1589" s="33" t="s">
        <v>4408</v>
      </c>
      <c r="H1589" s="33" t="s">
        <v>4409</v>
      </c>
      <c r="I1589" s="33" t="s">
        <v>4410</v>
      </c>
      <c r="J1589" s="33">
        <v>202812</v>
      </c>
      <c r="K1589" s="33" t="s">
        <v>4727</v>
      </c>
      <c r="L1589" s="33" t="s">
        <v>4728</v>
      </c>
      <c r="M1589" s="33" t="s">
        <v>4729</v>
      </c>
      <c r="N1589" s="44">
        <v>42192611</v>
      </c>
      <c r="O1589" s="33" t="s">
        <v>4748</v>
      </c>
      <c r="P1589" s="33" t="s">
        <v>4749</v>
      </c>
      <c r="Q1589" s="34" t="s">
        <v>1494</v>
      </c>
      <c r="R1589" s="34" t="s">
        <v>1494</v>
      </c>
    </row>
    <row r="1590" spans="1:18" ht="15" customHeight="1" x14ac:dyDescent="0.25">
      <c r="A1590" t="str">
        <f>IFERROR(RANK(B1590,$B:$B,1)+COUNTIF($B$1:B1589,B1590),"")</f>
        <v/>
      </c>
      <c r="B1590" t="str">
        <f>IFERROR(SEARCH(#REF!,Table4[[#This Row],[Commodity Title]],1),"")</f>
        <v/>
      </c>
      <c r="C1590" s="35">
        <v>42192612</v>
      </c>
      <c r="D1590" s="33" t="s">
        <v>1495</v>
      </c>
      <c r="E1590" s="33" t="s">
        <v>1496</v>
      </c>
      <c r="F1590" s="33" t="s">
        <v>1497</v>
      </c>
      <c r="G1590" s="33" t="s">
        <v>4408</v>
      </c>
      <c r="H1590" s="33" t="s">
        <v>4409</v>
      </c>
      <c r="I1590" s="33" t="s">
        <v>4410</v>
      </c>
      <c r="J1590" s="33">
        <v>202813</v>
      </c>
      <c r="K1590" s="33" t="s">
        <v>4727</v>
      </c>
      <c r="L1590" s="33" t="s">
        <v>4728</v>
      </c>
      <c r="M1590" s="33" t="s">
        <v>4729</v>
      </c>
      <c r="N1590" s="44">
        <v>42192612</v>
      </c>
      <c r="O1590" s="33" t="s">
        <v>4750</v>
      </c>
      <c r="P1590" s="33" t="s">
        <v>4751</v>
      </c>
      <c r="Q1590" s="34" t="s">
        <v>1494</v>
      </c>
      <c r="R1590" s="34" t="s">
        <v>1494</v>
      </c>
    </row>
    <row r="1591" spans="1:18" ht="15" customHeight="1" x14ac:dyDescent="0.25">
      <c r="A1591" t="str">
        <f>IFERROR(RANK(B1591,$B:$B,1)+COUNTIF($B$1:B1590,B1591),"")</f>
        <v/>
      </c>
      <c r="B1591" t="str">
        <f>IFERROR(SEARCH(#REF!,Table4[[#This Row],[Commodity Title]],1),"")</f>
        <v/>
      </c>
      <c r="C1591" s="35">
        <v>42192613</v>
      </c>
      <c r="D1591" s="33" t="s">
        <v>1495</v>
      </c>
      <c r="E1591" s="33" t="s">
        <v>1496</v>
      </c>
      <c r="F1591" s="33" t="s">
        <v>1497</v>
      </c>
      <c r="G1591" s="33" t="s">
        <v>4408</v>
      </c>
      <c r="H1591" s="33" t="s">
        <v>4409</v>
      </c>
      <c r="I1591" s="33" t="s">
        <v>4410</v>
      </c>
      <c r="J1591" s="33">
        <v>202814</v>
      </c>
      <c r="K1591" s="33" t="s">
        <v>4727</v>
      </c>
      <c r="L1591" s="33" t="s">
        <v>4728</v>
      </c>
      <c r="M1591" s="33" t="s">
        <v>4729</v>
      </c>
      <c r="N1591" s="44">
        <v>42192613</v>
      </c>
      <c r="O1591" s="33" t="s">
        <v>4752</v>
      </c>
      <c r="P1591" s="33" t="s">
        <v>4753</v>
      </c>
      <c r="Q1591" s="34" t="s">
        <v>1494</v>
      </c>
      <c r="R1591" s="34" t="s">
        <v>1494</v>
      </c>
    </row>
    <row r="1592" spans="1:18" ht="15" customHeight="1" x14ac:dyDescent="0.25">
      <c r="A1592" t="str">
        <f>IFERROR(RANK(B1592,$B:$B,1)+COUNTIF($B$1:B1591,B1592),"")</f>
        <v/>
      </c>
      <c r="B1592" t="str">
        <f>IFERROR(SEARCH(#REF!,Table4[[#This Row],[Commodity Title]],1),"")</f>
        <v/>
      </c>
      <c r="C1592" s="35">
        <v>42192614</v>
      </c>
      <c r="D1592" s="33" t="s">
        <v>1495</v>
      </c>
      <c r="E1592" s="33" t="s">
        <v>1496</v>
      </c>
      <c r="F1592" s="33" t="s">
        <v>1497</v>
      </c>
      <c r="G1592" s="33" t="s">
        <v>4408</v>
      </c>
      <c r="H1592" s="33" t="s">
        <v>4409</v>
      </c>
      <c r="I1592" s="33" t="s">
        <v>4410</v>
      </c>
      <c r="J1592" s="33">
        <v>202815</v>
      </c>
      <c r="K1592" s="33" t="s">
        <v>4727</v>
      </c>
      <c r="L1592" s="33" t="s">
        <v>4728</v>
      </c>
      <c r="M1592" s="33" t="s">
        <v>4729</v>
      </c>
      <c r="N1592" s="44">
        <v>42192614</v>
      </c>
      <c r="O1592" s="33" t="s">
        <v>4754</v>
      </c>
      <c r="P1592" s="33" t="s">
        <v>4755</v>
      </c>
      <c r="Q1592" s="34" t="s">
        <v>1494</v>
      </c>
      <c r="R1592" s="34" t="s">
        <v>1494</v>
      </c>
    </row>
    <row r="1593" spans="1:18" ht="15" customHeight="1" x14ac:dyDescent="0.25">
      <c r="A1593" t="str">
        <f>IFERROR(RANK(B1593,$B:$B,1)+COUNTIF($B$1:B1592,B1593),"")</f>
        <v/>
      </c>
      <c r="B1593" t="str">
        <f>IFERROR(SEARCH(#REF!,Table4[[#This Row],[Commodity Title]],1),"")</f>
        <v/>
      </c>
      <c r="C1593" s="35">
        <v>42192615</v>
      </c>
      <c r="D1593" s="33" t="s">
        <v>1495</v>
      </c>
      <c r="E1593" s="33" t="s">
        <v>1496</v>
      </c>
      <c r="F1593" s="33" t="s">
        <v>1497</v>
      </c>
      <c r="G1593" s="33" t="s">
        <v>4408</v>
      </c>
      <c r="H1593" s="33" t="s">
        <v>4409</v>
      </c>
      <c r="I1593" s="33" t="s">
        <v>4410</v>
      </c>
      <c r="J1593" s="33">
        <v>202816</v>
      </c>
      <c r="K1593" s="33" t="s">
        <v>4727</v>
      </c>
      <c r="L1593" s="33" t="s">
        <v>4728</v>
      </c>
      <c r="M1593" s="33" t="s">
        <v>4729</v>
      </c>
      <c r="N1593" s="44">
        <v>42192615</v>
      </c>
      <c r="O1593" s="33" t="s">
        <v>4756</v>
      </c>
      <c r="P1593" s="33" t="s">
        <v>4757</v>
      </c>
      <c r="Q1593" s="34" t="s">
        <v>1494</v>
      </c>
      <c r="R1593" s="34" t="s">
        <v>1494</v>
      </c>
    </row>
    <row r="1594" spans="1:18" ht="15" customHeight="1" x14ac:dyDescent="0.25">
      <c r="A1594" t="str">
        <f>IFERROR(RANK(B1594,$B:$B,1)+COUNTIF($B$1:B1593,B1594),"")</f>
        <v/>
      </c>
      <c r="B1594" t="str">
        <f>IFERROR(SEARCH(#REF!,Table4[[#This Row],[Commodity Title]],1),"")</f>
        <v/>
      </c>
      <c r="C1594" s="35">
        <v>42192616</v>
      </c>
      <c r="D1594" s="33" t="s">
        <v>1495</v>
      </c>
      <c r="E1594" s="33" t="s">
        <v>1496</v>
      </c>
      <c r="F1594" s="33" t="s">
        <v>1497</v>
      </c>
      <c r="G1594" s="33" t="s">
        <v>4408</v>
      </c>
      <c r="H1594" s="33" t="s">
        <v>4409</v>
      </c>
      <c r="I1594" s="33" t="s">
        <v>4410</v>
      </c>
      <c r="J1594" s="33">
        <v>202817</v>
      </c>
      <c r="K1594" s="33" t="s">
        <v>4727</v>
      </c>
      <c r="L1594" s="33" t="s">
        <v>4728</v>
      </c>
      <c r="M1594" s="33" t="s">
        <v>4729</v>
      </c>
      <c r="N1594" s="44">
        <v>42192616</v>
      </c>
      <c r="O1594" s="33" t="s">
        <v>4758</v>
      </c>
      <c r="P1594" s="33" t="s">
        <v>4759</v>
      </c>
      <c r="Q1594" s="34" t="s">
        <v>1494</v>
      </c>
      <c r="R1594" s="34" t="s">
        <v>1494</v>
      </c>
    </row>
    <row r="1595" spans="1:18" ht="15" customHeight="1" x14ac:dyDescent="0.25">
      <c r="A1595" t="str">
        <f>IFERROR(RANK(B1595,$B:$B,1)+COUNTIF($B$1:B1594,B1595),"")</f>
        <v/>
      </c>
      <c r="B1595" t="str">
        <f>IFERROR(SEARCH(#REF!,Table4[[#This Row],[Commodity Title]],1),"")</f>
        <v/>
      </c>
      <c r="C1595" s="35">
        <v>42192617</v>
      </c>
      <c r="D1595" s="33" t="s">
        <v>1495</v>
      </c>
      <c r="E1595" s="33" t="s">
        <v>1496</v>
      </c>
      <c r="F1595" s="33" t="s">
        <v>1497</v>
      </c>
      <c r="G1595" s="33" t="s">
        <v>4408</v>
      </c>
      <c r="H1595" s="33" t="s">
        <v>4409</v>
      </c>
      <c r="I1595" s="33" t="s">
        <v>4410</v>
      </c>
      <c r="J1595" s="33">
        <v>116032</v>
      </c>
      <c r="K1595" s="33" t="s">
        <v>4727</v>
      </c>
      <c r="L1595" s="33" t="s">
        <v>4728</v>
      </c>
      <c r="M1595" s="33" t="s">
        <v>4729</v>
      </c>
      <c r="N1595" s="44">
        <v>42192617</v>
      </c>
      <c r="O1595" s="33" t="s">
        <v>4760</v>
      </c>
      <c r="P1595" s="33" t="s">
        <v>4761</v>
      </c>
      <c r="Q1595" s="34" t="s">
        <v>1494</v>
      </c>
      <c r="R1595" s="34" t="s">
        <v>1494</v>
      </c>
    </row>
    <row r="1596" spans="1:18" ht="15" customHeight="1" x14ac:dyDescent="0.25">
      <c r="A1596" t="str">
        <f>IFERROR(RANK(B1596,$B:$B,1)+COUNTIF($B$1:B1595,B1596),"")</f>
        <v/>
      </c>
      <c r="B1596" t="str">
        <f>IFERROR(SEARCH(#REF!,Table4[[#This Row],[Commodity Title]],1),"")</f>
        <v/>
      </c>
      <c r="C1596" s="35">
        <v>42192618</v>
      </c>
      <c r="D1596" s="33" t="s">
        <v>1495</v>
      </c>
      <c r="E1596" s="33" t="s">
        <v>1496</v>
      </c>
      <c r="F1596" s="33" t="s">
        <v>1497</v>
      </c>
      <c r="G1596" s="33" t="s">
        <v>4408</v>
      </c>
      <c r="H1596" s="33" t="s">
        <v>4409</v>
      </c>
      <c r="I1596" s="33" t="s">
        <v>4410</v>
      </c>
      <c r="J1596" s="33">
        <v>202818</v>
      </c>
      <c r="K1596" s="33" t="s">
        <v>4727</v>
      </c>
      <c r="L1596" s="33" t="s">
        <v>4728</v>
      </c>
      <c r="M1596" s="33" t="s">
        <v>4729</v>
      </c>
      <c r="N1596" s="44">
        <v>42192618</v>
      </c>
      <c r="O1596" s="33" t="s">
        <v>4762</v>
      </c>
      <c r="P1596" s="33" t="s">
        <v>4763</v>
      </c>
      <c r="Q1596" s="34" t="s">
        <v>1494</v>
      </c>
      <c r="R1596" s="34" t="s">
        <v>1494</v>
      </c>
    </row>
    <row r="1597" spans="1:18" ht="15" customHeight="1" x14ac:dyDescent="0.25">
      <c r="A1597" t="str">
        <f>IFERROR(RANK(B1597,$B:$B,1)+COUNTIF($B$1:B1596,B1597),"")</f>
        <v/>
      </c>
      <c r="B1597" t="str">
        <f>IFERROR(SEARCH(#REF!,Table4[[#This Row],[Commodity Title]],1),"")</f>
        <v/>
      </c>
      <c r="C1597" s="33" t="s">
        <v>1494</v>
      </c>
      <c r="D1597" s="33" t="s">
        <v>1495</v>
      </c>
      <c r="E1597" s="33" t="s">
        <v>1496</v>
      </c>
      <c r="F1597" s="33" t="s">
        <v>1497</v>
      </c>
      <c r="G1597" s="33" t="s">
        <v>4408</v>
      </c>
      <c r="H1597" s="33" t="s">
        <v>4409</v>
      </c>
      <c r="I1597" s="33" t="s">
        <v>4410</v>
      </c>
      <c r="J1597" s="33">
        <v>115397</v>
      </c>
      <c r="K1597" s="33" t="s">
        <v>4764</v>
      </c>
      <c r="L1597" s="33" t="s">
        <v>4765</v>
      </c>
      <c r="M1597" s="33" t="s">
        <v>4766</v>
      </c>
      <c r="N1597" s="44" t="s">
        <v>1494</v>
      </c>
      <c r="O1597" s="33" t="s">
        <v>1494</v>
      </c>
      <c r="P1597" s="33" t="s">
        <v>1494</v>
      </c>
      <c r="Q1597" s="34" t="s">
        <v>1494</v>
      </c>
      <c r="R1597" s="34" t="s">
        <v>1494</v>
      </c>
    </row>
    <row r="1598" spans="1:18" ht="15" customHeight="1" x14ac:dyDescent="0.25">
      <c r="A1598" t="str">
        <f>IFERROR(RANK(B1598,$B:$B,1)+COUNTIF($B$1:B1597,B1598),"")</f>
        <v/>
      </c>
      <c r="B1598" t="str">
        <f>IFERROR(SEARCH(#REF!,Table4[[#This Row],[Commodity Title]],1),"")</f>
        <v/>
      </c>
      <c r="C1598" s="35">
        <v>42192701</v>
      </c>
      <c r="D1598" s="33" t="s">
        <v>1495</v>
      </c>
      <c r="E1598" s="33" t="s">
        <v>1496</v>
      </c>
      <c r="F1598" s="33" t="s">
        <v>1497</v>
      </c>
      <c r="G1598" s="33" t="s">
        <v>4408</v>
      </c>
      <c r="H1598" s="33" t="s">
        <v>4409</v>
      </c>
      <c r="I1598" s="33" t="s">
        <v>4410</v>
      </c>
      <c r="J1598" s="33">
        <v>115399</v>
      </c>
      <c r="K1598" s="33" t="s">
        <v>4764</v>
      </c>
      <c r="L1598" s="33" t="s">
        <v>4765</v>
      </c>
      <c r="M1598" s="33" t="s">
        <v>4766</v>
      </c>
      <c r="N1598" s="44">
        <v>42192701</v>
      </c>
      <c r="O1598" s="33" t="s">
        <v>4767</v>
      </c>
      <c r="P1598" s="33" t="s">
        <v>4768</v>
      </c>
      <c r="Q1598" s="34" t="s">
        <v>1494</v>
      </c>
      <c r="R1598" s="34" t="s">
        <v>1494</v>
      </c>
    </row>
    <row r="1599" spans="1:18" ht="15" customHeight="1" x14ac:dyDescent="0.25">
      <c r="A1599" t="str">
        <f>IFERROR(RANK(B1599,$B:$B,1)+COUNTIF($B$1:B1598,B1599),"")</f>
        <v/>
      </c>
      <c r="B1599" t="str">
        <f>IFERROR(SEARCH(#REF!,Table4[[#This Row],[Commodity Title]],1),"")</f>
        <v/>
      </c>
      <c r="C1599" s="35">
        <v>42192702</v>
      </c>
      <c r="D1599" s="33" t="s">
        <v>1495</v>
      </c>
      <c r="E1599" s="33" t="s">
        <v>1496</v>
      </c>
      <c r="F1599" s="33" t="s">
        <v>1497</v>
      </c>
      <c r="G1599" s="33" t="s">
        <v>4408</v>
      </c>
      <c r="H1599" s="33" t="s">
        <v>4409</v>
      </c>
      <c r="I1599" s="33" t="s">
        <v>4410</v>
      </c>
      <c r="J1599" s="33">
        <v>115398</v>
      </c>
      <c r="K1599" s="33" t="s">
        <v>4764</v>
      </c>
      <c r="L1599" s="33" t="s">
        <v>4765</v>
      </c>
      <c r="M1599" s="33" t="s">
        <v>4766</v>
      </c>
      <c r="N1599" s="44">
        <v>42192702</v>
      </c>
      <c r="O1599" s="33" t="s">
        <v>4769</v>
      </c>
      <c r="P1599" s="33" t="s">
        <v>4770</v>
      </c>
      <c r="Q1599" s="34" t="s">
        <v>1494</v>
      </c>
      <c r="R1599" s="34" t="s">
        <v>1494</v>
      </c>
    </row>
    <row r="1600" spans="1:18" ht="15" customHeight="1" x14ac:dyDescent="0.25">
      <c r="A1600" t="str">
        <f>IFERROR(RANK(B1600,$B:$B,1)+COUNTIF($B$1:B1599,B1600),"")</f>
        <v/>
      </c>
      <c r="B1600" t="str">
        <f>IFERROR(SEARCH(#REF!,Table4[[#This Row],[Commodity Title]],1),"")</f>
        <v/>
      </c>
      <c r="C1600" s="35">
        <v>42192703</v>
      </c>
      <c r="D1600" s="33" t="s">
        <v>1495</v>
      </c>
      <c r="E1600" s="33" t="s">
        <v>1496</v>
      </c>
      <c r="F1600" s="33" t="s">
        <v>1497</v>
      </c>
      <c r="G1600" s="33" t="s">
        <v>4408</v>
      </c>
      <c r="H1600" s="33" t="s">
        <v>4409</v>
      </c>
      <c r="I1600" s="33" t="s">
        <v>4410</v>
      </c>
      <c r="J1600" s="33">
        <v>202819</v>
      </c>
      <c r="K1600" s="33" t="s">
        <v>4764</v>
      </c>
      <c r="L1600" s="33" t="s">
        <v>4765</v>
      </c>
      <c r="M1600" s="33" t="s">
        <v>4766</v>
      </c>
      <c r="N1600" s="44">
        <v>42192703</v>
      </c>
      <c r="O1600" s="33" t="s">
        <v>4771</v>
      </c>
      <c r="P1600" s="33" t="s">
        <v>4772</v>
      </c>
      <c r="Q1600" s="34" t="s">
        <v>1494</v>
      </c>
      <c r="R1600" s="34" t="s">
        <v>1494</v>
      </c>
    </row>
    <row r="1601" spans="1:18" ht="15" customHeight="1" x14ac:dyDescent="0.25">
      <c r="A1601" t="str">
        <f>IFERROR(RANK(B1601,$B:$B,1)+COUNTIF($B$1:B1600,B1601),"")</f>
        <v/>
      </c>
      <c r="B1601" t="str">
        <f>IFERROR(SEARCH(#REF!,Table4[[#This Row],[Commodity Title]],1),"")</f>
        <v/>
      </c>
      <c r="C1601" s="35">
        <v>42192704</v>
      </c>
      <c r="D1601" s="33" t="s">
        <v>1495</v>
      </c>
      <c r="E1601" s="33" t="s">
        <v>1496</v>
      </c>
      <c r="F1601" s="33" t="s">
        <v>1497</v>
      </c>
      <c r="G1601" s="33" t="s">
        <v>4408</v>
      </c>
      <c r="H1601" s="33" t="s">
        <v>4409</v>
      </c>
      <c r="I1601" s="33" t="s">
        <v>4410</v>
      </c>
      <c r="J1601" s="33">
        <v>202820</v>
      </c>
      <c r="K1601" s="33" t="s">
        <v>4764</v>
      </c>
      <c r="L1601" s="33" t="s">
        <v>4765</v>
      </c>
      <c r="M1601" s="33" t="s">
        <v>4766</v>
      </c>
      <c r="N1601" s="44">
        <v>42192704</v>
      </c>
      <c r="O1601" s="33" t="s">
        <v>4773</v>
      </c>
      <c r="P1601" s="33" t="s">
        <v>4774</v>
      </c>
      <c r="Q1601" s="34" t="s">
        <v>1494</v>
      </c>
      <c r="R1601" s="34" t="s">
        <v>1494</v>
      </c>
    </row>
    <row r="1602" spans="1:18" ht="15" customHeight="1" x14ac:dyDescent="0.25">
      <c r="A1602" t="str">
        <f>IFERROR(RANK(B1602,$B:$B,1)+COUNTIF($B$1:B1601,B1602),"")</f>
        <v/>
      </c>
      <c r="B1602" t="str">
        <f>IFERROR(SEARCH(#REF!,Table4[[#This Row],[Commodity Title]],1),"")</f>
        <v/>
      </c>
      <c r="C1602" s="35">
        <v>42192705</v>
      </c>
      <c r="D1602" s="33" t="s">
        <v>1495</v>
      </c>
      <c r="E1602" s="33" t="s">
        <v>1496</v>
      </c>
      <c r="F1602" s="33" t="s">
        <v>1497</v>
      </c>
      <c r="G1602" s="33" t="s">
        <v>4408</v>
      </c>
      <c r="H1602" s="33" t="s">
        <v>4409</v>
      </c>
      <c r="I1602" s="33" t="s">
        <v>4410</v>
      </c>
      <c r="J1602" s="33">
        <v>202821</v>
      </c>
      <c r="K1602" s="33" t="s">
        <v>4764</v>
      </c>
      <c r="L1602" s="33" t="s">
        <v>4765</v>
      </c>
      <c r="M1602" s="33" t="s">
        <v>4766</v>
      </c>
      <c r="N1602" s="44">
        <v>42192705</v>
      </c>
      <c r="O1602" s="33" t="s">
        <v>4775</v>
      </c>
      <c r="P1602" s="33" t="s">
        <v>4776</v>
      </c>
      <c r="Q1602" s="34" t="s">
        <v>1494</v>
      </c>
      <c r="R1602" s="34" t="s">
        <v>1494</v>
      </c>
    </row>
    <row r="1603" spans="1:18" ht="15" customHeight="1" x14ac:dyDescent="0.25">
      <c r="A1603" t="str">
        <f>IFERROR(RANK(B1603,$B:$B,1)+COUNTIF($B$1:B1602,B1603),"")</f>
        <v/>
      </c>
      <c r="B1603" t="str">
        <f>IFERROR(SEARCH(#REF!,Table4[[#This Row],[Commodity Title]],1),"")</f>
        <v/>
      </c>
      <c r="C1603" s="35">
        <v>42192706</v>
      </c>
      <c r="D1603" s="33" t="s">
        <v>1495</v>
      </c>
      <c r="E1603" s="33" t="s">
        <v>1496</v>
      </c>
      <c r="F1603" s="33" t="s">
        <v>1497</v>
      </c>
      <c r="G1603" s="33" t="s">
        <v>4408</v>
      </c>
      <c r="H1603" s="33" t="s">
        <v>4409</v>
      </c>
      <c r="I1603" s="33" t="s">
        <v>4410</v>
      </c>
      <c r="J1603" s="33">
        <v>115401</v>
      </c>
      <c r="K1603" s="33" t="s">
        <v>4764</v>
      </c>
      <c r="L1603" s="33" t="s">
        <v>4765</v>
      </c>
      <c r="M1603" s="33" t="s">
        <v>4766</v>
      </c>
      <c r="N1603" s="44">
        <v>42192706</v>
      </c>
      <c r="O1603" s="33" t="s">
        <v>4777</v>
      </c>
      <c r="P1603" s="33" t="s">
        <v>4778</v>
      </c>
      <c r="Q1603" s="34" t="s">
        <v>1494</v>
      </c>
      <c r="R1603" s="34" t="s">
        <v>1494</v>
      </c>
    </row>
    <row r="1604" spans="1:18" ht="15" customHeight="1" x14ac:dyDescent="0.25">
      <c r="A1604" t="str">
        <f>IFERROR(RANK(B1604,$B:$B,1)+COUNTIF($B$1:B1603,B1604),"")</f>
        <v/>
      </c>
      <c r="B1604" t="str">
        <f>IFERROR(SEARCH(#REF!,Table4[[#This Row],[Commodity Title]],1),"")</f>
        <v/>
      </c>
      <c r="C1604" s="35">
        <v>42192707</v>
      </c>
      <c r="D1604" s="33" t="s">
        <v>1495</v>
      </c>
      <c r="E1604" s="33" t="s">
        <v>1496</v>
      </c>
      <c r="F1604" s="33" t="s">
        <v>1497</v>
      </c>
      <c r="G1604" s="33" t="s">
        <v>4408</v>
      </c>
      <c r="H1604" s="33" t="s">
        <v>4409</v>
      </c>
      <c r="I1604" s="33" t="s">
        <v>4410</v>
      </c>
      <c r="J1604" s="33">
        <v>115400</v>
      </c>
      <c r="K1604" s="33" t="s">
        <v>4764</v>
      </c>
      <c r="L1604" s="33" t="s">
        <v>4765</v>
      </c>
      <c r="M1604" s="33" t="s">
        <v>4766</v>
      </c>
      <c r="N1604" s="44">
        <v>42192707</v>
      </c>
      <c r="O1604" s="33" t="s">
        <v>4779</v>
      </c>
      <c r="P1604" s="33" t="s">
        <v>4780</v>
      </c>
      <c r="Q1604" s="34" t="s">
        <v>1494</v>
      </c>
      <c r="R1604" s="34" t="s">
        <v>1494</v>
      </c>
    </row>
    <row r="1605" spans="1:18" ht="15" customHeight="1" x14ac:dyDescent="0.25">
      <c r="A1605" t="str">
        <f>IFERROR(RANK(B1605,$B:$B,1)+COUNTIF($B$1:B1604,B1605),"")</f>
        <v/>
      </c>
      <c r="B1605" t="str">
        <f>IFERROR(SEARCH(#REF!,Table4[[#This Row],[Commodity Title]],1),"")</f>
        <v/>
      </c>
      <c r="C1605" s="33" t="s">
        <v>1494</v>
      </c>
      <c r="D1605" s="33" t="s">
        <v>1495</v>
      </c>
      <c r="E1605" s="33" t="s">
        <v>1496</v>
      </c>
      <c r="F1605" s="33" t="s">
        <v>1497</v>
      </c>
      <c r="G1605" s="33" t="s">
        <v>4781</v>
      </c>
      <c r="H1605" s="33" t="s">
        <v>4782</v>
      </c>
      <c r="I1605" s="33" t="s">
        <v>4783</v>
      </c>
      <c r="J1605" s="33">
        <v>115504</v>
      </c>
      <c r="K1605" s="33" t="s">
        <v>1494</v>
      </c>
      <c r="L1605" s="33" t="s">
        <v>1494</v>
      </c>
      <c r="M1605" s="33" t="s">
        <v>1494</v>
      </c>
      <c r="N1605" s="44" t="s">
        <v>1494</v>
      </c>
      <c r="O1605" s="33" t="s">
        <v>1494</v>
      </c>
      <c r="P1605" s="33" t="s">
        <v>1494</v>
      </c>
      <c r="Q1605" s="34" t="s">
        <v>1494</v>
      </c>
      <c r="R1605" s="34" t="s">
        <v>1494</v>
      </c>
    </row>
    <row r="1606" spans="1:18" ht="15" customHeight="1" x14ac:dyDescent="0.25">
      <c r="A1606" t="str">
        <f>IFERROR(RANK(B1606,$B:$B,1)+COUNTIF($B$1:B1605,B1606),"")</f>
        <v/>
      </c>
      <c r="B1606" t="str">
        <f>IFERROR(SEARCH(#REF!,Table4[[#This Row],[Commodity Title]],1),"")</f>
        <v/>
      </c>
      <c r="C1606" s="33" t="s">
        <v>1494</v>
      </c>
      <c r="D1606" s="33" t="s">
        <v>1495</v>
      </c>
      <c r="E1606" s="33" t="s">
        <v>1496</v>
      </c>
      <c r="F1606" s="33" t="s">
        <v>1497</v>
      </c>
      <c r="G1606" s="33" t="s">
        <v>4781</v>
      </c>
      <c r="H1606" s="33" t="s">
        <v>4782</v>
      </c>
      <c r="I1606" s="33" t="s">
        <v>4783</v>
      </c>
      <c r="J1606" s="33">
        <v>104321</v>
      </c>
      <c r="K1606" s="33" t="s">
        <v>4784</v>
      </c>
      <c r="L1606" s="33" t="s">
        <v>4785</v>
      </c>
      <c r="M1606" s="33" t="s">
        <v>4786</v>
      </c>
      <c r="N1606" s="44" t="s">
        <v>1494</v>
      </c>
      <c r="O1606" s="33" t="s">
        <v>1494</v>
      </c>
      <c r="P1606" s="33" t="s">
        <v>1494</v>
      </c>
      <c r="Q1606" s="34" t="s">
        <v>1494</v>
      </c>
      <c r="R1606" s="34" t="s">
        <v>1494</v>
      </c>
    </row>
    <row r="1607" spans="1:18" ht="15" customHeight="1" x14ac:dyDescent="0.25">
      <c r="A1607" t="str">
        <f>IFERROR(RANK(B1607,$B:$B,1)+COUNTIF($B$1:B1606,B1607),"")</f>
        <v/>
      </c>
      <c r="B1607" t="str">
        <f>IFERROR(SEARCH(#REF!,Table4[[#This Row],[Commodity Title]],1),"")</f>
        <v/>
      </c>
      <c r="C1607" s="35">
        <v>42201501</v>
      </c>
      <c r="D1607" s="33" t="s">
        <v>1495</v>
      </c>
      <c r="E1607" s="33" t="s">
        <v>1496</v>
      </c>
      <c r="F1607" s="33" t="s">
        <v>1497</v>
      </c>
      <c r="G1607" s="33" t="s">
        <v>4781</v>
      </c>
      <c r="H1607" s="33" t="s">
        <v>4782</v>
      </c>
      <c r="I1607" s="33" t="s">
        <v>4783</v>
      </c>
      <c r="J1607" s="33">
        <v>115506</v>
      </c>
      <c r="K1607" s="33" t="s">
        <v>4784</v>
      </c>
      <c r="L1607" s="33" t="s">
        <v>4785</v>
      </c>
      <c r="M1607" s="33" t="s">
        <v>4786</v>
      </c>
      <c r="N1607" s="44">
        <v>42201501</v>
      </c>
      <c r="O1607" s="33" t="s">
        <v>4787</v>
      </c>
      <c r="P1607" s="33" t="s">
        <v>4788</v>
      </c>
      <c r="Q1607" s="34" t="s">
        <v>1494</v>
      </c>
      <c r="R1607" s="34" t="s">
        <v>1494</v>
      </c>
    </row>
    <row r="1608" spans="1:18" ht="15" customHeight="1" x14ac:dyDescent="0.25">
      <c r="A1608" t="str">
        <f>IFERROR(RANK(B1608,$B:$B,1)+COUNTIF($B$1:B1607,B1608),"")</f>
        <v/>
      </c>
      <c r="B1608" t="str">
        <f>IFERROR(SEARCH(#REF!,Table4[[#This Row],[Commodity Title]],1),"")</f>
        <v/>
      </c>
      <c r="C1608" s="35">
        <v>42201502</v>
      </c>
      <c r="D1608" s="33" t="s">
        <v>1495</v>
      </c>
      <c r="E1608" s="33" t="s">
        <v>1496</v>
      </c>
      <c r="F1608" s="33" t="s">
        <v>1497</v>
      </c>
      <c r="G1608" s="33" t="s">
        <v>4781</v>
      </c>
      <c r="H1608" s="33" t="s">
        <v>4782</v>
      </c>
      <c r="I1608" s="33" t="s">
        <v>4783</v>
      </c>
      <c r="J1608" s="33">
        <v>115507</v>
      </c>
      <c r="K1608" s="33" t="s">
        <v>4784</v>
      </c>
      <c r="L1608" s="33" t="s">
        <v>4785</v>
      </c>
      <c r="M1608" s="33" t="s">
        <v>4786</v>
      </c>
      <c r="N1608" s="44">
        <v>42201502</v>
      </c>
      <c r="O1608" s="33" t="s">
        <v>4789</v>
      </c>
      <c r="P1608" s="33" t="s">
        <v>4790</v>
      </c>
      <c r="Q1608" s="34" t="s">
        <v>1494</v>
      </c>
      <c r="R1608" s="34" t="s">
        <v>1494</v>
      </c>
    </row>
    <row r="1609" spans="1:18" ht="15" customHeight="1" x14ac:dyDescent="0.25">
      <c r="A1609" t="str">
        <f>IFERROR(RANK(B1609,$B:$B,1)+COUNTIF($B$1:B1608,B1609),"")</f>
        <v/>
      </c>
      <c r="B1609" t="str">
        <f>IFERROR(SEARCH(#REF!,Table4[[#This Row],[Commodity Title]],1),"")</f>
        <v/>
      </c>
      <c r="C1609" s="35">
        <v>42201503</v>
      </c>
      <c r="D1609" s="33" t="s">
        <v>1495</v>
      </c>
      <c r="E1609" s="33" t="s">
        <v>1496</v>
      </c>
      <c r="F1609" s="33" t="s">
        <v>1497</v>
      </c>
      <c r="G1609" s="33" t="s">
        <v>4781</v>
      </c>
      <c r="H1609" s="33" t="s">
        <v>4782</v>
      </c>
      <c r="I1609" s="33" t="s">
        <v>4783</v>
      </c>
      <c r="J1609" s="33">
        <v>115508</v>
      </c>
      <c r="K1609" s="33" t="s">
        <v>4784</v>
      </c>
      <c r="L1609" s="33" t="s">
        <v>4785</v>
      </c>
      <c r="M1609" s="33" t="s">
        <v>4786</v>
      </c>
      <c r="N1609" s="44">
        <v>42201503</v>
      </c>
      <c r="O1609" s="33" t="s">
        <v>4791</v>
      </c>
      <c r="P1609" s="33" t="s">
        <v>4792</v>
      </c>
      <c r="Q1609" s="34" t="s">
        <v>1494</v>
      </c>
      <c r="R1609" s="34" t="s">
        <v>1494</v>
      </c>
    </row>
    <row r="1610" spans="1:18" ht="15" customHeight="1" x14ac:dyDescent="0.25">
      <c r="A1610" t="str">
        <f>IFERROR(RANK(B1610,$B:$B,1)+COUNTIF($B$1:B1609,B1610),"")</f>
        <v/>
      </c>
      <c r="B1610" t="str">
        <f>IFERROR(SEARCH(#REF!,Table4[[#This Row],[Commodity Title]],1),"")</f>
        <v/>
      </c>
      <c r="C1610" s="35">
        <v>42201504</v>
      </c>
      <c r="D1610" s="33" t="s">
        <v>1495</v>
      </c>
      <c r="E1610" s="33" t="s">
        <v>1496</v>
      </c>
      <c r="F1610" s="33" t="s">
        <v>1497</v>
      </c>
      <c r="G1610" s="33" t="s">
        <v>4781</v>
      </c>
      <c r="H1610" s="33" t="s">
        <v>4782</v>
      </c>
      <c r="I1610" s="33" t="s">
        <v>4783</v>
      </c>
      <c r="J1610" s="33">
        <v>115509</v>
      </c>
      <c r="K1610" s="33" t="s">
        <v>4784</v>
      </c>
      <c r="L1610" s="33" t="s">
        <v>4785</v>
      </c>
      <c r="M1610" s="33" t="s">
        <v>4786</v>
      </c>
      <c r="N1610" s="44">
        <v>42201504</v>
      </c>
      <c r="O1610" s="33" t="s">
        <v>4793</v>
      </c>
      <c r="P1610" s="33" t="s">
        <v>4794</v>
      </c>
      <c r="Q1610" s="34" t="s">
        <v>1494</v>
      </c>
      <c r="R1610" s="34" t="s">
        <v>1494</v>
      </c>
    </row>
    <row r="1611" spans="1:18" ht="15" customHeight="1" x14ac:dyDescent="0.25">
      <c r="A1611" t="str">
        <f>IFERROR(RANK(B1611,$B:$B,1)+COUNTIF($B$1:B1610,B1611),"")</f>
        <v/>
      </c>
      <c r="B1611" t="str">
        <f>IFERROR(SEARCH(#REF!,Table4[[#This Row],[Commodity Title]],1),"")</f>
        <v/>
      </c>
      <c r="C1611" s="35">
        <v>42201505</v>
      </c>
      <c r="D1611" s="33" t="s">
        <v>1495</v>
      </c>
      <c r="E1611" s="33" t="s">
        <v>1496</v>
      </c>
      <c r="F1611" s="33" t="s">
        <v>1497</v>
      </c>
      <c r="G1611" s="33" t="s">
        <v>4781</v>
      </c>
      <c r="H1611" s="33" t="s">
        <v>4782</v>
      </c>
      <c r="I1611" s="33" t="s">
        <v>4783</v>
      </c>
      <c r="J1611" s="33">
        <v>115510</v>
      </c>
      <c r="K1611" s="33" t="s">
        <v>4784</v>
      </c>
      <c r="L1611" s="33" t="s">
        <v>4785</v>
      </c>
      <c r="M1611" s="33" t="s">
        <v>4786</v>
      </c>
      <c r="N1611" s="44">
        <v>42201505</v>
      </c>
      <c r="O1611" s="33" t="s">
        <v>4795</v>
      </c>
      <c r="P1611" s="33" t="s">
        <v>4796</v>
      </c>
      <c r="Q1611" s="34" t="s">
        <v>1494</v>
      </c>
      <c r="R1611" s="34" t="s">
        <v>1494</v>
      </c>
    </row>
    <row r="1612" spans="1:18" ht="15" customHeight="1" x14ac:dyDescent="0.25">
      <c r="A1612" t="str">
        <f>IFERROR(RANK(B1612,$B:$B,1)+COUNTIF($B$1:B1611,B1612),"")</f>
        <v/>
      </c>
      <c r="B1612" t="str">
        <f>IFERROR(SEARCH(#REF!,Table4[[#This Row],[Commodity Title]],1),"")</f>
        <v/>
      </c>
      <c r="C1612" s="35">
        <v>42201507</v>
      </c>
      <c r="D1612" s="33" t="s">
        <v>1495</v>
      </c>
      <c r="E1612" s="33" t="s">
        <v>1496</v>
      </c>
      <c r="F1612" s="33" t="s">
        <v>1497</v>
      </c>
      <c r="G1612" s="33" t="s">
        <v>4781</v>
      </c>
      <c r="H1612" s="33" t="s">
        <v>4782</v>
      </c>
      <c r="I1612" s="33" t="s">
        <v>4783</v>
      </c>
      <c r="J1612" s="33">
        <v>115512</v>
      </c>
      <c r="K1612" s="33" t="s">
        <v>4784</v>
      </c>
      <c r="L1612" s="33" t="s">
        <v>4785</v>
      </c>
      <c r="M1612" s="33" t="s">
        <v>4786</v>
      </c>
      <c r="N1612" s="44">
        <v>42201507</v>
      </c>
      <c r="O1612" s="33" t="s">
        <v>4797</v>
      </c>
      <c r="P1612" s="33" t="s">
        <v>4798</v>
      </c>
      <c r="Q1612" s="34" t="s">
        <v>1494</v>
      </c>
      <c r="R1612" s="34" t="s">
        <v>1494</v>
      </c>
    </row>
    <row r="1613" spans="1:18" ht="15" customHeight="1" x14ac:dyDescent="0.25">
      <c r="A1613" t="str">
        <f>IFERROR(RANK(B1613,$B:$B,1)+COUNTIF($B$1:B1612,B1613),"")</f>
        <v/>
      </c>
      <c r="B1613" t="str">
        <f>IFERROR(SEARCH(#REF!,Table4[[#This Row],[Commodity Title]],1),"")</f>
        <v/>
      </c>
      <c r="C1613" s="35">
        <v>42201508</v>
      </c>
      <c r="D1613" s="33" t="s">
        <v>1495</v>
      </c>
      <c r="E1613" s="33" t="s">
        <v>1496</v>
      </c>
      <c r="F1613" s="33" t="s">
        <v>1497</v>
      </c>
      <c r="G1613" s="33" t="s">
        <v>4781</v>
      </c>
      <c r="H1613" s="33" t="s">
        <v>4782</v>
      </c>
      <c r="I1613" s="33" t="s">
        <v>4783</v>
      </c>
      <c r="J1613" s="33">
        <v>115513</v>
      </c>
      <c r="K1613" s="33" t="s">
        <v>4784</v>
      </c>
      <c r="L1613" s="33" t="s">
        <v>4785</v>
      </c>
      <c r="M1613" s="33" t="s">
        <v>4786</v>
      </c>
      <c r="N1613" s="44">
        <v>42201508</v>
      </c>
      <c r="O1613" s="33" t="s">
        <v>4799</v>
      </c>
      <c r="P1613" s="33" t="s">
        <v>4800</v>
      </c>
      <c r="Q1613" s="34" t="s">
        <v>1494</v>
      </c>
      <c r="R1613" s="34" t="s">
        <v>1494</v>
      </c>
    </row>
    <row r="1614" spans="1:18" ht="15" customHeight="1" x14ac:dyDescent="0.25">
      <c r="A1614" t="str">
        <f>IFERROR(RANK(B1614,$B:$B,1)+COUNTIF($B$1:B1613,B1614),"")</f>
        <v/>
      </c>
      <c r="B1614" t="str">
        <f>IFERROR(SEARCH(#REF!,Table4[[#This Row],[Commodity Title]],1),"")</f>
        <v/>
      </c>
      <c r="C1614" s="35">
        <v>42201509</v>
      </c>
      <c r="D1614" s="33" t="s">
        <v>1495</v>
      </c>
      <c r="E1614" s="33" t="s">
        <v>1496</v>
      </c>
      <c r="F1614" s="33" t="s">
        <v>1497</v>
      </c>
      <c r="G1614" s="33" t="s">
        <v>4781</v>
      </c>
      <c r="H1614" s="33" t="s">
        <v>4782</v>
      </c>
      <c r="I1614" s="33" t="s">
        <v>4783</v>
      </c>
      <c r="J1614" s="33">
        <v>115514</v>
      </c>
      <c r="K1614" s="33" t="s">
        <v>4784</v>
      </c>
      <c r="L1614" s="33" t="s">
        <v>4785</v>
      </c>
      <c r="M1614" s="33" t="s">
        <v>4786</v>
      </c>
      <c r="N1614" s="44">
        <v>42201509</v>
      </c>
      <c r="O1614" s="33" t="s">
        <v>4801</v>
      </c>
      <c r="P1614" s="33" t="s">
        <v>4802</v>
      </c>
      <c r="Q1614" s="34" t="s">
        <v>1494</v>
      </c>
      <c r="R1614" s="34" t="s">
        <v>1494</v>
      </c>
    </row>
    <row r="1615" spans="1:18" ht="15" customHeight="1" x14ac:dyDescent="0.25">
      <c r="A1615" t="str">
        <f>IFERROR(RANK(B1615,$B:$B,1)+COUNTIF($B$1:B1614,B1615),"")</f>
        <v/>
      </c>
      <c r="B1615" t="str">
        <f>IFERROR(SEARCH(#REF!,Table4[[#This Row],[Commodity Title]],1),"")</f>
        <v/>
      </c>
      <c r="C1615" s="35">
        <v>42201510</v>
      </c>
      <c r="D1615" s="33" t="s">
        <v>1495</v>
      </c>
      <c r="E1615" s="33" t="s">
        <v>1496</v>
      </c>
      <c r="F1615" s="33" t="s">
        <v>1497</v>
      </c>
      <c r="G1615" s="33" t="s">
        <v>4781</v>
      </c>
      <c r="H1615" s="33" t="s">
        <v>4782</v>
      </c>
      <c r="I1615" s="33" t="s">
        <v>4783</v>
      </c>
      <c r="J1615" s="33">
        <v>115515</v>
      </c>
      <c r="K1615" s="33" t="s">
        <v>4784</v>
      </c>
      <c r="L1615" s="33" t="s">
        <v>4785</v>
      </c>
      <c r="M1615" s="33" t="s">
        <v>4786</v>
      </c>
      <c r="N1615" s="44">
        <v>42201510</v>
      </c>
      <c r="O1615" s="33" t="s">
        <v>4803</v>
      </c>
      <c r="P1615" s="33" t="s">
        <v>4804</v>
      </c>
      <c r="Q1615" s="34" t="s">
        <v>1494</v>
      </c>
      <c r="R1615" s="34" t="s">
        <v>1494</v>
      </c>
    </row>
    <row r="1616" spans="1:18" ht="15" customHeight="1" x14ac:dyDescent="0.25">
      <c r="A1616" t="str">
        <f>IFERROR(RANK(B1616,$B:$B,1)+COUNTIF($B$1:B1615,B1616),"")</f>
        <v/>
      </c>
      <c r="B1616" t="str">
        <f>IFERROR(SEARCH(#REF!,Table4[[#This Row],[Commodity Title]],1),"")</f>
        <v/>
      </c>
      <c r="C1616" s="35">
        <v>42201511</v>
      </c>
      <c r="D1616" s="33" t="s">
        <v>1495</v>
      </c>
      <c r="E1616" s="33" t="s">
        <v>1496</v>
      </c>
      <c r="F1616" s="33" t="s">
        <v>1497</v>
      </c>
      <c r="G1616" s="33" t="s">
        <v>4781</v>
      </c>
      <c r="H1616" s="33" t="s">
        <v>4782</v>
      </c>
      <c r="I1616" s="33" t="s">
        <v>4783</v>
      </c>
      <c r="J1616" s="33">
        <v>115516</v>
      </c>
      <c r="K1616" s="33" t="s">
        <v>4784</v>
      </c>
      <c r="L1616" s="33" t="s">
        <v>4785</v>
      </c>
      <c r="M1616" s="33" t="s">
        <v>4786</v>
      </c>
      <c r="N1616" s="44">
        <v>42201511</v>
      </c>
      <c r="O1616" s="33" t="s">
        <v>4805</v>
      </c>
      <c r="P1616" s="33" t="s">
        <v>4806</v>
      </c>
      <c r="Q1616" s="34" t="s">
        <v>1494</v>
      </c>
      <c r="R1616" s="34" t="s">
        <v>1494</v>
      </c>
    </row>
    <row r="1617" spans="1:18" ht="15" customHeight="1" x14ac:dyDescent="0.25">
      <c r="A1617" t="str">
        <f>IFERROR(RANK(B1617,$B:$B,1)+COUNTIF($B$1:B1616,B1617),"")</f>
        <v/>
      </c>
      <c r="B1617" t="str">
        <f>IFERROR(SEARCH(#REF!,Table4[[#This Row],[Commodity Title]],1),"")</f>
        <v/>
      </c>
      <c r="C1617" s="35">
        <v>42201512</v>
      </c>
      <c r="D1617" s="33" t="s">
        <v>1495</v>
      </c>
      <c r="E1617" s="33" t="s">
        <v>1496</v>
      </c>
      <c r="F1617" s="33" t="s">
        <v>1497</v>
      </c>
      <c r="G1617" s="33" t="s">
        <v>4781</v>
      </c>
      <c r="H1617" s="33" t="s">
        <v>4782</v>
      </c>
      <c r="I1617" s="33" t="s">
        <v>4783</v>
      </c>
      <c r="J1617" s="33">
        <v>115517</v>
      </c>
      <c r="K1617" s="33" t="s">
        <v>4784</v>
      </c>
      <c r="L1617" s="33" t="s">
        <v>4785</v>
      </c>
      <c r="M1617" s="33" t="s">
        <v>4786</v>
      </c>
      <c r="N1617" s="44">
        <v>42201512</v>
      </c>
      <c r="O1617" s="33" t="s">
        <v>4807</v>
      </c>
      <c r="P1617" s="33" t="s">
        <v>4808</v>
      </c>
      <c r="Q1617" s="34" t="s">
        <v>1494</v>
      </c>
      <c r="R1617" s="34" t="s">
        <v>1494</v>
      </c>
    </row>
    <row r="1618" spans="1:18" ht="15" customHeight="1" x14ac:dyDescent="0.25">
      <c r="A1618" t="str">
        <f>IFERROR(RANK(B1618,$B:$B,1)+COUNTIF($B$1:B1617,B1618),"")</f>
        <v/>
      </c>
      <c r="B1618" t="str">
        <f>IFERROR(SEARCH(#REF!,Table4[[#This Row],[Commodity Title]],1),"")</f>
        <v/>
      </c>
      <c r="C1618" s="35">
        <v>42201513</v>
      </c>
      <c r="D1618" s="33" t="s">
        <v>1495</v>
      </c>
      <c r="E1618" s="33" t="s">
        <v>1496</v>
      </c>
      <c r="F1618" s="33" t="s">
        <v>1497</v>
      </c>
      <c r="G1618" s="33" t="s">
        <v>4781</v>
      </c>
      <c r="H1618" s="33" t="s">
        <v>4782</v>
      </c>
      <c r="I1618" s="33" t="s">
        <v>4783</v>
      </c>
      <c r="J1618" s="33">
        <v>115518</v>
      </c>
      <c r="K1618" s="33" t="s">
        <v>4784</v>
      </c>
      <c r="L1618" s="33" t="s">
        <v>4785</v>
      </c>
      <c r="M1618" s="33" t="s">
        <v>4786</v>
      </c>
      <c r="N1618" s="44">
        <v>42201513</v>
      </c>
      <c r="O1618" s="33" t="s">
        <v>4809</v>
      </c>
      <c r="P1618" s="33" t="s">
        <v>4810</v>
      </c>
      <c r="Q1618" s="34" t="s">
        <v>1494</v>
      </c>
      <c r="R1618" s="34" t="s">
        <v>1494</v>
      </c>
    </row>
    <row r="1619" spans="1:18" ht="15" customHeight="1" x14ac:dyDescent="0.25">
      <c r="A1619" t="str">
        <f>IFERROR(RANK(B1619,$B:$B,1)+COUNTIF($B$1:B1618,B1619),"")</f>
        <v/>
      </c>
      <c r="B1619" t="str">
        <f>IFERROR(SEARCH(#REF!,Table4[[#This Row],[Commodity Title]],1),"")</f>
        <v/>
      </c>
      <c r="C1619" s="35">
        <v>42201514</v>
      </c>
      <c r="D1619" s="33" t="s">
        <v>1495</v>
      </c>
      <c r="E1619" s="33" t="s">
        <v>1496</v>
      </c>
      <c r="F1619" s="33" t="s">
        <v>1497</v>
      </c>
      <c r="G1619" s="33" t="s">
        <v>4781</v>
      </c>
      <c r="H1619" s="33" t="s">
        <v>4782</v>
      </c>
      <c r="I1619" s="33" t="s">
        <v>4783</v>
      </c>
      <c r="J1619" s="33">
        <v>202822</v>
      </c>
      <c r="K1619" s="33" t="s">
        <v>4784</v>
      </c>
      <c r="L1619" s="33" t="s">
        <v>4785</v>
      </c>
      <c r="M1619" s="33" t="s">
        <v>4786</v>
      </c>
      <c r="N1619" s="44">
        <v>42201514</v>
      </c>
      <c r="O1619" s="33" t="s">
        <v>4811</v>
      </c>
      <c r="P1619" s="33" t="s">
        <v>4812</v>
      </c>
      <c r="Q1619" s="34" t="s">
        <v>1494</v>
      </c>
      <c r="R1619" s="34" t="s">
        <v>1494</v>
      </c>
    </row>
    <row r="1620" spans="1:18" ht="15" customHeight="1" x14ac:dyDescent="0.25">
      <c r="A1620" t="str">
        <f>IFERROR(RANK(B1620,$B:$B,1)+COUNTIF($B$1:B1619,B1620),"")</f>
        <v/>
      </c>
      <c r="B1620" t="str">
        <f>IFERROR(SEARCH(#REF!,Table4[[#This Row],[Commodity Title]],1),"")</f>
        <v/>
      </c>
      <c r="C1620" s="35">
        <v>42201515</v>
      </c>
      <c r="D1620" s="33" t="s">
        <v>1495</v>
      </c>
      <c r="E1620" s="33" t="s">
        <v>1496</v>
      </c>
      <c r="F1620" s="33" t="s">
        <v>1497</v>
      </c>
      <c r="G1620" s="33" t="s">
        <v>4781</v>
      </c>
      <c r="H1620" s="33" t="s">
        <v>4782</v>
      </c>
      <c r="I1620" s="33" t="s">
        <v>4783</v>
      </c>
      <c r="J1620" s="33">
        <v>202823</v>
      </c>
      <c r="K1620" s="33" t="s">
        <v>4784</v>
      </c>
      <c r="L1620" s="33" t="s">
        <v>4785</v>
      </c>
      <c r="M1620" s="33" t="s">
        <v>4786</v>
      </c>
      <c r="N1620" s="44">
        <v>42201515</v>
      </c>
      <c r="O1620" s="33" t="s">
        <v>4813</v>
      </c>
      <c r="P1620" s="33" t="s">
        <v>4814</v>
      </c>
      <c r="Q1620" s="34" t="s">
        <v>1494</v>
      </c>
      <c r="R1620" s="34" t="s">
        <v>1494</v>
      </c>
    </row>
    <row r="1621" spans="1:18" ht="15" customHeight="1" x14ac:dyDescent="0.25">
      <c r="A1621" t="str">
        <f>IFERROR(RANK(B1621,$B:$B,1)+COUNTIF($B$1:B1620,B1621),"")</f>
        <v/>
      </c>
      <c r="B1621" t="str">
        <f>IFERROR(SEARCH(#REF!,Table4[[#This Row],[Commodity Title]],1),"")</f>
        <v/>
      </c>
      <c r="C1621" s="33" t="s">
        <v>1494</v>
      </c>
      <c r="D1621" s="33" t="s">
        <v>1495</v>
      </c>
      <c r="E1621" s="33" t="s">
        <v>1496</v>
      </c>
      <c r="F1621" s="33" t="s">
        <v>1497</v>
      </c>
      <c r="G1621" s="33" t="s">
        <v>4781</v>
      </c>
      <c r="H1621" s="33" t="s">
        <v>4782</v>
      </c>
      <c r="I1621" s="33" t="s">
        <v>4783</v>
      </c>
      <c r="J1621" s="33">
        <v>115519</v>
      </c>
      <c r="K1621" s="33" t="s">
        <v>4815</v>
      </c>
      <c r="L1621" s="33" t="s">
        <v>4816</v>
      </c>
      <c r="M1621" s="33" t="s">
        <v>4817</v>
      </c>
      <c r="N1621" s="44" t="s">
        <v>1494</v>
      </c>
      <c r="O1621" s="33" t="s">
        <v>1494</v>
      </c>
      <c r="P1621" s="33" t="s">
        <v>1494</v>
      </c>
      <c r="Q1621" s="34" t="s">
        <v>1494</v>
      </c>
      <c r="R1621" s="34" t="s">
        <v>1494</v>
      </c>
    </row>
    <row r="1622" spans="1:18" ht="15" customHeight="1" x14ac:dyDescent="0.25">
      <c r="A1622" t="str">
        <f>IFERROR(RANK(B1622,$B:$B,1)+COUNTIF($B$1:B1621,B1622),"")</f>
        <v/>
      </c>
      <c r="B1622" t="str">
        <f>IFERROR(SEARCH(#REF!,Table4[[#This Row],[Commodity Title]],1),"")</f>
        <v/>
      </c>
      <c r="C1622" s="35">
        <v>42201601</v>
      </c>
      <c r="D1622" s="33" t="s">
        <v>1495</v>
      </c>
      <c r="E1622" s="33" t="s">
        <v>1496</v>
      </c>
      <c r="F1622" s="33" t="s">
        <v>1497</v>
      </c>
      <c r="G1622" s="33" t="s">
        <v>4781</v>
      </c>
      <c r="H1622" s="33" t="s">
        <v>4782</v>
      </c>
      <c r="I1622" s="33" t="s">
        <v>4783</v>
      </c>
      <c r="J1622" s="33">
        <v>115520</v>
      </c>
      <c r="K1622" s="33" t="s">
        <v>4815</v>
      </c>
      <c r="L1622" s="33" t="s">
        <v>4816</v>
      </c>
      <c r="M1622" s="33" t="s">
        <v>4817</v>
      </c>
      <c r="N1622" s="44">
        <v>42201601</v>
      </c>
      <c r="O1622" s="33" t="s">
        <v>4818</v>
      </c>
      <c r="P1622" s="33" t="s">
        <v>4819</v>
      </c>
      <c r="Q1622" s="34" t="s">
        <v>1494</v>
      </c>
      <c r="R1622" s="34" t="s">
        <v>1494</v>
      </c>
    </row>
    <row r="1623" spans="1:18" ht="15" customHeight="1" x14ac:dyDescent="0.25">
      <c r="A1623" t="str">
        <f>IFERROR(RANK(B1623,$B:$B,1)+COUNTIF($B$1:B1622,B1623),"")</f>
        <v/>
      </c>
      <c r="B1623" t="str">
        <f>IFERROR(SEARCH(#REF!,Table4[[#This Row],[Commodity Title]],1),"")</f>
        <v/>
      </c>
      <c r="C1623" s="35">
        <v>42201602</v>
      </c>
      <c r="D1623" s="33" t="s">
        <v>1495</v>
      </c>
      <c r="E1623" s="33" t="s">
        <v>1496</v>
      </c>
      <c r="F1623" s="33" t="s">
        <v>1497</v>
      </c>
      <c r="G1623" s="33" t="s">
        <v>4781</v>
      </c>
      <c r="H1623" s="33" t="s">
        <v>4782</v>
      </c>
      <c r="I1623" s="33" t="s">
        <v>4783</v>
      </c>
      <c r="J1623" s="33">
        <v>115521</v>
      </c>
      <c r="K1623" s="33" t="s">
        <v>4815</v>
      </c>
      <c r="L1623" s="33" t="s">
        <v>4816</v>
      </c>
      <c r="M1623" s="33" t="s">
        <v>4817</v>
      </c>
      <c r="N1623" s="44">
        <v>42201602</v>
      </c>
      <c r="O1623" s="33" t="s">
        <v>4820</v>
      </c>
      <c r="P1623" s="33" t="s">
        <v>4821</v>
      </c>
      <c r="Q1623" s="34" t="s">
        <v>1494</v>
      </c>
      <c r="R1623" s="34" t="s">
        <v>1494</v>
      </c>
    </row>
    <row r="1624" spans="1:18" ht="15" customHeight="1" x14ac:dyDescent="0.25">
      <c r="A1624" t="str">
        <f>IFERROR(RANK(B1624,$B:$B,1)+COUNTIF($B$1:B1623,B1624),"")</f>
        <v/>
      </c>
      <c r="B1624" t="str">
        <f>IFERROR(SEARCH(#REF!,Table4[[#This Row],[Commodity Title]],1),"")</f>
        <v/>
      </c>
      <c r="C1624" s="35">
        <v>42201603</v>
      </c>
      <c r="D1624" s="33" t="s">
        <v>1495</v>
      </c>
      <c r="E1624" s="33" t="s">
        <v>1496</v>
      </c>
      <c r="F1624" s="33" t="s">
        <v>1497</v>
      </c>
      <c r="G1624" s="33" t="s">
        <v>4781</v>
      </c>
      <c r="H1624" s="33" t="s">
        <v>4782</v>
      </c>
      <c r="I1624" s="33" t="s">
        <v>4783</v>
      </c>
      <c r="J1624" s="33">
        <v>115522</v>
      </c>
      <c r="K1624" s="33" t="s">
        <v>4815</v>
      </c>
      <c r="L1624" s="33" t="s">
        <v>4816</v>
      </c>
      <c r="M1624" s="33" t="s">
        <v>4817</v>
      </c>
      <c r="N1624" s="44">
        <v>42201603</v>
      </c>
      <c r="O1624" s="33" t="s">
        <v>4822</v>
      </c>
      <c r="P1624" s="33" t="s">
        <v>4823</v>
      </c>
      <c r="Q1624" s="34" t="s">
        <v>1494</v>
      </c>
      <c r="R1624" s="34" t="s">
        <v>1494</v>
      </c>
    </row>
    <row r="1625" spans="1:18" ht="15" customHeight="1" x14ac:dyDescent="0.25">
      <c r="A1625" t="str">
        <f>IFERROR(RANK(B1625,$B:$B,1)+COUNTIF($B$1:B1624,B1625),"")</f>
        <v/>
      </c>
      <c r="B1625" t="str">
        <f>IFERROR(SEARCH(#REF!,Table4[[#This Row],[Commodity Title]],1),"")</f>
        <v/>
      </c>
      <c r="C1625" s="35">
        <v>42201604</v>
      </c>
      <c r="D1625" s="33" t="s">
        <v>1495</v>
      </c>
      <c r="E1625" s="33" t="s">
        <v>1496</v>
      </c>
      <c r="F1625" s="33" t="s">
        <v>1497</v>
      </c>
      <c r="G1625" s="33" t="s">
        <v>4781</v>
      </c>
      <c r="H1625" s="33" t="s">
        <v>4782</v>
      </c>
      <c r="I1625" s="33" t="s">
        <v>4783</v>
      </c>
      <c r="J1625" s="33">
        <v>115523</v>
      </c>
      <c r="K1625" s="33" t="s">
        <v>4815</v>
      </c>
      <c r="L1625" s="33" t="s">
        <v>4816</v>
      </c>
      <c r="M1625" s="33" t="s">
        <v>4817</v>
      </c>
      <c r="N1625" s="44">
        <v>42201604</v>
      </c>
      <c r="O1625" s="33" t="s">
        <v>4824</v>
      </c>
      <c r="P1625" s="33" t="s">
        <v>4825</v>
      </c>
      <c r="Q1625" s="34" t="s">
        <v>1494</v>
      </c>
      <c r="R1625" s="34" t="s">
        <v>1494</v>
      </c>
    </row>
    <row r="1626" spans="1:18" ht="15" customHeight="1" x14ac:dyDescent="0.25">
      <c r="A1626" t="str">
        <f>IFERROR(RANK(B1626,$B:$B,1)+COUNTIF($B$1:B1625,B1626),"")</f>
        <v/>
      </c>
      <c r="B1626" t="str">
        <f>IFERROR(SEARCH(#REF!,Table4[[#This Row],[Commodity Title]],1),"")</f>
        <v/>
      </c>
      <c r="C1626" s="35">
        <v>42201605</v>
      </c>
      <c r="D1626" s="33" t="s">
        <v>1495</v>
      </c>
      <c r="E1626" s="33" t="s">
        <v>1496</v>
      </c>
      <c r="F1626" s="33" t="s">
        <v>1497</v>
      </c>
      <c r="G1626" s="33" t="s">
        <v>4781</v>
      </c>
      <c r="H1626" s="33" t="s">
        <v>4782</v>
      </c>
      <c r="I1626" s="33" t="s">
        <v>4783</v>
      </c>
      <c r="J1626" s="33">
        <v>115524</v>
      </c>
      <c r="K1626" s="33" t="s">
        <v>4815</v>
      </c>
      <c r="L1626" s="33" t="s">
        <v>4816</v>
      </c>
      <c r="M1626" s="33" t="s">
        <v>4817</v>
      </c>
      <c r="N1626" s="44">
        <v>42201605</v>
      </c>
      <c r="O1626" s="33" t="s">
        <v>4826</v>
      </c>
      <c r="P1626" s="33" t="s">
        <v>4827</v>
      </c>
      <c r="Q1626" s="34" t="s">
        <v>1494</v>
      </c>
      <c r="R1626" s="34" t="s">
        <v>1494</v>
      </c>
    </row>
    <row r="1627" spans="1:18" ht="15" customHeight="1" x14ac:dyDescent="0.25">
      <c r="A1627" t="str">
        <f>IFERROR(RANK(B1627,$B:$B,1)+COUNTIF($B$1:B1626,B1627),"")</f>
        <v/>
      </c>
      <c r="B1627" t="str">
        <f>IFERROR(SEARCH(#REF!,Table4[[#This Row],[Commodity Title]],1),"")</f>
        <v/>
      </c>
      <c r="C1627" s="35">
        <v>42201607</v>
      </c>
      <c r="D1627" s="33" t="s">
        <v>1495</v>
      </c>
      <c r="E1627" s="33" t="s">
        <v>1496</v>
      </c>
      <c r="F1627" s="33" t="s">
        <v>1497</v>
      </c>
      <c r="G1627" s="33" t="s">
        <v>4781</v>
      </c>
      <c r="H1627" s="33" t="s">
        <v>4782</v>
      </c>
      <c r="I1627" s="33" t="s">
        <v>4783</v>
      </c>
      <c r="J1627" s="33">
        <v>115526</v>
      </c>
      <c r="K1627" s="33" t="s">
        <v>4815</v>
      </c>
      <c r="L1627" s="33" t="s">
        <v>4816</v>
      </c>
      <c r="M1627" s="33" t="s">
        <v>4817</v>
      </c>
      <c r="N1627" s="44">
        <v>42201607</v>
      </c>
      <c r="O1627" s="33" t="s">
        <v>4828</v>
      </c>
      <c r="P1627" s="33" t="s">
        <v>4829</v>
      </c>
      <c r="Q1627" s="34" t="s">
        <v>1494</v>
      </c>
      <c r="R1627" s="34" t="s">
        <v>1494</v>
      </c>
    </row>
    <row r="1628" spans="1:18" ht="15" customHeight="1" x14ac:dyDescent="0.25">
      <c r="A1628" t="str">
        <f>IFERROR(RANK(B1628,$B:$B,1)+COUNTIF($B$1:B1627,B1628),"")</f>
        <v/>
      </c>
      <c r="B1628" t="str">
        <f>IFERROR(SEARCH(#REF!,Table4[[#This Row],[Commodity Title]],1),"")</f>
        <v/>
      </c>
      <c r="C1628" s="35">
        <v>42201608</v>
      </c>
      <c r="D1628" s="33" t="s">
        <v>1495</v>
      </c>
      <c r="E1628" s="33" t="s">
        <v>1496</v>
      </c>
      <c r="F1628" s="33" t="s">
        <v>1497</v>
      </c>
      <c r="G1628" s="33" t="s">
        <v>4781</v>
      </c>
      <c r="H1628" s="33" t="s">
        <v>4782</v>
      </c>
      <c r="I1628" s="33" t="s">
        <v>4783</v>
      </c>
      <c r="J1628" s="33">
        <v>115527</v>
      </c>
      <c r="K1628" s="33" t="s">
        <v>4815</v>
      </c>
      <c r="L1628" s="33" t="s">
        <v>4816</v>
      </c>
      <c r="M1628" s="33" t="s">
        <v>4817</v>
      </c>
      <c r="N1628" s="44">
        <v>42201608</v>
      </c>
      <c r="O1628" s="33" t="s">
        <v>4830</v>
      </c>
      <c r="P1628" s="33" t="s">
        <v>4831</v>
      </c>
      <c r="Q1628" s="34" t="s">
        <v>1494</v>
      </c>
      <c r="R1628" s="34" t="s">
        <v>1494</v>
      </c>
    </row>
    <row r="1629" spans="1:18" ht="15" customHeight="1" x14ac:dyDescent="0.25">
      <c r="A1629" t="str">
        <f>IFERROR(RANK(B1629,$B:$B,1)+COUNTIF($B$1:B1628,B1629),"")</f>
        <v/>
      </c>
      <c r="B1629" t="str">
        <f>IFERROR(SEARCH(#REF!,Table4[[#This Row],[Commodity Title]],1),"")</f>
        <v/>
      </c>
      <c r="C1629" s="35">
        <v>42201609</v>
      </c>
      <c r="D1629" s="33" t="s">
        <v>1495</v>
      </c>
      <c r="E1629" s="33" t="s">
        <v>1496</v>
      </c>
      <c r="F1629" s="33" t="s">
        <v>1497</v>
      </c>
      <c r="G1629" s="33" t="s">
        <v>4781</v>
      </c>
      <c r="H1629" s="33" t="s">
        <v>4782</v>
      </c>
      <c r="I1629" s="33" t="s">
        <v>4783</v>
      </c>
      <c r="J1629" s="33">
        <v>115528</v>
      </c>
      <c r="K1629" s="33" t="s">
        <v>4815</v>
      </c>
      <c r="L1629" s="33" t="s">
        <v>4816</v>
      </c>
      <c r="M1629" s="33" t="s">
        <v>4817</v>
      </c>
      <c r="N1629" s="44">
        <v>42201609</v>
      </c>
      <c r="O1629" s="33" t="s">
        <v>4832</v>
      </c>
      <c r="P1629" s="33" t="s">
        <v>4833</v>
      </c>
      <c r="Q1629" s="34" t="s">
        <v>1494</v>
      </c>
      <c r="R1629" s="34" t="s">
        <v>1494</v>
      </c>
    </row>
    <row r="1630" spans="1:18" ht="15" customHeight="1" x14ac:dyDescent="0.25">
      <c r="A1630" t="str">
        <f>IFERROR(RANK(B1630,$B:$B,1)+COUNTIF($B$1:B1629,B1630),"")</f>
        <v/>
      </c>
      <c r="B1630" t="str">
        <f>IFERROR(SEARCH(#REF!,Table4[[#This Row],[Commodity Title]],1),"")</f>
        <v/>
      </c>
      <c r="C1630" s="35">
        <v>42201610</v>
      </c>
      <c r="D1630" s="33" t="s">
        <v>1495</v>
      </c>
      <c r="E1630" s="33" t="s">
        <v>1496</v>
      </c>
      <c r="F1630" s="33" t="s">
        <v>1497</v>
      </c>
      <c r="G1630" s="33" t="s">
        <v>4781</v>
      </c>
      <c r="H1630" s="33" t="s">
        <v>4782</v>
      </c>
      <c r="I1630" s="33" t="s">
        <v>4783</v>
      </c>
      <c r="J1630" s="33">
        <v>115529</v>
      </c>
      <c r="K1630" s="33" t="s">
        <v>4815</v>
      </c>
      <c r="L1630" s="33" t="s">
        <v>4816</v>
      </c>
      <c r="M1630" s="33" t="s">
        <v>4817</v>
      </c>
      <c r="N1630" s="44">
        <v>42201610</v>
      </c>
      <c r="O1630" s="33" t="s">
        <v>4834</v>
      </c>
      <c r="P1630" s="33" t="s">
        <v>4835</v>
      </c>
      <c r="Q1630" s="34" t="s">
        <v>1494</v>
      </c>
      <c r="R1630" s="34" t="s">
        <v>1494</v>
      </c>
    </row>
    <row r="1631" spans="1:18" ht="15" customHeight="1" x14ac:dyDescent="0.25">
      <c r="A1631" t="str">
        <f>IFERROR(RANK(B1631,$B:$B,1)+COUNTIF($B$1:B1630,B1631),"")</f>
        <v/>
      </c>
      <c r="B1631" t="str">
        <f>IFERROR(SEARCH(#REF!,Table4[[#This Row],[Commodity Title]],1),"")</f>
        <v/>
      </c>
      <c r="C1631" s="35">
        <v>42201611</v>
      </c>
      <c r="D1631" s="33" t="s">
        <v>1495</v>
      </c>
      <c r="E1631" s="33" t="s">
        <v>1496</v>
      </c>
      <c r="F1631" s="33" t="s">
        <v>1497</v>
      </c>
      <c r="G1631" s="33" t="s">
        <v>4781</v>
      </c>
      <c r="H1631" s="33" t="s">
        <v>4782</v>
      </c>
      <c r="I1631" s="33" t="s">
        <v>4783</v>
      </c>
      <c r="J1631" s="33">
        <v>115530</v>
      </c>
      <c r="K1631" s="33" t="s">
        <v>4815</v>
      </c>
      <c r="L1631" s="33" t="s">
        <v>4816</v>
      </c>
      <c r="M1631" s="33" t="s">
        <v>4817</v>
      </c>
      <c r="N1631" s="44">
        <v>42201611</v>
      </c>
      <c r="O1631" s="33" t="s">
        <v>4836</v>
      </c>
      <c r="P1631" s="33" t="s">
        <v>4837</v>
      </c>
      <c r="Q1631" s="34" t="s">
        <v>1494</v>
      </c>
      <c r="R1631" s="34" t="s">
        <v>1494</v>
      </c>
    </row>
    <row r="1632" spans="1:18" ht="15" customHeight="1" x14ac:dyDescent="0.25">
      <c r="A1632" t="str">
        <f>IFERROR(RANK(B1632,$B:$B,1)+COUNTIF($B$1:B1631,B1632),"")</f>
        <v/>
      </c>
      <c r="B1632" t="str">
        <f>IFERROR(SEARCH(#REF!,Table4[[#This Row],[Commodity Title]],1),"")</f>
        <v/>
      </c>
      <c r="C1632" s="35">
        <v>42201612</v>
      </c>
      <c r="D1632" s="33" t="s">
        <v>1495</v>
      </c>
      <c r="E1632" s="33" t="s">
        <v>1496</v>
      </c>
      <c r="F1632" s="33" t="s">
        <v>1497</v>
      </c>
      <c r="G1632" s="33" t="s">
        <v>4781</v>
      </c>
      <c r="H1632" s="33" t="s">
        <v>4782</v>
      </c>
      <c r="I1632" s="33" t="s">
        <v>4783</v>
      </c>
      <c r="J1632" s="33">
        <v>202824</v>
      </c>
      <c r="K1632" s="33" t="s">
        <v>4815</v>
      </c>
      <c r="L1632" s="33" t="s">
        <v>4816</v>
      </c>
      <c r="M1632" s="33" t="s">
        <v>4817</v>
      </c>
      <c r="N1632" s="44">
        <v>42201612</v>
      </c>
      <c r="O1632" s="33" t="s">
        <v>4838</v>
      </c>
      <c r="P1632" s="33" t="s">
        <v>4839</v>
      </c>
      <c r="Q1632" s="34" t="s">
        <v>1494</v>
      </c>
      <c r="R1632" s="34" t="s">
        <v>1494</v>
      </c>
    </row>
    <row r="1633" spans="1:18" ht="15" customHeight="1" x14ac:dyDescent="0.25">
      <c r="A1633" t="str">
        <f>IFERROR(RANK(B1633,$B:$B,1)+COUNTIF($B$1:B1632,B1633),"")</f>
        <v/>
      </c>
      <c r="B1633" t="str">
        <f>IFERROR(SEARCH(#REF!,Table4[[#This Row],[Commodity Title]],1),"")</f>
        <v/>
      </c>
      <c r="C1633" s="35">
        <v>42201613</v>
      </c>
      <c r="D1633" s="33" t="s">
        <v>1495</v>
      </c>
      <c r="E1633" s="33" t="s">
        <v>1496</v>
      </c>
      <c r="F1633" s="33" t="s">
        <v>1497</v>
      </c>
      <c r="G1633" s="33" t="s">
        <v>4781</v>
      </c>
      <c r="H1633" s="33" t="s">
        <v>4782</v>
      </c>
      <c r="I1633" s="33" t="s">
        <v>4783</v>
      </c>
      <c r="J1633" s="33">
        <v>202825</v>
      </c>
      <c r="K1633" s="33" t="s">
        <v>4815</v>
      </c>
      <c r="L1633" s="33" t="s">
        <v>4816</v>
      </c>
      <c r="M1633" s="33" t="s">
        <v>4817</v>
      </c>
      <c r="N1633" s="44">
        <v>42201613</v>
      </c>
      <c r="O1633" s="33" t="s">
        <v>4840</v>
      </c>
      <c r="P1633" s="33" t="s">
        <v>4841</v>
      </c>
      <c r="Q1633" s="34" t="s">
        <v>1494</v>
      </c>
      <c r="R1633" s="34" t="s">
        <v>1494</v>
      </c>
    </row>
    <row r="1634" spans="1:18" ht="15" customHeight="1" x14ac:dyDescent="0.25">
      <c r="A1634" t="str">
        <f>IFERROR(RANK(B1634,$B:$B,1)+COUNTIF($B$1:B1633,B1634),"")</f>
        <v/>
      </c>
      <c r="B1634" t="str">
        <f>IFERROR(SEARCH(#REF!,Table4[[#This Row],[Commodity Title]],1),"")</f>
        <v/>
      </c>
      <c r="C1634" s="33" t="s">
        <v>1494</v>
      </c>
      <c r="D1634" s="33" t="s">
        <v>1495</v>
      </c>
      <c r="E1634" s="33" t="s">
        <v>1496</v>
      </c>
      <c r="F1634" s="33" t="s">
        <v>1497</v>
      </c>
      <c r="G1634" s="33" t="s">
        <v>4781</v>
      </c>
      <c r="H1634" s="33" t="s">
        <v>4782</v>
      </c>
      <c r="I1634" s="33" t="s">
        <v>4783</v>
      </c>
      <c r="J1634" s="33">
        <v>115531</v>
      </c>
      <c r="K1634" s="33" t="s">
        <v>4842</v>
      </c>
      <c r="L1634" s="33" t="s">
        <v>4843</v>
      </c>
      <c r="M1634" s="33" t="s">
        <v>4844</v>
      </c>
      <c r="N1634" s="44" t="s">
        <v>1494</v>
      </c>
      <c r="O1634" s="33" t="s">
        <v>1494</v>
      </c>
      <c r="P1634" s="33" t="s">
        <v>1494</v>
      </c>
      <c r="Q1634" s="34" t="s">
        <v>1494</v>
      </c>
      <c r="R1634" s="34" t="s">
        <v>1494</v>
      </c>
    </row>
    <row r="1635" spans="1:18" ht="15" customHeight="1" x14ac:dyDescent="0.25">
      <c r="A1635" t="str">
        <f>IFERROR(RANK(B1635,$B:$B,1)+COUNTIF($B$1:B1634,B1635),"")</f>
        <v/>
      </c>
      <c r="B1635" t="str">
        <f>IFERROR(SEARCH(#REF!,Table4[[#This Row],[Commodity Title]],1),"")</f>
        <v/>
      </c>
      <c r="C1635" s="35">
        <v>42201704</v>
      </c>
      <c r="D1635" s="33" t="s">
        <v>1495</v>
      </c>
      <c r="E1635" s="33" t="s">
        <v>1496</v>
      </c>
      <c r="F1635" s="33" t="s">
        <v>1497</v>
      </c>
      <c r="G1635" s="33" t="s">
        <v>4781</v>
      </c>
      <c r="H1635" s="33" t="s">
        <v>4782</v>
      </c>
      <c r="I1635" s="33" t="s">
        <v>4783</v>
      </c>
      <c r="J1635" s="33">
        <v>115535</v>
      </c>
      <c r="K1635" s="33" t="s">
        <v>4842</v>
      </c>
      <c r="L1635" s="33" t="s">
        <v>4843</v>
      </c>
      <c r="M1635" s="33" t="s">
        <v>4844</v>
      </c>
      <c r="N1635" s="44">
        <v>42201704</v>
      </c>
      <c r="O1635" s="33" t="s">
        <v>4845</v>
      </c>
      <c r="P1635" s="33" t="s">
        <v>4846</v>
      </c>
      <c r="Q1635" s="34" t="s">
        <v>1494</v>
      </c>
      <c r="R1635" s="34" t="s">
        <v>1494</v>
      </c>
    </row>
    <row r="1636" spans="1:18" ht="15" customHeight="1" x14ac:dyDescent="0.25">
      <c r="A1636" t="str">
        <f>IFERROR(RANK(B1636,$B:$B,1)+COUNTIF($B$1:B1635,B1636),"")</f>
        <v/>
      </c>
      <c r="B1636" t="str">
        <f>IFERROR(SEARCH(#REF!,Table4[[#This Row],[Commodity Title]],1),"")</f>
        <v/>
      </c>
      <c r="C1636" s="35">
        <v>42201705</v>
      </c>
      <c r="D1636" s="33" t="s">
        <v>1495</v>
      </c>
      <c r="E1636" s="33" t="s">
        <v>1496</v>
      </c>
      <c r="F1636" s="33" t="s">
        <v>1497</v>
      </c>
      <c r="G1636" s="33" t="s">
        <v>4781</v>
      </c>
      <c r="H1636" s="33" t="s">
        <v>4782</v>
      </c>
      <c r="I1636" s="33" t="s">
        <v>4783</v>
      </c>
      <c r="J1636" s="33">
        <v>115536</v>
      </c>
      <c r="K1636" s="33" t="s">
        <v>4842</v>
      </c>
      <c r="L1636" s="33" t="s">
        <v>4843</v>
      </c>
      <c r="M1636" s="33" t="s">
        <v>4844</v>
      </c>
      <c r="N1636" s="44">
        <v>42201705</v>
      </c>
      <c r="O1636" s="33" t="s">
        <v>4847</v>
      </c>
      <c r="P1636" s="33" t="s">
        <v>4848</v>
      </c>
      <c r="Q1636" s="34" t="s">
        <v>1494</v>
      </c>
      <c r="R1636" s="34" t="s">
        <v>1494</v>
      </c>
    </row>
    <row r="1637" spans="1:18" ht="15" customHeight="1" x14ac:dyDescent="0.25">
      <c r="A1637" t="str">
        <f>IFERROR(RANK(B1637,$B:$B,1)+COUNTIF($B$1:B1636,B1637),"")</f>
        <v/>
      </c>
      <c r="B1637" t="str">
        <f>IFERROR(SEARCH(#REF!,Table4[[#This Row],[Commodity Title]],1),"")</f>
        <v/>
      </c>
      <c r="C1637" s="35">
        <v>42201706</v>
      </c>
      <c r="D1637" s="33" t="s">
        <v>1495</v>
      </c>
      <c r="E1637" s="33" t="s">
        <v>1496</v>
      </c>
      <c r="F1637" s="33" t="s">
        <v>1497</v>
      </c>
      <c r="G1637" s="33" t="s">
        <v>4781</v>
      </c>
      <c r="H1637" s="33" t="s">
        <v>4782</v>
      </c>
      <c r="I1637" s="33" t="s">
        <v>4783</v>
      </c>
      <c r="J1637" s="33">
        <v>115537</v>
      </c>
      <c r="K1637" s="33" t="s">
        <v>4842</v>
      </c>
      <c r="L1637" s="33" t="s">
        <v>4843</v>
      </c>
      <c r="M1637" s="33" t="s">
        <v>4844</v>
      </c>
      <c r="N1637" s="44">
        <v>42201706</v>
      </c>
      <c r="O1637" s="33" t="s">
        <v>4849</v>
      </c>
      <c r="P1637" s="33" t="s">
        <v>4850</v>
      </c>
      <c r="Q1637" s="34" t="s">
        <v>1494</v>
      </c>
      <c r="R1637" s="34" t="s">
        <v>1494</v>
      </c>
    </row>
    <row r="1638" spans="1:18" ht="15" customHeight="1" x14ac:dyDescent="0.25">
      <c r="A1638" t="str">
        <f>IFERROR(RANK(B1638,$B:$B,1)+COUNTIF($B$1:B1637,B1638),"")</f>
        <v/>
      </c>
      <c r="B1638" t="str">
        <f>IFERROR(SEARCH(#REF!,Table4[[#This Row],[Commodity Title]],1),"")</f>
        <v/>
      </c>
      <c r="C1638" s="35">
        <v>42201707</v>
      </c>
      <c r="D1638" s="33" t="s">
        <v>1495</v>
      </c>
      <c r="E1638" s="33" t="s">
        <v>1496</v>
      </c>
      <c r="F1638" s="33" t="s">
        <v>1497</v>
      </c>
      <c r="G1638" s="33" t="s">
        <v>4781</v>
      </c>
      <c r="H1638" s="33" t="s">
        <v>4782</v>
      </c>
      <c r="I1638" s="33" t="s">
        <v>4783</v>
      </c>
      <c r="J1638" s="33">
        <v>115538</v>
      </c>
      <c r="K1638" s="33" t="s">
        <v>4842</v>
      </c>
      <c r="L1638" s="33" t="s">
        <v>4843</v>
      </c>
      <c r="M1638" s="33" t="s">
        <v>4844</v>
      </c>
      <c r="N1638" s="44">
        <v>42201707</v>
      </c>
      <c r="O1638" s="33" t="s">
        <v>4851</v>
      </c>
      <c r="P1638" s="33" t="s">
        <v>4852</v>
      </c>
      <c r="Q1638" s="34" t="s">
        <v>1494</v>
      </c>
      <c r="R1638" s="34" t="s">
        <v>1494</v>
      </c>
    </row>
    <row r="1639" spans="1:18" ht="15" customHeight="1" x14ac:dyDescent="0.25">
      <c r="A1639" t="str">
        <f>IFERROR(RANK(B1639,$B:$B,1)+COUNTIF($B$1:B1638,B1639),"")</f>
        <v/>
      </c>
      <c r="B1639" t="str">
        <f>IFERROR(SEARCH(#REF!,Table4[[#This Row],[Commodity Title]],1),"")</f>
        <v/>
      </c>
      <c r="C1639" s="35">
        <v>42201708</v>
      </c>
      <c r="D1639" s="33" t="s">
        <v>1495</v>
      </c>
      <c r="E1639" s="33" t="s">
        <v>1496</v>
      </c>
      <c r="F1639" s="33" t="s">
        <v>1497</v>
      </c>
      <c r="G1639" s="33" t="s">
        <v>4781</v>
      </c>
      <c r="H1639" s="33" t="s">
        <v>4782</v>
      </c>
      <c r="I1639" s="33" t="s">
        <v>4783</v>
      </c>
      <c r="J1639" s="33">
        <v>115539</v>
      </c>
      <c r="K1639" s="33" t="s">
        <v>4842</v>
      </c>
      <c r="L1639" s="33" t="s">
        <v>4843</v>
      </c>
      <c r="M1639" s="33" t="s">
        <v>4844</v>
      </c>
      <c r="N1639" s="44">
        <v>42201708</v>
      </c>
      <c r="O1639" s="33" t="s">
        <v>4853</v>
      </c>
      <c r="P1639" s="33" t="s">
        <v>4854</v>
      </c>
      <c r="Q1639" s="34" t="s">
        <v>1494</v>
      </c>
      <c r="R1639" s="34" t="s">
        <v>1494</v>
      </c>
    </row>
    <row r="1640" spans="1:18" ht="15" customHeight="1" x14ac:dyDescent="0.25">
      <c r="A1640" t="str">
        <f>IFERROR(RANK(B1640,$B:$B,1)+COUNTIF($B$1:B1639,B1640),"")</f>
        <v/>
      </c>
      <c r="B1640" t="str">
        <f>IFERROR(SEARCH(#REF!,Table4[[#This Row],[Commodity Title]],1),"")</f>
        <v/>
      </c>
      <c r="C1640" s="35">
        <v>42201709</v>
      </c>
      <c r="D1640" s="33" t="s">
        <v>1495</v>
      </c>
      <c r="E1640" s="33" t="s">
        <v>1496</v>
      </c>
      <c r="F1640" s="33" t="s">
        <v>1497</v>
      </c>
      <c r="G1640" s="33" t="s">
        <v>4781</v>
      </c>
      <c r="H1640" s="33" t="s">
        <v>4782</v>
      </c>
      <c r="I1640" s="33" t="s">
        <v>4783</v>
      </c>
      <c r="J1640" s="33">
        <v>115540</v>
      </c>
      <c r="K1640" s="33" t="s">
        <v>4842</v>
      </c>
      <c r="L1640" s="33" t="s">
        <v>4843</v>
      </c>
      <c r="M1640" s="33" t="s">
        <v>4844</v>
      </c>
      <c r="N1640" s="44">
        <v>42201709</v>
      </c>
      <c r="O1640" s="33" t="s">
        <v>4855</v>
      </c>
      <c r="P1640" s="33" t="s">
        <v>4856</v>
      </c>
      <c r="Q1640" s="34" t="s">
        <v>1494</v>
      </c>
      <c r="R1640" s="34" t="s">
        <v>1494</v>
      </c>
    </row>
    <row r="1641" spans="1:18" ht="15" customHeight="1" x14ac:dyDescent="0.25">
      <c r="A1641" t="str">
        <f>IFERROR(RANK(B1641,$B:$B,1)+COUNTIF($B$1:B1640,B1641),"")</f>
        <v/>
      </c>
      <c r="B1641" t="str">
        <f>IFERROR(SEARCH(#REF!,Table4[[#This Row],[Commodity Title]],1),"")</f>
        <v/>
      </c>
      <c r="C1641" s="35">
        <v>42201710</v>
      </c>
      <c r="D1641" s="33" t="s">
        <v>1495</v>
      </c>
      <c r="E1641" s="33" t="s">
        <v>1496</v>
      </c>
      <c r="F1641" s="33" t="s">
        <v>1497</v>
      </c>
      <c r="G1641" s="33" t="s">
        <v>4781</v>
      </c>
      <c r="H1641" s="33" t="s">
        <v>4782</v>
      </c>
      <c r="I1641" s="33" t="s">
        <v>4783</v>
      </c>
      <c r="J1641" s="33">
        <v>115541</v>
      </c>
      <c r="K1641" s="33" t="s">
        <v>4842</v>
      </c>
      <c r="L1641" s="33" t="s">
        <v>4843</v>
      </c>
      <c r="M1641" s="33" t="s">
        <v>4844</v>
      </c>
      <c r="N1641" s="44">
        <v>42201710</v>
      </c>
      <c r="O1641" s="33" t="s">
        <v>4857</v>
      </c>
      <c r="P1641" s="33" t="s">
        <v>4858</v>
      </c>
      <c r="Q1641" s="34" t="s">
        <v>1494</v>
      </c>
      <c r="R1641" s="34" t="s">
        <v>1494</v>
      </c>
    </row>
    <row r="1642" spans="1:18" ht="15" customHeight="1" x14ac:dyDescent="0.25">
      <c r="A1642" t="str">
        <f>IFERROR(RANK(B1642,$B:$B,1)+COUNTIF($B$1:B1641,B1642),"")</f>
        <v/>
      </c>
      <c r="B1642" t="str">
        <f>IFERROR(SEARCH(#REF!,Table4[[#This Row],[Commodity Title]],1),"")</f>
        <v/>
      </c>
      <c r="C1642" s="35">
        <v>42201711</v>
      </c>
      <c r="D1642" s="33" t="s">
        <v>1495</v>
      </c>
      <c r="E1642" s="33" t="s">
        <v>1496</v>
      </c>
      <c r="F1642" s="33" t="s">
        <v>1497</v>
      </c>
      <c r="G1642" s="33" t="s">
        <v>4781</v>
      </c>
      <c r="H1642" s="33" t="s">
        <v>4782</v>
      </c>
      <c r="I1642" s="33" t="s">
        <v>4783</v>
      </c>
      <c r="J1642" s="33">
        <v>115542</v>
      </c>
      <c r="K1642" s="33" t="s">
        <v>4842</v>
      </c>
      <c r="L1642" s="33" t="s">
        <v>4843</v>
      </c>
      <c r="M1642" s="33" t="s">
        <v>4844</v>
      </c>
      <c r="N1642" s="44">
        <v>42201711</v>
      </c>
      <c r="O1642" s="33" t="s">
        <v>4859</v>
      </c>
      <c r="P1642" s="33" t="s">
        <v>4860</v>
      </c>
      <c r="Q1642" s="34" t="s">
        <v>1494</v>
      </c>
      <c r="R1642" s="34" t="s">
        <v>1494</v>
      </c>
    </row>
    <row r="1643" spans="1:18" ht="15" customHeight="1" x14ac:dyDescent="0.25">
      <c r="A1643" t="str">
        <f>IFERROR(RANK(B1643,$B:$B,1)+COUNTIF($B$1:B1642,B1643),"")</f>
        <v/>
      </c>
      <c r="B1643" t="str">
        <f>IFERROR(SEARCH(#REF!,Table4[[#This Row],[Commodity Title]],1),"")</f>
        <v/>
      </c>
      <c r="C1643" s="35">
        <v>42201712</v>
      </c>
      <c r="D1643" s="33" t="s">
        <v>1495</v>
      </c>
      <c r="E1643" s="33" t="s">
        <v>1496</v>
      </c>
      <c r="F1643" s="33" t="s">
        <v>1497</v>
      </c>
      <c r="G1643" s="33" t="s">
        <v>4781</v>
      </c>
      <c r="H1643" s="33" t="s">
        <v>4782</v>
      </c>
      <c r="I1643" s="33" t="s">
        <v>4783</v>
      </c>
      <c r="J1643" s="33">
        <v>115543</v>
      </c>
      <c r="K1643" s="33" t="s">
        <v>4842</v>
      </c>
      <c r="L1643" s="33" t="s">
        <v>4843</v>
      </c>
      <c r="M1643" s="33" t="s">
        <v>4844</v>
      </c>
      <c r="N1643" s="44">
        <v>42201712</v>
      </c>
      <c r="O1643" s="33" t="s">
        <v>4861</v>
      </c>
      <c r="P1643" s="33" t="s">
        <v>4862</v>
      </c>
      <c r="Q1643" s="34" t="s">
        <v>1494</v>
      </c>
      <c r="R1643" s="34" t="s">
        <v>1494</v>
      </c>
    </row>
    <row r="1644" spans="1:18" ht="15" customHeight="1" x14ac:dyDescent="0.25">
      <c r="A1644" t="str">
        <f>IFERROR(RANK(B1644,$B:$B,1)+COUNTIF($B$1:B1643,B1644),"")</f>
        <v/>
      </c>
      <c r="B1644" t="str">
        <f>IFERROR(SEARCH(#REF!,Table4[[#This Row],[Commodity Title]],1),"")</f>
        <v/>
      </c>
      <c r="C1644" s="35">
        <v>42201713</v>
      </c>
      <c r="D1644" s="33" t="s">
        <v>1495</v>
      </c>
      <c r="E1644" s="33" t="s">
        <v>1496</v>
      </c>
      <c r="F1644" s="33" t="s">
        <v>1497</v>
      </c>
      <c r="G1644" s="33" t="s">
        <v>4781</v>
      </c>
      <c r="H1644" s="33" t="s">
        <v>4782</v>
      </c>
      <c r="I1644" s="33" t="s">
        <v>4783</v>
      </c>
      <c r="J1644" s="33">
        <v>115544</v>
      </c>
      <c r="K1644" s="33" t="s">
        <v>4842</v>
      </c>
      <c r="L1644" s="33" t="s">
        <v>4843</v>
      </c>
      <c r="M1644" s="33" t="s">
        <v>4844</v>
      </c>
      <c r="N1644" s="44">
        <v>42201713</v>
      </c>
      <c r="O1644" s="33" t="s">
        <v>4863</v>
      </c>
      <c r="P1644" s="33" t="s">
        <v>4864</v>
      </c>
      <c r="Q1644" s="34" t="s">
        <v>1494</v>
      </c>
      <c r="R1644" s="34" t="s">
        <v>1494</v>
      </c>
    </row>
    <row r="1645" spans="1:18" ht="15" customHeight="1" x14ac:dyDescent="0.25">
      <c r="A1645" t="str">
        <f>IFERROR(RANK(B1645,$B:$B,1)+COUNTIF($B$1:B1644,B1645),"")</f>
        <v/>
      </c>
      <c r="B1645" t="str">
        <f>IFERROR(SEARCH(#REF!,Table4[[#This Row],[Commodity Title]],1),"")</f>
        <v/>
      </c>
      <c r="C1645" s="35">
        <v>42201718</v>
      </c>
      <c r="D1645" s="33" t="s">
        <v>1495</v>
      </c>
      <c r="E1645" s="33" t="s">
        <v>1496</v>
      </c>
      <c r="F1645" s="33" t="s">
        <v>1497</v>
      </c>
      <c r="G1645" s="33" t="s">
        <v>4781</v>
      </c>
      <c r="H1645" s="33" t="s">
        <v>4782</v>
      </c>
      <c r="I1645" s="33" t="s">
        <v>4783</v>
      </c>
      <c r="J1645" s="33">
        <v>142565</v>
      </c>
      <c r="K1645" s="33" t="s">
        <v>4842</v>
      </c>
      <c r="L1645" s="33" t="s">
        <v>4843</v>
      </c>
      <c r="M1645" s="33" t="s">
        <v>4844</v>
      </c>
      <c r="N1645" s="44">
        <v>42201718</v>
      </c>
      <c r="O1645" s="33" t="s">
        <v>4865</v>
      </c>
      <c r="P1645" s="33" t="s">
        <v>4866</v>
      </c>
      <c r="Q1645" s="34" t="s">
        <v>1494</v>
      </c>
      <c r="R1645" s="34" t="s">
        <v>1494</v>
      </c>
    </row>
    <row r="1646" spans="1:18" ht="15" customHeight="1" x14ac:dyDescent="0.25">
      <c r="A1646" t="str">
        <f>IFERROR(RANK(B1646,$B:$B,1)+COUNTIF($B$1:B1645,B1646),"")</f>
        <v/>
      </c>
      <c r="B1646" t="str">
        <f>IFERROR(SEARCH(#REF!,Table4[[#This Row],[Commodity Title]],1),"")</f>
        <v/>
      </c>
      <c r="C1646" s="35">
        <v>42201720</v>
      </c>
      <c r="D1646" s="33" t="s">
        <v>1495</v>
      </c>
      <c r="E1646" s="33" t="s">
        <v>1496</v>
      </c>
      <c r="F1646" s="33" t="s">
        <v>1497</v>
      </c>
      <c r="G1646" s="33" t="s">
        <v>4781</v>
      </c>
      <c r="H1646" s="33" t="s">
        <v>4782</v>
      </c>
      <c r="I1646" s="33" t="s">
        <v>4783</v>
      </c>
      <c r="J1646" s="33">
        <v>202826</v>
      </c>
      <c r="K1646" s="33" t="s">
        <v>4842</v>
      </c>
      <c r="L1646" s="33" t="s">
        <v>4843</v>
      </c>
      <c r="M1646" s="33" t="s">
        <v>4844</v>
      </c>
      <c r="N1646" s="44">
        <v>42201720</v>
      </c>
      <c r="O1646" s="33" t="s">
        <v>4867</v>
      </c>
      <c r="P1646" s="33" t="s">
        <v>4868</v>
      </c>
      <c r="Q1646" s="34" t="s">
        <v>1494</v>
      </c>
      <c r="R1646" s="34" t="s">
        <v>1494</v>
      </c>
    </row>
    <row r="1647" spans="1:18" ht="15" customHeight="1" x14ac:dyDescent="0.25">
      <c r="A1647" t="str">
        <f>IFERROR(RANK(B1647,$B:$B,1)+COUNTIF($B$1:B1646,B1647),"")</f>
        <v/>
      </c>
      <c r="B1647" t="str">
        <f>IFERROR(SEARCH(#REF!,Table4[[#This Row],[Commodity Title]],1),"")</f>
        <v/>
      </c>
      <c r="C1647" s="35">
        <v>42201721</v>
      </c>
      <c r="D1647" s="33" t="s">
        <v>1495</v>
      </c>
      <c r="E1647" s="33" t="s">
        <v>1496</v>
      </c>
      <c r="F1647" s="33" t="s">
        <v>1497</v>
      </c>
      <c r="G1647" s="33" t="s">
        <v>4781</v>
      </c>
      <c r="H1647" s="33" t="s">
        <v>4782</v>
      </c>
      <c r="I1647" s="33" t="s">
        <v>4783</v>
      </c>
      <c r="J1647" s="33">
        <v>202827</v>
      </c>
      <c r="K1647" s="33" t="s">
        <v>4842</v>
      </c>
      <c r="L1647" s="33" t="s">
        <v>4843</v>
      </c>
      <c r="M1647" s="33" t="s">
        <v>4844</v>
      </c>
      <c r="N1647" s="44">
        <v>42201721</v>
      </c>
      <c r="O1647" s="33" t="s">
        <v>4869</v>
      </c>
      <c r="P1647" s="33" t="s">
        <v>4870</v>
      </c>
      <c r="Q1647" s="34" t="s">
        <v>1494</v>
      </c>
      <c r="R1647" s="34" t="s">
        <v>1494</v>
      </c>
    </row>
    <row r="1648" spans="1:18" ht="15" customHeight="1" x14ac:dyDescent="0.25">
      <c r="A1648" t="str">
        <f>IFERROR(RANK(B1648,$B:$B,1)+COUNTIF($B$1:B1647,B1648),"")</f>
        <v/>
      </c>
      <c r="B1648" t="str">
        <f>IFERROR(SEARCH(#REF!,Table4[[#This Row],[Commodity Title]],1),"")</f>
        <v/>
      </c>
      <c r="C1648" s="35">
        <v>42201722</v>
      </c>
      <c r="D1648" s="33" t="s">
        <v>1495</v>
      </c>
      <c r="E1648" s="33" t="s">
        <v>1496</v>
      </c>
      <c r="F1648" s="33" t="s">
        <v>1497</v>
      </c>
      <c r="G1648" s="33" t="s">
        <v>4781</v>
      </c>
      <c r="H1648" s="33" t="s">
        <v>4782</v>
      </c>
      <c r="I1648" s="33" t="s">
        <v>4783</v>
      </c>
      <c r="J1648" s="33">
        <v>202828</v>
      </c>
      <c r="K1648" s="33" t="s">
        <v>4842</v>
      </c>
      <c r="L1648" s="33" t="s">
        <v>4843</v>
      </c>
      <c r="M1648" s="33" t="s">
        <v>4844</v>
      </c>
      <c r="N1648" s="44">
        <v>42201722</v>
      </c>
      <c r="O1648" s="33" t="s">
        <v>4871</v>
      </c>
      <c r="P1648" s="33" t="s">
        <v>4872</v>
      </c>
      <c r="Q1648" s="34" t="s">
        <v>1494</v>
      </c>
      <c r="R1648" s="34" t="s">
        <v>1494</v>
      </c>
    </row>
    <row r="1649" spans="1:18" ht="15" customHeight="1" x14ac:dyDescent="0.25">
      <c r="A1649" t="str">
        <f>IFERROR(RANK(B1649,$B:$B,1)+COUNTIF($B$1:B1648,B1649),"")</f>
        <v/>
      </c>
      <c r="B1649" t="str">
        <f>IFERROR(SEARCH(#REF!,Table4[[#This Row],[Commodity Title]],1),"")</f>
        <v/>
      </c>
      <c r="C1649" s="35">
        <v>42201723</v>
      </c>
      <c r="D1649" s="33" t="s">
        <v>1495</v>
      </c>
      <c r="E1649" s="33" t="s">
        <v>1496</v>
      </c>
      <c r="F1649" s="33" t="s">
        <v>1497</v>
      </c>
      <c r="G1649" s="33" t="s">
        <v>4781</v>
      </c>
      <c r="H1649" s="33" t="s">
        <v>4782</v>
      </c>
      <c r="I1649" s="33" t="s">
        <v>4783</v>
      </c>
      <c r="J1649" s="33">
        <v>202829</v>
      </c>
      <c r="K1649" s="33" t="s">
        <v>4842</v>
      </c>
      <c r="L1649" s="33" t="s">
        <v>4843</v>
      </c>
      <c r="M1649" s="33" t="s">
        <v>4844</v>
      </c>
      <c r="N1649" s="44">
        <v>42201723</v>
      </c>
      <c r="O1649" s="33" t="s">
        <v>4873</v>
      </c>
      <c r="P1649" s="33" t="s">
        <v>4874</v>
      </c>
      <c r="Q1649" s="34" t="s">
        <v>1494</v>
      </c>
      <c r="R1649" s="34" t="s">
        <v>1494</v>
      </c>
    </row>
    <row r="1650" spans="1:18" ht="15" customHeight="1" x14ac:dyDescent="0.25">
      <c r="A1650" t="str">
        <f>IFERROR(RANK(B1650,$B:$B,1)+COUNTIF($B$1:B1649,B1650),"")</f>
        <v/>
      </c>
      <c r="B1650" t="str">
        <f>IFERROR(SEARCH(#REF!,Table4[[#This Row],[Commodity Title]],1),"")</f>
        <v/>
      </c>
      <c r="C1650" s="35">
        <v>42201724</v>
      </c>
      <c r="D1650" s="33" t="s">
        <v>1495</v>
      </c>
      <c r="E1650" s="33" t="s">
        <v>1496</v>
      </c>
      <c r="F1650" s="33" t="s">
        <v>1497</v>
      </c>
      <c r="G1650" s="33" t="s">
        <v>4781</v>
      </c>
      <c r="H1650" s="33" t="s">
        <v>4782</v>
      </c>
      <c r="I1650" s="33" t="s">
        <v>4783</v>
      </c>
      <c r="J1650" s="33">
        <v>202830</v>
      </c>
      <c r="K1650" s="33" t="s">
        <v>4842</v>
      </c>
      <c r="L1650" s="33" t="s">
        <v>4843</v>
      </c>
      <c r="M1650" s="33" t="s">
        <v>4844</v>
      </c>
      <c r="N1650" s="44">
        <v>42201724</v>
      </c>
      <c r="O1650" s="33" t="s">
        <v>4875</v>
      </c>
      <c r="P1650" s="33" t="s">
        <v>4876</v>
      </c>
      <c r="Q1650" s="34" t="s">
        <v>1494</v>
      </c>
      <c r="R1650" s="34" t="s">
        <v>1494</v>
      </c>
    </row>
    <row r="1651" spans="1:18" ht="15" customHeight="1" x14ac:dyDescent="0.25">
      <c r="A1651" t="str">
        <f>IFERROR(RANK(B1651,$B:$B,1)+COUNTIF($B$1:B1650,B1651),"")</f>
        <v/>
      </c>
      <c r="B1651" t="str">
        <f>IFERROR(SEARCH(#REF!,Table4[[#This Row],[Commodity Title]],1),"")</f>
        <v/>
      </c>
      <c r="C1651" s="35">
        <v>42201725</v>
      </c>
      <c r="D1651" s="33" t="s">
        <v>1495</v>
      </c>
      <c r="E1651" s="33" t="s">
        <v>1496</v>
      </c>
      <c r="F1651" s="33" t="s">
        <v>1497</v>
      </c>
      <c r="G1651" s="33" t="s">
        <v>4781</v>
      </c>
      <c r="H1651" s="33" t="s">
        <v>4782</v>
      </c>
      <c r="I1651" s="33" t="s">
        <v>4783</v>
      </c>
      <c r="J1651" s="33">
        <v>202831</v>
      </c>
      <c r="K1651" s="33" t="s">
        <v>4842</v>
      </c>
      <c r="L1651" s="33" t="s">
        <v>4843</v>
      </c>
      <c r="M1651" s="33" t="s">
        <v>4844</v>
      </c>
      <c r="N1651" s="44">
        <v>42201725</v>
      </c>
      <c r="O1651" s="33" t="s">
        <v>4877</v>
      </c>
      <c r="P1651" s="33" t="s">
        <v>4878</v>
      </c>
      <c r="Q1651" s="34" t="s">
        <v>1494</v>
      </c>
      <c r="R1651" s="34" t="s">
        <v>1494</v>
      </c>
    </row>
    <row r="1652" spans="1:18" ht="15" customHeight="1" x14ac:dyDescent="0.25">
      <c r="A1652" t="str">
        <f>IFERROR(RANK(B1652,$B:$B,1)+COUNTIF($B$1:B1651,B1652),"")</f>
        <v/>
      </c>
      <c r="B1652" t="str">
        <f>IFERROR(SEARCH(#REF!,Table4[[#This Row],[Commodity Title]],1),"")</f>
        <v/>
      </c>
      <c r="C1652" s="35">
        <v>42201726</v>
      </c>
      <c r="D1652" s="33" t="s">
        <v>1495</v>
      </c>
      <c r="E1652" s="33" t="s">
        <v>1496</v>
      </c>
      <c r="F1652" s="33" t="s">
        <v>1497</v>
      </c>
      <c r="G1652" s="33" t="s">
        <v>4781</v>
      </c>
      <c r="H1652" s="33" t="s">
        <v>4782</v>
      </c>
      <c r="I1652" s="33" t="s">
        <v>4783</v>
      </c>
      <c r="J1652" s="33">
        <v>202832</v>
      </c>
      <c r="K1652" s="33" t="s">
        <v>4842</v>
      </c>
      <c r="L1652" s="33" t="s">
        <v>4843</v>
      </c>
      <c r="M1652" s="33" t="s">
        <v>4844</v>
      </c>
      <c r="N1652" s="44">
        <v>42201726</v>
      </c>
      <c r="O1652" s="33" t="s">
        <v>4879</v>
      </c>
      <c r="P1652" s="33" t="s">
        <v>4880</v>
      </c>
      <c r="Q1652" s="34" t="s">
        <v>1494</v>
      </c>
      <c r="R1652" s="34" t="s">
        <v>1494</v>
      </c>
    </row>
    <row r="1653" spans="1:18" ht="15" customHeight="1" x14ac:dyDescent="0.25">
      <c r="A1653" t="str">
        <f>IFERROR(RANK(B1653,$B:$B,1)+COUNTIF($B$1:B1652,B1653),"")</f>
        <v/>
      </c>
      <c r="B1653" t="str">
        <f>IFERROR(SEARCH(#REF!,Table4[[#This Row],[Commodity Title]],1),"")</f>
        <v/>
      </c>
      <c r="C1653" s="35">
        <v>42201727</v>
      </c>
      <c r="D1653" s="33" t="s">
        <v>1495</v>
      </c>
      <c r="E1653" s="33" t="s">
        <v>1496</v>
      </c>
      <c r="F1653" s="33" t="s">
        <v>1497</v>
      </c>
      <c r="G1653" s="33" t="s">
        <v>4781</v>
      </c>
      <c r="H1653" s="33" t="s">
        <v>4782</v>
      </c>
      <c r="I1653" s="33" t="s">
        <v>4783</v>
      </c>
      <c r="J1653" s="33">
        <v>202833</v>
      </c>
      <c r="K1653" s="33" t="s">
        <v>4842</v>
      </c>
      <c r="L1653" s="33" t="s">
        <v>4843</v>
      </c>
      <c r="M1653" s="33" t="s">
        <v>4844</v>
      </c>
      <c r="N1653" s="44">
        <v>42201727</v>
      </c>
      <c r="O1653" s="33" t="s">
        <v>4881</v>
      </c>
      <c r="P1653" s="33" t="s">
        <v>4882</v>
      </c>
      <c r="Q1653" s="34" t="s">
        <v>1494</v>
      </c>
      <c r="R1653" s="34" t="s">
        <v>1494</v>
      </c>
    </row>
    <row r="1654" spans="1:18" ht="15" customHeight="1" x14ac:dyDescent="0.25">
      <c r="A1654" t="str">
        <f>IFERROR(RANK(B1654,$B:$B,1)+COUNTIF($B$1:B1653,B1654),"")</f>
        <v/>
      </c>
      <c r="B1654" t="str">
        <f>IFERROR(SEARCH(#REF!,Table4[[#This Row],[Commodity Title]],1),"")</f>
        <v/>
      </c>
      <c r="C1654" s="33" t="s">
        <v>1494</v>
      </c>
      <c r="D1654" s="33" t="s">
        <v>1495</v>
      </c>
      <c r="E1654" s="33" t="s">
        <v>1496</v>
      </c>
      <c r="F1654" s="33" t="s">
        <v>1497</v>
      </c>
      <c r="G1654" s="33" t="s">
        <v>4781</v>
      </c>
      <c r="H1654" s="33" t="s">
        <v>4782</v>
      </c>
      <c r="I1654" s="33" t="s">
        <v>4783</v>
      </c>
      <c r="J1654" s="33">
        <v>104317</v>
      </c>
      <c r="K1654" s="33" t="s">
        <v>4883</v>
      </c>
      <c r="L1654" s="33" t="s">
        <v>4884</v>
      </c>
      <c r="M1654" s="33" t="s">
        <v>4885</v>
      </c>
      <c r="N1654" s="44" t="s">
        <v>1494</v>
      </c>
      <c r="O1654" s="33" t="s">
        <v>1494</v>
      </c>
      <c r="P1654" s="33" t="s">
        <v>1494</v>
      </c>
      <c r="Q1654" s="34" t="s">
        <v>1494</v>
      </c>
      <c r="R1654" s="34" t="s">
        <v>1494</v>
      </c>
    </row>
    <row r="1655" spans="1:18" ht="15" customHeight="1" x14ac:dyDescent="0.25">
      <c r="A1655" t="str">
        <f>IFERROR(RANK(B1655,$B:$B,1)+COUNTIF($B$1:B1654,B1655),"")</f>
        <v/>
      </c>
      <c r="B1655" t="str">
        <f>IFERROR(SEARCH(#REF!,Table4[[#This Row],[Commodity Title]],1),"")</f>
        <v/>
      </c>
      <c r="C1655" s="35">
        <v>42201803</v>
      </c>
      <c r="D1655" s="33" t="s">
        <v>1495</v>
      </c>
      <c r="E1655" s="33" t="s">
        <v>1496</v>
      </c>
      <c r="F1655" s="33" t="s">
        <v>1497</v>
      </c>
      <c r="G1655" s="33" t="s">
        <v>4781</v>
      </c>
      <c r="H1655" s="33" t="s">
        <v>4782</v>
      </c>
      <c r="I1655" s="33" t="s">
        <v>4783</v>
      </c>
      <c r="J1655" s="33">
        <v>115551</v>
      </c>
      <c r="K1655" s="33" t="s">
        <v>4883</v>
      </c>
      <c r="L1655" s="33" t="s">
        <v>4884</v>
      </c>
      <c r="M1655" s="33" t="s">
        <v>4885</v>
      </c>
      <c r="N1655" s="44">
        <v>42201803</v>
      </c>
      <c r="O1655" s="33" t="s">
        <v>4886</v>
      </c>
      <c r="P1655" s="33" t="s">
        <v>4887</v>
      </c>
      <c r="Q1655" s="34" t="s">
        <v>1494</v>
      </c>
      <c r="R1655" s="34" t="s">
        <v>1494</v>
      </c>
    </row>
    <row r="1656" spans="1:18" ht="15" customHeight="1" x14ac:dyDescent="0.25">
      <c r="A1656" t="str">
        <f>IFERROR(RANK(B1656,$B:$B,1)+COUNTIF($B$1:B1655,B1656),"")</f>
        <v/>
      </c>
      <c r="B1656" t="str">
        <f>IFERROR(SEARCH(#REF!,Table4[[#This Row],[Commodity Title]],1),"")</f>
        <v/>
      </c>
      <c r="C1656" s="35">
        <v>42201804</v>
      </c>
      <c r="D1656" s="33" t="s">
        <v>1495</v>
      </c>
      <c r="E1656" s="33" t="s">
        <v>1496</v>
      </c>
      <c r="F1656" s="33" t="s">
        <v>1497</v>
      </c>
      <c r="G1656" s="33" t="s">
        <v>4781</v>
      </c>
      <c r="H1656" s="33" t="s">
        <v>4782</v>
      </c>
      <c r="I1656" s="33" t="s">
        <v>4783</v>
      </c>
      <c r="J1656" s="33">
        <v>115552</v>
      </c>
      <c r="K1656" s="33" t="s">
        <v>4883</v>
      </c>
      <c r="L1656" s="33" t="s">
        <v>4884</v>
      </c>
      <c r="M1656" s="33" t="s">
        <v>4885</v>
      </c>
      <c r="N1656" s="44">
        <v>42201804</v>
      </c>
      <c r="O1656" s="33" t="s">
        <v>4888</v>
      </c>
      <c r="P1656" s="33" t="s">
        <v>4889</v>
      </c>
      <c r="Q1656" s="34" t="s">
        <v>1494</v>
      </c>
      <c r="R1656" s="34" t="s">
        <v>1494</v>
      </c>
    </row>
    <row r="1657" spans="1:18" ht="15" customHeight="1" x14ac:dyDescent="0.25">
      <c r="A1657" t="str">
        <f>IFERROR(RANK(B1657,$B:$B,1)+COUNTIF($B$1:B1656,B1657),"")</f>
        <v/>
      </c>
      <c r="B1657" t="str">
        <f>IFERROR(SEARCH(#REF!,Table4[[#This Row],[Commodity Title]],1),"")</f>
        <v/>
      </c>
      <c r="C1657" s="35">
        <v>42201805</v>
      </c>
      <c r="D1657" s="33" t="s">
        <v>1495</v>
      </c>
      <c r="E1657" s="33" t="s">
        <v>1496</v>
      </c>
      <c r="F1657" s="33" t="s">
        <v>1497</v>
      </c>
      <c r="G1657" s="33" t="s">
        <v>4781</v>
      </c>
      <c r="H1657" s="33" t="s">
        <v>4782</v>
      </c>
      <c r="I1657" s="33" t="s">
        <v>4783</v>
      </c>
      <c r="J1657" s="33">
        <v>115553</v>
      </c>
      <c r="K1657" s="33" t="s">
        <v>4883</v>
      </c>
      <c r="L1657" s="33" t="s">
        <v>4884</v>
      </c>
      <c r="M1657" s="33" t="s">
        <v>4885</v>
      </c>
      <c r="N1657" s="44">
        <v>42201805</v>
      </c>
      <c r="O1657" s="33" t="s">
        <v>4890</v>
      </c>
      <c r="P1657" s="33" t="s">
        <v>4891</v>
      </c>
      <c r="Q1657" s="34" t="s">
        <v>1494</v>
      </c>
      <c r="R1657" s="34" t="s">
        <v>1494</v>
      </c>
    </row>
    <row r="1658" spans="1:18" ht="15" customHeight="1" x14ac:dyDescent="0.25">
      <c r="A1658" t="str">
        <f>IFERROR(RANK(B1658,$B:$B,1)+COUNTIF($B$1:B1657,B1658),"")</f>
        <v/>
      </c>
      <c r="B1658" t="str">
        <f>IFERROR(SEARCH(#REF!,Table4[[#This Row],[Commodity Title]],1),"")</f>
        <v/>
      </c>
      <c r="C1658" s="35">
        <v>42201806</v>
      </c>
      <c r="D1658" s="33" t="s">
        <v>1495</v>
      </c>
      <c r="E1658" s="33" t="s">
        <v>1496</v>
      </c>
      <c r="F1658" s="33" t="s">
        <v>1497</v>
      </c>
      <c r="G1658" s="33" t="s">
        <v>4781</v>
      </c>
      <c r="H1658" s="33" t="s">
        <v>4782</v>
      </c>
      <c r="I1658" s="33" t="s">
        <v>4783</v>
      </c>
      <c r="J1658" s="33">
        <v>115554</v>
      </c>
      <c r="K1658" s="33" t="s">
        <v>4883</v>
      </c>
      <c r="L1658" s="33" t="s">
        <v>4884</v>
      </c>
      <c r="M1658" s="33" t="s">
        <v>4885</v>
      </c>
      <c r="N1658" s="44">
        <v>42201806</v>
      </c>
      <c r="O1658" s="33" t="s">
        <v>4892</v>
      </c>
      <c r="P1658" s="33" t="s">
        <v>4893</v>
      </c>
      <c r="Q1658" s="34" t="s">
        <v>1494</v>
      </c>
      <c r="R1658" s="34" t="s">
        <v>1494</v>
      </c>
    </row>
    <row r="1659" spans="1:18" ht="15" customHeight="1" x14ac:dyDescent="0.25">
      <c r="A1659" t="str">
        <f>IFERROR(RANK(B1659,$B:$B,1)+COUNTIF($B$1:B1658,B1659),"")</f>
        <v/>
      </c>
      <c r="B1659" t="str">
        <f>IFERROR(SEARCH(#REF!,Table4[[#This Row],[Commodity Title]],1),"")</f>
        <v/>
      </c>
      <c r="C1659" s="35">
        <v>42201807</v>
      </c>
      <c r="D1659" s="33" t="s">
        <v>1495</v>
      </c>
      <c r="E1659" s="33" t="s">
        <v>1496</v>
      </c>
      <c r="F1659" s="33" t="s">
        <v>1497</v>
      </c>
      <c r="G1659" s="33" t="s">
        <v>4781</v>
      </c>
      <c r="H1659" s="33" t="s">
        <v>4782</v>
      </c>
      <c r="I1659" s="33" t="s">
        <v>4783</v>
      </c>
      <c r="J1659" s="33">
        <v>104332</v>
      </c>
      <c r="K1659" s="33" t="s">
        <v>4883</v>
      </c>
      <c r="L1659" s="33" t="s">
        <v>4884</v>
      </c>
      <c r="M1659" s="33" t="s">
        <v>4885</v>
      </c>
      <c r="N1659" s="44">
        <v>42201807</v>
      </c>
      <c r="O1659" s="33" t="s">
        <v>4894</v>
      </c>
      <c r="P1659" s="33" t="s">
        <v>4895</v>
      </c>
      <c r="Q1659" s="34" t="s">
        <v>1494</v>
      </c>
      <c r="R1659" s="34" t="s">
        <v>1494</v>
      </c>
    </row>
    <row r="1660" spans="1:18" ht="15" customHeight="1" x14ac:dyDescent="0.25">
      <c r="A1660" t="str">
        <f>IFERROR(RANK(B1660,$B:$B,1)+COUNTIF($B$1:B1659,B1660),"")</f>
        <v/>
      </c>
      <c r="B1660" t="str">
        <f>IFERROR(SEARCH(#REF!,Table4[[#This Row],[Commodity Title]],1),"")</f>
        <v/>
      </c>
      <c r="C1660" s="35">
        <v>42201808</v>
      </c>
      <c r="D1660" s="33" t="s">
        <v>1495</v>
      </c>
      <c r="E1660" s="33" t="s">
        <v>1496</v>
      </c>
      <c r="F1660" s="33" t="s">
        <v>1497</v>
      </c>
      <c r="G1660" s="33" t="s">
        <v>4781</v>
      </c>
      <c r="H1660" s="33" t="s">
        <v>4782</v>
      </c>
      <c r="I1660" s="33" t="s">
        <v>4783</v>
      </c>
      <c r="J1660" s="33">
        <v>115556</v>
      </c>
      <c r="K1660" s="33" t="s">
        <v>4883</v>
      </c>
      <c r="L1660" s="33" t="s">
        <v>4884</v>
      </c>
      <c r="M1660" s="33" t="s">
        <v>4885</v>
      </c>
      <c r="N1660" s="44">
        <v>42201808</v>
      </c>
      <c r="O1660" s="33" t="s">
        <v>4896</v>
      </c>
      <c r="P1660" s="33" t="s">
        <v>4897</v>
      </c>
      <c r="Q1660" s="34" t="s">
        <v>1494</v>
      </c>
      <c r="R1660" s="34" t="s">
        <v>1494</v>
      </c>
    </row>
    <row r="1661" spans="1:18" ht="15" customHeight="1" x14ac:dyDescent="0.25">
      <c r="A1661" t="str">
        <f>IFERROR(RANK(B1661,$B:$B,1)+COUNTIF($B$1:B1660,B1661),"")</f>
        <v/>
      </c>
      <c r="B1661" t="str">
        <f>IFERROR(SEARCH(#REF!,Table4[[#This Row],[Commodity Title]],1),"")</f>
        <v/>
      </c>
      <c r="C1661" s="35">
        <v>42201809</v>
      </c>
      <c r="D1661" s="33" t="s">
        <v>1495</v>
      </c>
      <c r="E1661" s="33" t="s">
        <v>1496</v>
      </c>
      <c r="F1661" s="33" t="s">
        <v>1497</v>
      </c>
      <c r="G1661" s="33" t="s">
        <v>4781</v>
      </c>
      <c r="H1661" s="33" t="s">
        <v>4782</v>
      </c>
      <c r="I1661" s="33" t="s">
        <v>4783</v>
      </c>
      <c r="J1661" s="33">
        <v>115557</v>
      </c>
      <c r="K1661" s="33" t="s">
        <v>4883</v>
      </c>
      <c r="L1661" s="33" t="s">
        <v>4884</v>
      </c>
      <c r="M1661" s="33" t="s">
        <v>4885</v>
      </c>
      <c r="N1661" s="44">
        <v>42201809</v>
      </c>
      <c r="O1661" s="33" t="s">
        <v>4898</v>
      </c>
      <c r="P1661" s="33" t="s">
        <v>4899</v>
      </c>
      <c r="Q1661" s="34" t="s">
        <v>1494</v>
      </c>
      <c r="R1661" s="34" t="s">
        <v>1494</v>
      </c>
    </row>
    <row r="1662" spans="1:18" ht="15" customHeight="1" x14ac:dyDescent="0.25">
      <c r="A1662" t="str">
        <f>IFERROR(RANK(B1662,$B:$B,1)+COUNTIF($B$1:B1661,B1662),"")</f>
        <v/>
      </c>
      <c r="B1662" t="str">
        <f>IFERROR(SEARCH(#REF!,Table4[[#This Row],[Commodity Title]],1),"")</f>
        <v/>
      </c>
      <c r="C1662" s="35">
        <v>42201810</v>
      </c>
      <c r="D1662" s="33" t="s">
        <v>1495</v>
      </c>
      <c r="E1662" s="33" t="s">
        <v>1496</v>
      </c>
      <c r="F1662" s="33" t="s">
        <v>1497</v>
      </c>
      <c r="G1662" s="33" t="s">
        <v>4781</v>
      </c>
      <c r="H1662" s="33" t="s">
        <v>4782</v>
      </c>
      <c r="I1662" s="33" t="s">
        <v>4783</v>
      </c>
      <c r="J1662" s="33">
        <v>115558</v>
      </c>
      <c r="K1662" s="33" t="s">
        <v>4883</v>
      </c>
      <c r="L1662" s="33" t="s">
        <v>4884</v>
      </c>
      <c r="M1662" s="33" t="s">
        <v>4885</v>
      </c>
      <c r="N1662" s="44">
        <v>42201810</v>
      </c>
      <c r="O1662" s="33" t="s">
        <v>4900</v>
      </c>
      <c r="P1662" s="33" t="s">
        <v>4901</v>
      </c>
      <c r="Q1662" s="34" t="s">
        <v>1494</v>
      </c>
      <c r="R1662" s="34" t="s">
        <v>1494</v>
      </c>
    </row>
    <row r="1663" spans="1:18" ht="15" customHeight="1" x14ac:dyDescent="0.25">
      <c r="A1663" t="str">
        <f>IFERROR(RANK(B1663,$B:$B,1)+COUNTIF($B$1:B1662,B1663),"")</f>
        <v/>
      </c>
      <c r="B1663" t="str">
        <f>IFERROR(SEARCH(#REF!,Table4[[#This Row],[Commodity Title]],1),"")</f>
        <v/>
      </c>
      <c r="C1663" s="35">
        <v>42201811</v>
      </c>
      <c r="D1663" s="33" t="s">
        <v>1495</v>
      </c>
      <c r="E1663" s="33" t="s">
        <v>1496</v>
      </c>
      <c r="F1663" s="33" t="s">
        <v>1497</v>
      </c>
      <c r="G1663" s="33" t="s">
        <v>4781</v>
      </c>
      <c r="H1663" s="33" t="s">
        <v>4782</v>
      </c>
      <c r="I1663" s="33" t="s">
        <v>4783</v>
      </c>
      <c r="J1663" s="33">
        <v>115559</v>
      </c>
      <c r="K1663" s="33" t="s">
        <v>4883</v>
      </c>
      <c r="L1663" s="33" t="s">
        <v>4884</v>
      </c>
      <c r="M1663" s="33" t="s">
        <v>4885</v>
      </c>
      <c r="N1663" s="44">
        <v>42201811</v>
      </c>
      <c r="O1663" s="33" t="s">
        <v>4902</v>
      </c>
      <c r="P1663" s="33" t="s">
        <v>4903</v>
      </c>
      <c r="Q1663" s="34" t="s">
        <v>1494</v>
      </c>
      <c r="R1663" s="34" t="s">
        <v>1494</v>
      </c>
    </row>
    <row r="1664" spans="1:18" ht="15" customHeight="1" x14ac:dyDescent="0.25">
      <c r="A1664" t="str">
        <f>IFERROR(RANK(B1664,$B:$B,1)+COUNTIF($B$1:B1663,B1664),"")</f>
        <v/>
      </c>
      <c r="B1664" t="str">
        <f>IFERROR(SEARCH(#REF!,Table4[[#This Row],[Commodity Title]],1),"")</f>
        <v/>
      </c>
      <c r="C1664" s="35">
        <v>42201812</v>
      </c>
      <c r="D1664" s="33" t="s">
        <v>1495</v>
      </c>
      <c r="E1664" s="33" t="s">
        <v>1496</v>
      </c>
      <c r="F1664" s="33" t="s">
        <v>1497</v>
      </c>
      <c r="G1664" s="33" t="s">
        <v>4781</v>
      </c>
      <c r="H1664" s="33" t="s">
        <v>4782</v>
      </c>
      <c r="I1664" s="33" t="s">
        <v>4783</v>
      </c>
      <c r="J1664" s="33">
        <v>115560</v>
      </c>
      <c r="K1664" s="33" t="s">
        <v>4883</v>
      </c>
      <c r="L1664" s="33" t="s">
        <v>4884</v>
      </c>
      <c r="M1664" s="33" t="s">
        <v>4885</v>
      </c>
      <c r="N1664" s="44">
        <v>42201812</v>
      </c>
      <c r="O1664" s="33" t="s">
        <v>4904</v>
      </c>
      <c r="P1664" s="33" t="s">
        <v>4905</v>
      </c>
      <c r="Q1664" s="34" t="s">
        <v>1494</v>
      </c>
      <c r="R1664" s="34" t="s">
        <v>1494</v>
      </c>
    </row>
    <row r="1665" spans="1:18" ht="15" customHeight="1" x14ac:dyDescent="0.25">
      <c r="A1665" t="str">
        <f>IFERROR(RANK(B1665,$B:$B,1)+COUNTIF($B$1:B1664,B1665),"")</f>
        <v/>
      </c>
      <c r="B1665" t="str">
        <f>IFERROR(SEARCH(#REF!,Table4[[#This Row],[Commodity Title]],1),"")</f>
        <v/>
      </c>
      <c r="C1665" s="35">
        <v>42201813</v>
      </c>
      <c r="D1665" s="33" t="s">
        <v>1495</v>
      </c>
      <c r="E1665" s="33" t="s">
        <v>1496</v>
      </c>
      <c r="F1665" s="33" t="s">
        <v>1497</v>
      </c>
      <c r="G1665" s="33" t="s">
        <v>4781</v>
      </c>
      <c r="H1665" s="33" t="s">
        <v>4782</v>
      </c>
      <c r="I1665" s="33" t="s">
        <v>4783</v>
      </c>
      <c r="J1665" s="33">
        <v>115561</v>
      </c>
      <c r="K1665" s="33" t="s">
        <v>4883</v>
      </c>
      <c r="L1665" s="33" t="s">
        <v>4884</v>
      </c>
      <c r="M1665" s="33" t="s">
        <v>4885</v>
      </c>
      <c r="N1665" s="44">
        <v>42201813</v>
      </c>
      <c r="O1665" s="33" t="s">
        <v>4906</v>
      </c>
      <c r="P1665" s="33" t="s">
        <v>4907</v>
      </c>
      <c r="Q1665" s="34" t="s">
        <v>1494</v>
      </c>
      <c r="R1665" s="34" t="s">
        <v>1494</v>
      </c>
    </row>
    <row r="1666" spans="1:18" ht="15" customHeight="1" x14ac:dyDescent="0.25">
      <c r="A1666" t="str">
        <f>IFERROR(RANK(B1666,$B:$B,1)+COUNTIF($B$1:B1665,B1666),"")</f>
        <v/>
      </c>
      <c r="B1666" t="str">
        <f>IFERROR(SEARCH(#REF!,Table4[[#This Row],[Commodity Title]],1),"")</f>
        <v/>
      </c>
      <c r="C1666" s="35">
        <v>42201814</v>
      </c>
      <c r="D1666" s="33" t="s">
        <v>1495</v>
      </c>
      <c r="E1666" s="33" t="s">
        <v>1496</v>
      </c>
      <c r="F1666" s="33" t="s">
        <v>1497</v>
      </c>
      <c r="G1666" s="33" t="s">
        <v>4781</v>
      </c>
      <c r="H1666" s="33" t="s">
        <v>4782</v>
      </c>
      <c r="I1666" s="33" t="s">
        <v>4783</v>
      </c>
      <c r="J1666" s="33">
        <v>115562</v>
      </c>
      <c r="K1666" s="33" t="s">
        <v>4883</v>
      </c>
      <c r="L1666" s="33" t="s">
        <v>4884</v>
      </c>
      <c r="M1666" s="33" t="s">
        <v>4885</v>
      </c>
      <c r="N1666" s="44">
        <v>42201814</v>
      </c>
      <c r="O1666" s="33" t="s">
        <v>4908</v>
      </c>
      <c r="P1666" s="33" t="s">
        <v>4909</v>
      </c>
      <c r="Q1666" s="34" t="s">
        <v>1494</v>
      </c>
      <c r="R1666" s="34" t="s">
        <v>1494</v>
      </c>
    </row>
    <row r="1667" spans="1:18" ht="15" customHeight="1" x14ac:dyDescent="0.25">
      <c r="A1667" t="str">
        <f>IFERROR(RANK(B1667,$B:$B,1)+COUNTIF($B$1:B1666,B1667),"")</f>
        <v/>
      </c>
      <c r="B1667" t="str">
        <f>IFERROR(SEARCH(#REF!,Table4[[#This Row],[Commodity Title]],1),"")</f>
        <v/>
      </c>
      <c r="C1667" s="35">
        <v>42201815</v>
      </c>
      <c r="D1667" s="33" t="s">
        <v>1495</v>
      </c>
      <c r="E1667" s="33" t="s">
        <v>1496</v>
      </c>
      <c r="F1667" s="33" t="s">
        <v>1497</v>
      </c>
      <c r="G1667" s="33" t="s">
        <v>4781</v>
      </c>
      <c r="H1667" s="33" t="s">
        <v>4782</v>
      </c>
      <c r="I1667" s="33" t="s">
        <v>4783</v>
      </c>
      <c r="J1667" s="33">
        <v>115563</v>
      </c>
      <c r="K1667" s="33" t="s">
        <v>4883</v>
      </c>
      <c r="L1667" s="33" t="s">
        <v>4884</v>
      </c>
      <c r="M1667" s="33" t="s">
        <v>4885</v>
      </c>
      <c r="N1667" s="44">
        <v>42201815</v>
      </c>
      <c r="O1667" s="33" t="s">
        <v>4910</v>
      </c>
      <c r="P1667" s="33" t="s">
        <v>4911</v>
      </c>
      <c r="Q1667" s="34" t="s">
        <v>1494</v>
      </c>
      <c r="R1667" s="34" t="s">
        <v>1494</v>
      </c>
    </row>
    <row r="1668" spans="1:18" ht="15" customHeight="1" x14ac:dyDescent="0.25">
      <c r="A1668" t="str">
        <f>IFERROR(RANK(B1668,$B:$B,1)+COUNTIF($B$1:B1667,B1668),"")</f>
        <v/>
      </c>
      <c r="B1668" t="str">
        <f>IFERROR(SEARCH(#REF!,Table4[[#This Row],[Commodity Title]],1),"")</f>
        <v/>
      </c>
      <c r="C1668" s="35">
        <v>42201816</v>
      </c>
      <c r="D1668" s="33" t="s">
        <v>1495</v>
      </c>
      <c r="E1668" s="33" t="s">
        <v>1496</v>
      </c>
      <c r="F1668" s="33" t="s">
        <v>1497</v>
      </c>
      <c r="G1668" s="33" t="s">
        <v>4781</v>
      </c>
      <c r="H1668" s="33" t="s">
        <v>4782</v>
      </c>
      <c r="I1668" s="33" t="s">
        <v>4783</v>
      </c>
      <c r="J1668" s="33">
        <v>115564</v>
      </c>
      <c r="K1668" s="33" t="s">
        <v>4883</v>
      </c>
      <c r="L1668" s="33" t="s">
        <v>4884</v>
      </c>
      <c r="M1668" s="33" t="s">
        <v>4885</v>
      </c>
      <c r="N1668" s="44">
        <v>42201816</v>
      </c>
      <c r="O1668" s="33" t="s">
        <v>4912</v>
      </c>
      <c r="P1668" s="33" t="s">
        <v>4913</v>
      </c>
      <c r="Q1668" s="34" t="s">
        <v>1494</v>
      </c>
      <c r="R1668" s="34" t="s">
        <v>1494</v>
      </c>
    </row>
    <row r="1669" spans="1:18" ht="15" customHeight="1" x14ac:dyDescent="0.25">
      <c r="A1669" t="str">
        <f>IFERROR(RANK(B1669,$B:$B,1)+COUNTIF($B$1:B1668,B1669),"")</f>
        <v/>
      </c>
      <c r="B1669" t="str">
        <f>IFERROR(SEARCH(#REF!,Table4[[#This Row],[Commodity Title]],1),"")</f>
        <v/>
      </c>
      <c r="C1669" s="35">
        <v>42201817</v>
      </c>
      <c r="D1669" s="33" t="s">
        <v>1495</v>
      </c>
      <c r="E1669" s="33" t="s">
        <v>1496</v>
      </c>
      <c r="F1669" s="33" t="s">
        <v>1497</v>
      </c>
      <c r="G1669" s="33" t="s">
        <v>4781</v>
      </c>
      <c r="H1669" s="33" t="s">
        <v>4782</v>
      </c>
      <c r="I1669" s="33" t="s">
        <v>4783</v>
      </c>
      <c r="J1669" s="33">
        <v>115565</v>
      </c>
      <c r="K1669" s="33" t="s">
        <v>4883</v>
      </c>
      <c r="L1669" s="33" t="s">
        <v>4884</v>
      </c>
      <c r="M1669" s="33" t="s">
        <v>4885</v>
      </c>
      <c r="N1669" s="44">
        <v>42201817</v>
      </c>
      <c r="O1669" s="33" t="s">
        <v>4914</v>
      </c>
      <c r="P1669" s="33" t="s">
        <v>4915</v>
      </c>
      <c r="Q1669" s="34" t="s">
        <v>1494</v>
      </c>
      <c r="R1669" s="34" t="s">
        <v>1494</v>
      </c>
    </row>
    <row r="1670" spans="1:18" ht="15" customHeight="1" x14ac:dyDescent="0.25">
      <c r="A1670" t="str">
        <f>IFERROR(RANK(B1670,$B:$B,1)+COUNTIF($B$1:B1669,B1670),"")</f>
        <v/>
      </c>
      <c r="B1670" t="str">
        <f>IFERROR(SEARCH(#REF!,Table4[[#This Row],[Commodity Title]],1),"")</f>
        <v/>
      </c>
      <c r="C1670" s="35">
        <v>42201818</v>
      </c>
      <c r="D1670" s="33" t="s">
        <v>1495</v>
      </c>
      <c r="E1670" s="33" t="s">
        <v>1496</v>
      </c>
      <c r="F1670" s="33" t="s">
        <v>1497</v>
      </c>
      <c r="G1670" s="33" t="s">
        <v>4781</v>
      </c>
      <c r="H1670" s="33" t="s">
        <v>4782</v>
      </c>
      <c r="I1670" s="33" t="s">
        <v>4783</v>
      </c>
      <c r="J1670" s="33">
        <v>142567</v>
      </c>
      <c r="K1670" s="33" t="s">
        <v>4883</v>
      </c>
      <c r="L1670" s="33" t="s">
        <v>4884</v>
      </c>
      <c r="M1670" s="33" t="s">
        <v>4885</v>
      </c>
      <c r="N1670" s="44">
        <v>42201818</v>
      </c>
      <c r="O1670" s="33" t="s">
        <v>4916</v>
      </c>
      <c r="P1670" s="33" t="s">
        <v>4917</v>
      </c>
      <c r="Q1670" s="34" t="s">
        <v>1494</v>
      </c>
      <c r="R1670" s="34" t="s">
        <v>1494</v>
      </c>
    </row>
    <row r="1671" spans="1:18" ht="15" customHeight="1" x14ac:dyDescent="0.25">
      <c r="A1671" t="str">
        <f>IFERROR(RANK(B1671,$B:$B,1)+COUNTIF($B$1:B1670,B1671),"")</f>
        <v/>
      </c>
      <c r="B1671" t="str">
        <f>IFERROR(SEARCH(#REF!,Table4[[#This Row],[Commodity Title]],1),"")</f>
        <v/>
      </c>
      <c r="C1671" s="35">
        <v>42201819</v>
      </c>
      <c r="D1671" s="33" t="s">
        <v>1495</v>
      </c>
      <c r="E1671" s="33" t="s">
        <v>1496</v>
      </c>
      <c r="F1671" s="33" t="s">
        <v>1497</v>
      </c>
      <c r="G1671" s="33" t="s">
        <v>4781</v>
      </c>
      <c r="H1671" s="33" t="s">
        <v>4782</v>
      </c>
      <c r="I1671" s="33" t="s">
        <v>4783</v>
      </c>
      <c r="J1671" s="33">
        <v>142568</v>
      </c>
      <c r="K1671" s="33" t="s">
        <v>4883</v>
      </c>
      <c r="L1671" s="33" t="s">
        <v>4884</v>
      </c>
      <c r="M1671" s="33" t="s">
        <v>4885</v>
      </c>
      <c r="N1671" s="44">
        <v>42201819</v>
      </c>
      <c r="O1671" s="33" t="s">
        <v>4918</v>
      </c>
      <c r="P1671" s="33" t="s">
        <v>4919</v>
      </c>
      <c r="Q1671" s="34" t="s">
        <v>1494</v>
      </c>
      <c r="R1671" s="34" t="s">
        <v>1494</v>
      </c>
    </row>
    <row r="1672" spans="1:18" ht="15" customHeight="1" x14ac:dyDescent="0.25">
      <c r="A1672" t="str">
        <f>IFERROR(RANK(B1672,$B:$B,1)+COUNTIF($B$1:B1671,B1672),"")</f>
        <v/>
      </c>
      <c r="B1672" t="str">
        <f>IFERROR(SEARCH(#REF!,Table4[[#This Row],[Commodity Title]],1),"")</f>
        <v/>
      </c>
      <c r="C1672" s="35">
        <v>42201820</v>
      </c>
      <c r="D1672" s="33" t="s">
        <v>1495</v>
      </c>
      <c r="E1672" s="33" t="s">
        <v>1496</v>
      </c>
      <c r="F1672" s="33" t="s">
        <v>1497</v>
      </c>
      <c r="G1672" s="33" t="s">
        <v>4781</v>
      </c>
      <c r="H1672" s="33" t="s">
        <v>4782</v>
      </c>
      <c r="I1672" s="33" t="s">
        <v>4783</v>
      </c>
      <c r="J1672" s="33">
        <v>142569</v>
      </c>
      <c r="K1672" s="33" t="s">
        <v>4883</v>
      </c>
      <c r="L1672" s="33" t="s">
        <v>4884</v>
      </c>
      <c r="M1672" s="33" t="s">
        <v>4885</v>
      </c>
      <c r="N1672" s="44">
        <v>42201820</v>
      </c>
      <c r="O1672" s="33" t="s">
        <v>4920</v>
      </c>
      <c r="P1672" s="33" t="s">
        <v>4921</v>
      </c>
      <c r="Q1672" s="34" t="s">
        <v>1494</v>
      </c>
      <c r="R1672" s="34" t="s">
        <v>1494</v>
      </c>
    </row>
    <row r="1673" spans="1:18" ht="15" customHeight="1" x14ac:dyDescent="0.25">
      <c r="A1673" t="str">
        <f>IFERROR(RANK(B1673,$B:$B,1)+COUNTIF($B$1:B1672,B1673),"")</f>
        <v/>
      </c>
      <c r="B1673" t="str">
        <f>IFERROR(SEARCH(#REF!,Table4[[#This Row],[Commodity Title]],1),"")</f>
        <v/>
      </c>
      <c r="C1673" s="35">
        <v>42201821</v>
      </c>
      <c r="D1673" s="33" t="s">
        <v>1495</v>
      </c>
      <c r="E1673" s="33" t="s">
        <v>1496</v>
      </c>
      <c r="F1673" s="33" t="s">
        <v>1497</v>
      </c>
      <c r="G1673" s="33" t="s">
        <v>4781</v>
      </c>
      <c r="H1673" s="33" t="s">
        <v>4782</v>
      </c>
      <c r="I1673" s="33" t="s">
        <v>4783</v>
      </c>
      <c r="J1673" s="33">
        <v>142570</v>
      </c>
      <c r="K1673" s="33" t="s">
        <v>4883</v>
      </c>
      <c r="L1673" s="33" t="s">
        <v>4884</v>
      </c>
      <c r="M1673" s="33" t="s">
        <v>4885</v>
      </c>
      <c r="N1673" s="44">
        <v>42201821</v>
      </c>
      <c r="O1673" s="33" t="s">
        <v>4922</v>
      </c>
      <c r="P1673" s="33" t="s">
        <v>4923</v>
      </c>
      <c r="Q1673" s="34" t="s">
        <v>1494</v>
      </c>
      <c r="R1673" s="34" t="s">
        <v>1494</v>
      </c>
    </row>
    <row r="1674" spans="1:18" ht="15" customHeight="1" x14ac:dyDescent="0.25">
      <c r="A1674" t="str">
        <f>IFERROR(RANK(B1674,$B:$B,1)+COUNTIF($B$1:B1673,B1674),"")</f>
        <v/>
      </c>
      <c r="B1674" t="str">
        <f>IFERROR(SEARCH(#REF!,Table4[[#This Row],[Commodity Title]],1),"")</f>
        <v/>
      </c>
      <c r="C1674" s="35">
        <v>42201822</v>
      </c>
      <c r="D1674" s="33" t="s">
        <v>1495</v>
      </c>
      <c r="E1674" s="33" t="s">
        <v>1496</v>
      </c>
      <c r="F1674" s="33" t="s">
        <v>1497</v>
      </c>
      <c r="G1674" s="33" t="s">
        <v>4781</v>
      </c>
      <c r="H1674" s="33" t="s">
        <v>4782</v>
      </c>
      <c r="I1674" s="33" t="s">
        <v>4783</v>
      </c>
      <c r="J1674" s="33">
        <v>142571</v>
      </c>
      <c r="K1674" s="33" t="s">
        <v>4883</v>
      </c>
      <c r="L1674" s="33" t="s">
        <v>4884</v>
      </c>
      <c r="M1674" s="33" t="s">
        <v>4885</v>
      </c>
      <c r="N1674" s="44">
        <v>42201822</v>
      </c>
      <c r="O1674" s="33" t="s">
        <v>4924</v>
      </c>
      <c r="P1674" s="33" t="s">
        <v>4925</v>
      </c>
      <c r="Q1674" s="34" t="s">
        <v>1494</v>
      </c>
      <c r="R1674" s="34" t="s">
        <v>1494</v>
      </c>
    </row>
    <row r="1675" spans="1:18" ht="15" customHeight="1" x14ac:dyDescent="0.25">
      <c r="A1675" t="str">
        <f>IFERROR(RANK(B1675,$B:$B,1)+COUNTIF($B$1:B1674,B1675),"")</f>
        <v/>
      </c>
      <c r="B1675" t="str">
        <f>IFERROR(SEARCH(#REF!,Table4[[#This Row],[Commodity Title]],1),"")</f>
        <v/>
      </c>
      <c r="C1675" s="35">
        <v>42201823</v>
      </c>
      <c r="D1675" s="33" t="s">
        <v>1495</v>
      </c>
      <c r="E1675" s="33" t="s">
        <v>1496</v>
      </c>
      <c r="F1675" s="33" t="s">
        <v>1497</v>
      </c>
      <c r="G1675" s="33" t="s">
        <v>4781</v>
      </c>
      <c r="H1675" s="33" t="s">
        <v>4782</v>
      </c>
      <c r="I1675" s="33" t="s">
        <v>4783</v>
      </c>
      <c r="J1675" s="33">
        <v>142572</v>
      </c>
      <c r="K1675" s="33" t="s">
        <v>4883</v>
      </c>
      <c r="L1675" s="33" t="s">
        <v>4884</v>
      </c>
      <c r="M1675" s="33" t="s">
        <v>4885</v>
      </c>
      <c r="N1675" s="44">
        <v>42201823</v>
      </c>
      <c r="O1675" s="33" t="s">
        <v>4926</v>
      </c>
      <c r="P1675" s="33" t="s">
        <v>4917</v>
      </c>
      <c r="Q1675" s="34" t="s">
        <v>1494</v>
      </c>
      <c r="R1675" s="34" t="s">
        <v>1494</v>
      </c>
    </row>
    <row r="1676" spans="1:18" ht="15" customHeight="1" x14ac:dyDescent="0.25">
      <c r="A1676" t="str">
        <f>IFERROR(RANK(B1676,$B:$B,1)+COUNTIF($B$1:B1675,B1676),"")</f>
        <v/>
      </c>
      <c r="B1676" t="str">
        <f>IFERROR(SEARCH(#REF!,Table4[[#This Row],[Commodity Title]],1),"")</f>
        <v/>
      </c>
      <c r="C1676" s="35">
        <v>42201824</v>
      </c>
      <c r="D1676" s="33" t="s">
        <v>1495</v>
      </c>
      <c r="E1676" s="33" t="s">
        <v>1496</v>
      </c>
      <c r="F1676" s="33" t="s">
        <v>1497</v>
      </c>
      <c r="G1676" s="33" t="s">
        <v>4781</v>
      </c>
      <c r="H1676" s="33" t="s">
        <v>4782</v>
      </c>
      <c r="I1676" s="33" t="s">
        <v>4783</v>
      </c>
      <c r="J1676" s="33">
        <v>142573</v>
      </c>
      <c r="K1676" s="33" t="s">
        <v>4883</v>
      </c>
      <c r="L1676" s="33" t="s">
        <v>4884</v>
      </c>
      <c r="M1676" s="33" t="s">
        <v>4885</v>
      </c>
      <c r="N1676" s="44">
        <v>42201824</v>
      </c>
      <c r="O1676" s="33" t="s">
        <v>4927</v>
      </c>
      <c r="P1676" s="33" t="s">
        <v>4928</v>
      </c>
      <c r="Q1676" s="34" t="s">
        <v>1494</v>
      </c>
      <c r="R1676" s="34" t="s">
        <v>1494</v>
      </c>
    </row>
    <row r="1677" spans="1:18" ht="15" customHeight="1" x14ac:dyDescent="0.25">
      <c r="A1677" t="str">
        <f>IFERROR(RANK(B1677,$B:$B,1)+COUNTIF($B$1:B1676,B1677),"")</f>
        <v/>
      </c>
      <c r="B1677" t="str">
        <f>IFERROR(SEARCH(#REF!,Table4[[#This Row],[Commodity Title]],1),"")</f>
        <v/>
      </c>
      <c r="C1677" s="35">
        <v>42201825</v>
      </c>
      <c r="D1677" s="33" t="s">
        <v>1495</v>
      </c>
      <c r="E1677" s="33" t="s">
        <v>1496</v>
      </c>
      <c r="F1677" s="33" t="s">
        <v>1497</v>
      </c>
      <c r="G1677" s="33" t="s">
        <v>4781</v>
      </c>
      <c r="H1677" s="33" t="s">
        <v>4782</v>
      </c>
      <c r="I1677" s="33" t="s">
        <v>4783</v>
      </c>
      <c r="J1677" s="33">
        <v>142574</v>
      </c>
      <c r="K1677" s="33" t="s">
        <v>4883</v>
      </c>
      <c r="L1677" s="33" t="s">
        <v>4884</v>
      </c>
      <c r="M1677" s="33" t="s">
        <v>4885</v>
      </c>
      <c r="N1677" s="44">
        <v>42201825</v>
      </c>
      <c r="O1677" s="33" t="s">
        <v>4929</v>
      </c>
      <c r="P1677" s="33" t="s">
        <v>4930</v>
      </c>
      <c r="Q1677" s="34" t="s">
        <v>1494</v>
      </c>
      <c r="R1677" s="34" t="s">
        <v>1494</v>
      </c>
    </row>
    <row r="1678" spans="1:18" ht="15" customHeight="1" x14ac:dyDescent="0.25">
      <c r="A1678" t="str">
        <f>IFERROR(RANK(B1678,$B:$B,1)+COUNTIF($B$1:B1677,B1678),"")</f>
        <v/>
      </c>
      <c r="B1678" t="str">
        <f>IFERROR(SEARCH(#REF!,Table4[[#This Row],[Commodity Title]],1),"")</f>
        <v/>
      </c>
      <c r="C1678" s="35">
        <v>42201826</v>
      </c>
      <c r="D1678" s="33" t="s">
        <v>1495</v>
      </c>
      <c r="E1678" s="33" t="s">
        <v>1496</v>
      </c>
      <c r="F1678" s="33" t="s">
        <v>1497</v>
      </c>
      <c r="G1678" s="33" t="s">
        <v>4781</v>
      </c>
      <c r="H1678" s="33" t="s">
        <v>4782</v>
      </c>
      <c r="I1678" s="33" t="s">
        <v>4783</v>
      </c>
      <c r="J1678" s="33">
        <v>142575</v>
      </c>
      <c r="K1678" s="33" t="s">
        <v>4883</v>
      </c>
      <c r="L1678" s="33" t="s">
        <v>4884</v>
      </c>
      <c r="M1678" s="33" t="s">
        <v>4885</v>
      </c>
      <c r="N1678" s="44">
        <v>42201826</v>
      </c>
      <c r="O1678" s="33" t="s">
        <v>4931</v>
      </c>
      <c r="P1678" s="33" t="s">
        <v>4932</v>
      </c>
      <c r="Q1678" s="34" t="s">
        <v>1494</v>
      </c>
      <c r="R1678" s="34" t="s">
        <v>1494</v>
      </c>
    </row>
    <row r="1679" spans="1:18" ht="15" customHeight="1" x14ac:dyDescent="0.25">
      <c r="A1679" t="str">
        <f>IFERROR(RANK(B1679,$B:$B,1)+COUNTIF($B$1:B1678,B1679),"")</f>
        <v/>
      </c>
      <c r="B1679" t="str">
        <f>IFERROR(SEARCH(#REF!,Table4[[#This Row],[Commodity Title]],1),"")</f>
        <v/>
      </c>
      <c r="C1679" s="35">
        <v>42201827</v>
      </c>
      <c r="D1679" s="33" t="s">
        <v>1495</v>
      </c>
      <c r="E1679" s="33" t="s">
        <v>1496</v>
      </c>
      <c r="F1679" s="33" t="s">
        <v>1497</v>
      </c>
      <c r="G1679" s="33" t="s">
        <v>4781</v>
      </c>
      <c r="H1679" s="33" t="s">
        <v>4782</v>
      </c>
      <c r="I1679" s="33" t="s">
        <v>4783</v>
      </c>
      <c r="J1679" s="33">
        <v>142576</v>
      </c>
      <c r="K1679" s="33" t="s">
        <v>4883</v>
      </c>
      <c r="L1679" s="33" t="s">
        <v>4884</v>
      </c>
      <c r="M1679" s="33" t="s">
        <v>4885</v>
      </c>
      <c r="N1679" s="44">
        <v>42201827</v>
      </c>
      <c r="O1679" s="33" t="s">
        <v>4933</v>
      </c>
      <c r="P1679" s="33" t="s">
        <v>4934</v>
      </c>
      <c r="Q1679" s="34" t="s">
        <v>1494</v>
      </c>
      <c r="R1679" s="34" t="s">
        <v>1494</v>
      </c>
    </row>
    <row r="1680" spans="1:18" ht="15" customHeight="1" x14ac:dyDescent="0.25">
      <c r="A1680" t="str">
        <f>IFERROR(RANK(B1680,$B:$B,1)+COUNTIF($B$1:B1679,B1680),"")</f>
        <v/>
      </c>
      <c r="B1680" t="str">
        <f>IFERROR(SEARCH(#REF!,Table4[[#This Row],[Commodity Title]],1),"")</f>
        <v/>
      </c>
      <c r="C1680" s="35">
        <v>42201828</v>
      </c>
      <c r="D1680" s="33" t="s">
        <v>1495</v>
      </c>
      <c r="E1680" s="33" t="s">
        <v>1496</v>
      </c>
      <c r="F1680" s="33" t="s">
        <v>1497</v>
      </c>
      <c r="G1680" s="33" t="s">
        <v>4781</v>
      </c>
      <c r="H1680" s="33" t="s">
        <v>4782</v>
      </c>
      <c r="I1680" s="33" t="s">
        <v>4783</v>
      </c>
      <c r="J1680" s="33">
        <v>142577</v>
      </c>
      <c r="K1680" s="33" t="s">
        <v>4883</v>
      </c>
      <c r="L1680" s="33" t="s">
        <v>4884</v>
      </c>
      <c r="M1680" s="33" t="s">
        <v>4885</v>
      </c>
      <c r="N1680" s="44">
        <v>42201828</v>
      </c>
      <c r="O1680" s="33" t="s">
        <v>4935</v>
      </c>
      <c r="P1680" s="33" t="s">
        <v>4936</v>
      </c>
      <c r="Q1680" s="34" t="s">
        <v>1494</v>
      </c>
      <c r="R1680" s="34" t="s">
        <v>1494</v>
      </c>
    </row>
    <row r="1681" spans="1:18" ht="15" customHeight="1" x14ac:dyDescent="0.25">
      <c r="A1681" t="str">
        <f>IFERROR(RANK(B1681,$B:$B,1)+COUNTIF($B$1:B1680,B1681),"")</f>
        <v/>
      </c>
      <c r="B1681" t="str">
        <f>IFERROR(SEARCH(#REF!,Table4[[#This Row],[Commodity Title]],1),"")</f>
        <v/>
      </c>
      <c r="C1681" s="35">
        <v>42201829</v>
      </c>
      <c r="D1681" s="33" t="s">
        <v>1495</v>
      </c>
      <c r="E1681" s="33" t="s">
        <v>1496</v>
      </c>
      <c r="F1681" s="33" t="s">
        <v>1497</v>
      </c>
      <c r="G1681" s="33" t="s">
        <v>4781</v>
      </c>
      <c r="H1681" s="33" t="s">
        <v>4782</v>
      </c>
      <c r="I1681" s="33" t="s">
        <v>4783</v>
      </c>
      <c r="J1681" s="33">
        <v>142578</v>
      </c>
      <c r="K1681" s="33" t="s">
        <v>4883</v>
      </c>
      <c r="L1681" s="33" t="s">
        <v>4884</v>
      </c>
      <c r="M1681" s="33" t="s">
        <v>4885</v>
      </c>
      <c r="N1681" s="44">
        <v>42201829</v>
      </c>
      <c r="O1681" s="33" t="s">
        <v>4937</v>
      </c>
      <c r="P1681" s="33" t="s">
        <v>4938</v>
      </c>
      <c r="Q1681" s="34" t="s">
        <v>1494</v>
      </c>
      <c r="R1681" s="34" t="s">
        <v>1494</v>
      </c>
    </row>
    <row r="1682" spans="1:18" ht="15" customHeight="1" x14ac:dyDescent="0.25">
      <c r="A1682" t="str">
        <f>IFERROR(RANK(B1682,$B:$B,1)+COUNTIF($B$1:B1681,B1682),"")</f>
        <v/>
      </c>
      <c r="B1682" t="str">
        <f>IFERROR(SEARCH(#REF!,Table4[[#This Row],[Commodity Title]],1),"")</f>
        <v/>
      </c>
      <c r="C1682" s="35">
        <v>42201830</v>
      </c>
      <c r="D1682" s="33" t="s">
        <v>1495</v>
      </c>
      <c r="E1682" s="33" t="s">
        <v>1496</v>
      </c>
      <c r="F1682" s="33" t="s">
        <v>1497</v>
      </c>
      <c r="G1682" s="33" t="s">
        <v>4781</v>
      </c>
      <c r="H1682" s="33" t="s">
        <v>4782</v>
      </c>
      <c r="I1682" s="33" t="s">
        <v>4783</v>
      </c>
      <c r="J1682" s="33">
        <v>142579</v>
      </c>
      <c r="K1682" s="33" t="s">
        <v>4883</v>
      </c>
      <c r="L1682" s="33" t="s">
        <v>4884</v>
      </c>
      <c r="M1682" s="33" t="s">
        <v>4885</v>
      </c>
      <c r="N1682" s="44">
        <v>42201830</v>
      </c>
      <c r="O1682" s="33" t="s">
        <v>4939</v>
      </c>
      <c r="P1682" s="33" t="s">
        <v>4940</v>
      </c>
      <c r="Q1682" s="34" t="s">
        <v>1494</v>
      </c>
      <c r="R1682" s="34" t="s">
        <v>1494</v>
      </c>
    </row>
    <row r="1683" spans="1:18" ht="15" customHeight="1" x14ac:dyDescent="0.25">
      <c r="A1683" t="str">
        <f>IFERROR(RANK(B1683,$B:$B,1)+COUNTIF($B$1:B1682,B1683),"")</f>
        <v/>
      </c>
      <c r="B1683" t="str">
        <f>IFERROR(SEARCH(#REF!,Table4[[#This Row],[Commodity Title]],1),"")</f>
        <v/>
      </c>
      <c r="C1683" s="35">
        <v>42201831</v>
      </c>
      <c r="D1683" s="33" t="s">
        <v>1495</v>
      </c>
      <c r="E1683" s="33" t="s">
        <v>1496</v>
      </c>
      <c r="F1683" s="33" t="s">
        <v>1497</v>
      </c>
      <c r="G1683" s="33" t="s">
        <v>4781</v>
      </c>
      <c r="H1683" s="33" t="s">
        <v>4782</v>
      </c>
      <c r="I1683" s="33" t="s">
        <v>4783</v>
      </c>
      <c r="J1683" s="33">
        <v>142580</v>
      </c>
      <c r="K1683" s="33" t="s">
        <v>4883</v>
      </c>
      <c r="L1683" s="33" t="s">
        <v>4884</v>
      </c>
      <c r="M1683" s="33" t="s">
        <v>4885</v>
      </c>
      <c r="N1683" s="44">
        <v>42201831</v>
      </c>
      <c r="O1683" s="33" t="s">
        <v>4941</v>
      </c>
      <c r="P1683" s="33" t="s">
        <v>4942</v>
      </c>
      <c r="Q1683" s="34" t="s">
        <v>1494</v>
      </c>
      <c r="R1683" s="34" t="s">
        <v>1494</v>
      </c>
    </row>
    <row r="1684" spans="1:18" ht="15" customHeight="1" x14ac:dyDescent="0.25">
      <c r="A1684" t="str">
        <f>IFERROR(RANK(B1684,$B:$B,1)+COUNTIF($B$1:B1683,B1684),"")</f>
        <v/>
      </c>
      <c r="B1684" t="str">
        <f>IFERROR(SEARCH(#REF!,Table4[[#This Row],[Commodity Title]],1),"")</f>
        <v/>
      </c>
      <c r="C1684" s="35">
        <v>42201832</v>
      </c>
      <c r="D1684" s="33" t="s">
        <v>1495</v>
      </c>
      <c r="E1684" s="33" t="s">
        <v>1496</v>
      </c>
      <c r="F1684" s="33" t="s">
        <v>1497</v>
      </c>
      <c r="G1684" s="33" t="s">
        <v>4781</v>
      </c>
      <c r="H1684" s="33" t="s">
        <v>4782</v>
      </c>
      <c r="I1684" s="33" t="s">
        <v>4783</v>
      </c>
      <c r="J1684" s="33">
        <v>142581</v>
      </c>
      <c r="K1684" s="33" t="s">
        <v>4883</v>
      </c>
      <c r="L1684" s="33" t="s">
        <v>4884</v>
      </c>
      <c r="M1684" s="33" t="s">
        <v>4885</v>
      </c>
      <c r="N1684" s="44">
        <v>42201832</v>
      </c>
      <c r="O1684" s="33" t="s">
        <v>4943</v>
      </c>
      <c r="P1684" s="33" t="s">
        <v>4944</v>
      </c>
      <c r="Q1684" s="34" t="s">
        <v>1494</v>
      </c>
      <c r="R1684" s="34" t="s">
        <v>1494</v>
      </c>
    </row>
    <row r="1685" spans="1:18" ht="15" customHeight="1" x14ac:dyDescent="0.25">
      <c r="A1685" t="str">
        <f>IFERROR(RANK(B1685,$B:$B,1)+COUNTIF($B$1:B1684,B1685),"")</f>
        <v/>
      </c>
      <c r="B1685" t="str">
        <f>IFERROR(SEARCH(#REF!,Table4[[#This Row],[Commodity Title]],1),"")</f>
        <v/>
      </c>
      <c r="C1685" s="35">
        <v>42201833</v>
      </c>
      <c r="D1685" s="33" t="s">
        <v>1495</v>
      </c>
      <c r="E1685" s="33" t="s">
        <v>1496</v>
      </c>
      <c r="F1685" s="33" t="s">
        <v>1497</v>
      </c>
      <c r="G1685" s="33" t="s">
        <v>4781</v>
      </c>
      <c r="H1685" s="33" t="s">
        <v>4782</v>
      </c>
      <c r="I1685" s="33" t="s">
        <v>4783</v>
      </c>
      <c r="J1685" s="33">
        <v>142582</v>
      </c>
      <c r="K1685" s="33" t="s">
        <v>4883</v>
      </c>
      <c r="L1685" s="33" t="s">
        <v>4884</v>
      </c>
      <c r="M1685" s="33" t="s">
        <v>4885</v>
      </c>
      <c r="N1685" s="44">
        <v>42201833</v>
      </c>
      <c r="O1685" s="33" t="s">
        <v>4945</v>
      </c>
      <c r="P1685" s="33" t="s">
        <v>4946</v>
      </c>
      <c r="Q1685" s="34" t="s">
        <v>1494</v>
      </c>
      <c r="R1685" s="34" t="s">
        <v>1494</v>
      </c>
    </row>
    <row r="1686" spans="1:18" ht="15" customHeight="1" x14ac:dyDescent="0.25">
      <c r="A1686" t="str">
        <f>IFERROR(RANK(B1686,$B:$B,1)+COUNTIF($B$1:B1685,B1686),"")</f>
        <v/>
      </c>
      <c r="B1686" t="str">
        <f>IFERROR(SEARCH(#REF!,Table4[[#This Row],[Commodity Title]],1),"")</f>
        <v/>
      </c>
      <c r="C1686" s="35">
        <v>42201834</v>
      </c>
      <c r="D1686" s="33" t="s">
        <v>1495</v>
      </c>
      <c r="E1686" s="33" t="s">
        <v>1496</v>
      </c>
      <c r="F1686" s="33" t="s">
        <v>1497</v>
      </c>
      <c r="G1686" s="33" t="s">
        <v>4781</v>
      </c>
      <c r="H1686" s="33" t="s">
        <v>4782</v>
      </c>
      <c r="I1686" s="33" t="s">
        <v>4783</v>
      </c>
      <c r="J1686" s="33">
        <v>142583</v>
      </c>
      <c r="K1686" s="33" t="s">
        <v>4883</v>
      </c>
      <c r="L1686" s="33" t="s">
        <v>4884</v>
      </c>
      <c r="M1686" s="33" t="s">
        <v>4885</v>
      </c>
      <c r="N1686" s="44">
        <v>42201834</v>
      </c>
      <c r="O1686" s="33" t="s">
        <v>4947</v>
      </c>
      <c r="P1686" s="33" t="s">
        <v>4948</v>
      </c>
      <c r="Q1686" s="34" t="s">
        <v>1494</v>
      </c>
      <c r="R1686" s="34" t="s">
        <v>1494</v>
      </c>
    </row>
    <row r="1687" spans="1:18" ht="15" customHeight="1" x14ac:dyDescent="0.25">
      <c r="A1687" t="str">
        <f>IFERROR(RANK(B1687,$B:$B,1)+COUNTIF($B$1:B1686,B1687),"")</f>
        <v/>
      </c>
      <c r="B1687" t="str">
        <f>IFERROR(SEARCH(#REF!,Table4[[#This Row],[Commodity Title]],1),"")</f>
        <v/>
      </c>
      <c r="C1687" s="35">
        <v>42201835</v>
      </c>
      <c r="D1687" s="33" t="s">
        <v>1495</v>
      </c>
      <c r="E1687" s="33" t="s">
        <v>1496</v>
      </c>
      <c r="F1687" s="33" t="s">
        <v>1497</v>
      </c>
      <c r="G1687" s="33" t="s">
        <v>4781</v>
      </c>
      <c r="H1687" s="33" t="s">
        <v>4782</v>
      </c>
      <c r="I1687" s="33" t="s">
        <v>4783</v>
      </c>
      <c r="J1687" s="33">
        <v>142584</v>
      </c>
      <c r="K1687" s="33" t="s">
        <v>4883</v>
      </c>
      <c r="L1687" s="33" t="s">
        <v>4884</v>
      </c>
      <c r="M1687" s="33" t="s">
        <v>4885</v>
      </c>
      <c r="N1687" s="44">
        <v>42201835</v>
      </c>
      <c r="O1687" s="33" t="s">
        <v>4949</v>
      </c>
      <c r="P1687" s="33" t="s">
        <v>4950</v>
      </c>
      <c r="Q1687" s="34" t="s">
        <v>1494</v>
      </c>
      <c r="R1687" s="34" t="s">
        <v>1494</v>
      </c>
    </row>
    <row r="1688" spans="1:18" ht="15" customHeight="1" x14ac:dyDescent="0.25">
      <c r="A1688" t="str">
        <f>IFERROR(RANK(B1688,$B:$B,1)+COUNTIF($B$1:B1687,B1688),"")</f>
        <v/>
      </c>
      <c r="B1688" t="str">
        <f>IFERROR(SEARCH(#REF!,Table4[[#This Row],[Commodity Title]],1),"")</f>
        <v/>
      </c>
      <c r="C1688" s="35">
        <v>42201836</v>
      </c>
      <c r="D1688" s="33" t="s">
        <v>1495</v>
      </c>
      <c r="E1688" s="33" t="s">
        <v>1496</v>
      </c>
      <c r="F1688" s="33" t="s">
        <v>1497</v>
      </c>
      <c r="G1688" s="33" t="s">
        <v>4781</v>
      </c>
      <c r="H1688" s="33" t="s">
        <v>4782</v>
      </c>
      <c r="I1688" s="33" t="s">
        <v>4783</v>
      </c>
      <c r="J1688" s="33">
        <v>142585</v>
      </c>
      <c r="K1688" s="33" t="s">
        <v>4883</v>
      </c>
      <c r="L1688" s="33" t="s">
        <v>4884</v>
      </c>
      <c r="M1688" s="33" t="s">
        <v>4885</v>
      </c>
      <c r="N1688" s="44">
        <v>42201836</v>
      </c>
      <c r="O1688" s="33" t="s">
        <v>4951</v>
      </c>
      <c r="P1688" s="33" t="s">
        <v>4952</v>
      </c>
      <c r="Q1688" s="34" t="s">
        <v>1494</v>
      </c>
      <c r="R1688" s="34" t="s">
        <v>1494</v>
      </c>
    </row>
    <row r="1689" spans="1:18" ht="15" customHeight="1" x14ac:dyDescent="0.25">
      <c r="A1689" t="str">
        <f>IFERROR(RANK(B1689,$B:$B,1)+COUNTIF($B$1:B1688,B1689),"")</f>
        <v/>
      </c>
      <c r="B1689" t="str">
        <f>IFERROR(SEARCH(#REF!,Table4[[#This Row],[Commodity Title]],1),"")</f>
        <v/>
      </c>
      <c r="C1689" s="35">
        <v>42201837</v>
      </c>
      <c r="D1689" s="33" t="s">
        <v>1495</v>
      </c>
      <c r="E1689" s="33" t="s">
        <v>1496</v>
      </c>
      <c r="F1689" s="33" t="s">
        <v>1497</v>
      </c>
      <c r="G1689" s="33" t="s">
        <v>4781</v>
      </c>
      <c r="H1689" s="33" t="s">
        <v>4782</v>
      </c>
      <c r="I1689" s="33" t="s">
        <v>4783</v>
      </c>
      <c r="J1689" s="33">
        <v>142586</v>
      </c>
      <c r="K1689" s="33" t="s">
        <v>4883</v>
      </c>
      <c r="L1689" s="33" t="s">
        <v>4884</v>
      </c>
      <c r="M1689" s="33" t="s">
        <v>4885</v>
      </c>
      <c r="N1689" s="44">
        <v>42201837</v>
      </c>
      <c r="O1689" s="33" t="s">
        <v>4953</v>
      </c>
      <c r="P1689" s="33" t="s">
        <v>4950</v>
      </c>
      <c r="Q1689" s="34" t="s">
        <v>1494</v>
      </c>
      <c r="R1689" s="34" t="s">
        <v>1494</v>
      </c>
    </row>
    <row r="1690" spans="1:18" ht="15" customHeight="1" x14ac:dyDescent="0.25">
      <c r="A1690" t="str">
        <f>IFERROR(RANK(B1690,$B:$B,1)+COUNTIF($B$1:B1689,B1690),"")</f>
        <v/>
      </c>
      <c r="B1690" t="str">
        <f>IFERROR(SEARCH(#REF!,Table4[[#This Row],[Commodity Title]],1),"")</f>
        <v/>
      </c>
      <c r="C1690" s="35">
        <v>42201838</v>
      </c>
      <c r="D1690" s="33" t="s">
        <v>1495</v>
      </c>
      <c r="E1690" s="33" t="s">
        <v>1496</v>
      </c>
      <c r="F1690" s="33" t="s">
        <v>1497</v>
      </c>
      <c r="G1690" s="33" t="s">
        <v>4781</v>
      </c>
      <c r="H1690" s="33" t="s">
        <v>4782</v>
      </c>
      <c r="I1690" s="33" t="s">
        <v>4783</v>
      </c>
      <c r="J1690" s="33">
        <v>142587</v>
      </c>
      <c r="K1690" s="33" t="s">
        <v>4883</v>
      </c>
      <c r="L1690" s="33" t="s">
        <v>4884</v>
      </c>
      <c r="M1690" s="33" t="s">
        <v>4885</v>
      </c>
      <c r="N1690" s="44">
        <v>42201838</v>
      </c>
      <c r="O1690" s="33" t="s">
        <v>4954</v>
      </c>
      <c r="P1690" s="33" t="s">
        <v>4955</v>
      </c>
      <c r="Q1690" s="34" t="s">
        <v>1494</v>
      </c>
      <c r="R1690" s="34" t="s">
        <v>1494</v>
      </c>
    </row>
    <row r="1691" spans="1:18" ht="15" customHeight="1" x14ac:dyDescent="0.25">
      <c r="A1691" t="str">
        <f>IFERROR(RANK(B1691,$B:$B,1)+COUNTIF($B$1:B1690,B1691),"")</f>
        <v/>
      </c>
      <c r="B1691" t="str">
        <f>IFERROR(SEARCH(#REF!,Table4[[#This Row],[Commodity Title]],1),"")</f>
        <v/>
      </c>
      <c r="C1691" s="35">
        <v>42201839</v>
      </c>
      <c r="D1691" s="33" t="s">
        <v>1495</v>
      </c>
      <c r="E1691" s="33" t="s">
        <v>1496</v>
      </c>
      <c r="F1691" s="33" t="s">
        <v>1497</v>
      </c>
      <c r="G1691" s="33" t="s">
        <v>4781</v>
      </c>
      <c r="H1691" s="33" t="s">
        <v>4782</v>
      </c>
      <c r="I1691" s="33" t="s">
        <v>4783</v>
      </c>
      <c r="J1691" s="33">
        <v>143039</v>
      </c>
      <c r="K1691" s="33" t="s">
        <v>4883</v>
      </c>
      <c r="L1691" s="33" t="s">
        <v>4884</v>
      </c>
      <c r="M1691" s="33" t="s">
        <v>4885</v>
      </c>
      <c r="N1691" s="44">
        <v>42201839</v>
      </c>
      <c r="O1691" s="33" t="s">
        <v>4956</v>
      </c>
      <c r="P1691" s="33" t="s">
        <v>4957</v>
      </c>
      <c r="Q1691" s="34" t="s">
        <v>1494</v>
      </c>
      <c r="R1691" s="34" t="s">
        <v>1494</v>
      </c>
    </row>
    <row r="1692" spans="1:18" ht="15" customHeight="1" x14ac:dyDescent="0.25">
      <c r="A1692" t="str">
        <f>IFERROR(RANK(B1692,$B:$B,1)+COUNTIF($B$1:B1691,B1692),"")</f>
        <v/>
      </c>
      <c r="B1692" t="str">
        <f>IFERROR(SEARCH(#REF!,Table4[[#This Row],[Commodity Title]],1),"")</f>
        <v/>
      </c>
      <c r="C1692" s="35">
        <v>42201840</v>
      </c>
      <c r="D1692" s="33" t="s">
        <v>1495</v>
      </c>
      <c r="E1692" s="33" t="s">
        <v>1496</v>
      </c>
      <c r="F1692" s="33" t="s">
        <v>1497</v>
      </c>
      <c r="G1692" s="33" t="s">
        <v>4781</v>
      </c>
      <c r="H1692" s="33" t="s">
        <v>4782</v>
      </c>
      <c r="I1692" s="33" t="s">
        <v>4783</v>
      </c>
      <c r="J1692" s="33">
        <v>143494</v>
      </c>
      <c r="K1692" s="33" t="s">
        <v>4883</v>
      </c>
      <c r="L1692" s="33" t="s">
        <v>4884</v>
      </c>
      <c r="M1692" s="33" t="s">
        <v>4885</v>
      </c>
      <c r="N1692" s="44">
        <v>42201840</v>
      </c>
      <c r="O1692" s="33" t="s">
        <v>4958</v>
      </c>
      <c r="P1692" s="33" t="s">
        <v>4959</v>
      </c>
      <c r="Q1692" s="34" t="s">
        <v>1494</v>
      </c>
      <c r="R1692" s="34" t="s">
        <v>1494</v>
      </c>
    </row>
    <row r="1693" spans="1:18" ht="15" customHeight="1" x14ac:dyDescent="0.25">
      <c r="A1693" t="str">
        <f>IFERROR(RANK(B1693,$B:$B,1)+COUNTIF($B$1:B1692,B1693),"")</f>
        <v/>
      </c>
      <c r="B1693" t="str">
        <f>IFERROR(SEARCH(#REF!,Table4[[#This Row],[Commodity Title]],1),"")</f>
        <v/>
      </c>
      <c r="C1693" s="35">
        <v>42201841</v>
      </c>
      <c r="D1693" s="33" t="s">
        <v>1495</v>
      </c>
      <c r="E1693" s="33" t="s">
        <v>1496</v>
      </c>
      <c r="F1693" s="33" t="s">
        <v>1497</v>
      </c>
      <c r="G1693" s="33" t="s">
        <v>4781</v>
      </c>
      <c r="H1693" s="33" t="s">
        <v>4782</v>
      </c>
      <c r="I1693" s="33" t="s">
        <v>4783</v>
      </c>
      <c r="J1693" s="33">
        <v>143847</v>
      </c>
      <c r="K1693" s="33" t="s">
        <v>4883</v>
      </c>
      <c r="L1693" s="33" t="s">
        <v>4884</v>
      </c>
      <c r="M1693" s="33" t="s">
        <v>4885</v>
      </c>
      <c r="N1693" s="44">
        <v>42201841</v>
      </c>
      <c r="O1693" s="33" t="s">
        <v>4960</v>
      </c>
      <c r="P1693" s="33" t="s">
        <v>4961</v>
      </c>
      <c r="Q1693" s="34" t="s">
        <v>1494</v>
      </c>
      <c r="R1693" s="34" t="s">
        <v>1494</v>
      </c>
    </row>
    <row r="1694" spans="1:18" ht="15" customHeight="1" x14ac:dyDescent="0.25">
      <c r="A1694" t="str">
        <f>IFERROR(RANK(B1694,$B:$B,1)+COUNTIF($B$1:B1693,B1694),"")</f>
        <v/>
      </c>
      <c r="B1694" t="str">
        <f>IFERROR(SEARCH(#REF!,Table4[[#This Row],[Commodity Title]],1),"")</f>
        <v/>
      </c>
      <c r="C1694" s="35">
        <v>42201843</v>
      </c>
      <c r="D1694" s="33" t="s">
        <v>1495</v>
      </c>
      <c r="E1694" s="33" t="s">
        <v>1496</v>
      </c>
      <c r="F1694" s="33" t="s">
        <v>1497</v>
      </c>
      <c r="G1694" s="33" t="s">
        <v>4781</v>
      </c>
      <c r="H1694" s="33" t="s">
        <v>4782</v>
      </c>
      <c r="I1694" s="33" t="s">
        <v>4783</v>
      </c>
      <c r="J1694" s="33">
        <v>145848</v>
      </c>
      <c r="K1694" s="33" t="s">
        <v>4883</v>
      </c>
      <c r="L1694" s="33" t="s">
        <v>4884</v>
      </c>
      <c r="M1694" s="33" t="s">
        <v>4885</v>
      </c>
      <c r="N1694" s="44">
        <v>42201843</v>
      </c>
      <c r="O1694" s="33" t="s">
        <v>4962</v>
      </c>
      <c r="P1694" s="33" t="s">
        <v>4963</v>
      </c>
      <c r="Q1694" s="34" t="s">
        <v>1494</v>
      </c>
      <c r="R1694" s="34" t="s">
        <v>1494</v>
      </c>
    </row>
    <row r="1695" spans="1:18" ht="15" customHeight="1" x14ac:dyDescent="0.25">
      <c r="A1695" t="str">
        <f>IFERROR(RANK(B1695,$B:$B,1)+COUNTIF($B$1:B1694,B1695),"")</f>
        <v/>
      </c>
      <c r="B1695" t="str">
        <f>IFERROR(SEARCH(#REF!,Table4[[#This Row],[Commodity Title]],1),"")</f>
        <v/>
      </c>
      <c r="C1695" s="35">
        <v>42201844</v>
      </c>
      <c r="D1695" s="33" t="s">
        <v>1495</v>
      </c>
      <c r="E1695" s="33" t="s">
        <v>1496</v>
      </c>
      <c r="F1695" s="33" t="s">
        <v>1497</v>
      </c>
      <c r="G1695" s="33" t="s">
        <v>4781</v>
      </c>
      <c r="H1695" s="33" t="s">
        <v>4782</v>
      </c>
      <c r="I1695" s="33" t="s">
        <v>4783</v>
      </c>
      <c r="J1695" s="33">
        <v>145860</v>
      </c>
      <c r="K1695" s="33" t="s">
        <v>4883</v>
      </c>
      <c r="L1695" s="33" t="s">
        <v>4884</v>
      </c>
      <c r="M1695" s="33" t="s">
        <v>4885</v>
      </c>
      <c r="N1695" s="44">
        <v>42201844</v>
      </c>
      <c r="O1695" s="33" t="s">
        <v>4964</v>
      </c>
      <c r="P1695" s="33" t="s">
        <v>4965</v>
      </c>
      <c r="Q1695" s="34" t="s">
        <v>1494</v>
      </c>
      <c r="R1695" s="34" t="s">
        <v>1494</v>
      </c>
    </row>
    <row r="1696" spans="1:18" ht="15" customHeight="1" x14ac:dyDescent="0.25">
      <c r="A1696" t="str">
        <f>IFERROR(RANK(B1696,$B:$B,1)+COUNTIF($B$1:B1695,B1696),"")</f>
        <v/>
      </c>
      <c r="B1696" t="str">
        <f>IFERROR(SEARCH(#REF!,Table4[[#This Row],[Commodity Title]],1),"")</f>
        <v/>
      </c>
      <c r="C1696" s="35">
        <v>42201845</v>
      </c>
      <c r="D1696" s="33" t="s">
        <v>1495</v>
      </c>
      <c r="E1696" s="33" t="s">
        <v>1496</v>
      </c>
      <c r="F1696" s="33" t="s">
        <v>1497</v>
      </c>
      <c r="G1696" s="33" t="s">
        <v>4781</v>
      </c>
      <c r="H1696" s="33" t="s">
        <v>4782</v>
      </c>
      <c r="I1696" s="33" t="s">
        <v>4783</v>
      </c>
      <c r="J1696" s="33">
        <v>146115</v>
      </c>
      <c r="K1696" s="33" t="s">
        <v>4883</v>
      </c>
      <c r="L1696" s="33" t="s">
        <v>4884</v>
      </c>
      <c r="M1696" s="33" t="s">
        <v>4885</v>
      </c>
      <c r="N1696" s="44">
        <v>42201845</v>
      </c>
      <c r="O1696" s="33" t="s">
        <v>4966</v>
      </c>
      <c r="P1696" s="33" t="s">
        <v>4967</v>
      </c>
      <c r="Q1696" s="34" t="s">
        <v>1494</v>
      </c>
      <c r="R1696" s="34" t="s">
        <v>1494</v>
      </c>
    </row>
    <row r="1697" spans="1:18" ht="15" customHeight="1" x14ac:dyDescent="0.25">
      <c r="A1697" t="str">
        <f>IFERROR(RANK(B1697,$B:$B,1)+COUNTIF($B$1:B1696,B1697),"")</f>
        <v/>
      </c>
      <c r="B1697" t="str">
        <f>IFERROR(SEARCH(#REF!,Table4[[#This Row],[Commodity Title]],1),"")</f>
        <v/>
      </c>
      <c r="C1697" s="35">
        <v>42201846</v>
      </c>
      <c r="D1697" s="33" t="s">
        <v>1495</v>
      </c>
      <c r="E1697" s="33" t="s">
        <v>1496</v>
      </c>
      <c r="F1697" s="33" t="s">
        <v>1497</v>
      </c>
      <c r="G1697" s="33" t="s">
        <v>4781</v>
      </c>
      <c r="H1697" s="33" t="s">
        <v>4782</v>
      </c>
      <c r="I1697" s="33" t="s">
        <v>4783</v>
      </c>
      <c r="J1697" s="33">
        <v>174381</v>
      </c>
      <c r="K1697" s="33" t="s">
        <v>4883</v>
      </c>
      <c r="L1697" s="33" t="s">
        <v>4884</v>
      </c>
      <c r="M1697" s="33" t="s">
        <v>4885</v>
      </c>
      <c r="N1697" s="44">
        <v>42201846</v>
      </c>
      <c r="O1697" s="33" t="s">
        <v>4968</v>
      </c>
      <c r="P1697" s="33" t="s">
        <v>4969</v>
      </c>
      <c r="Q1697" s="34" t="s">
        <v>1494</v>
      </c>
      <c r="R1697" s="34" t="s">
        <v>1494</v>
      </c>
    </row>
    <row r="1698" spans="1:18" ht="15" customHeight="1" x14ac:dyDescent="0.25">
      <c r="A1698" t="str">
        <f>IFERROR(RANK(B1698,$B:$B,1)+COUNTIF($B$1:B1697,B1698),"")</f>
        <v/>
      </c>
      <c r="B1698" t="str">
        <f>IFERROR(SEARCH(#REF!,Table4[[#This Row],[Commodity Title]],1),"")</f>
        <v/>
      </c>
      <c r="C1698" s="35">
        <v>42201847</v>
      </c>
      <c r="D1698" s="33" t="s">
        <v>1495</v>
      </c>
      <c r="E1698" s="33" t="s">
        <v>1496</v>
      </c>
      <c r="F1698" s="33" t="s">
        <v>1497</v>
      </c>
      <c r="G1698" s="33" t="s">
        <v>4781</v>
      </c>
      <c r="H1698" s="33" t="s">
        <v>4782</v>
      </c>
      <c r="I1698" s="33" t="s">
        <v>4783</v>
      </c>
      <c r="J1698" s="33">
        <v>174382</v>
      </c>
      <c r="K1698" s="33" t="s">
        <v>4883</v>
      </c>
      <c r="L1698" s="33" t="s">
        <v>4884</v>
      </c>
      <c r="M1698" s="33" t="s">
        <v>4885</v>
      </c>
      <c r="N1698" s="44">
        <v>42201847</v>
      </c>
      <c r="O1698" s="33" t="s">
        <v>4970</v>
      </c>
      <c r="P1698" s="33" t="s">
        <v>4971</v>
      </c>
      <c r="Q1698" s="34" t="s">
        <v>1494</v>
      </c>
      <c r="R1698" s="34" t="s">
        <v>1494</v>
      </c>
    </row>
    <row r="1699" spans="1:18" ht="15" customHeight="1" x14ac:dyDescent="0.25">
      <c r="A1699" t="str">
        <f>IFERROR(RANK(B1699,$B:$B,1)+COUNTIF($B$1:B1698,B1699),"")</f>
        <v/>
      </c>
      <c r="B1699" t="str">
        <f>IFERROR(SEARCH(#REF!,Table4[[#This Row],[Commodity Title]],1),"")</f>
        <v/>
      </c>
      <c r="C1699" s="35">
        <v>42201848</v>
      </c>
      <c r="D1699" s="33" t="s">
        <v>1495</v>
      </c>
      <c r="E1699" s="33" t="s">
        <v>1496</v>
      </c>
      <c r="F1699" s="33" t="s">
        <v>1497</v>
      </c>
      <c r="G1699" s="33" t="s">
        <v>4781</v>
      </c>
      <c r="H1699" s="33" t="s">
        <v>4782</v>
      </c>
      <c r="I1699" s="33" t="s">
        <v>4783</v>
      </c>
      <c r="J1699" s="33">
        <v>174383</v>
      </c>
      <c r="K1699" s="33" t="s">
        <v>4883</v>
      </c>
      <c r="L1699" s="33" t="s">
        <v>4884</v>
      </c>
      <c r="M1699" s="33" t="s">
        <v>4885</v>
      </c>
      <c r="N1699" s="44">
        <v>42201848</v>
      </c>
      <c r="O1699" s="33" t="s">
        <v>4972</v>
      </c>
      <c r="P1699" s="33" t="s">
        <v>4973</v>
      </c>
      <c r="Q1699" s="34" t="s">
        <v>1494</v>
      </c>
      <c r="R1699" s="34" t="s">
        <v>1494</v>
      </c>
    </row>
    <row r="1700" spans="1:18" ht="15" customHeight="1" x14ac:dyDescent="0.25">
      <c r="A1700" t="str">
        <f>IFERROR(RANK(B1700,$B:$B,1)+COUNTIF($B$1:B1699,B1700),"")</f>
        <v/>
      </c>
      <c r="B1700" t="str">
        <f>IFERROR(SEARCH(#REF!,Table4[[#This Row],[Commodity Title]],1),"")</f>
        <v/>
      </c>
      <c r="C1700" s="35">
        <v>42201849</v>
      </c>
      <c r="D1700" s="33" t="s">
        <v>1495</v>
      </c>
      <c r="E1700" s="33" t="s">
        <v>1496</v>
      </c>
      <c r="F1700" s="33" t="s">
        <v>1497</v>
      </c>
      <c r="G1700" s="33" t="s">
        <v>4781</v>
      </c>
      <c r="H1700" s="33" t="s">
        <v>4782</v>
      </c>
      <c r="I1700" s="33" t="s">
        <v>4783</v>
      </c>
      <c r="J1700" s="33">
        <v>174384</v>
      </c>
      <c r="K1700" s="33" t="s">
        <v>4883</v>
      </c>
      <c r="L1700" s="33" t="s">
        <v>4884</v>
      </c>
      <c r="M1700" s="33" t="s">
        <v>4885</v>
      </c>
      <c r="N1700" s="44">
        <v>42201849</v>
      </c>
      <c r="O1700" s="33" t="s">
        <v>4974</v>
      </c>
      <c r="P1700" s="33" t="s">
        <v>4975</v>
      </c>
      <c r="Q1700" s="34" t="s">
        <v>1494</v>
      </c>
      <c r="R1700" s="34" t="s">
        <v>1494</v>
      </c>
    </row>
    <row r="1701" spans="1:18" ht="15" customHeight="1" x14ac:dyDescent="0.25">
      <c r="A1701" t="str">
        <f>IFERROR(RANK(B1701,$B:$B,1)+COUNTIF($B$1:B1700,B1701),"")</f>
        <v/>
      </c>
      <c r="B1701" t="str">
        <f>IFERROR(SEARCH(#REF!,Table4[[#This Row],[Commodity Title]],1),"")</f>
        <v/>
      </c>
      <c r="C1701" s="35">
        <v>42201850</v>
      </c>
      <c r="D1701" s="33" t="s">
        <v>1495</v>
      </c>
      <c r="E1701" s="33" t="s">
        <v>1496</v>
      </c>
      <c r="F1701" s="33" t="s">
        <v>1497</v>
      </c>
      <c r="G1701" s="33" t="s">
        <v>4781</v>
      </c>
      <c r="H1701" s="33" t="s">
        <v>4782</v>
      </c>
      <c r="I1701" s="33" t="s">
        <v>4783</v>
      </c>
      <c r="J1701" s="33">
        <v>174385</v>
      </c>
      <c r="K1701" s="33" t="s">
        <v>4883</v>
      </c>
      <c r="L1701" s="33" t="s">
        <v>4884</v>
      </c>
      <c r="M1701" s="33" t="s">
        <v>4885</v>
      </c>
      <c r="N1701" s="44">
        <v>42201850</v>
      </c>
      <c r="O1701" s="33" t="s">
        <v>4976</v>
      </c>
      <c r="P1701" s="33" t="s">
        <v>4977</v>
      </c>
      <c r="Q1701" s="34" t="s">
        <v>1494</v>
      </c>
      <c r="R1701" s="34" t="s">
        <v>1494</v>
      </c>
    </row>
    <row r="1702" spans="1:18" ht="15" customHeight="1" x14ac:dyDescent="0.25">
      <c r="A1702" t="str">
        <f>IFERROR(RANK(B1702,$B:$B,1)+COUNTIF($B$1:B1701,B1702),"")</f>
        <v/>
      </c>
      <c r="B1702" t="str">
        <f>IFERROR(SEARCH(#REF!,Table4[[#This Row],[Commodity Title]],1),"")</f>
        <v/>
      </c>
      <c r="C1702" s="35">
        <v>42201851</v>
      </c>
      <c r="D1702" s="33" t="s">
        <v>1495</v>
      </c>
      <c r="E1702" s="33" t="s">
        <v>1496</v>
      </c>
      <c r="F1702" s="33" t="s">
        <v>1497</v>
      </c>
      <c r="G1702" s="33" t="s">
        <v>4781</v>
      </c>
      <c r="H1702" s="33" t="s">
        <v>4782</v>
      </c>
      <c r="I1702" s="33" t="s">
        <v>4783</v>
      </c>
      <c r="J1702" s="33">
        <v>174386</v>
      </c>
      <c r="K1702" s="33" t="s">
        <v>4883</v>
      </c>
      <c r="L1702" s="33" t="s">
        <v>4884</v>
      </c>
      <c r="M1702" s="33" t="s">
        <v>4885</v>
      </c>
      <c r="N1702" s="44">
        <v>42201851</v>
      </c>
      <c r="O1702" s="33" t="s">
        <v>4978</v>
      </c>
      <c r="P1702" s="33" t="s">
        <v>4979</v>
      </c>
      <c r="Q1702" s="34" t="s">
        <v>1494</v>
      </c>
      <c r="R1702" s="34" t="s">
        <v>1494</v>
      </c>
    </row>
    <row r="1703" spans="1:18" ht="15" customHeight="1" x14ac:dyDescent="0.25">
      <c r="A1703" t="str">
        <f>IFERROR(RANK(B1703,$B:$B,1)+COUNTIF($B$1:B1702,B1703),"")</f>
        <v/>
      </c>
      <c r="B1703" t="str">
        <f>IFERROR(SEARCH(#REF!,Table4[[#This Row],[Commodity Title]],1),"")</f>
        <v/>
      </c>
      <c r="C1703" s="35">
        <v>42201852</v>
      </c>
      <c r="D1703" s="33" t="s">
        <v>1495</v>
      </c>
      <c r="E1703" s="33" t="s">
        <v>1496</v>
      </c>
      <c r="F1703" s="33" t="s">
        <v>1497</v>
      </c>
      <c r="G1703" s="33" t="s">
        <v>4781</v>
      </c>
      <c r="H1703" s="33" t="s">
        <v>4782</v>
      </c>
      <c r="I1703" s="33" t="s">
        <v>4783</v>
      </c>
      <c r="J1703" s="33">
        <v>174387</v>
      </c>
      <c r="K1703" s="33" t="s">
        <v>4883</v>
      </c>
      <c r="L1703" s="33" t="s">
        <v>4884</v>
      </c>
      <c r="M1703" s="33" t="s">
        <v>4885</v>
      </c>
      <c r="N1703" s="44">
        <v>42201852</v>
      </c>
      <c r="O1703" s="33" t="s">
        <v>4980</v>
      </c>
      <c r="P1703" s="33" t="s">
        <v>4981</v>
      </c>
      <c r="Q1703" s="34" t="s">
        <v>1494</v>
      </c>
      <c r="R1703" s="34" t="s">
        <v>1494</v>
      </c>
    </row>
    <row r="1704" spans="1:18" ht="15" customHeight="1" x14ac:dyDescent="0.25">
      <c r="A1704" t="str">
        <f>IFERROR(RANK(B1704,$B:$B,1)+COUNTIF($B$1:B1703,B1704),"")</f>
        <v/>
      </c>
      <c r="B1704" t="str">
        <f>IFERROR(SEARCH(#REF!,Table4[[#This Row],[Commodity Title]],1),"")</f>
        <v/>
      </c>
      <c r="C1704" s="35">
        <v>42201853</v>
      </c>
      <c r="D1704" s="33" t="s">
        <v>1495</v>
      </c>
      <c r="E1704" s="33" t="s">
        <v>1496</v>
      </c>
      <c r="F1704" s="33" t="s">
        <v>1497</v>
      </c>
      <c r="G1704" s="33" t="s">
        <v>4781</v>
      </c>
      <c r="H1704" s="33" t="s">
        <v>4782</v>
      </c>
      <c r="I1704" s="33" t="s">
        <v>4783</v>
      </c>
      <c r="J1704" s="33">
        <v>142504</v>
      </c>
      <c r="K1704" s="33" t="s">
        <v>4883</v>
      </c>
      <c r="L1704" s="33" t="s">
        <v>4884</v>
      </c>
      <c r="M1704" s="33" t="s">
        <v>4885</v>
      </c>
      <c r="N1704" s="44">
        <v>42201853</v>
      </c>
      <c r="O1704" s="33" t="s">
        <v>4982</v>
      </c>
      <c r="P1704" s="33" t="s">
        <v>4983</v>
      </c>
      <c r="Q1704" s="34" t="s">
        <v>1494</v>
      </c>
      <c r="R1704" s="34" t="s">
        <v>1494</v>
      </c>
    </row>
    <row r="1705" spans="1:18" ht="15" customHeight="1" x14ac:dyDescent="0.25">
      <c r="A1705" t="str">
        <f>IFERROR(RANK(B1705,$B:$B,1)+COUNTIF($B$1:B1704,B1705),"")</f>
        <v/>
      </c>
      <c r="B1705" t="str">
        <f>IFERROR(SEARCH(#REF!,Table4[[#This Row],[Commodity Title]],1),"")</f>
        <v/>
      </c>
      <c r="C1705" s="35">
        <v>42201854</v>
      </c>
      <c r="D1705" s="33" t="s">
        <v>1495</v>
      </c>
      <c r="E1705" s="33" t="s">
        <v>1496</v>
      </c>
      <c r="F1705" s="33" t="s">
        <v>1497</v>
      </c>
      <c r="G1705" s="33" t="s">
        <v>4781</v>
      </c>
      <c r="H1705" s="33" t="s">
        <v>4782</v>
      </c>
      <c r="I1705" s="33" t="s">
        <v>4783</v>
      </c>
      <c r="J1705" s="33">
        <v>202834</v>
      </c>
      <c r="K1705" s="33" t="s">
        <v>4883</v>
      </c>
      <c r="L1705" s="33" t="s">
        <v>4884</v>
      </c>
      <c r="M1705" s="33" t="s">
        <v>4885</v>
      </c>
      <c r="N1705" s="44">
        <v>42201854</v>
      </c>
      <c r="O1705" s="33" t="s">
        <v>4984</v>
      </c>
      <c r="P1705" s="33" t="s">
        <v>4985</v>
      </c>
      <c r="Q1705" s="34" t="s">
        <v>1494</v>
      </c>
      <c r="R1705" s="34" t="s">
        <v>1494</v>
      </c>
    </row>
    <row r="1706" spans="1:18" ht="15" customHeight="1" x14ac:dyDescent="0.25">
      <c r="A1706" t="str">
        <f>IFERROR(RANK(B1706,$B:$B,1)+COUNTIF($B$1:B1705,B1706),"")</f>
        <v/>
      </c>
      <c r="B1706" t="str">
        <f>IFERROR(SEARCH(#REF!,Table4[[#This Row],[Commodity Title]],1),"")</f>
        <v/>
      </c>
      <c r="C1706" s="35">
        <v>42201855</v>
      </c>
      <c r="D1706" s="33" t="s">
        <v>1495</v>
      </c>
      <c r="E1706" s="33" t="s">
        <v>1496</v>
      </c>
      <c r="F1706" s="33" t="s">
        <v>1497</v>
      </c>
      <c r="G1706" s="33" t="s">
        <v>4781</v>
      </c>
      <c r="H1706" s="33" t="s">
        <v>4782</v>
      </c>
      <c r="I1706" s="33" t="s">
        <v>4783</v>
      </c>
      <c r="J1706" s="33">
        <v>202835</v>
      </c>
      <c r="K1706" s="33" t="s">
        <v>4883</v>
      </c>
      <c r="L1706" s="33" t="s">
        <v>4884</v>
      </c>
      <c r="M1706" s="33" t="s">
        <v>4885</v>
      </c>
      <c r="N1706" s="44">
        <v>42201855</v>
      </c>
      <c r="O1706" s="33" t="s">
        <v>4986</v>
      </c>
      <c r="P1706" s="33" t="s">
        <v>4987</v>
      </c>
      <c r="Q1706" s="34" t="s">
        <v>1494</v>
      </c>
      <c r="R1706" s="34" t="s">
        <v>1494</v>
      </c>
    </row>
    <row r="1707" spans="1:18" ht="15" customHeight="1" x14ac:dyDescent="0.25">
      <c r="A1707" t="str">
        <f>IFERROR(RANK(B1707,$B:$B,1)+COUNTIF($B$1:B1706,B1707),"")</f>
        <v/>
      </c>
      <c r="B1707" t="str">
        <f>IFERROR(SEARCH(#REF!,Table4[[#This Row],[Commodity Title]],1),"")</f>
        <v/>
      </c>
      <c r="C1707" s="35">
        <v>42201856</v>
      </c>
      <c r="D1707" s="33" t="s">
        <v>1495</v>
      </c>
      <c r="E1707" s="33" t="s">
        <v>1496</v>
      </c>
      <c r="F1707" s="33" t="s">
        <v>1497</v>
      </c>
      <c r="G1707" s="33" t="s">
        <v>4781</v>
      </c>
      <c r="H1707" s="33" t="s">
        <v>4782</v>
      </c>
      <c r="I1707" s="33" t="s">
        <v>4783</v>
      </c>
      <c r="J1707" s="33">
        <v>202836</v>
      </c>
      <c r="K1707" s="33" t="s">
        <v>4883</v>
      </c>
      <c r="L1707" s="33" t="s">
        <v>4884</v>
      </c>
      <c r="M1707" s="33" t="s">
        <v>4885</v>
      </c>
      <c r="N1707" s="44">
        <v>42201856</v>
      </c>
      <c r="O1707" s="33" t="s">
        <v>4988</v>
      </c>
      <c r="P1707" s="33" t="s">
        <v>4989</v>
      </c>
      <c r="Q1707" s="34" t="s">
        <v>1494</v>
      </c>
      <c r="R1707" s="34" t="s">
        <v>1494</v>
      </c>
    </row>
    <row r="1708" spans="1:18" ht="15" customHeight="1" x14ac:dyDescent="0.25">
      <c r="A1708" t="str">
        <f>IFERROR(RANK(B1708,$B:$B,1)+COUNTIF($B$1:B1707,B1708),"")</f>
        <v/>
      </c>
      <c r="B1708" t="str">
        <f>IFERROR(SEARCH(#REF!,Table4[[#This Row],[Commodity Title]],1),"")</f>
        <v/>
      </c>
      <c r="C1708" s="35">
        <v>42201857</v>
      </c>
      <c r="D1708" s="33" t="s">
        <v>1495</v>
      </c>
      <c r="E1708" s="33" t="s">
        <v>1496</v>
      </c>
      <c r="F1708" s="33" t="s">
        <v>1497</v>
      </c>
      <c r="G1708" s="33" t="s">
        <v>4781</v>
      </c>
      <c r="H1708" s="33" t="s">
        <v>4782</v>
      </c>
      <c r="I1708" s="33" t="s">
        <v>4783</v>
      </c>
      <c r="J1708" s="33">
        <v>202837</v>
      </c>
      <c r="K1708" s="33" t="s">
        <v>4883</v>
      </c>
      <c r="L1708" s="33" t="s">
        <v>4884</v>
      </c>
      <c r="M1708" s="33" t="s">
        <v>4885</v>
      </c>
      <c r="N1708" s="44">
        <v>42201857</v>
      </c>
      <c r="O1708" s="33" t="s">
        <v>4990</v>
      </c>
      <c r="P1708" s="33" t="s">
        <v>4991</v>
      </c>
      <c r="Q1708" s="34" t="s">
        <v>1494</v>
      </c>
      <c r="R1708" s="34" t="s">
        <v>1494</v>
      </c>
    </row>
    <row r="1709" spans="1:18" ht="15" customHeight="1" x14ac:dyDescent="0.25">
      <c r="A1709" t="str">
        <f>IFERROR(RANK(B1709,$B:$B,1)+COUNTIF($B$1:B1708,B1709),"")</f>
        <v/>
      </c>
      <c r="B1709" t="str">
        <f>IFERROR(SEARCH(#REF!,Table4[[#This Row],[Commodity Title]],1),"")</f>
        <v/>
      </c>
      <c r="C1709" s="35">
        <v>42201858</v>
      </c>
      <c r="D1709" s="33" t="s">
        <v>1495</v>
      </c>
      <c r="E1709" s="33" t="s">
        <v>1496</v>
      </c>
      <c r="F1709" s="33" t="s">
        <v>1497</v>
      </c>
      <c r="G1709" s="33" t="s">
        <v>4781</v>
      </c>
      <c r="H1709" s="33" t="s">
        <v>4782</v>
      </c>
      <c r="I1709" s="33" t="s">
        <v>4783</v>
      </c>
      <c r="J1709" s="33">
        <v>202838</v>
      </c>
      <c r="K1709" s="33" t="s">
        <v>4883</v>
      </c>
      <c r="L1709" s="33" t="s">
        <v>4884</v>
      </c>
      <c r="M1709" s="33" t="s">
        <v>4885</v>
      </c>
      <c r="N1709" s="44">
        <v>42201858</v>
      </c>
      <c r="O1709" s="33" t="s">
        <v>4992</v>
      </c>
      <c r="P1709" s="33" t="s">
        <v>4993</v>
      </c>
      <c r="Q1709" s="34" t="s">
        <v>1494</v>
      </c>
      <c r="R1709" s="34" t="s">
        <v>1494</v>
      </c>
    </row>
    <row r="1710" spans="1:18" ht="15" customHeight="1" x14ac:dyDescent="0.25">
      <c r="A1710" t="str">
        <f>IFERROR(RANK(B1710,$B:$B,1)+COUNTIF($B$1:B1709,B1710),"")</f>
        <v/>
      </c>
      <c r="B1710" t="str">
        <f>IFERROR(SEARCH(#REF!,Table4[[#This Row],[Commodity Title]],1),"")</f>
        <v/>
      </c>
      <c r="C1710" s="35">
        <v>42201859</v>
      </c>
      <c r="D1710" s="33" t="s">
        <v>1495</v>
      </c>
      <c r="E1710" s="33" t="s">
        <v>1496</v>
      </c>
      <c r="F1710" s="33" t="s">
        <v>1497</v>
      </c>
      <c r="G1710" s="33" t="s">
        <v>4781</v>
      </c>
      <c r="H1710" s="33" t="s">
        <v>4782</v>
      </c>
      <c r="I1710" s="33" t="s">
        <v>4783</v>
      </c>
      <c r="J1710" s="33">
        <v>202839</v>
      </c>
      <c r="K1710" s="33" t="s">
        <v>4883</v>
      </c>
      <c r="L1710" s="33" t="s">
        <v>4884</v>
      </c>
      <c r="M1710" s="33" t="s">
        <v>4885</v>
      </c>
      <c r="N1710" s="44">
        <v>42201859</v>
      </c>
      <c r="O1710" s="33" t="s">
        <v>4994</v>
      </c>
      <c r="P1710" s="33" t="s">
        <v>4995</v>
      </c>
      <c r="Q1710" s="34" t="s">
        <v>1494</v>
      </c>
      <c r="R1710" s="34" t="s">
        <v>1494</v>
      </c>
    </row>
    <row r="1711" spans="1:18" ht="15" customHeight="1" x14ac:dyDescent="0.25">
      <c r="A1711" t="str">
        <f>IFERROR(RANK(B1711,$B:$B,1)+COUNTIF($B$1:B1710,B1711),"")</f>
        <v/>
      </c>
      <c r="B1711" t="str">
        <f>IFERROR(SEARCH(#REF!,Table4[[#This Row],[Commodity Title]],1),"")</f>
        <v/>
      </c>
      <c r="C1711" s="35">
        <v>42201860</v>
      </c>
      <c r="D1711" s="33" t="s">
        <v>1495</v>
      </c>
      <c r="E1711" s="33" t="s">
        <v>1496</v>
      </c>
      <c r="F1711" s="33" t="s">
        <v>1497</v>
      </c>
      <c r="G1711" s="33" t="s">
        <v>4781</v>
      </c>
      <c r="H1711" s="33" t="s">
        <v>4782</v>
      </c>
      <c r="I1711" s="33" t="s">
        <v>4783</v>
      </c>
      <c r="J1711" s="33">
        <v>202840</v>
      </c>
      <c r="K1711" s="33" t="s">
        <v>4883</v>
      </c>
      <c r="L1711" s="33" t="s">
        <v>4884</v>
      </c>
      <c r="M1711" s="33" t="s">
        <v>4885</v>
      </c>
      <c r="N1711" s="44">
        <v>42201860</v>
      </c>
      <c r="O1711" s="33" t="s">
        <v>4996</v>
      </c>
      <c r="P1711" s="33" t="s">
        <v>4997</v>
      </c>
      <c r="Q1711" s="34" t="s">
        <v>1494</v>
      </c>
      <c r="R1711" s="34" t="s">
        <v>1494</v>
      </c>
    </row>
    <row r="1712" spans="1:18" ht="15" customHeight="1" x14ac:dyDescent="0.25">
      <c r="A1712" t="str">
        <f>IFERROR(RANK(B1712,$B:$B,1)+COUNTIF($B$1:B1711,B1712),"")</f>
        <v/>
      </c>
      <c r="B1712" t="str">
        <f>IFERROR(SEARCH(#REF!,Table4[[#This Row],[Commodity Title]],1),"")</f>
        <v/>
      </c>
      <c r="C1712" s="35">
        <v>42201861</v>
      </c>
      <c r="D1712" s="33" t="s">
        <v>1495</v>
      </c>
      <c r="E1712" s="33" t="s">
        <v>1496</v>
      </c>
      <c r="F1712" s="33" t="s">
        <v>1497</v>
      </c>
      <c r="G1712" s="33" t="s">
        <v>4781</v>
      </c>
      <c r="H1712" s="33" t="s">
        <v>4782</v>
      </c>
      <c r="I1712" s="33" t="s">
        <v>4783</v>
      </c>
      <c r="J1712" s="33">
        <v>202841</v>
      </c>
      <c r="K1712" s="33" t="s">
        <v>4883</v>
      </c>
      <c r="L1712" s="33" t="s">
        <v>4884</v>
      </c>
      <c r="M1712" s="33" t="s">
        <v>4885</v>
      </c>
      <c r="N1712" s="44">
        <v>42201861</v>
      </c>
      <c r="O1712" s="33" t="s">
        <v>4998</v>
      </c>
      <c r="P1712" s="33" t="s">
        <v>4999</v>
      </c>
      <c r="Q1712" s="34" t="s">
        <v>1494</v>
      </c>
      <c r="R1712" s="34" t="s">
        <v>1494</v>
      </c>
    </row>
    <row r="1713" spans="1:18" ht="15" customHeight="1" x14ac:dyDescent="0.25">
      <c r="A1713" t="str">
        <f>IFERROR(RANK(B1713,$B:$B,1)+COUNTIF($B$1:B1712,B1713),"")</f>
        <v/>
      </c>
      <c r="B1713" t="str">
        <f>IFERROR(SEARCH(#REF!,Table4[[#This Row],[Commodity Title]],1),"")</f>
        <v/>
      </c>
      <c r="C1713" s="35">
        <v>42201862</v>
      </c>
      <c r="D1713" s="33" t="s">
        <v>1495</v>
      </c>
      <c r="E1713" s="33" t="s">
        <v>1496</v>
      </c>
      <c r="F1713" s="33" t="s">
        <v>1497</v>
      </c>
      <c r="G1713" s="33" t="s">
        <v>4781</v>
      </c>
      <c r="H1713" s="33" t="s">
        <v>4782</v>
      </c>
      <c r="I1713" s="33" t="s">
        <v>4783</v>
      </c>
      <c r="J1713" s="33">
        <v>202842</v>
      </c>
      <c r="K1713" s="33" t="s">
        <v>4883</v>
      </c>
      <c r="L1713" s="33" t="s">
        <v>4884</v>
      </c>
      <c r="M1713" s="33" t="s">
        <v>4885</v>
      </c>
      <c r="N1713" s="44">
        <v>42201862</v>
      </c>
      <c r="O1713" s="33" t="s">
        <v>5000</v>
      </c>
      <c r="P1713" s="33" t="s">
        <v>5001</v>
      </c>
      <c r="Q1713" s="34" t="s">
        <v>1494</v>
      </c>
      <c r="R1713" s="34" t="s">
        <v>1494</v>
      </c>
    </row>
    <row r="1714" spans="1:18" ht="15" customHeight="1" x14ac:dyDescent="0.25">
      <c r="A1714" t="str">
        <f>IFERROR(RANK(B1714,$B:$B,1)+COUNTIF($B$1:B1713,B1714),"")</f>
        <v/>
      </c>
      <c r="B1714" t="str">
        <f>IFERROR(SEARCH(#REF!,Table4[[#This Row],[Commodity Title]],1),"")</f>
        <v/>
      </c>
      <c r="C1714" s="35">
        <v>42201863</v>
      </c>
      <c r="D1714" s="33" t="s">
        <v>1495</v>
      </c>
      <c r="E1714" s="33" t="s">
        <v>1496</v>
      </c>
      <c r="F1714" s="33" t="s">
        <v>1497</v>
      </c>
      <c r="G1714" s="33" t="s">
        <v>4781</v>
      </c>
      <c r="H1714" s="33" t="s">
        <v>4782</v>
      </c>
      <c r="I1714" s="33" t="s">
        <v>4783</v>
      </c>
      <c r="J1714" s="33">
        <v>202843</v>
      </c>
      <c r="K1714" s="33" t="s">
        <v>4883</v>
      </c>
      <c r="L1714" s="33" t="s">
        <v>4884</v>
      </c>
      <c r="M1714" s="33" t="s">
        <v>4885</v>
      </c>
      <c r="N1714" s="44">
        <v>42201863</v>
      </c>
      <c r="O1714" s="33" t="s">
        <v>5002</v>
      </c>
      <c r="P1714" s="33" t="s">
        <v>5003</v>
      </c>
      <c r="Q1714" s="34" t="s">
        <v>1494</v>
      </c>
      <c r="R1714" s="34" t="s">
        <v>1494</v>
      </c>
    </row>
    <row r="1715" spans="1:18" ht="15" customHeight="1" x14ac:dyDescent="0.25">
      <c r="A1715" t="str">
        <f>IFERROR(RANK(B1715,$B:$B,1)+COUNTIF($B$1:B1714,B1715),"")</f>
        <v/>
      </c>
      <c r="B1715" t="str">
        <f>IFERROR(SEARCH(#REF!,Table4[[#This Row],[Commodity Title]],1),"")</f>
        <v/>
      </c>
      <c r="C1715" s="35">
        <v>42201864</v>
      </c>
      <c r="D1715" s="33" t="s">
        <v>1495</v>
      </c>
      <c r="E1715" s="33" t="s">
        <v>1496</v>
      </c>
      <c r="F1715" s="33" t="s">
        <v>1497</v>
      </c>
      <c r="G1715" s="33" t="s">
        <v>4781</v>
      </c>
      <c r="H1715" s="33" t="s">
        <v>4782</v>
      </c>
      <c r="I1715" s="33" t="s">
        <v>4783</v>
      </c>
      <c r="J1715" s="33">
        <v>202844</v>
      </c>
      <c r="K1715" s="33" t="s">
        <v>4883</v>
      </c>
      <c r="L1715" s="33" t="s">
        <v>4884</v>
      </c>
      <c r="M1715" s="33" t="s">
        <v>4885</v>
      </c>
      <c r="N1715" s="44">
        <v>42201864</v>
      </c>
      <c r="O1715" s="33" t="s">
        <v>5004</v>
      </c>
      <c r="P1715" s="33" t="s">
        <v>5005</v>
      </c>
      <c r="Q1715" s="34" t="s">
        <v>1494</v>
      </c>
      <c r="R1715" s="34" t="s">
        <v>1494</v>
      </c>
    </row>
    <row r="1716" spans="1:18" ht="15" customHeight="1" x14ac:dyDescent="0.25">
      <c r="A1716" t="str">
        <f>IFERROR(RANK(B1716,$B:$B,1)+COUNTIF($B$1:B1715,B1716),"")</f>
        <v/>
      </c>
      <c r="B1716" t="str">
        <f>IFERROR(SEARCH(#REF!,Table4[[#This Row],[Commodity Title]],1),"")</f>
        <v/>
      </c>
      <c r="C1716" s="35">
        <v>42201865</v>
      </c>
      <c r="D1716" s="33" t="s">
        <v>1495</v>
      </c>
      <c r="E1716" s="33" t="s">
        <v>1496</v>
      </c>
      <c r="F1716" s="33" t="s">
        <v>1497</v>
      </c>
      <c r="G1716" s="33" t="s">
        <v>4781</v>
      </c>
      <c r="H1716" s="33" t="s">
        <v>4782</v>
      </c>
      <c r="I1716" s="33" t="s">
        <v>4783</v>
      </c>
      <c r="J1716" s="33">
        <v>208423</v>
      </c>
      <c r="K1716" s="33" t="s">
        <v>4883</v>
      </c>
      <c r="L1716" s="33" t="s">
        <v>4884</v>
      </c>
      <c r="M1716" s="33" t="s">
        <v>4885</v>
      </c>
      <c r="N1716" s="44">
        <v>42201865</v>
      </c>
      <c r="O1716" s="33" t="s">
        <v>5006</v>
      </c>
      <c r="P1716" s="33" t="s">
        <v>5007</v>
      </c>
      <c r="Q1716" s="34" t="s">
        <v>1494</v>
      </c>
      <c r="R1716" s="34" t="s">
        <v>1494</v>
      </c>
    </row>
    <row r="1717" spans="1:18" ht="15" customHeight="1" x14ac:dyDescent="0.25">
      <c r="A1717" t="str">
        <f>IFERROR(RANK(B1717,$B:$B,1)+COUNTIF($B$1:B1716,B1717),"")</f>
        <v/>
      </c>
      <c r="B1717" t="str">
        <f>IFERROR(SEARCH(#REF!,Table4[[#This Row],[Commodity Title]],1),"")</f>
        <v/>
      </c>
      <c r="C1717" s="33" t="s">
        <v>1494</v>
      </c>
      <c r="D1717" s="33" t="s">
        <v>1495</v>
      </c>
      <c r="E1717" s="33" t="s">
        <v>1496</v>
      </c>
      <c r="F1717" s="33" t="s">
        <v>1497</v>
      </c>
      <c r="G1717" s="33" t="s">
        <v>4781</v>
      </c>
      <c r="H1717" s="33" t="s">
        <v>4782</v>
      </c>
      <c r="I1717" s="33" t="s">
        <v>4783</v>
      </c>
      <c r="J1717" s="33">
        <v>115566</v>
      </c>
      <c r="K1717" s="33" t="s">
        <v>5008</v>
      </c>
      <c r="L1717" s="33" t="s">
        <v>5009</v>
      </c>
      <c r="M1717" s="33" t="s">
        <v>5010</v>
      </c>
      <c r="N1717" s="44" t="s">
        <v>1494</v>
      </c>
      <c r="O1717" s="33" t="s">
        <v>1494</v>
      </c>
      <c r="P1717" s="33" t="s">
        <v>1494</v>
      </c>
      <c r="Q1717" s="34" t="s">
        <v>1494</v>
      </c>
      <c r="R1717" s="34" t="s">
        <v>1494</v>
      </c>
    </row>
    <row r="1718" spans="1:18" ht="15" customHeight="1" x14ac:dyDescent="0.25">
      <c r="A1718" t="str">
        <f>IFERROR(RANK(B1718,$B:$B,1)+COUNTIF($B$1:B1717,B1718),"")</f>
        <v/>
      </c>
      <c r="B1718" t="str">
        <f>IFERROR(SEARCH(#REF!,Table4[[#This Row],[Commodity Title]],1),"")</f>
        <v/>
      </c>
      <c r="C1718" s="35">
        <v>42201901</v>
      </c>
      <c r="D1718" s="33" t="s">
        <v>1495</v>
      </c>
      <c r="E1718" s="33" t="s">
        <v>1496</v>
      </c>
      <c r="F1718" s="33" t="s">
        <v>1497</v>
      </c>
      <c r="G1718" s="33" t="s">
        <v>4781</v>
      </c>
      <c r="H1718" s="33" t="s">
        <v>4782</v>
      </c>
      <c r="I1718" s="33" t="s">
        <v>4783</v>
      </c>
      <c r="J1718" s="33">
        <v>115567</v>
      </c>
      <c r="K1718" s="33" t="s">
        <v>5008</v>
      </c>
      <c r="L1718" s="33" t="s">
        <v>5009</v>
      </c>
      <c r="M1718" s="33" t="s">
        <v>5010</v>
      </c>
      <c r="N1718" s="44">
        <v>42201901</v>
      </c>
      <c r="O1718" s="33" t="s">
        <v>5011</v>
      </c>
      <c r="P1718" s="33" t="s">
        <v>5012</v>
      </c>
      <c r="Q1718" s="34" t="s">
        <v>1494</v>
      </c>
      <c r="R1718" s="34" t="s">
        <v>1494</v>
      </c>
    </row>
    <row r="1719" spans="1:18" ht="15" customHeight="1" x14ac:dyDescent="0.25">
      <c r="A1719" t="str">
        <f>IFERROR(RANK(B1719,$B:$B,1)+COUNTIF($B$1:B1718,B1719),"")</f>
        <v/>
      </c>
      <c r="B1719" t="str">
        <f>IFERROR(SEARCH(#REF!,Table4[[#This Row],[Commodity Title]],1),"")</f>
        <v/>
      </c>
      <c r="C1719" s="35">
        <v>42201902</v>
      </c>
      <c r="D1719" s="33" t="s">
        <v>1495</v>
      </c>
      <c r="E1719" s="33" t="s">
        <v>1496</v>
      </c>
      <c r="F1719" s="33" t="s">
        <v>1497</v>
      </c>
      <c r="G1719" s="33" t="s">
        <v>4781</v>
      </c>
      <c r="H1719" s="33" t="s">
        <v>4782</v>
      </c>
      <c r="I1719" s="33" t="s">
        <v>4783</v>
      </c>
      <c r="J1719" s="33">
        <v>115568</v>
      </c>
      <c r="K1719" s="33" t="s">
        <v>5008</v>
      </c>
      <c r="L1719" s="33" t="s">
        <v>5009</v>
      </c>
      <c r="M1719" s="33" t="s">
        <v>5010</v>
      </c>
      <c r="N1719" s="44">
        <v>42201902</v>
      </c>
      <c r="O1719" s="33" t="s">
        <v>5013</v>
      </c>
      <c r="P1719" s="33" t="s">
        <v>5014</v>
      </c>
      <c r="Q1719" s="34" t="s">
        <v>1494</v>
      </c>
      <c r="R1719" s="34" t="s">
        <v>1494</v>
      </c>
    </row>
    <row r="1720" spans="1:18" ht="15" customHeight="1" x14ac:dyDescent="0.25">
      <c r="A1720" t="str">
        <f>IFERROR(RANK(B1720,$B:$B,1)+COUNTIF($B$1:B1719,B1720),"")</f>
        <v/>
      </c>
      <c r="B1720" t="str">
        <f>IFERROR(SEARCH(#REF!,Table4[[#This Row],[Commodity Title]],1),"")</f>
        <v/>
      </c>
      <c r="C1720" s="35">
        <v>42201903</v>
      </c>
      <c r="D1720" s="33" t="s">
        <v>1495</v>
      </c>
      <c r="E1720" s="33" t="s">
        <v>1496</v>
      </c>
      <c r="F1720" s="33" t="s">
        <v>1497</v>
      </c>
      <c r="G1720" s="33" t="s">
        <v>4781</v>
      </c>
      <c r="H1720" s="33" t="s">
        <v>4782</v>
      </c>
      <c r="I1720" s="33" t="s">
        <v>4783</v>
      </c>
      <c r="J1720" s="33">
        <v>115569</v>
      </c>
      <c r="K1720" s="33" t="s">
        <v>5008</v>
      </c>
      <c r="L1720" s="33" t="s">
        <v>5009</v>
      </c>
      <c r="M1720" s="33" t="s">
        <v>5010</v>
      </c>
      <c r="N1720" s="44">
        <v>42201903</v>
      </c>
      <c r="O1720" s="33" t="s">
        <v>5015</v>
      </c>
      <c r="P1720" s="33" t="s">
        <v>5016</v>
      </c>
      <c r="Q1720" s="34" t="s">
        <v>1494</v>
      </c>
      <c r="R1720" s="34" t="s">
        <v>1494</v>
      </c>
    </row>
    <row r="1721" spans="1:18" ht="15" customHeight="1" x14ac:dyDescent="0.25">
      <c r="A1721" t="str">
        <f>IFERROR(RANK(B1721,$B:$B,1)+COUNTIF($B$1:B1720,B1721),"")</f>
        <v/>
      </c>
      <c r="B1721" t="str">
        <f>IFERROR(SEARCH(#REF!,Table4[[#This Row],[Commodity Title]],1),"")</f>
        <v/>
      </c>
      <c r="C1721" s="35">
        <v>42201904</v>
      </c>
      <c r="D1721" s="33" t="s">
        <v>1495</v>
      </c>
      <c r="E1721" s="33" t="s">
        <v>1496</v>
      </c>
      <c r="F1721" s="33" t="s">
        <v>1497</v>
      </c>
      <c r="G1721" s="33" t="s">
        <v>4781</v>
      </c>
      <c r="H1721" s="33" t="s">
        <v>4782</v>
      </c>
      <c r="I1721" s="33" t="s">
        <v>4783</v>
      </c>
      <c r="J1721" s="33">
        <v>142588</v>
      </c>
      <c r="K1721" s="33" t="s">
        <v>5008</v>
      </c>
      <c r="L1721" s="33" t="s">
        <v>5009</v>
      </c>
      <c r="M1721" s="33" t="s">
        <v>5010</v>
      </c>
      <c r="N1721" s="44">
        <v>42201904</v>
      </c>
      <c r="O1721" s="33" t="s">
        <v>5017</v>
      </c>
      <c r="P1721" s="33" t="s">
        <v>5018</v>
      </c>
      <c r="Q1721" s="34" t="s">
        <v>1494</v>
      </c>
      <c r="R1721" s="34" t="s">
        <v>1494</v>
      </c>
    </row>
    <row r="1722" spans="1:18" ht="15" customHeight="1" x14ac:dyDescent="0.25">
      <c r="A1722" t="str">
        <f>IFERROR(RANK(B1722,$B:$B,1)+COUNTIF($B$1:B1721,B1722),"")</f>
        <v/>
      </c>
      <c r="B1722" t="str">
        <f>IFERROR(SEARCH(#REF!,Table4[[#This Row],[Commodity Title]],1),"")</f>
        <v/>
      </c>
      <c r="C1722" s="35">
        <v>42201905</v>
      </c>
      <c r="D1722" s="33" t="s">
        <v>1495</v>
      </c>
      <c r="E1722" s="33" t="s">
        <v>1496</v>
      </c>
      <c r="F1722" s="33" t="s">
        <v>1497</v>
      </c>
      <c r="G1722" s="33" t="s">
        <v>4781</v>
      </c>
      <c r="H1722" s="33" t="s">
        <v>4782</v>
      </c>
      <c r="I1722" s="33" t="s">
        <v>4783</v>
      </c>
      <c r="J1722" s="33">
        <v>142589</v>
      </c>
      <c r="K1722" s="33" t="s">
        <v>5008</v>
      </c>
      <c r="L1722" s="33" t="s">
        <v>5009</v>
      </c>
      <c r="M1722" s="33" t="s">
        <v>5010</v>
      </c>
      <c r="N1722" s="44">
        <v>42201905</v>
      </c>
      <c r="O1722" s="33" t="s">
        <v>5019</v>
      </c>
      <c r="P1722" s="33" t="s">
        <v>5020</v>
      </c>
      <c r="Q1722" s="34" t="s">
        <v>1494</v>
      </c>
      <c r="R1722" s="34" t="s">
        <v>1494</v>
      </c>
    </row>
    <row r="1723" spans="1:18" ht="15" customHeight="1" x14ac:dyDescent="0.25">
      <c r="A1723" t="str">
        <f>IFERROR(RANK(B1723,$B:$B,1)+COUNTIF($B$1:B1722,B1723),"")</f>
        <v/>
      </c>
      <c r="B1723" t="str">
        <f>IFERROR(SEARCH(#REF!,Table4[[#This Row],[Commodity Title]],1),"")</f>
        <v/>
      </c>
      <c r="C1723" s="35">
        <v>42201906</v>
      </c>
      <c r="D1723" s="33" t="s">
        <v>1495</v>
      </c>
      <c r="E1723" s="33" t="s">
        <v>1496</v>
      </c>
      <c r="F1723" s="33" t="s">
        <v>1497</v>
      </c>
      <c r="G1723" s="33" t="s">
        <v>4781</v>
      </c>
      <c r="H1723" s="33" t="s">
        <v>4782</v>
      </c>
      <c r="I1723" s="33" t="s">
        <v>4783</v>
      </c>
      <c r="J1723" s="33">
        <v>142590</v>
      </c>
      <c r="K1723" s="33" t="s">
        <v>5008</v>
      </c>
      <c r="L1723" s="33" t="s">
        <v>5009</v>
      </c>
      <c r="M1723" s="33" t="s">
        <v>5010</v>
      </c>
      <c r="N1723" s="44">
        <v>42201906</v>
      </c>
      <c r="O1723" s="33" t="s">
        <v>5021</v>
      </c>
      <c r="P1723" s="33" t="s">
        <v>5022</v>
      </c>
      <c r="Q1723" s="34" t="s">
        <v>1494</v>
      </c>
      <c r="R1723" s="34" t="s">
        <v>1494</v>
      </c>
    </row>
    <row r="1724" spans="1:18" ht="15" customHeight="1" x14ac:dyDescent="0.25">
      <c r="A1724" t="str">
        <f>IFERROR(RANK(B1724,$B:$B,1)+COUNTIF($B$1:B1723,B1724),"")</f>
        <v/>
      </c>
      <c r="B1724" t="str">
        <f>IFERROR(SEARCH(#REF!,Table4[[#This Row],[Commodity Title]],1),"")</f>
        <v/>
      </c>
      <c r="C1724" s="35">
        <v>42201907</v>
      </c>
      <c r="D1724" s="33" t="s">
        <v>1495</v>
      </c>
      <c r="E1724" s="33" t="s">
        <v>1496</v>
      </c>
      <c r="F1724" s="33" t="s">
        <v>1497</v>
      </c>
      <c r="G1724" s="33" t="s">
        <v>4781</v>
      </c>
      <c r="H1724" s="33" t="s">
        <v>4782</v>
      </c>
      <c r="I1724" s="33" t="s">
        <v>4783</v>
      </c>
      <c r="J1724" s="33">
        <v>142591</v>
      </c>
      <c r="K1724" s="33" t="s">
        <v>5008</v>
      </c>
      <c r="L1724" s="33" t="s">
        <v>5009</v>
      </c>
      <c r="M1724" s="33" t="s">
        <v>5010</v>
      </c>
      <c r="N1724" s="44">
        <v>42201907</v>
      </c>
      <c r="O1724" s="33" t="s">
        <v>5023</v>
      </c>
      <c r="P1724" s="33" t="s">
        <v>5024</v>
      </c>
      <c r="Q1724" s="34" t="s">
        <v>1494</v>
      </c>
      <c r="R1724" s="34" t="s">
        <v>1494</v>
      </c>
    </row>
    <row r="1725" spans="1:18" ht="15" customHeight="1" x14ac:dyDescent="0.25">
      <c r="A1725" t="str">
        <f>IFERROR(RANK(B1725,$B:$B,1)+COUNTIF($B$1:B1724,B1725),"")</f>
        <v/>
      </c>
      <c r="B1725" t="str">
        <f>IFERROR(SEARCH(#REF!,Table4[[#This Row],[Commodity Title]],1),"")</f>
        <v/>
      </c>
      <c r="C1725" s="35">
        <v>42201908</v>
      </c>
      <c r="D1725" s="33" t="s">
        <v>1495</v>
      </c>
      <c r="E1725" s="33" t="s">
        <v>1496</v>
      </c>
      <c r="F1725" s="33" t="s">
        <v>1497</v>
      </c>
      <c r="G1725" s="33" t="s">
        <v>4781</v>
      </c>
      <c r="H1725" s="33" t="s">
        <v>4782</v>
      </c>
      <c r="I1725" s="33" t="s">
        <v>4783</v>
      </c>
      <c r="J1725" s="33">
        <v>142592</v>
      </c>
      <c r="K1725" s="33" t="s">
        <v>5008</v>
      </c>
      <c r="L1725" s="33" t="s">
        <v>5009</v>
      </c>
      <c r="M1725" s="33" t="s">
        <v>5010</v>
      </c>
      <c r="N1725" s="44">
        <v>42201908</v>
      </c>
      <c r="O1725" s="33" t="s">
        <v>5025</v>
      </c>
      <c r="P1725" s="33" t="s">
        <v>5026</v>
      </c>
      <c r="Q1725" s="34" t="s">
        <v>1494</v>
      </c>
      <c r="R1725" s="34" t="s">
        <v>1494</v>
      </c>
    </row>
    <row r="1726" spans="1:18" ht="15" customHeight="1" x14ac:dyDescent="0.25">
      <c r="A1726" t="str">
        <f>IFERROR(RANK(B1726,$B:$B,1)+COUNTIF($B$1:B1725,B1726),"")</f>
        <v/>
      </c>
      <c r="B1726" t="str">
        <f>IFERROR(SEARCH(#REF!,Table4[[#This Row],[Commodity Title]],1),"")</f>
        <v/>
      </c>
      <c r="C1726" s="33" t="s">
        <v>1494</v>
      </c>
      <c r="D1726" s="33" t="s">
        <v>1495</v>
      </c>
      <c r="E1726" s="33" t="s">
        <v>1496</v>
      </c>
      <c r="F1726" s="33" t="s">
        <v>1497</v>
      </c>
      <c r="G1726" s="33" t="s">
        <v>4781</v>
      </c>
      <c r="H1726" s="33" t="s">
        <v>4782</v>
      </c>
      <c r="I1726" s="33" t="s">
        <v>4783</v>
      </c>
      <c r="J1726" s="33">
        <v>115570</v>
      </c>
      <c r="K1726" s="33" t="s">
        <v>5027</v>
      </c>
      <c r="L1726" s="33" t="s">
        <v>5028</v>
      </c>
      <c r="M1726" s="33" t="s">
        <v>5029</v>
      </c>
      <c r="N1726" s="44" t="s">
        <v>1494</v>
      </c>
      <c r="O1726" s="33" t="s">
        <v>1494</v>
      </c>
      <c r="P1726" s="33" t="s">
        <v>1494</v>
      </c>
      <c r="Q1726" s="34" t="s">
        <v>1494</v>
      </c>
      <c r="R1726" s="34" t="s">
        <v>1494</v>
      </c>
    </row>
    <row r="1727" spans="1:18" ht="15" customHeight="1" x14ac:dyDescent="0.25">
      <c r="A1727" t="str">
        <f>IFERROR(RANK(B1727,$B:$B,1)+COUNTIF($B$1:B1726,B1727),"")</f>
        <v/>
      </c>
      <c r="B1727" t="str">
        <f>IFERROR(SEARCH(#REF!,Table4[[#This Row],[Commodity Title]],1),"")</f>
        <v/>
      </c>
      <c r="C1727" s="35">
        <v>42202001</v>
      </c>
      <c r="D1727" s="33" t="s">
        <v>1495</v>
      </c>
      <c r="E1727" s="33" t="s">
        <v>1496</v>
      </c>
      <c r="F1727" s="33" t="s">
        <v>1497</v>
      </c>
      <c r="G1727" s="33" t="s">
        <v>4781</v>
      </c>
      <c r="H1727" s="33" t="s">
        <v>4782</v>
      </c>
      <c r="I1727" s="33" t="s">
        <v>4783</v>
      </c>
      <c r="J1727" s="33">
        <v>104325</v>
      </c>
      <c r="K1727" s="33" t="s">
        <v>5027</v>
      </c>
      <c r="L1727" s="33" t="s">
        <v>5028</v>
      </c>
      <c r="M1727" s="33" t="s">
        <v>5029</v>
      </c>
      <c r="N1727" s="44">
        <v>42202001</v>
      </c>
      <c r="O1727" s="33" t="s">
        <v>5030</v>
      </c>
      <c r="P1727" s="33" t="s">
        <v>5031</v>
      </c>
      <c r="Q1727" s="34" t="s">
        <v>1494</v>
      </c>
      <c r="R1727" s="34" t="s">
        <v>1494</v>
      </c>
    </row>
    <row r="1728" spans="1:18" ht="15" customHeight="1" x14ac:dyDescent="0.25">
      <c r="A1728" t="str">
        <f>IFERROR(RANK(B1728,$B:$B,1)+COUNTIF($B$1:B1727,B1728),"")</f>
        <v/>
      </c>
      <c r="B1728" t="str">
        <f>IFERROR(SEARCH(#REF!,Table4[[#This Row],[Commodity Title]],1),"")</f>
        <v/>
      </c>
      <c r="C1728" s="35">
        <v>42202002</v>
      </c>
      <c r="D1728" s="33" t="s">
        <v>1495</v>
      </c>
      <c r="E1728" s="33" t="s">
        <v>1496</v>
      </c>
      <c r="F1728" s="33" t="s">
        <v>1497</v>
      </c>
      <c r="G1728" s="33" t="s">
        <v>4781</v>
      </c>
      <c r="H1728" s="33" t="s">
        <v>4782</v>
      </c>
      <c r="I1728" s="33" t="s">
        <v>4783</v>
      </c>
      <c r="J1728" s="33">
        <v>115572</v>
      </c>
      <c r="K1728" s="33" t="s">
        <v>5027</v>
      </c>
      <c r="L1728" s="33" t="s">
        <v>5028</v>
      </c>
      <c r="M1728" s="33" t="s">
        <v>5029</v>
      </c>
      <c r="N1728" s="44">
        <v>42202002</v>
      </c>
      <c r="O1728" s="33" t="s">
        <v>5032</v>
      </c>
      <c r="P1728" s="33" t="s">
        <v>5033</v>
      </c>
      <c r="Q1728" s="34" t="s">
        <v>1494</v>
      </c>
      <c r="R1728" s="34" t="s">
        <v>1494</v>
      </c>
    </row>
    <row r="1729" spans="1:18" ht="15" customHeight="1" x14ac:dyDescent="0.25">
      <c r="A1729" t="str">
        <f>IFERROR(RANK(B1729,$B:$B,1)+COUNTIF($B$1:B1728,B1729),"")</f>
        <v/>
      </c>
      <c r="B1729" t="str">
        <f>IFERROR(SEARCH(#REF!,Table4[[#This Row],[Commodity Title]],1),"")</f>
        <v/>
      </c>
      <c r="C1729" s="35">
        <v>42202003</v>
      </c>
      <c r="D1729" s="33" t="s">
        <v>1495</v>
      </c>
      <c r="E1729" s="33" t="s">
        <v>1496</v>
      </c>
      <c r="F1729" s="33" t="s">
        <v>1497</v>
      </c>
      <c r="G1729" s="33" t="s">
        <v>4781</v>
      </c>
      <c r="H1729" s="33" t="s">
        <v>4782</v>
      </c>
      <c r="I1729" s="33" t="s">
        <v>4783</v>
      </c>
      <c r="J1729" s="33">
        <v>115573</v>
      </c>
      <c r="K1729" s="33" t="s">
        <v>5027</v>
      </c>
      <c r="L1729" s="33" t="s">
        <v>5028</v>
      </c>
      <c r="M1729" s="33" t="s">
        <v>5029</v>
      </c>
      <c r="N1729" s="44">
        <v>42202003</v>
      </c>
      <c r="O1729" s="33" t="s">
        <v>5034</v>
      </c>
      <c r="P1729" s="33" t="s">
        <v>5035</v>
      </c>
      <c r="Q1729" s="34" t="s">
        <v>1494</v>
      </c>
      <c r="R1729" s="34" t="s">
        <v>1494</v>
      </c>
    </row>
    <row r="1730" spans="1:18" ht="15" customHeight="1" x14ac:dyDescent="0.25">
      <c r="A1730" t="str">
        <f>IFERROR(RANK(B1730,$B:$B,1)+COUNTIF($B$1:B1729,B1730),"")</f>
        <v/>
      </c>
      <c r="B1730" t="str">
        <f>IFERROR(SEARCH(#REF!,Table4[[#This Row],[Commodity Title]],1),"")</f>
        <v/>
      </c>
      <c r="C1730" s="35">
        <v>42202004</v>
      </c>
      <c r="D1730" s="33" t="s">
        <v>1495</v>
      </c>
      <c r="E1730" s="33" t="s">
        <v>1496</v>
      </c>
      <c r="F1730" s="33" t="s">
        <v>1497</v>
      </c>
      <c r="G1730" s="33" t="s">
        <v>4781</v>
      </c>
      <c r="H1730" s="33" t="s">
        <v>4782</v>
      </c>
      <c r="I1730" s="33" t="s">
        <v>4783</v>
      </c>
      <c r="J1730" s="33">
        <v>115574</v>
      </c>
      <c r="K1730" s="33" t="s">
        <v>5027</v>
      </c>
      <c r="L1730" s="33" t="s">
        <v>5028</v>
      </c>
      <c r="M1730" s="33" t="s">
        <v>5029</v>
      </c>
      <c r="N1730" s="44">
        <v>42202004</v>
      </c>
      <c r="O1730" s="33" t="s">
        <v>5036</v>
      </c>
      <c r="P1730" s="33" t="s">
        <v>5037</v>
      </c>
      <c r="Q1730" s="34" t="s">
        <v>1494</v>
      </c>
      <c r="R1730" s="34" t="s">
        <v>1494</v>
      </c>
    </row>
    <row r="1731" spans="1:18" ht="15" customHeight="1" x14ac:dyDescent="0.25">
      <c r="A1731" t="str">
        <f>IFERROR(RANK(B1731,$B:$B,1)+COUNTIF($B$1:B1730,B1731),"")</f>
        <v/>
      </c>
      <c r="B1731" t="str">
        <f>IFERROR(SEARCH(#REF!,Table4[[#This Row],[Commodity Title]],1),"")</f>
        <v/>
      </c>
      <c r="C1731" s="35">
        <v>42202005</v>
      </c>
      <c r="D1731" s="33" t="s">
        <v>1495</v>
      </c>
      <c r="E1731" s="33" t="s">
        <v>1496</v>
      </c>
      <c r="F1731" s="33" t="s">
        <v>1497</v>
      </c>
      <c r="G1731" s="33" t="s">
        <v>4781</v>
      </c>
      <c r="H1731" s="33" t="s">
        <v>4782</v>
      </c>
      <c r="I1731" s="33" t="s">
        <v>4783</v>
      </c>
      <c r="J1731" s="33">
        <v>115575</v>
      </c>
      <c r="K1731" s="33" t="s">
        <v>5027</v>
      </c>
      <c r="L1731" s="33" t="s">
        <v>5028</v>
      </c>
      <c r="M1731" s="33" t="s">
        <v>5029</v>
      </c>
      <c r="N1731" s="44">
        <v>42202005</v>
      </c>
      <c r="O1731" s="33" t="s">
        <v>5038</v>
      </c>
      <c r="P1731" s="33" t="s">
        <v>5039</v>
      </c>
      <c r="Q1731" s="34" t="s">
        <v>1494</v>
      </c>
      <c r="R1731" s="34" t="s">
        <v>1494</v>
      </c>
    </row>
    <row r="1732" spans="1:18" ht="15" customHeight="1" x14ac:dyDescent="0.25">
      <c r="A1732" t="str">
        <f>IFERROR(RANK(B1732,$B:$B,1)+COUNTIF($B$1:B1731,B1732),"")</f>
        <v/>
      </c>
      <c r="B1732" t="str">
        <f>IFERROR(SEARCH(#REF!,Table4[[#This Row],[Commodity Title]],1),"")</f>
        <v/>
      </c>
      <c r="C1732" s="35">
        <v>42202006</v>
      </c>
      <c r="D1732" s="33" t="s">
        <v>1495</v>
      </c>
      <c r="E1732" s="33" t="s">
        <v>1496</v>
      </c>
      <c r="F1732" s="33" t="s">
        <v>1497</v>
      </c>
      <c r="G1732" s="33" t="s">
        <v>4781</v>
      </c>
      <c r="H1732" s="33" t="s">
        <v>4782</v>
      </c>
      <c r="I1732" s="33" t="s">
        <v>4783</v>
      </c>
      <c r="J1732" s="33">
        <v>174388</v>
      </c>
      <c r="K1732" s="33" t="s">
        <v>5027</v>
      </c>
      <c r="L1732" s="33" t="s">
        <v>5028</v>
      </c>
      <c r="M1732" s="33" t="s">
        <v>5029</v>
      </c>
      <c r="N1732" s="44">
        <v>42202006</v>
      </c>
      <c r="O1732" s="33" t="s">
        <v>5040</v>
      </c>
      <c r="P1732" s="33" t="s">
        <v>5041</v>
      </c>
      <c r="Q1732" s="34" t="s">
        <v>1494</v>
      </c>
      <c r="R1732" s="34" t="s">
        <v>1494</v>
      </c>
    </row>
    <row r="1733" spans="1:18" ht="15" customHeight="1" x14ac:dyDescent="0.25">
      <c r="A1733" t="str">
        <f>IFERROR(RANK(B1733,$B:$B,1)+COUNTIF($B$1:B1732,B1733),"")</f>
        <v/>
      </c>
      <c r="B1733" t="str">
        <f>IFERROR(SEARCH(#REF!,Table4[[#This Row],[Commodity Title]],1),"")</f>
        <v/>
      </c>
      <c r="C1733" s="35">
        <v>42202007</v>
      </c>
      <c r="D1733" s="33" t="s">
        <v>1495</v>
      </c>
      <c r="E1733" s="33" t="s">
        <v>1496</v>
      </c>
      <c r="F1733" s="33" t="s">
        <v>1497</v>
      </c>
      <c r="G1733" s="33" t="s">
        <v>4781</v>
      </c>
      <c r="H1733" s="33" t="s">
        <v>4782</v>
      </c>
      <c r="I1733" s="33" t="s">
        <v>4783</v>
      </c>
      <c r="J1733" s="33">
        <v>202845</v>
      </c>
      <c r="K1733" s="33" t="s">
        <v>5027</v>
      </c>
      <c r="L1733" s="33" t="s">
        <v>5028</v>
      </c>
      <c r="M1733" s="33" t="s">
        <v>5029</v>
      </c>
      <c r="N1733" s="44">
        <v>42202007</v>
      </c>
      <c r="O1733" s="33" t="s">
        <v>5042</v>
      </c>
      <c r="P1733" s="33" t="s">
        <v>5043</v>
      </c>
      <c r="Q1733" s="34" t="s">
        <v>1494</v>
      </c>
      <c r="R1733" s="34" t="s">
        <v>1494</v>
      </c>
    </row>
    <row r="1734" spans="1:18" ht="15" customHeight="1" x14ac:dyDescent="0.25">
      <c r="A1734" t="str">
        <f>IFERROR(RANK(B1734,$B:$B,1)+COUNTIF($B$1:B1733,B1734),"")</f>
        <v/>
      </c>
      <c r="B1734" t="str">
        <f>IFERROR(SEARCH(#REF!,Table4[[#This Row],[Commodity Title]],1),"")</f>
        <v/>
      </c>
      <c r="C1734" s="35">
        <v>42202008</v>
      </c>
      <c r="D1734" s="33" t="s">
        <v>1495</v>
      </c>
      <c r="E1734" s="33" t="s">
        <v>1496</v>
      </c>
      <c r="F1734" s="33" t="s">
        <v>1497</v>
      </c>
      <c r="G1734" s="33" t="s">
        <v>4781</v>
      </c>
      <c r="H1734" s="33" t="s">
        <v>4782</v>
      </c>
      <c r="I1734" s="33" t="s">
        <v>4783</v>
      </c>
      <c r="J1734" s="33">
        <v>202846</v>
      </c>
      <c r="K1734" s="33" t="s">
        <v>5027</v>
      </c>
      <c r="L1734" s="33" t="s">
        <v>5028</v>
      </c>
      <c r="M1734" s="33" t="s">
        <v>5029</v>
      </c>
      <c r="N1734" s="44">
        <v>42202008</v>
      </c>
      <c r="O1734" s="33" t="s">
        <v>5044</v>
      </c>
      <c r="P1734" s="33" t="s">
        <v>5045</v>
      </c>
      <c r="Q1734" s="34" t="s">
        <v>1494</v>
      </c>
      <c r="R1734" s="34" t="s">
        <v>1494</v>
      </c>
    </row>
    <row r="1735" spans="1:18" ht="15" customHeight="1" x14ac:dyDescent="0.25">
      <c r="A1735" t="str">
        <f>IFERROR(RANK(B1735,$B:$B,1)+COUNTIF($B$1:B1734,B1735),"")</f>
        <v/>
      </c>
      <c r="B1735" t="str">
        <f>IFERROR(SEARCH(#REF!,Table4[[#This Row],[Commodity Title]],1),"")</f>
        <v/>
      </c>
      <c r="C1735" s="33" t="s">
        <v>1494</v>
      </c>
      <c r="D1735" s="33" t="s">
        <v>1495</v>
      </c>
      <c r="E1735" s="33" t="s">
        <v>1496</v>
      </c>
      <c r="F1735" s="33" t="s">
        <v>1497</v>
      </c>
      <c r="G1735" s="33" t="s">
        <v>4781</v>
      </c>
      <c r="H1735" s="33" t="s">
        <v>4782</v>
      </c>
      <c r="I1735" s="33" t="s">
        <v>4783</v>
      </c>
      <c r="J1735" s="33">
        <v>115576</v>
      </c>
      <c r="K1735" s="33" t="s">
        <v>5046</v>
      </c>
      <c r="L1735" s="33" t="s">
        <v>5047</v>
      </c>
      <c r="M1735" s="33" t="s">
        <v>5048</v>
      </c>
      <c r="N1735" s="44" t="s">
        <v>1494</v>
      </c>
      <c r="O1735" s="33" t="s">
        <v>1494</v>
      </c>
      <c r="P1735" s="33" t="s">
        <v>1494</v>
      </c>
      <c r="Q1735" s="34" t="s">
        <v>1494</v>
      </c>
      <c r="R1735" s="34" t="s">
        <v>1494</v>
      </c>
    </row>
    <row r="1736" spans="1:18" ht="15" customHeight="1" x14ac:dyDescent="0.25">
      <c r="A1736" t="str">
        <f>IFERROR(RANK(B1736,$B:$B,1)+COUNTIF($B$1:B1735,B1736),"")</f>
        <v/>
      </c>
      <c r="B1736" t="str">
        <f>IFERROR(SEARCH(#REF!,Table4[[#This Row],[Commodity Title]],1),"")</f>
        <v/>
      </c>
      <c r="C1736" s="35">
        <v>42202101</v>
      </c>
      <c r="D1736" s="33" t="s">
        <v>1495</v>
      </c>
      <c r="E1736" s="33" t="s">
        <v>1496</v>
      </c>
      <c r="F1736" s="33" t="s">
        <v>1497</v>
      </c>
      <c r="G1736" s="33" t="s">
        <v>4781</v>
      </c>
      <c r="H1736" s="33" t="s">
        <v>4782</v>
      </c>
      <c r="I1736" s="33" t="s">
        <v>4783</v>
      </c>
      <c r="J1736" s="33">
        <v>115577</v>
      </c>
      <c r="K1736" s="33" t="s">
        <v>5046</v>
      </c>
      <c r="L1736" s="33" t="s">
        <v>5047</v>
      </c>
      <c r="M1736" s="33" t="s">
        <v>5048</v>
      </c>
      <c r="N1736" s="44">
        <v>42202101</v>
      </c>
      <c r="O1736" s="33" t="s">
        <v>5049</v>
      </c>
      <c r="P1736" s="33" t="s">
        <v>5050</v>
      </c>
      <c r="Q1736" s="34" t="s">
        <v>1494</v>
      </c>
      <c r="R1736" s="34" t="s">
        <v>1494</v>
      </c>
    </row>
    <row r="1737" spans="1:18" ht="15" customHeight="1" x14ac:dyDescent="0.25">
      <c r="A1737" t="str">
        <f>IFERROR(RANK(B1737,$B:$B,1)+COUNTIF($B$1:B1736,B1737),"")</f>
        <v/>
      </c>
      <c r="B1737" t="str">
        <f>IFERROR(SEARCH(#REF!,Table4[[#This Row],[Commodity Title]],1),"")</f>
        <v/>
      </c>
      <c r="C1737" s="35">
        <v>42202102</v>
      </c>
      <c r="D1737" s="33" t="s">
        <v>1495</v>
      </c>
      <c r="E1737" s="33" t="s">
        <v>1496</v>
      </c>
      <c r="F1737" s="33" t="s">
        <v>1497</v>
      </c>
      <c r="G1737" s="33" t="s">
        <v>4781</v>
      </c>
      <c r="H1737" s="33" t="s">
        <v>4782</v>
      </c>
      <c r="I1737" s="33" t="s">
        <v>4783</v>
      </c>
      <c r="J1737" s="33">
        <v>115578</v>
      </c>
      <c r="K1737" s="33" t="s">
        <v>5046</v>
      </c>
      <c r="L1737" s="33" t="s">
        <v>5047</v>
      </c>
      <c r="M1737" s="33" t="s">
        <v>5048</v>
      </c>
      <c r="N1737" s="44">
        <v>42202102</v>
      </c>
      <c r="O1737" s="33" t="s">
        <v>5051</v>
      </c>
      <c r="P1737" s="33" t="s">
        <v>5052</v>
      </c>
      <c r="Q1737" s="34" t="s">
        <v>1494</v>
      </c>
      <c r="R1737" s="34" t="s">
        <v>1494</v>
      </c>
    </row>
    <row r="1738" spans="1:18" ht="15" customHeight="1" x14ac:dyDescent="0.25">
      <c r="A1738" t="str">
        <f>IFERROR(RANK(B1738,$B:$B,1)+COUNTIF($B$1:B1737,B1738),"")</f>
        <v/>
      </c>
      <c r="B1738" t="str">
        <f>IFERROR(SEARCH(#REF!,Table4[[#This Row],[Commodity Title]],1),"")</f>
        <v/>
      </c>
      <c r="C1738" s="35">
        <v>42202103</v>
      </c>
      <c r="D1738" s="33" t="s">
        <v>1495</v>
      </c>
      <c r="E1738" s="33" t="s">
        <v>1496</v>
      </c>
      <c r="F1738" s="33" t="s">
        <v>1497</v>
      </c>
      <c r="G1738" s="33" t="s">
        <v>4781</v>
      </c>
      <c r="H1738" s="33" t="s">
        <v>4782</v>
      </c>
      <c r="I1738" s="33" t="s">
        <v>4783</v>
      </c>
      <c r="J1738" s="33">
        <v>115579</v>
      </c>
      <c r="K1738" s="33" t="s">
        <v>5046</v>
      </c>
      <c r="L1738" s="33" t="s">
        <v>5047</v>
      </c>
      <c r="M1738" s="33" t="s">
        <v>5048</v>
      </c>
      <c r="N1738" s="44">
        <v>42202103</v>
      </c>
      <c r="O1738" s="33" t="s">
        <v>5053</v>
      </c>
      <c r="P1738" s="33" t="s">
        <v>5054</v>
      </c>
      <c r="Q1738" s="34" t="s">
        <v>1494</v>
      </c>
      <c r="R1738" s="34" t="s">
        <v>1494</v>
      </c>
    </row>
    <row r="1739" spans="1:18" ht="15" customHeight="1" x14ac:dyDescent="0.25">
      <c r="A1739" t="str">
        <f>IFERROR(RANK(B1739,$B:$B,1)+COUNTIF($B$1:B1738,B1739),"")</f>
        <v/>
      </c>
      <c r="B1739" t="str">
        <f>IFERROR(SEARCH(#REF!,Table4[[#This Row],[Commodity Title]],1),"")</f>
        <v/>
      </c>
      <c r="C1739" s="35">
        <v>42202104</v>
      </c>
      <c r="D1739" s="33" t="s">
        <v>1495</v>
      </c>
      <c r="E1739" s="33" t="s">
        <v>1496</v>
      </c>
      <c r="F1739" s="33" t="s">
        <v>1497</v>
      </c>
      <c r="G1739" s="33" t="s">
        <v>4781</v>
      </c>
      <c r="H1739" s="33" t="s">
        <v>4782</v>
      </c>
      <c r="I1739" s="33" t="s">
        <v>4783</v>
      </c>
      <c r="J1739" s="33">
        <v>115580</v>
      </c>
      <c r="K1739" s="33" t="s">
        <v>5046</v>
      </c>
      <c r="L1739" s="33" t="s">
        <v>5047</v>
      </c>
      <c r="M1739" s="33" t="s">
        <v>5048</v>
      </c>
      <c r="N1739" s="44">
        <v>42202104</v>
      </c>
      <c r="O1739" s="33" t="s">
        <v>5055</v>
      </c>
      <c r="P1739" s="33" t="s">
        <v>5056</v>
      </c>
      <c r="Q1739" s="34" t="s">
        <v>1494</v>
      </c>
      <c r="R1739" s="34" t="s">
        <v>1494</v>
      </c>
    </row>
    <row r="1740" spans="1:18" ht="15" customHeight="1" x14ac:dyDescent="0.25">
      <c r="A1740" t="str">
        <f>IFERROR(RANK(B1740,$B:$B,1)+COUNTIF($B$1:B1739,B1740),"")</f>
        <v/>
      </c>
      <c r="B1740" t="str">
        <f>IFERROR(SEARCH(#REF!,Table4[[#This Row],[Commodity Title]],1),"")</f>
        <v/>
      </c>
      <c r="C1740" s="35">
        <v>42202105</v>
      </c>
      <c r="D1740" s="33" t="s">
        <v>1495</v>
      </c>
      <c r="E1740" s="33" t="s">
        <v>1496</v>
      </c>
      <c r="F1740" s="33" t="s">
        <v>1497</v>
      </c>
      <c r="G1740" s="33" t="s">
        <v>4781</v>
      </c>
      <c r="H1740" s="33" t="s">
        <v>4782</v>
      </c>
      <c r="I1740" s="33" t="s">
        <v>4783</v>
      </c>
      <c r="J1740" s="33">
        <v>115581</v>
      </c>
      <c r="K1740" s="33" t="s">
        <v>5046</v>
      </c>
      <c r="L1740" s="33" t="s">
        <v>5047</v>
      </c>
      <c r="M1740" s="33" t="s">
        <v>5048</v>
      </c>
      <c r="N1740" s="44">
        <v>42202105</v>
      </c>
      <c r="O1740" s="33" t="s">
        <v>5057</v>
      </c>
      <c r="P1740" s="33" t="s">
        <v>5058</v>
      </c>
      <c r="Q1740" s="34" t="s">
        <v>1494</v>
      </c>
      <c r="R1740" s="34" t="s">
        <v>1494</v>
      </c>
    </row>
    <row r="1741" spans="1:18" ht="15" customHeight="1" x14ac:dyDescent="0.25">
      <c r="A1741" t="str">
        <f>IFERROR(RANK(B1741,$B:$B,1)+COUNTIF($B$1:B1740,B1741),"")</f>
        <v/>
      </c>
      <c r="B1741" t="str">
        <f>IFERROR(SEARCH(#REF!,Table4[[#This Row],[Commodity Title]],1),"")</f>
        <v/>
      </c>
      <c r="C1741" s="35">
        <v>42202106</v>
      </c>
      <c r="D1741" s="33" t="s">
        <v>1495</v>
      </c>
      <c r="E1741" s="33" t="s">
        <v>1496</v>
      </c>
      <c r="F1741" s="33" t="s">
        <v>1497</v>
      </c>
      <c r="G1741" s="33" t="s">
        <v>4781</v>
      </c>
      <c r="H1741" s="33" t="s">
        <v>4782</v>
      </c>
      <c r="I1741" s="33" t="s">
        <v>4783</v>
      </c>
      <c r="J1741" s="33">
        <v>174389</v>
      </c>
      <c r="K1741" s="33" t="s">
        <v>5046</v>
      </c>
      <c r="L1741" s="33" t="s">
        <v>5047</v>
      </c>
      <c r="M1741" s="33" t="s">
        <v>5048</v>
      </c>
      <c r="N1741" s="44">
        <v>42202106</v>
      </c>
      <c r="O1741" s="33" t="s">
        <v>5059</v>
      </c>
      <c r="P1741" s="33" t="s">
        <v>5060</v>
      </c>
      <c r="Q1741" s="34" t="s">
        <v>1494</v>
      </c>
      <c r="R1741" s="34" t="s">
        <v>1494</v>
      </c>
    </row>
    <row r="1742" spans="1:18" ht="15" customHeight="1" x14ac:dyDescent="0.25">
      <c r="A1742" t="str">
        <f>IFERROR(RANK(B1742,$B:$B,1)+COUNTIF($B$1:B1741,B1742),"")</f>
        <v/>
      </c>
      <c r="B1742" t="str">
        <f>IFERROR(SEARCH(#REF!,Table4[[#This Row],[Commodity Title]],1),"")</f>
        <v/>
      </c>
      <c r="C1742" s="35">
        <v>42202107</v>
      </c>
      <c r="D1742" s="33" t="s">
        <v>1495</v>
      </c>
      <c r="E1742" s="33" t="s">
        <v>1496</v>
      </c>
      <c r="F1742" s="33" t="s">
        <v>1497</v>
      </c>
      <c r="G1742" s="33" t="s">
        <v>4781</v>
      </c>
      <c r="H1742" s="33" t="s">
        <v>4782</v>
      </c>
      <c r="I1742" s="33" t="s">
        <v>4783</v>
      </c>
      <c r="J1742" s="33">
        <v>202847</v>
      </c>
      <c r="K1742" s="33" t="s">
        <v>5046</v>
      </c>
      <c r="L1742" s="33" t="s">
        <v>5047</v>
      </c>
      <c r="M1742" s="33" t="s">
        <v>5048</v>
      </c>
      <c r="N1742" s="44">
        <v>42202107</v>
      </c>
      <c r="O1742" s="33" t="s">
        <v>5061</v>
      </c>
      <c r="P1742" s="33" t="s">
        <v>5062</v>
      </c>
      <c r="Q1742" s="34" t="s">
        <v>1494</v>
      </c>
      <c r="R1742" s="34" t="s">
        <v>1494</v>
      </c>
    </row>
    <row r="1743" spans="1:18" ht="15" customHeight="1" x14ac:dyDescent="0.25">
      <c r="A1743" t="str">
        <f>IFERROR(RANK(B1743,$B:$B,1)+COUNTIF($B$1:B1742,B1743),"")</f>
        <v/>
      </c>
      <c r="B1743" t="str">
        <f>IFERROR(SEARCH(#REF!,Table4[[#This Row],[Commodity Title]],1),"")</f>
        <v/>
      </c>
      <c r="C1743" s="35">
        <v>42202108</v>
      </c>
      <c r="D1743" s="33" t="s">
        <v>1495</v>
      </c>
      <c r="E1743" s="33" t="s">
        <v>1496</v>
      </c>
      <c r="F1743" s="33" t="s">
        <v>1497</v>
      </c>
      <c r="G1743" s="33" t="s">
        <v>4781</v>
      </c>
      <c r="H1743" s="33" t="s">
        <v>4782</v>
      </c>
      <c r="I1743" s="33" t="s">
        <v>4783</v>
      </c>
      <c r="J1743" s="33">
        <v>202848</v>
      </c>
      <c r="K1743" s="33" t="s">
        <v>5046</v>
      </c>
      <c r="L1743" s="33" t="s">
        <v>5047</v>
      </c>
      <c r="M1743" s="33" t="s">
        <v>5048</v>
      </c>
      <c r="N1743" s="44">
        <v>42202108</v>
      </c>
      <c r="O1743" s="33" t="s">
        <v>5063</v>
      </c>
      <c r="P1743" s="33" t="s">
        <v>5064</v>
      </c>
      <c r="Q1743" s="34" t="s">
        <v>1494</v>
      </c>
      <c r="R1743" s="34" t="s">
        <v>1494</v>
      </c>
    </row>
    <row r="1744" spans="1:18" ht="15" customHeight="1" x14ac:dyDescent="0.25">
      <c r="A1744" t="str">
        <f>IFERROR(RANK(B1744,$B:$B,1)+COUNTIF($B$1:B1743,B1744),"")</f>
        <v/>
      </c>
      <c r="B1744" t="str">
        <f>IFERROR(SEARCH(#REF!,Table4[[#This Row],[Commodity Title]],1),"")</f>
        <v/>
      </c>
      <c r="C1744" s="33" t="s">
        <v>1494</v>
      </c>
      <c r="D1744" s="33" t="s">
        <v>1495</v>
      </c>
      <c r="E1744" s="33" t="s">
        <v>1496</v>
      </c>
      <c r="F1744" s="33" t="s">
        <v>1497</v>
      </c>
      <c r="G1744" s="33" t="s">
        <v>4781</v>
      </c>
      <c r="H1744" s="33" t="s">
        <v>4782</v>
      </c>
      <c r="I1744" s="33" t="s">
        <v>4783</v>
      </c>
      <c r="J1744" s="33">
        <v>115582</v>
      </c>
      <c r="K1744" s="33" t="s">
        <v>5065</v>
      </c>
      <c r="L1744" s="33" t="s">
        <v>5066</v>
      </c>
      <c r="M1744" s="33" t="s">
        <v>5067</v>
      </c>
      <c r="N1744" s="44" t="s">
        <v>1494</v>
      </c>
      <c r="O1744" s="33" t="s">
        <v>1494</v>
      </c>
      <c r="P1744" s="33" t="s">
        <v>1494</v>
      </c>
      <c r="Q1744" s="34" t="s">
        <v>1494</v>
      </c>
      <c r="R1744" s="34" t="s">
        <v>1494</v>
      </c>
    </row>
    <row r="1745" spans="1:18" ht="15" customHeight="1" x14ac:dyDescent="0.25">
      <c r="A1745" t="str">
        <f>IFERROR(RANK(B1745,$B:$B,1)+COUNTIF($B$1:B1744,B1745),"")</f>
        <v/>
      </c>
      <c r="B1745" t="str">
        <f>IFERROR(SEARCH(#REF!,Table4[[#This Row],[Commodity Title]],1),"")</f>
        <v/>
      </c>
      <c r="C1745" s="35">
        <v>42202201</v>
      </c>
      <c r="D1745" s="33" t="s">
        <v>1495</v>
      </c>
      <c r="E1745" s="33" t="s">
        <v>1496</v>
      </c>
      <c r="F1745" s="33" t="s">
        <v>1497</v>
      </c>
      <c r="G1745" s="33" t="s">
        <v>4781</v>
      </c>
      <c r="H1745" s="33" t="s">
        <v>4782</v>
      </c>
      <c r="I1745" s="33" t="s">
        <v>4783</v>
      </c>
      <c r="J1745" s="33">
        <v>115583</v>
      </c>
      <c r="K1745" s="33" t="s">
        <v>5065</v>
      </c>
      <c r="L1745" s="33" t="s">
        <v>5066</v>
      </c>
      <c r="M1745" s="33" t="s">
        <v>5067</v>
      </c>
      <c r="N1745" s="44">
        <v>42202201</v>
      </c>
      <c r="O1745" s="33" t="s">
        <v>5068</v>
      </c>
      <c r="P1745" s="33" t="s">
        <v>5069</v>
      </c>
      <c r="Q1745" s="34" t="s">
        <v>1494</v>
      </c>
      <c r="R1745" s="34" t="s">
        <v>1494</v>
      </c>
    </row>
    <row r="1746" spans="1:18" ht="15" customHeight="1" x14ac:dyDescent="0.25">
      <c r="A1746" t="str">
        <f>IFERROR(RANK(B1746,$B:$B,1)+COUNTIF($B$1:B1745,B1746),"")</f>
        <v/>
      </c>
      <c r="B1746" t="str">
        <f>IFERROR(SEARCH(#REF!,Table4[[#This Row],[Commodity Title]],1),"")</f>
        <v/>
      </c>
      <c r="C1746" s="35">
        <v>42202202</v>
      </c>
      <c r="D1746" s="33" t="s">
        <v>1495</v>
      </c>
      <c r="E1746" s="33" t="s">
        <v>1496</v>
      </c>
      <c r="F1746" s="33" t="s">
        <v>1497</v>
      </c>
      <c r="G1746" s="33" t="s">
        <v>4781</v>
      </c>
      <c r="H1746" s="33" t="s">
        <v>4782</v>
      </c>
      <c r="I1746" s="33" t="s">
        <v>4783</v>
      </c>
      <c r="J1746" s="33">
        <v>115584</v>
      </c>
      <c r="K1746" s="33" t="s">
        <v>5065</v>
      </c>
      <c r="L1746" s="33" t="s">
        <v>5066</v>
      </c>
      <c r="M1746" s="33" t="s">
        <v>5067</v>
      </c>
      <c r="N1746" s="44">
        <v>42202202</v>
      </c>
      <c r="O1746" s="33" t="s">
        <v>5070</v>
      </c>
      <c r="P1746" s="33" t="s">
        <v>5071</v>
      </c>
      <c r="Q1746" s="34" t="s">
        <v>1494</v>
      </c>
      <c r="R1746" s="34" t="s">
        <v>1494</v>
      </c>
    </row>
    <row r="1747" spans="1:18" ht="15" customHeight="1" x14ac:dyDescent="0.25">
      <c r="A1747" t="str">
        <f>IFERROR(RANK(B1747,$B:$B,1)+COUNTIF($B$1:B1746,B1747),"")</f>
        <v/>
      </c>
      <c r="B1747" t="str">
        <f>IFERROR(SEARCH(#REF!,Table4[[#This Row],[Commodity Title]],1),"")</f>
        <v/>
      </c>
      <c r="C1747" s="35">
        <v>42202203</v>
      </c>
      <c r="D1747" s="33" t="s">
        <v>1495</v>
      </c>
      <c r="E1747" s="33" t="s">
        <v>1496</v>
      </c>
      <c r="F1747" s="33" t="s">
        <v>1497</v>
      </c>
      <c r="G1747" s="33" t="s">
        <v>4781</v>
      </c>
      <c r="H1747" s="33" t="s">
        <v>4782</v>
      </c>
      <c r="I1747" s="33" t="s">
        <v>4783</v>
      </c>
      <c r="J1747" s="33">
        <v>142593</v>
      </c>
      <c r="K1747" s="33" t="s">
        <v>5065</v>
      </c>
      <c r="L1747" s="33" t="s">
        <v>5066</v>
      </c>
      <c r="M1747" s="33" t="s">
        <v>5067</v>
      </c>
      <c r="N1747" s="44">
        <v>42202203</v>
      </c>
      <c r="O1747" s="33" t="s">
        <v>5072</v>
      </c>
      <c r="P1747" s="33" t="s">
        <v>5073</v>
      </c>
      <c r="Q1747" s="34" t="s">
        <v>1494</v>
      </c>
      <c r="R1747" s="34" t="s">
        <v>1494</v>
      </c>
    </row>
    <row r="1748" spans="1:18" ht="15" customHeight="1" x14ac:dyDescent="0.25">
      <c r="A1748" t="str">
        <f>IFERROR(RANK(B1748,$B:$B,1)+COUNTIF($B$1:B1747,B1748),"")</f>
        <v/>
      </c>
      <c r="B1748" t="str">
        <f>IFERROR(SEARCH(#REF!,Table4[[#This Row],[Commodity Title]],1),"")</f>
        <v/>
      </c>
      <c r="C1748" s="35">
        <v>42202204</v>
      </c>
      <c r="D1748" s="33" t="s">
        <v>1495</v>
      </c>
      <c r="E1748" s="33" t="s">
        <v>1496</v>
      </c>
      <c r="F1748" s="33" t="s">
        <v>1497</v>
      </c>
      <c r="G1748" s="33" t="s">
        <v>4781</v>
      </c>
      <c r="H1748" s="33" t="s">
        <v>4782</v>
      </c>
      <c r="I1748" s="33" t="s">
        <v>4783</v>
      </c>
      <c r="J1748" s="33">
        <v>174390</v>
      </c>
      <c r="K1748" s="33" t="s">
        <v>5065</v>
      </c>
      <c r="L1748" s="33" t="s">
        <v>5066</v>
      </c>
      <c r="M1748" s="33" t="s">
        <v>5067</v>
      </c>
      <c r="N1748" s="44">
        <v>42202204</v>
      </c>
      <c r="O1748" s="33" t="s">
        <v>5074</v>
      </c>
      <c r="P1748" s="33" t="s">
        <v>5075</v>
      </c>
      <c r="Q1748" s="34" t="s">
        <v>1494</v>
      </c>
      <c r="R1748" s="34" t="s">
        <v>1494</v>
      </c>
    </row>
    <row r="1749" spans="1:18" ht="15" customHeight="1" x14ac:dyDescent="0.25">
      <c r="A1749" t="str">
        <f>IFERROR(RANK(B1749,$B:$B,1)+COUNTIF($B$1:B1748,B1749),"")</f>
        <v/>
      </c>
      <c r="B1749" t="str">
        <f>IFERROR(SEARCH(#REF!,Table4[[#This Row],[Commodity Title]],1),"")</f>
        <v/>
      </c>
      <c r="C1749" s="35">
        <v>42202205</v>
      </c>
      <c r="D1749" s="33" t="s">
        <v>1495</v>
      </c>
      <c r="E1749" s="33" t="s">
        <v>1496</v>
      </c>
      <c r="F1749" s="33" t="s">
        <v>1497</v>
      </c>
      <c r="G1749" s="33" t="s">
        <v>4781</v>
      </c>
      <c r="H1749" s="33" t="s">
        <v>4782</v>
      </c>
      <c r="I1749" s="33" t="s">
        <v>4783</v>
      </c>
      <c r="J1749" s="33">
        <v>174391</v>
      </c>
      <c r="K1749" s="33" t="s">
        <v>5065</v>
      </c>
      <c r="L1749" s="33" t="s">
        <v>5066</v>
      </c>
      <c r="M1749" s="33" t="s">
        <v>5067</v>
      </c>
      <c r="N1749" s="44">
        <v>42202205</v>
      </c>
      <c r="O1749" s="33" t="s">
        <v>5076</v>
      </c>
      <c r="P1749" s="33" t="s">
        <v>5077</v>
      </c>
      <c r="Q1749" s="34" t="s">
        <v>1494</v>
      </c>
      <c r="R1749" s="34" t="s">
        <v>1494</v>
      </c>
    </row>
    <row r="1750" spans="1:18" ht="15" customHeight="1" x14ac:dyDescent="0.25">
      <c r="A1750" t="str">
        <f>IFERROR(RANK(B1750,$B:$B,1)+COUNTIF($B$1:B1749,B1750),"")</f>
        <v/>
      </c>
      <c r="B1750" t="str">
        <f>IFERROR(SEARCH(#REF!,Table4[[#This Row],[Commodity Title]],1),"")</f>
        <v/>
      </c>
      <c r="C1750" s="33" t="s">
        <v>1494</v>
      </c>
      <c r="D1750" s="33" t="s">
        <v>1495</v>
      </c>
      <c r="E1750" s="33" t="s">
        <v>1496</v>
      </c>
      <c r="F1750" s="33" t="s">
        <v>1497</v>
      </c>
      <c r="G1750" s="33" t="s">
        <v>4781</v>
      </c>
      <c r="H1750" s="33" t="s">
        <v>4782</v>
      </c>
      <c r="I1750" s="33" t="s">
        <v>4783</v>
      </c>
      <c r="J1750" s="33">
        <v>115585</v>
      </c>
      <c r="K1750" s="33" t="s">
        <v>5078</v>
      </c>
      <c r="L1750" s="33" t="s">
        <v>5079</v>
      </c>
      <c r="M1750" s="33" t="s">
        <v>5080</v>
      </c>
      <c r="N1750" s="44" t="s">
        <v>1494</v>
      </c>
      <c r="O1750" s="33" t="s">
        <v>1494</v>
      </c>
      <c r="P1750" s="33" t="s">
        <v>1494</v>
      </c>
      <c r="Q1750" s="34" t="s">
        <v>1494</v>
      </c>
      <c r="R1750" s="34" t="s">
        <v>1494</v>
      </c>
    </row>
    <row r="1751" spans="1:18" ht="15" customHeight="1" x14ac:dyDescent="0.25">
      <c r="A1751" t="str">
        <f>IFERROR(RANK(B1751,$B:$B,1)+COUNTIF($B$1:B1750,B1751),"")</f>
        <v/>
      </c>
      <c r="B1751" t="str">
        <f>IFERROR(SEARCH(#REF!,Table4[[#This Row],[Commodity Title]],1),"")</f>
        <v/>
      </c>
      <c r="C1751" s="35">
        <v>42202301</v>
      </c>
      <c r="D1751" s="33" t="s">
        <v>1495</v>
      </c>
      <c r="E1751" s="33" t="s">
        <v>1496</v>
      </c>
      <c r="F1751" s="33" t="s">
        <v>1497</v>
      </c>
      <c r="G1751" s="33" t="s">
        <v>4781</v>
      </c>
      <c r="H1751" s="33" t="s">
        <v>4782</v>
      </c>
      <c r="I1751" s="33" t="s">
        <v>4783</v>
      </c>
      <c r="J1751" s="33">
        <v>115586</v>
      </c>
      <c r="K1751" s="33" t="s">
        <v>5078</v>
      </c>
      <c r="L1751" s="33" t="s">
        <v>5079</v>
      </c>
      <c r="M1751" s="33" t="s">
        <v>5080</v>
      </c>
      <c r="N1751" s="44">
        <v>42202301</v>
      </c>
      <c r="O1751" s="33" t="s">
        <v>5081</v>
      </c>
      <c r="P1751" s="33" t="s">
        <v>5082</v>
      </c>
      <c r="Q1751" s="34" t="s">
        <v>1494</v>
      </c>
      <c r="R1751" s="34" t="s">
        <v>1494</v>
      </c>
    </row>
    <row r="1752" spans="1:18" ht="15" customHeight="1" x14ac:dyDescent="0.25">
      <c r="A1752" t="str">
        <f>IFERROR(RANK(B1752,$B:$B,1)+COUNTIF($B$1:B1751,B1752),"")</f>
        <v/>
      </c>
      <c r="B1752" t="str">
        <f>IFERROR(SEARCH(#REF!,Table4[[#This Row],[Commodity Title]],1),"")</f>
        <v/>
      </c>
      <c r="C1752" s="35">
        <v>42202302</v>
      </c>
      <c r="D1752" s="33" t="s">
        <v>1495</v>
      </c>
      <c r="E1752" s="33" t="s">
        <v>1496</v>
      </c>
      <c r="F1752" s="33" t="s">
        <v>1497</v>
      </c>
      <c r="G1752" s="33" t="s">
        <v>4781</v>
      </c>
      <c r="H1752" s="33" t="s">
        <v>4782</v>
      </c>
      <c r="I1752" s="33" t="s">
        <v>4783</v>
      </c>
      <c r="J1752" s="33">
        <v>115587</v>
      </c>
      <c r="K1752" s="33" t="s">
        <v>5078</v>
      </c>
      <c r="L1752" s="33" t="s">
        <v>5079</v>
      </c>
      <c r="M1752" s="33" t="s">
        <v>5080</v>
      </c>
      <c r="N1752" s="44">
        <v>42202302</v>
      </c>
      <c r="O1752" s="33" t="s">
        <v>5083</v>
      </c>
      <c r="P1752" s="33" t="s">
        <v>5084</v>
      </c>
      <c r="Q1752" s="34" t="s">
        <v>1494</v>
      </c>
      <c r="R1752" s="34" t="s">
        <v>1494</v>
      </c>
    </row>
    <row r="1753" spans="1:18" ht="15" customHeight="1" x14ac:dyDescent="0.25">
      <c r="A1753" t="str">
        <f>IFERROR(RANK(B1753,$B:$B,1)+COUNTIF($B$1:B1752,B1753),"")</f>
        <v/>
      </c>
      <c r="B1753" t="str">
        <f>IFERROR(SEARCH(#REF!,Table4[[#This Row],[Commodity Title]],1),"")</f>
        <v/>
      </c>
      <c r="C1753" s="35">
        <v>42202303</v>
      </c>
      <c r="D1753" s="33" t="s">
        <v>1495</v>
      </c>
      <c r="E1753" s="33" t="s">
        <v>1496</v>
      </c>
      <c r="F1753" s="33" t="s">
        <v>1497</v>
      </c>
      <c r="G1753" s="33" t="s">
        <v>4781</v>
      </c>
      <c r="H1753" s="33" t="s">
        <v>4782</v>
      </c>
      <c r="I1753" s="33" t="s">
        <v>4783</v>
      </c>
      <c r="J1753" s="33">
        <v>115588</v>
      </c>
      <c r="K1753" s="33" t="s">
        <v>5078</v>
      </c>
      <c r="L1753" s="33" t="s">
        <v>5079</v>
      </c>
      <c r="M1753" s="33" t="s">
        <v>5080</v>
      </c>
      <c r="N1753" s="44">
        <v>42202303</v>
      </c>
      <c r="O1753" s="33" t="s">
        <v>5085</v>
      </c>
      <c r="P1753" s="33" t="s">
        <v>5086</v>
      </c>
      <c r="Q1753" s="34" t="s">
        <v>1494</v>
      </c>
      <c r="R1753" s="34" t="s">
        <v>1494</v>
      </c>
    </row>
    <row r="1754" spans="1:18" ht="15" customHeight="1" x14ac:dyDescent="0.25">
      <c r="A1754" t="str">
        <f>IFERROR(RANK(B1754,$B:$B,1)+COUNTIF($B$1:B1753,B1754),"")</f>
        <v/>
      </c>
      <c r="B1754" t="str">
        <f>IFERROR(SEARCH(#REF!,Table4[[#This Row],[Commodity Title]],1),"")</f>
        <v/>
      </c>
      <c r="C1754" s="35">
        <v>42202304</v>
      </c>
      <c r="D1754" s="33" t="s">
        <v>1495</v>
      </c>
      <c r="E1754" s="33" t="s">
        <v>1496</v>
      </c>
      <c r="F1754" s="33" t="s">
        <v>1497</v>
      </c>
      <c r="G1754" s="33" t="s">
        <v>4781</v>
      </c>
      <c r="H1754" s="33" t="s">
        <v>4782</v>
      </c>
      <c r="I1754" s="33" t="s">
        <v>4783</v>
      </c>
      <c r="J1754" s="33">
        <v>202849</v>
      </c>
      <c r="K1754" s="33" t="s">
        <v>5078</v>
      </c>
      <c r="L1754" s="33" t="s">
        <v>5079</v>
      </c>
      <c r="M1754" s="33" t="s">
        <v>5080</v>
      </c>
      <c r="N1754" s="44">
        <v>42202304</v>
      </c>
      <c r="O1754" s="33" t="s">
        <v>5087</v>
      </c>
      <c r="P1754" s="33" t="s">
        <v>5088</v>
      </c>
      <c r="Q1754" s="34" t="s">
        <v>1494</v>
      </c>
      <c r="R1754" s="34" t="s">
        <v>1494</v>
      </c>
    </row>
    <row r="1755" spans="1:18" ht="15" customHeight="1" x14ac:dyDescent="0.25">
      <c r="A1755" t="str">
        <f>IFERROR(RANK(B1755,$B:$B,1)+COUNTIF($B$1:B1754,B1755),"")</f>
        <v/>
      </c>
      <c r="B1755" t="str">
        <f>IFERROR(SEARCH(#REF!,Table4[[#This Row],[Commodity Title]],1),"")</f>
        <v/>
      </c>
      <c r="C1755" s="33" t="s">
        <v>1494</v>
      </c>
      <c r="D1755" s="33" t="s">
        <v>1495</v>
      </c>
      <c r="E1755" s="33" t="s">
        <v>1496</v>
      </c>
      <c r="F1755" s="33" t="s">
        <v>1497</v>
      </c>
      <c r="G1755" s="33" t="s">
        <v>4781</v>
      </c>
      <c r="H1755" s="33" t="s">
        <v>4782</v>
      </c>
      <c r="I1755" s="33" t="s">
        <v>4783</v>
      </c>
      <c r="J1755" s="33">
        <v>115589</v>
      </c>
      <c r="K1755" s="33" t="s">
        <v>5089</v>
      </c>
      <c r="L1755" s="33" t="s">
        <v>5090</v>
      </c>
      <c r="M1755" s="33" t="s">
        <v>5091</v>
      </c>
      <c r="N1755" s="44" t="s">
        <v>1494</v>
      </c>
      <c r="O1755" s="33" t="s">
        <v>1494</v>
      </c>
      <c r="P1755" s="33" t="s">
        <v>1494</v>
      </c>
      <c r="Q1755" s="34" t="s">
        <v>1494</v>
      </c>
      <c r="R1755" s="34" t="s">
        <v>1494</v>
      </c>
    </row>
    <row r="1756" spans="1:18" ht="15" customHeight="1" x14ac:dyDescent="0.25">
      <c r="A1756" t="str">
        <f>IFERROR(RANK(B1756,$B:$B,1)+COUNTIF($B$1:B1755,B1756),"")</f>
        <v/>
      </c>
      <c r="B1756" t="str">
        <f>IFERROR(SEARCH(#REF!,Table4[[#This Row],[Commodity Title]],1),"")</f>
        <v/>
      </c>
      <c r="C1756" s="35">
        <v>42202401</v>
      </c>
      <c r="D1756" s="33" t="s">
        <v>1495</v>
      </c>
      <c r="E1756" s="33" t="s">
        <v>1496</v>
      </c>
      <c r="F1756" s="33" t="s">
        <v>1497</v>
      </c>
      <c r="G1756" s="33" t="s">
        <v>4781</v>
      </c>
      <c r="H1756" s="33" t="s">
        <v>4782</v>
      </c>
      <c r="I1756" s="33" t="s">
        <v>4783</v>
      </c>
      <c r="J1756" s="33">
        <v>115590</v>
      </c>
      <c r="K1756" s="33" t="s">
        <v>5089</v>
      </c>
      <c r="L1756" s="33" t="s">
        <v>5090</v>
      </c>
      <c r="M1756" s="33" t="s">
        <v>5091</v>
      </c>
      <c r="N1756" s="44">
        <v>42202401</v>
      </c>
      <c r="O1756" s="33" t="s">
        <v>5092</v>
      </c>
      <c r="P1756" s="33" t="s">
        <v>5093</v>
      </c>
      <c r="Q1756" s="34" t="s">
        <v>1494</v>
      </c>
      <c r="R1756" s="34" t="s">
        <v>1494</v>
      </c>
    </row>
    <row r="1757" spans="1:18" ht="15" customHeight="1" x14ac:dyDescent="0.25">
      <c r="A1757" t="str">
        <f>IFERROR(RANK(B1757,$B:$B,1)+COUNTIF($B$1:B1756,B1757),"")</f>
        <v/>
      </c>
      <c r="B1757" t="str">
        <f>IFERROR(SEARCH(#REF!,Table4[[#This Row],[Commodity Title]],1),"")</f>
        <v/>
      </c>
      <c r="C1757" s="35">
        <v>42202402</v>
      </c>
      <c r="D1757" s="33" t="s">
        <v>1495</v>
      </c>
      <c r="E1757" s="33" t="s">
        <v>1496</v>
      </c>
      <c r="F1757" s="33" t="s">
        <v>1497</v>
      </c>
      <c r="G1757" s="33" t="s">
        <v>4781</v>
      </c>
      <c r="H1757" s="33" t="s">
        <v>4782</v>
      </c>
      <c r="I1757" s="33" t="s">
        <v>4783</v>
      </c>
      <c r="J1757" s="33">
        <v>208337</v>
      </c>
      <c r="K1757" s="33" t="s">
        <v>5089</v>
      </c>
      <c r="L1757" s="33" t="s">
        <v>5090</v>
      </c>
      <c r="M1757" s="33" t="s">
        <v>5091</v>
      </c>
      <c r="N1757" s="44">
        <v>42202402</v>
      </c>
      <c r="O1757" s="33" t="s">
        <v>5094</v>
      </c>
      <c r="P1757" s="33" t="s">
        <v>5095</v>
      </c>
      <c r="Q1757" s="34" t="s">
        <v>1494</v>
      </c>
      <c r="R1757" s="34" t="s">
        <v>1494</v>
      </c>
    </row>
    <row r="1758" spans="1:18" ht="15" customHeight="1" x14ac:dyDescent="0.25">
      <c r="A1758" t="str">
        <f>IFERROR(RANK(B1758,$B:$B,1)+COUNTIF($B$1:B1757,B1758),"")</f>
        <v/>
      </c>
      <c r="B1758" t="str">
        <f>IFERROR(SEARCH(#REF!,Table4[[#This Row],[Commodity Title]],1),"")</f>
        <v/>
      </c>
      <c r="C1758" s="33" t="s">
        <v>1494</v>
      </c>
      <c r="D1758" s="33" t="s">
        <v>1495</v>
      </c>
      <c r="E1758" s="33" t="s">
        <v>1496</v>
      </c>
      <c r="F1758" s="33" t="s">
        <v>1497</v>
      </c>
      <c r="G1758" s="33" t="s">
        <v>4781</v>
      </c>
      <c r="H1758" s="33" t="s">
        <v>4782</v>
      </c>
      <c r="I1758" s="33" t="s">
        <v>4783</v>
      </c>
      <c r="J1758" s="33">
        <v>115591</v>
      </c>
      <c r="K1758" s="33" t="s">
        <v>5096</v>
      </c>
      <c r="L1758" s="33" t="s">
        <v>5097</v>
      </c>
      <c r="M1758" s="33" t="s">
        <v>5098</v>
      </c>
      <c r="N1758" s="44" t="s">
        <v>1494</v>
      </c>
      <c r="O1758" s="33" t="s">
        <v>1494</v>
      </c>
      <c r="P1758" s="33" t="s">
        <v>1494</v>
      </c>
      <c r="Q1758" s="34" t="s">
        <v>1494</v>
      </c>
      <c r="R1758" s="34" t="s">
        <v>1494</v>
      </c>
    </row>
    <row r="1759" spans="1:18" ht="15" customHeight="1" x14ac:dyDescent="0.25">
      <c r="A1759" t="str">
        <f>IFERROR(RANK(B1759,$B:$B,1)+COUNTIF($B$1:B1758,B1759),"")</f>
        <v/>
      </c>
      <c r="B1759" t="str">
        <f>IFERROR(SEARCH(#REF!,Table4[[#This Row],[Commodity Title]],1),"")</f>
        <v/>
      </c>
      <c r="C1759" s="35">
        <v>42202501</v>
      </c>
      <c r="D1759" s="33" t="s">
        <v>1495</v>
      </c>
      <c r="E1759" s="33" t="s">
        <v>1496</v>
      </c>
      <c r="F1759" s="33" t="s">
        <v>1497</v>
      </c>
      <c r="G1759" s="33" t="s">
        <v>4781</v>
      </c>
      <c r="H1759" s="33" t="s">
        <v>4782</v>
      </c>
      <c r="I1759" s="33" t="s">
        <v>4783</v>
      </c>
      <c r="J1759" s="33">
        <v>115592</v>
      </c>
      <c r="K1759" s="33" t="s">
        <v>5096</v>
      </c>
      <c r="L1759" s="33" t="s">
        <v>5097</v>
      </c>
      <c r="M1759" s="33" t="s">
        <v>5098</v>
      </c>
      <c r="N1759" s="44">
        <v>42202501</v>
      </c>
      <c r="O1759" s="33" t="s">
        <v>5099</v>
      </c>
      <c r="P1759" s="33" t="s">
        <v>5100</v>
      </c>
      <c r="Q1759" s="34" t="s">
        <v>1494</v>
      </c>
      <c r="R1759" s="34" t="s">
        <v>1494</v>
      </c>
    </row>
    <row r="1760" spans="1:18" ht="15" customHeight="1" x14ac:dyDescent="0.25">
      <c r="A1760" t="str">
        <f>IFERROR(RANK(B1760,$B:$B,1)+COUNTIF($B$1:B1759,B1760),"")</f>
        <v/>
      </c>
      <c r="B1760" t="str">
        <f>IFERROR(SEARCH(#REF!,Table4[[#This Row],[Commodity Title]],1),"")</f>
        <v/>
      </c>
      <c r="C1760" s="35">
        <v>42202502</v>
      </c>
      <c r="D1760" s="33" t="s">
        <v>1495</v>
      </c>
      <c r="E1760" s="33" t="s">
        <v>1496</v>
      </c>
      <c r="F1760" s="33" t="s">
        <v>1497</v>
      </c>
      <c r="G1760" s="33" t="s">
        <v>4781</v>
      </c>
      <c r="H1760" s="33" t="s">
        <v>4782</v>
      </c>
      <c r="I1760" s="33" t="s">
        <v>4783</v>
      </c>
      <c r="J1760" s="33">
        <v>208338</v>
      </c>
      <c r="K1760" s="33" t="s">
        <v>5096</v>
      </c>
      <c r="L1760" s="33" t="s">
        <v>5097</v>
      </c>
      <c r="M1760" s="33" t="s">
        <v>5098</v>
      </c>
      <c r="N1760" s="44">
        <v>42202502</v>
      </c>
      <c r="O1760" s="33" t="s">
        <v>5101</v>
      </c>
      <c r="P1760" s="33" t="s">
        <v>5102</v>
      </c>
      <c r="Q1760" s="34" t="s">
        <v>1494</v>
      </c>
      <c r="R1760" s="34" t="s">
        <v>1494</v>
      </c>
    </row>
    <row r="1761" spans="1:18" ht="15" customHeight="1" x14ac:dyDescent="0.25">
      <c r="A1761" t="str">
        <f>IFERROR(RANK(B1761,$B:$B,1)+COUNTIF($B$1:B1760,B1761),"")</f>
        <v/>
      </c>
      <c r="B1761" t="str">
        <f>IFERROR(SEARCH(#REF!,Table4[[#This Row],[Commodity Title]],1),"")</f>
        <v/>
      </c>
      <c r="C1761" s="33" t="s">
        <v>1494</v>
      </c>
      <c r="D1761" s="33" t="s">
        <v>1495</v>
      </c>
      <c r="E1761" s="33" t="s">
        <v>1496</v>
      </c>
      <c r="F1761" s="33" t="s">
        <v>1497</v>
      </c>
      <c r="G1761" s="33" t="s">
        <v>4781</v>
      </c>
      <c r="H1761" s="33" t="s">
        <v>4782</v>
      </c>
      <c r="I1761" s="33" t="s">
        <v>4783</v>
      </c>
      <c r="J1761" s="33">
        <v>115593</v>
      </c>
      <c r="K1761" s="33" t="s">
        <v>5103</v>
      </c>
      <c r="L1761" s="33" t="s">
        <v>5104</v>
      </c>
      <c r="M1761" s="33" t="s">
        <v>5105</v>
      </c>
      <c r="N1761" s="44" t="s">
        <v>1494</v>
      </c>
      <c r="O1761" s="33" t="s">
        <v>1494</v>
      </c>
      <c r="P1761" s="33" t="s">
        <v>1494</v>
      </c>
      <c r="Q1761" s="34" t="s">
        <v>1494</v>
      </c>
      <c r="R1761" s="34" t="s">
        <v>1494</v>
      </c>
    </row>
    <row r="1762" spans="1:18" ht="15" customHeight="1" x14ac:dyDescent="0.25">
      <c r="A1762" t="str">
        <f>IFERROR(RANK(B1762,$B:$B,1)+COUNTIF($B$1:B1761,B1762),"")</f>
        <v/>
      </c>
      <c r="B1762" t="str">
        <f>IFERROR(SEARCH(#REF!,Table4[[#This Row],[Commodity Title]],1),"")</f>
        <v/>
      </c>
      <c r="C1762" s="35">
        <v>42202601</v>
      </c>
      <c r="D1762" s="33" t="s">
        <v>1495</v>
      </c>
      <c r="E1762" s="33" t="s">
        <v>1496</v>
      </c>
      <c r="F1762" s="33" t="s">
        <v>1497</v>
      </c>
      <c r="G1762" s="33" t="s">
        <v>4781</v>
      </c>
      <c r="H1762" s="33" t="s">
        <v>4782</v>
      </c>
      <c r="I1762" s="33" t="s">
        <v>4783</v>
      </c>
      <c r="J1762" s="33">
        <v>115594</v>
      </c>
      <c r="K1762" s="33" t="s">
        <v>5103</v>
      </c>
      <c r="L1762" s="33" t="s">
        <v>5104</v>
      </c>
      <c r="M1762" s="33" t="s">
        <v>5105</v>
      </c>
      <c r="N1762" s="44">
        <v>42202601</v>
      </c>
      <c r="O1762" s="33" t="s">
        <v>5106</v>
      </c>
      <c r="P1762" s="33" t="s">
        <v>5107</v>
      </c>
      <c r="Q1762" s="34" t="s">
        <v>1494</v>
      </c>
      <c r="R1762" s="34" t="s">
        <v>1494</v>
      </c>
    </row>
    <row r="1763" spans="1:18" ht="15" customHeight="1" x14ac:dyDescent="0.25">
      <c r="A1763" t="str">
        <f>IFERROR(RANK(B1763,$B:$B,1)+COUNTIF($B$1:B1762,B1763),"")</f>
        <v/>
      </c>
      <c r="B1763" t="str">
        <f>IFERROR(SEARCH(#REF!,Table4[[#This Row],[Commodity Title]],1),"")</f>
        <v/>
      </c>
      <c r="C1763" s="35">
        <v>42202602</v>
      </c>
      <c r="D1763" s="33" t="s">
        <v>1495</v>
      </c>
      <c r="E1763" s="33" t="s">
        <v>1496</v>
      </c>
      <c r="F1763" s="33" t="s">
        <v>1497</v>
      </c>
      <c r="G1763" s="33" t="s">
        <v>4781</v>
      </c>
      <c r="H1763" s="33" t="s">
        <v>4782</v>
      </c>
      <c r="I1763" s="33" t="s">
        <v>4783</v>
      </c>
      <c r="J1763" s="33">
        <v>142594</v>
      </c>
      <c r="K1763" s="33" t="s">
        <v>5103</v>
      </c>
      <c r="L1763" s="33" t="s">
        <v>5104</v>
      </c>
      <c r="M1763" s="33" t="s">
        <v>5105</v>
      </c>
      <c r="N1763" s="44">
        <v>42202602</v>
      </c>
      <c r="O1763" s="33" t="s">
        <v>5108</v>
      </c>
      <c r="P1763" s="33" t="s">
        <v>5109</v>
      </c>
      <c r="Q1763" s="34" t="s">
        <v>1494</v>
      </c>
      <c r="R1763" s="34" t="s">
        <v>1494</v>
      </c>
    </row>
    <row r="1764" spans="1:18" ht="15" customHeight="1" x14ac:dyDescent="0.25">
      <c r="A1764" t="str">
        <f>IFERROR(RANK(B1764,$B:$B,1)+COUNTIF($B$1:B1763,B1764),"")</f>
        <v/>
      </c>
      <c r="B1764" t="str">
        <f>IFERROR(SEARCH(#REF!,Table4[[#This Row],[Commodity Title]],1),"")</f>
        <v/>
      </c>
      <c r="C1764" s="35">
        <v>42202603</v>
      </c>
      <c r="D1764" s="33" t="s">
        <v>1495</v>
      </c>
      <c r="E1764" s="33" t="s">
        <v>1496</v>
      </c>
      <c r="F1764" s="33" t="s">
        <v>1497</v>
      </c>
      <c r="G1764" s="33" t="s">
        <v>4781</v>
      </c>
      <c r="H1764" s="33" t="s">
        <v>4782</v>
      </c>
      <c r="I1764" s="33" t="s">
        <v>4783</v>
      </c>
      <c r="J1764" s="33">
        <v>202850</v>
      </c>
      <c r="K1764" s="33" t="s">
        <v>5103</v>
      </c>
      <c r="L1764" s="33" t="s">
        <v>5104</v>
      </c>
      <c r="M1764" s="33" t="s">
        <v>5105</v>
      </c>
      <c r="N1764" s="44">
        <v>42202603</v>
      </c>
      <c r="O1764" s="33" t="s">
        <v>5110</v>
      </c>
      <c r="P1764" s="33" t="s">
        <v>5111</v>
      </c>
      <c r="Q1764" s="34" t="s">
        <v>1494</v>
      </c>
      <c r="R1764" s="34" t="s">
        <v>1494</v>
      </c>
    </row>
    <row r="1765" spans="1:18" ht="15" customHeight="1" x14ac:dyDescent="0.25">
      <c r="A1765" t="str">
        <f>IFERROR(RANK(B1765,$B:$B,1)+COUNTIF($B$1:B1764,B1765),"")</f>
        <v/>
      </c>
      <c r="B1765" t="str">
        <f>IFERROR(SEARCH(#REF!,Table4[[#This Row],[Commodity Title]],1),"")</f>
        <v/>
      </c>
      <c r="C1765" s="35">
        <v>42202604</v>
      </c>
      <c r="D1765" s="33" t="s">
        <v>1495</v>
      </c>
      <c r="E1765" s="33" t="s">
        <v>1496</v>
      </c>
      <c r="F1765" s="33" t="s">
        <v>1497</v>
      </c>
      <c r="G1765" s="33" t="s">
        <v>4781</v>
      </c>
      <c r="H1765" s="33" t="s">
        <v>4782</v>
      </c>
      <c r="I1765" s="33" t="s">
        <v>4783</v>
      </c>
      <c r="J1765" s="33">
        <v>202851</v>
      </c>
      <c r="K1765" s="33" t="s">
        <v>5103</v>
      </c>
      <c r="L1765" s="33" t="s">
        <v>5104</v>
      </c>
      <c r="M1765" s="33" t="s">
        <v>5105</v>
      </c>
      <c r="N1765" s="44">
        <v>42202604</v>
      </c>
      <c r="O1765" s="33" t="s">
        <v>5112</v>
      </c>
      <c r="P1765" s="33" t="s">
        <v>5113</v>
      </c>
      <c r="Q1765" s="34" t="s">
        <v>1494</v>
      </c>
      <c r="R1765" s="34" t="s">
        <v>1494</v>
      </c>
    </row>
    <row r="1766" spans="1:18" ht="15" customHeight="1" x14ac:dyDescent="0.25">
      <c r="A1766" t="str">
        <f>IFERROR(RANK(B1766,$B:$B,1)+COUNTIF($B$1:B1765,B1766),"")</f>
        <v/>
      </c>
      <c r="B1766" t="str">
        <f>IFERROR(SEARCH(#REF!,Table4[[#This Row],[Commodity Title]],1),"")</f>
        <v/>
      </c>
      <c r="C1766" s="33" t="s">
        <v>1494</v>
      </c>
      <c r="D1766" s="33" t="s">
        <v>1495</v>
      </c>
      <c r="E1766" s="33" t="s">
        <v>1496</v>
      </c>
      <c r="F1766" s="33" t="s">
        <v>1497</v>
      </c>
      <c r="G1766" s="33" t="s">
        <v>4781</v>
      </c>
      <c r="H1766" s="33" t="s">
        <v>4782</v>
      </c>
      <c r="I1766" s="33" t="s">
        <v>4783</v>
      </c>
      <c r="J1766" s="33">
        <v>115595</v>
      </c>
      <c r="K1766" s="33" t="s">
        <v>5114</v>
      </c>
      <c r="L1766" s="33" t="s">
        <v>5115</v>
      </c>
      <c r="M1766" s="33" t="s">
        <v>5116</v>
      </c>
      <c r="N1766" s="44" t="s">
        <v>1494</v>
      </c>
      <c r="O1766" s="33" t="s">
        <v>1494</v>
      </c>
      <c r="P1766" s="33" t="s">
        <v>1494</v>
      </c>
      <c r="Q1766" s="34" t="s">
        <v>1494</v>
      </c>
      <c r="R1766" s="34" t="s">
        <v>1494</v>
      </c>
    </row>
    <row r="1767" spans="1:18" ht="15" customHeight="1" x14ac:dyDescent="0.25">
      <c r="A1767" t="str">
        <f>IFERROR(RANK(B1767,$B:$B,1)+COUNTIF($B$1:B1766,B1767),"")</f>
        <v/>
      </c>
      <c r="B1767" t="str">
        <f>IFERROR(SEARCH(#REF!,Table4[[#This Row],[Commodity Title]],1),"")</f>
        <v/>
      </c>
      <c r="C1767" s="35">
        <v>42202701</v>
      </c>
      <c r="D1767" s="33" t="s">
        <v>1495</v>
      </c>
      <c r="E1767" s="33" t="s">
        <v>1496</v>
      </c>
      <c r="F1767" s="33" t="s">
        <v>1497</v>
      </c>
      <c r="G1767" s="33" t="s">
        <v>4781</v>
      </c>
      <c r="H1767" s="33" t="s">
        <v>4782</v>
      </c>
      <c r="I1767" s="33" t="s">
        <v>4783</v>
      </c>
      <c r="J1767" s="33">
        <v>115596</v>
      </c>
      <c r="K1767" s="33" t="s">
        <v>5114</v>
      </c>
      <c r="L1767" s="33" t="s">
        <v>5115</v>
      </c>
      <c r="M1767" s="33" t="s">
        <v>5116</v>
      </c>
      <c r="N1767" s="44">
        <v>42202701</v>
      </c>
      <c r="O1767" s="33" t="s">
        <v>5117</v>
      </c>
      <c r="P1767" s="33" t="s">
        <v>5118</v>
      </c>
      <c r="Q1767" s="34" t="s">
        <v>1494</v>
      </c>
      <c r="R1767" s="34" t="s">
        <v>1494</v>
      </c>
    </row>
    <row r="1768" spans="1:18" ht="15" customHeight="1" x14ac:dyDescent="0.25">
      <c r="A1768" t="str">
        <f>IFERROR(RANK(B1768,$B:$B,1)+COUNTIF($B$1:B1767,B1768),"")</f>
        <v/>
      </c>
      <c r="B1768" t="str">
        <f>IFERROR(SEARCH(#REF!,Table4[[#This Row],[Commodity Title]],1),"")</f>
        <v/>
      </c>
      <c r="C1768" s="35">
        <v>42202702</v>
      </c>
      <c r="D1768" s="33" t="s">
        <v>1495</v>
      </c>
      <c r="E1768" s="33" t="s">
        <v>1496</v>
      </c>
      <c r="F1768" s="33" t="s">
        <v>1497</v>
      </c>
      <c r="G1768" s="33" t="s">
        <v>4781</v>
      </c>
      <c r="H1768" s="33" t="s">
        <v>4782</v>
      </c>
      <c r="I1768" s="33" t="s">
        <v>4783</v>
      </c>
      <c r="J1768" s="33">
        <v>104331</v>
      </c>
      <c r="K1768" s="33" t="s">
        <v>5114</v>
      </c>
      <c r="L1768" s="33" t="s">
        <v>5115</v>
      </c>
      <c r="M1768" s="33" t="s">
        <v>5116</v>
      </c>
      <c r="N1768" s="44">
        <v>42202702</v>
      </c>
      <c r="O1768" s="33" t="s">
        <v>5119</v>
      </c>
      <c r="P1768" s="33" t="s">
        <v>5120</v>
      </c>
      <c r="Q1768" s="34" t="s">
        <v>1494</v>
      </c>
      <c r="R1768" s="34" t="s">
        <v>1494</v>
      </c>
    </row>
    <row r="1769" spans="1:18" ht="15" customHeight="1" x14ac:dyDescent="0.25">
      <c r="A1769" t="str">
        <f>IFERROR(RANK(B1769,$B:$B,1)+COUNTIF($B$1:B1768,B1769),"")</f>
        <v/>
      </c>
      <c r="B1769" t="str">
        <f>IFERROR(SEARCH(#REF!,Table4[[#This Row],[Commodity Title]],1),"")</f>
        <v/>
      </c>
      <c r="C1769" s="35">
        <v>42202705</v>
      </c>
      <c r="D1769" s="33" t="s">
        <v>1495</v>
      </c>
      <c r="E1769" s="33" t="s">
        <v>1496</v>
      </c>
      <c r="F1769" s="33" t="s">
        <v>1497</v>
      </c>
      <c r="G1769" s="33" t="s">
        <v>4781</v>
      </c>
      <c r="H1769" s="33" t="s">
        <v>4782</v>
      </c>
      <c r="I1769" s="33" t="s">
        <v>4783</v>
      </c>
      <c r="J1769" s="33">
        <v>202852</v>
      </c>
      <c r="K1769" s="33" t="s">
        <v>5114</v>
      </c>
      <c r="L1769" s="33" t="s">
        <v>5115</v>
      </c>
      <c r="M1769" s="33" t="s">
        <v>5116</v>
      </c>
      <c r="N1769" s="44">
        <v>42202705</v>
      </c>
      <c r="O1769" s="33" t="s">
        <v>5121</v>
      </c>
      <c r="P1769" s="33" t="s">
        <v>5069</v>
      </c>
      <c r="Q1769" s="34" t="s">
        <v>1494</v>
      </c>
      <c r="R1769" s="34" t="s">
        <v>1494</v>
      </c>
    </row>
    <row r="1770" spans="1:18" ht="15" customHeight="1" x14ac:dyDescent="0.25">
      <c r="A1770" t="str">
        <f>IFERROR(RANK(B1770,$B:$B,1)+COUNTIF($B$1:B1769,B1770),"")</f>
        <v/>
      </c>
      <c r="B1770" t="str">
        <f>IFERROR(SEARCH(#REF!,Table4[[#This Row],[Commodity Title]],1),"")</f>
        <v/>
      </c>
      <c r="C1770" s="35">
        <v>42202706</v>
      </c>
      <c r="D1770" s="33" t="s">
        <v>1495</v>
      </c>
      <c r="E1770" s="33" t="s">
        <v>1496</v>
      </c>
      <c r="F1770" s="33" t="s">
        <v>1497</v>
      </c>
      <c r="G1770" s="33" t="s">
        <v>4781</v>
      </c>
      <c r="H1770" s="33" t="s">
        <v>4782</v>
      </c>
      <c r="I1770" s="33" t="s">
        <v>4783</v>
      </c>
      <c r="J1770" s="33">
        <v>202853</v>
      </c>
      <c r="K1770" s="33" t="s">
        <v>5114</v>
      </c>
      <c r="L1770" s="33" t="s">
        <v>5115</v>
      </c>
      <c r="M1770" s="33" t="s">
        <v>5116</v>
      </c>
      <c r="N1770" s="44">
        <v>42202706</v>
      </c>
      <c r="O1770" s="33" t="s">
        <v>5122</v>
      </c>
      <c r="P1770" s="33" t="s">
        <v>5123</v>
      </c>
      <c r="Q1770" s="34" t="s">
        <v>1494</v>
      </c>
      <c r="R1770" s="34" t="s">
        <v>1494</v>
      </c>
    </row>
    <row r="1771" spans="1:18" ht="15" customHeight="1" x14ac:dyDescent="0.25">
      <c r="A1771" t="str">
        <f>IFERROR(RANK(B1771,$B:$B,1)+COUNTIF($B$1:B1770,B1771),"")</f>
        <v/>
      </c>
      <c r="B1771" t="str">
        <f>IFERROR(SEARCH(#REF!,Table4[[#This Row],[Commodity Title]],1),"")</f>
        <v/>
      </c>
      <c r="C1771" s="35">
        <v>42202707</v>
      </c>
      <c r="D1771" s="33" t="s">
        <v>1495</v>
      </c>
      <c r="E1771" s="33" t="s">
        <v>1496</v>
      </c>
      <c r="F1771" s="33" t="s">
        <v>1497</v>
      </c>
      <c r="G1771" s="33" t="s">
        <v>4781</v>
      </c>
      <c r="H1771" s="33" t="s">
        <v>4782</v>
      </c>
      <c r="I1771" s="33" t="s">
        <v>4783</v>
      </c>
      <c r="J1771" s="33">
        <v>202854</v>
      </c>
      <c r="K1771" s="33" t="s">
        <v>5114</v>
      </c>
      <c r="L1771" s="33" t="s">
        <v>5115</v>
      </c>
      <c r="M1771" s="33" t="s">
        <v>5116</v>
      </c>
      <c r="N1771" s="44">
        <v>42202707</v>
      </c>
      <c r="O1771" s="33" t="s">
        <v>5124</v>
      </c>
      <c r="P1771" s="33" t="s">
        <v>5125</v>
      </c>
      <c r="Q1771" s="34" t="s">
        <v>1494</v>
      </c>
      <c r="R1771" s="34" t="s">
        <v>1494</v>
      </c>
    </row>
    <row r="1772" spans="1:18" ht="15" customHeight="1" x14ac:dyDescent="0.25">
      <c r="A1772" t="str">
        <f>IFERROR(RANK(B1772,$B:$B,1)+COUNTIF($B$1:B1771,B1772),"")</f>
        <v/>
      </c>
      <c r="B1772" t="str">
        <f>IFERROR(SEARCH(#REF!,Table4[[#This Row],[Commodity Title]],1),"")</f>
        <v/>
      </c>
      <c r="C1772" s="33" t="s">
        <v>1494</v>
      </c>
      <c r="D1772" s="33" t="s">
        <v>1495</v>
      </c>
      <c r="E1772" s="33" t="s">
        <v>1496</v>
      </c>
      <c r="F1772" s="33" t="s">
        <v>1497</v>
      </c>
      <c r="G1772" s="33" t="s">
        <v>4781</v>
      </c>
      <c r="H1772" s="33" t="s">
        <v>4782</v>
      </c>
      <c r="I1772" s="33" t="s">
        <v>4783</v>
      </c>
      <c r="J1772" s="33">
        <v>115602</v>
      </c>
      <c r="K1772" s="33" t="s">
        <v>5126</v>
      </c>
      <c r="L1772" s="33" t="s">
        <v>5127</v>
      </c>
      <c r="M1772" s="33" t="s">
        <v>5128</v>
      </c>
      <c r="N1772" s="44" t="s">
        <v>1494</v>
      </c>
      <c r="O1772" s="33" t="s">
        <v>1494</v>
      </c>
      <c r="P1772" s="33" t="s">
        <v>1494</v>
      </c>
      <c r="Q1772" s="34" t="s">
        <v>1494</v>
      </c>
      <c r="R1772" s="34" t="s">
        <v>1494</v>
      </c>
    </row>
    <row r="1773" spans="1:18" ht="15" customHeight="1" x14ac:dyDescent="0.25">
      <c r="A1773" t="str">
        <f>IFERROR(RANK(B1773,$B:$B,1)+COUNTIF($B$1:B1772,B1773),"")</f>
        <v/>
      </c>
      <c r="B1773" t="str">
        <f>IFERROR(SEARCH(#REF!,Table4[[#This Row],[Commodity Title]],1),"")</f>
        <v/>
      </c>
      <c r="C1773" s="35">
        <v>42202901</v>
      </c>
      <c r="D1773" s="33" t="s">
        <v>1495</v>
      </c>
      <c r="E1773" s="33" t="s">
        <v>1496</v>
      </c>
      <c r="F1773" s="33" t="s">
        <v>1497</v>
      </c>
      <c r="G1773" s="33" t="s">
        <v>4781</v>
      </c>
      <c r="H1773" s="33" t="s">
        <v>4782</v>
      </c>
      <c r="I1773" s="33" t="s">
        <v>4783</v>
      </c>
      <c r="J1773" s="33">
        <v>115603</v>
      </c>
      <c r="K1773" s="33" t="s">
        <v>5126</v>
      </c>
      <c r="L1773" s="33" t="s">
        <v>5127</v>
      </c>
      <c r="M1773" s="33" t="s">
        <v>5128</v>
      </c>
      <c r="N1773" s="44">
        <v>42202901</v>
      </c>
      <c r="O1773" s="33" t="s">
        <v>5129</v>
      </c>
      <c r="P1773" s="33" t="s">
        <v>5130</v>
      </c>
      <c r="Q1773" s="34" t="s">
        <v>1494</v>
      </c>
      <c r="R1773" s="34" t="s">
        <v>1494</v>
      </c>
    </row>
    <row r="1774" spans="1:18" ht="15" customHeight="1" x14ac:dyDescent="0.25">
      <c r="A1774" t="str">
        <f>IFERROR(RANK(B1774,$B:$B,1)+COUNTIF($B$1:B1773,B1774),"")</f>
        <v/>
      </c>
      <c r="B1774" t="str">
        <f>IFERROR(SEARCH(#REF!,Table4[[#This Row],[Commodity Title]],1),"")</f>
        <v/>
      </c>
      <c r="C1774" s="35">
        <v>42202902</v>
      </c>
      <c r="D1774" s="33" t="s">
        <v>1495</v>
      </c>
      <c r="E1774" s="33" t="s">
        <v>1496</v>
      </c>
      <c r="F1774" s="33" t="s">
        <v>1497</v>
      </c>
      <c r="G1774" s="33" t="s">
        <v>4781</v>
      </c>
      <c r="H1774" s="33" t="s">
        <v>4782</v>
      </c>
      <c r="I1774" s="33" t="s">
        <v>4783</v>
      </c>
      <c r="J1774" s="33">
        <v>202855</v>
      </c>
      <c r="K1774" s="33" t="s">
        <v>5126</v>
      </c>
      <c r="L1774" s="33" t="s">
        <v>5127</v>
      </c>
      <c r="M1774" s="33" t="s">
        <v>5128</v>
      </c>
      <c r="N1774" s="44">
        <v>42202902</v>
      </c>
      <c r="O1774" s="33" t="s">
        <v>5131</v>
      </c>
      <c r="P1774" s="33" t="s">
        <v>5132</v>
      </c>
      <c r="Q1774" s="34" t="s">
        <v>1494</v>
      </c>
      <c r="R1774" s="34" t="s">
        <v>1494</v>
      </c>
    </row>
    <row r="1775" spans="1:18" ht="15" customHeight="1" x14ac:dyDescent="0.25">
      <c r="A1775" t="str">
        <f>IFERROR(RANK(B1775,$B:$B,1)+COUNTIF($B$1:B1774,B1775),"")</f>
        <v/>
      </c>
      <c r="B1775" t="str">
        <f>IFERROR(SEARCH(#REF!,Table4[[#This Row],[Commodity Title]],1),"")</f>
        <v/>
      </c>
      <c r="C1775" s="33" t="s">
        <v>1494</v>
      </c>
      <c r="D1775" s="33" t="s">
        <v>1495</v>
      </c>
      <c r="E1775" s="33" t="s">
        <v>1496</v>
      </c>
      <c r="F1775" s="33" t="s">
        <v>1497</v>
      </c>
      <c r="G1775" s="33" t="s">
        <v>4781</v>
      </c>
      <c r="H1775" s="33" t="s">
        <v>4782</v>
      </c>
      <c r="I1775" s="33" t="s">
        <v>4783</v>
      </c>
      <c r="J1775" s="33">
        <v>104326</v>
      </c>
      <c r="K1775" s="33" t="s">
        <v>5133</v>
      </c>
      <c r="L1775" s="33" t="s">
        <v>5134</v>
      </c>
      <c r="M1775" s="33" t="s">
        <v>5135</v>
      </c>
      <c r="N1775" s="44" t="s">
        <v>1494</v>
      </c>
      <c r="O1775" s="33" t="s">
        <v>1494</v>
      </c>
      <c r="P1775" s="33" t="s">
        <v>1494</v>
      </c>
      <c r="Q1775" s="34" t="s">
        <v>1494</v>
      </c>
      <c r="R1775" s="34" t="s">
        <v>1494</v>
      </c>
    </row>
    <row r="1776" spans="1:18" ht="15" customHeight="1" x14ac:dyDescent="0.25">
      <c r="A1776" t="str">
        <f>IFERROR(RANK(B1776,$B:$B,1)+COUNTIF($B$1:B1775,B1776),"")</f>
        <v/>
      </c>
      <c r="B1776" t="str">
        <f>IFERROR(SEARCH(#REF!,Table4[[#This Row],[Commodity Title]],1),"")</f>
        <v/>
      </c>
      <c r="C1776" s="35">
        <v>42203001</v>
      </c>
      <c r="D1776" s="33" t="s">
        <v>1495</v>
      </c>
      <c r="E1776" s="33" t="s">
        <v>1496</v>
      </c>
      <c r="F1776" s="33" t="s">
        <v>1497</v>
      </c>
      <c r="G1776" s="33" t="s">
        <v>4781</v>
      </c>
      <c r="H1776" s="33" t="s">
        <v>4782</v>
      </c>
      <c r="I1776" s="33" t="s">
        <v>4783</v>
      </c>
      <c r="J1776" s="33">
        <v>115605</v>
      </c>
      <c r="K1776" s="33" t="s">
        <v>5133</v>
      </c>
      <c r="L1776" s="33" t="s">
        <v>5134</v>
      </c>
      <c r="M1776" s="33" t="s">
        <v>5135</v>
      </c>
      <c r="N1776" s="44">
        <v>42203001</v>
      </c>
      <c r="O1776" s="33" t="s">
        <v>5136</v>
      </c>
      <c r="P1776" s="33" t="s">
        <v>5137</v>
      </c>
      <c r="Q1776" s="34" t="s">
        <v>1494</v>
      </c>
      <c r="R1776" s="34" t="s">
        <v>1494</v>
      </c>
    </row>
    <row r="1777" spans="1:18" ht="15" customHeight="1" x14ac:dyDescent="0.25">
      <c r="A1777" t="str">
        <f>IFERROR(RANK(B1777,$B:$B,1)+COUNTIF($B$1:B1776,B1777),"")</f>
        <v/>
      </c>
      <c r="B1777" t="str">
        <f>IFERROR(SEARCH(#REF!,Table4[[#This Row],[Commodity Title]],1),"")</f>
        <v/>
      </c>
      <c r="C1777" s="35">
        <v>42203002</v>
      </c>
      <c r="D1777" s="33" t="s">
        <v>1495</v>
      </c>
      <c r="E1777" s="33" t="s">
        <v>1496</v>
      </c>
      <c r="F1777" s="33" t="s">
        <v>1497</v>
      </c>
      <c r="G1777" s="33" t="s">
        <v>4781</v>
      </c>
      <c r="H1777" s="33" t="s">
        <v>4782</v>
      </c>
      <c r="I1777" s="33" t="s">
        <v>4783</v>
      </c>
      <c r="J1777" s="33">
        <v>202856</v>
      </c>
      <c r="K1777" s="33" t="s">
        <v>5133</v>
      </c>
      <c r="L1777" s="33" t="s">
        <v>5134</v>
      </c>
      <c r="M1777" s="33" t="s">
        <v>5135</v>
      </c>
      <c r="N1777" s="44">
        <v>42203002</v>
      </c>
      <c r="O1777" s="33" t="s">
        <v>5138</v>
      </c>
      <c r="P1777" s="33" t="s">
        <v>5139</v>
      </c>
      <c r="Q1777" s="34" t="s">
        <v>1494</v>
      </c>
      <c r="R1777" s="34" t="s">
        <v>1494</v>
      </c>
    </row>
    <row r="1778" spans="1:18" ht="15" customHeight="1" x14ac:dyDescent="0.25">
      <c r="A1778" t="str">
        <f>IFERROR(RANK(B1778,$B:$B,1)+COUNTIF($B$1:B1777,B1778),"")</f>
        <v/>
      </c>
      <c r="B1778" t="str">
        <f>IFERROR(SEARCH(#REF!,Table4[[#This Row],[Commodity Title]],1),"")</f>
        <v/>
      </c>
      <c r="C1778" s="35">
        <v>42203003</v>
      </c>
      <c r="D1778" s="33" t="s">
        <v>1495</v>
      </c>
      <c r="E1778" s="33" t="s">
        <v>1496</v>
      </c>
      <c r="F1778" s="33" t="s">
        <v>1497</v>
      </c>
      <c r="G1778" s="33" t="s">
        <v>4781</v>
      </c>
      <c r="H1778" s="33" t="s">
        <v>4782</v>
      </c>
      <c r="I1778" s="33" t="s">
        <v>4783</v>
      </c>
      <c r="J1778" s="33">
        <v>202857</v>
      </c>
      <c r="K1778" s="33" t="s">
        <v>5133</v>
      </c>
      <c r="L1778" s="33" t="s">
        <v>5134</v>
      </c>
      <c r="M1778" s="33" t="s">
        <v>5135</v>
      </c>
      <c r="N1778" s="44">
        <v>42203003</v>
      </c>
      <c r="O1778" s="33" t="s">
        <v>5140</v>
      </c>
      <c r="P1778" s="33" t="s">
        <v>5141</v>
      </c>
      <c r="Q1778" s="34" t="s">
        <v>1494</v>
      </c>
      <c r="R1778" s="34" t="s">
        <v>1494</v>
      </c>
    </row>
    <row r="1779" spans="1:18" ht="15" customHeight="1" x14ac:dyDescent="0.25">
      <c r="A1779" t="str">
        <f>IFERROR(RANK(B1779,$B:$B,1)+COUNTIF($B$1:B1778,B1779),"")</f>
        <v/>
      </c>
      <c r="B1779" t="str">
        <f>IFERROR(SEARCH(#REF!,Table4[[#This Row],[Commodity Title]],1),"")</f>
        <v/>
      </c>
      <c r="C1779" s="33" t="s">
        <v>1494</v>
      </c>
      <c r="D1779" s="33" t="s">
        <v>1495</v>
      </c>
      <c r="E1779" s="33" t="s">
        <v>1496</v>
      </c>
      <c r="F1779" s="33" t="s">
        <v>1497</v>
      </c>
      <c r="G1779" s="33" t="s">
        <v>4781</v>
      </c>
      <c r="H1779" s="33" t="s">
        <v>4782</v>
      </c>
      <c r="I1779" s="33" t="s">
        <v>4783</v>
      </c>
      <c r="J1779" s="33">
        <v>104318</v>
      </c>
      <c r="K1779" s="33" t="s">
        <v>5142</v>
      </c>
      <c r="L1779" s="33" t="s">
        <v>5143</v>
      </c>
      <c r="M1779" s="33" t="s">
        <v>5144</v>
      </c>
      <c r="N1779" s="44" t="s">
        <v>1494</v>
      </c>
      <c r="O1779" s="33" t="s">
        <v>1494</v>
      </c>
      <c r="P1779" s="33" t="s">
        <v>1494</v>
      </c>
      <c r="Q1779" s="34" t="s">
        <v>1494</v>
      </c>
      <c r="R1779" s="34" t="s">
        <v>1494</v>
      </c>
    </row>
    <row r="1780" spans="1:18" ht="15" customHeight="1" x14ac:dyDescent="0.25">
      <c r="A1780" t="str">
        <f>IFERROR(RANK(B1780,$B:$B,1)+COUNTIF($B$1:B1779,B1780),"")</f>
        <v/>
      </c>
      <c r="B1780" t="str">
        <f>IFERROR(SEARCH(#REF!,Table4[[#This Row],[Commodity Title]],1),"")</f>
        <v/>
      </c>
      <c r="C1780" s="35">
        <v>42203201</v>
      </c>
      <c r="D1780" s="33" t="s">
        <v>1495</v>
      </c>
      <c r="E1780" s="33" t="s">
        <v>1496</v>
      </c>
      <c r="F1780" s="33" t="s">
        <v>1497</v>
      </c>
      <c r="G1780" s="33" t="s">
        <v>4781</v>
      </c>
      <c r="H1780" s="33" t="s">
        <v>4782</v>
      </c>
      <c r="I1780" s="33" t="s">
        <v>4783</v>
      </c>
      <c r="J1780" s="33">
        <v>115609</v>
      </c>
      <c r="K1780" s="33" t="s">
        <v>5142</v>
      </c>
      <c r="L1780" s="33" t="s">
        <v>5143</v>
      </c>
      <c r="M1780" s="33" t="s">
        <v>5144</v>
      </c>
      <c r="N1780" s="44">
        <v>42203201</v>
      </c>
      <c r="O1780" s="33" t="s">
        <v>5145</v>
      </c>
      <c r="P1780" s="33" t="s">
        <v>5146</v>
      </c>
      <c r="Q1780" s="34" t="s">
        <v>1494</v>
      </c>
      <c r="R1780" s="34" t="s">
        <v>1494</v>
      </c>
    </row>
    <row r="1781" spans="1:18" ht="15" customHeight="1" x14ac:dyDescent="0.25">
      <c r="A1781" t="str">
        <f>IFERROR(RANK(B1781,$B:$B,1)+COUNTIF($B$1:B1780,B1781),"")</f>
        <v/>
      </c>
      <c r="B1781" t="str">
        <f>IFERROR(SEARCH(#REF!,Table4[[#This Row],[Commodity Title]],1),"")</f>
        <v/>
      </c>
      <c r="C1781" s="35">
        <v>42203202</v>
      </c>
      <c r="D1781" s="33" t="s">
        <v>1495</v>
      </c>
      <c r="E1781" s="33" t="s">
        <v>1496</v>
      </c>
      <c r="F1781" s="33" t="s">
        <v>1497</v>
      </c>
      <c r="G1781" s="33" t="s">
        <v>4781</v>
      </c>
      <c r="H1781" s="33" t="s">
        <v>4782</v>
      </c>
      <c r="I1781" s="33" t="s">
        <v>4783</v>
      </c>
      <c r="J1781" s="33">
        <v>115610</v>
      </c>
      <c r="K1781" s="33" t="s">
        <v>5142</v>
      </c>
      <c r="L1781" s="33" t="s">
        <v>5143</v>
      </c>
      <c r="M1781" s="33" t="s">
        <v>5144</v>
      </c>
      <c r="N1781" s="44">
        <v>42203202</v>
      </c>
      <c r="O1781" s="33" t="s">
        <v>5147</v>
      </c>
      <c r="P1781" s="33" t="s">
        <v>5148</v>
      </c>
      <c r="Q1781" s="34" t="s">
        <v>1494</v>
      </c>
      <c r="R1781" s="34" t="s">
        <v>1494</v>
      </c>
    </row>
    <row r="1782" spans="1:18" ht="15" customHeight="1" x14ac:dyDescent="0.25">
      <c r="A1782" t="str">
        <f>IFERROR(RANK(B1782,$B:$B,1)+COUNTIF($B$1:B1781,B1782),"")</f>
        <v/>
      </c>
      <c r="B1782" t="str">
        <f>IFERROR(SEARCH(#REF!,Table4[[#This Row],[Commodity Title]],1),"")</f>
        <v/>
      </c>
      <c r="C1782" s="35">
        <v>42203203</v>
      </c>
      <c r="D1782" s="33" t="s">
        <v>1495</v>
      </c>
      <c r="E1782" s="33" t="s">
        <v>1496</v>
      </c>
      <c r="F1782" s="33" t="s">
        <v>1497</v>
      </c>
      <c r="G1782" s="33" t="s">
        <v>4781</v>
      </c>
      <c r="H1782" s="33" t="s">
        <v>4782</v>
      </c>
      <c r="I1782" s="33" t="s">
        <v>4783</v>
      </c>
      <c r="J1782" s="33">
        <v>202858</v>
      </c>
      <c r="K1782" s="33" t="s">
        <v>5142</v>
      </c>
      <c r="L1782" s="33" t="s">
        <v>5143</v>
      </c>
      <c r="M1782" s="33" t="s">
        <v>5144</v>
      </c>
      <c r="N1782" s="44">
        <v>42203203</v>
      </c>
      <c r="O1782" s="33" t="s">
        <v>5149</v>
      </c>
      <c r="P1782" s="33" t="s">
        <v>5150</v>
      </c>
      <c r="Q1782" s="34" t="s">
        <v>1494</v>
      </c>
      <c r="R1782" s="34" t="s">
        <v>1494</v>
      </c>
    </row>
    <row r="1783" spans="1:18" ht="15" customHeight="1" x14ac:dyDescent="0.25">
      <c r="A1783" t="str">
        <f>IFERROR(RANK(B1783,$B:$B,1)+COUNTIF($B$1:B1782,B1783),"")</f>
        <v/>
      </c>
      <c r="B1783" t="str">
        <f>IFERROR(SEARCH(#REF!,Table4[[#This Row],[Commodity Title]],1),"")</f>
        <v/>
      </c>
      <c r="C1783" s="33" t="s">
        <v>1494</v>
      </c>
      <c r="D1783" s="33" t="s">
        <v>1495</v>
      </c>
      <c r="E1783" s="33" t="s">
        <v>1496</v>
      </c>
      <c r="F1783" s="33" t="s">
        <v>1497</v>
      </c>
      <c r="G1783" s="33" t="s">
        <v>4781</v>
      </c>
      <c r="H1783" s="33" t="s">
        <v>4782</v>
      </c>
      <c r="I1783" s="33" t="s">
        <v>4783</v>
      </c>
      <c r="J1783" s="33">
        <v>115615</v>
      </c>
      <c r="K1783" s="33" t="s">
        <v>5151</v>
      </c>
      <c r="L1783" s="33" t="s">
        <v>5152</v>
      </c>
      <c r="M1783" s="33" t="s">
        <v>5153</v>
      </c>
      <c r="N1783" s="44" t="s">
        <v>1494</v>
      </c>
      <c r="O1783" s="33" t="s">
        <v>1494</v>
      </c>
      <c r="P1783" s="33" t="s">
        <v>1494</v>
      </c>
      <c r="Q1783" s="34" t="s">
        <v>1494</v>
      </c>
      <c r="R1783" s="34" t="s">
        <v>1494</v>
      </c>
    </row>
    <row r="1784" spans="1:18" ht="15" customHeight="1" x14ac:dyDescent="0.25">
      <c r="A1784" t="str">
        <f>IFERROR(RANK(B1784,$B:$B,1)+COUNTIF($B$1:B1783,B1784),"")</f>
        <v/>
      </c>
      <c r="B1784" t="str">
        <f>IFERROR(SEARCH(#REF!,Table4[[#This Row],[Commodity Title]],1),"")</f>
        <v/>
      </c>
      <c r="C1784" s="35">
        <v>42203402</v>
      </c>
      <c r="D1784" s="33" t="s">
        <v>1495</v>
      </c>
      <c r="E1784" s="33" t="s">
        <v>1496</v>
      </c>
      <c r="F1784" s="33" t="s">
        <v>1497</v>
      </c>
      <c r="G1784" s="33" t="s">
        <v>4781</v>
      </c>
      <c r="H1784" s="33" t="s">
        <v>4782</v>
      </c>
      <c r="I1784" s="33" t="s">
        <v>4783</v>
      </c>
      <c r="J1784" s="33">
        <v>115617</v>
      </c>
      <c r="K1784" s="33" t="s">
        <v>5151</v>
      </c>
      <c r="L1784" s="33" t="s">
        <v>5152</v>
      </c>
      <c r="M1784" s="33" t="s">
        <v>5153</v>
      </c>
      <c r="N1784" s="44">
        <v>42203402</v>
      </c>
      <c r="O1784" s="33" t="s">
        <v>2</v>
      </c>
      <c r="P1784" s="33" t="s">
        <v>5154</v>
      </c>
      <c r="Q1784" s="34" t="s">
        <v>1494</v>
      </c>
      <c r="R1784" s="34" t="s">
        <v>1494</v>
      </c>
    </row>
    <row r="1785" spans="1:18" ht="15" customHeight="1" x14ac:dyDescent="0.25">
      <c r="A1785" t="str">
        <f>IFERROR(RANK(B1785,$B:$B,1)+COUNTIF($B$1:B1784,B1785),"")</f>
        <v/>
      </c>
      <c r="B1785" t="str">
        <f>IFERROR(SEARCH(#REF!,Table4[[#This Row],[Commodity Title]],1),"")</f>
        <v/>
      </c>
      <c r="C1785" s="35">
        <v>42203403</v>
      </c>
      <c r="D1785" s="33" t="s">
        <v>1495</v>
      </c>
      <c r="E1785" s="33" t="s">
        <v>1496</v>
      </c>
      <c r="F1785" s="33" t="s">
        <v>1497</v>
      </c>
      <c r="G1785" s="33" t="s">
        <v>4781</v>
      </c>
      <c r="H1785" s="33" t="s">
        <v>4782</v>
      </c>
      <c r="I1785" s="33" t="s">
        <v>4783</v>
      </c>
      <c r="J1785" s="33">
        <v>115618</v>
      </c>
      <c r="K1785" s="33" t="s">
        <v>5151</v>
      </c>
      <c r="L1785" s="33" t="s">
        <v>5152</v>
      </c>
      <c r="M1785" s="33" t="s">
        <v>5153</v>
      </c>
      <c r="N1785" s="44">
        <v>42203403</v>
      </c>
      <c r="O1785" s="33" t="s">
        <v>5155</v>
      </c>
      <c r="P1785" s="33" t="s">
        <v>5156</v>
      </c>
      <c r="Q1785" s="34" t="s">
        <v>1494</v>
      </c>
      <c r="R1785" s="34" t="s">
        <v>1494</v>
      </c>
    </row>
    <row r="1786" spans="1:18" ht="15" customHeight="1" x14ac:dyDescent="0.25">
      <c r="A1786" t="str">
        <f>IFERROR(RANK(B1786,$B:$B,1)+COUNTIF($B$1:B1785,B1786),"")</f>
        <v/>
      </c>
      <c r="B1786" t="str">
        <f>IFERROR(SEARCH(#REF!,Table4[[#This Row],[Commodity Title]],1),"")</f>
        <v/>
      </c>
      <c r="C1786" s="35">
        <v>42203404</v>
      </c>
      <c r="D1786" s="33" t="s">
        <v>1495</v>
      </c>
      <c r="E1786" s="33" t="s">
        <v>1496</v>
      </c>
      <c r="F1786" s="33" t="s">
        <v>1497</v>
      </c>
      <c r="G1786" s="33" t="s">
        <v>4781</v>
      </c>
      <c r="H1786" s="33" t="s">
        <v>4782</v>
      </c>
      <c r="I1786" s="33" t="s">
        <v>4783</v>
      </c>
      <c r="J1786" s="33">
        <v>115619</v>
      </c>
      <c r="K1786" s="33" t="s">
        <v>5151</v>
      </c>
      <c r="L1786" s="33" t="s">
        <v>5152</v>
      </c>
      <c r="M1786" s="33" t="s">
        <v>5153</v>
      </c>
      <c r="N1786" s="44">
        <v>42203404</v>
      </c>
      <c r="O1786" s="33" t="s">
        <v>5157</v>
      </c>
      <c r="P1786" s="33" t="s">
        <v>5158</v>
      </c>
      <c r="Q1786" s="34" t="s">
        <v>1494</v>
      </c>
      <c r="R1786" s="34" t="s">
        <v>1494</v>
      </c>
    </row>
    <row r="1787" spans="1:18" ht="15" customHeight="1" x14ac:dyDescent="0.25">
      <c r="A1787" t="str">
        <f>IFERROR(RANK(B1787,$B:$B,1)+COUNTIF($B$1:B1786,B1787),"")</f>
        <v/>
      </c>
      <c r="B1787" t="str">
        <f>IFERROR(SEARCH(#REF!,Table4[[#This Row],[Commodity Title]],1),"")</f>
        <v/>
      </c>
      <c r="C1787" s="35">
        <v>42203405</v>
      </c>
      <c r="D1787" s="33" t="s">
        <v>1495</v>
      </c>
      <c r="E1787" s="33" t="s">
        <v>1496</v>
      </c>
      <c r="F1787" s="33" t="s">
        <v>1497</v>
      </c>
      <c r="G1787" s="33" t="s">
        <v>4781</v>
      </c>
      <c r="H1787" s="33" t="s">
        <v>4782</v>
      </c>
      <c r="I1787" s="33" t="s">
        <v>4783</v>
      </c>
      <c r="J1787" s="33">
        <v>115620</v>
      </c>
      <c r="K1787" s="33" t="s">
        <v>5151</v>
      </c>
      <c r="L1787" s="33" t="s">
        <v>5152</v>
      </c>
      <c r="M1787" s="33" t="s">
        <v>5153</v>
      </c>
      <c r="N1787" s="44">
        <v>42203405</v>
      </c>
      <c r="O1787" s="33" t="s">
        <v>39</v>
      </c>
      <c r="P1787" s="33" t="s">
        <v>5159</v>
      </c>
      <c r="Q1787" s="34" t="s">
        <v>1494</v>
      </c>
      <c r="R1787" s="34" t="s">
        <v>1494</v>
      </c>
    </row>
    <row r="1788" spans="1:18" ht="15" customHeight="1" x14ac:dyDescent="0.25">
      <c r="A1788" t="str">
        <f>IFERROR(RANK(B1788,$B:$B,1)+COUNTIF($B$1:B1787,B1788),"")</f>
        <v/>
      </c>
      <c r="B1788" t="str">
        <f>IFERROR(SEARCH(#REF!,Table4[[#This Row],[Commodity Title]],1),"")</f>
        <v/>
      </c>
      <c r="C1788" s="35">
        <v>42203406</v>
      </c>
      <c r="D1788" s="33" t="s">
        <v>1495</v>
      </c>
      <c r="E1788" s="33" t="s">
        <v>1496</v>
      </c>
      <c r="F1788" s="33" t="s">
        <v>1497</v>
      </c>
      <c r="G1788" s="33" t="s">
        <v>4781</v>
      </c>
      <c r="H1788" s="33" t="s">
        <v>4782</v>
      </c>
      <c r="I1788" s="33" t="s">
        <v>4783</v>
      </c>
      <c r="J1788" s="33">
        <v>142032</v>
      </c>
      <c r="K1788" s="33" t="s">
        <v>5151</v>
      </c>
      <c r="L1788" s="33" t="s">
        <v>5152</v>
      </c>
      <c r="M1788" s="33" t="s">
        <v>5153</v>
      </c>
      <c r="N1788" s="44">
        <v>42203406</v>
      </c>
      <c r="O1788" s="33" t="s">
        <v>5160</v>
      </c>
      <c r="P1788" s="33" t="s">
        <v>5161</v>
      </c>
      <c r="Q1788" s="34" t="s">
        <v>1494</v>
      </c>
      <c r="R1788" s="34" t="s">
        <v>1494</v>
      </c>
    </row>
    <row r="1789" spans="1:18" ht="15" customHeight="1" x14ac:dyDescent="0.25">
      <c r="A1789" t="str">
        <f>IFERROR(RANK(B1789,$B:$B,1)+COUNTIF($B$1:B1788,B1789),"")</f>
        <v/>
      </c>
      <c r="B1789" t="str">
        <f>IFERROR(SEARCH(#REF!,Table4[[#This Row],[Commodity Title]],1),"")</f>
        <v/>
      </c>
      <c r="C1789" s="35">
        <v>42203407</v>
      </c>
      <c r="D1789" s="33" t="s">
        <v>1495</v>
      </c>
      <c r="E1789" s="33" t="s">
        <v>1496</v>
      </c>
      <c r="F1789" s="33" t="s">
        <v>1497</v>
      </c>
      <c r="G1789" s="33" t="s">
        <v>4781</v>
      </c>
      <c r="H1789" s="33" t="s">
        <v>4782</v>
      </c>
      <c r="I1789" s="33" t="s">
        <v>4783</v>
      </c>
      <c r="J1789" s="33">
        <v>142596</v>
      </c>
      <c r="K1789" s="33" t="s">
        <v>5151</v>
      </c>
      <c r="L1789" s="33" t="s">
        <v>5152</v>
      </c>
      <c r="M1789" s="33" t="s">
        <v>5153</v>
      </c>
      <c r="N1789" s="44">
        <v>42203407</v>
      </c>
      <c r="O1789" s="33" t="s">
        <v>5162</v>
      </c>
      <c r="P1789" s="33" t="s">
        <v>5163</v>
      </c>
      <c r="Q1789" s="34" t="s">
        <v>1494</v>
      </c>
      <c r="R1789" s="34" t="s">
        <v>1494</v>
      </c>
    </row>
    <row r="1790" spans="1:18" ht="15" customHeight="1" x14ac:dyDescent="0.25">
      <c r="A1790" t="str">
        <f>IFERROR(RANK(B1790,$B:$B,1)+COUNTIF($B$1:B1789,B1790),"")</f>
        <v/>
      </c>
      <c r="B1790" t="str">
        <f>IFERROR(SEARCH(#REF!,Table4[[#This Row],[Commodity Title]],1),"")</f>
        <v/>
      </c>
      <c r="C1790" s="35">
        <v>42203408</v>
      </c>
      <c r="D1790" s="33" t="s">
        <v>1495</v>
      </c>
      <c r="E1790" s="33" t="s">
        <v>1496</v>
      </c>
      <c r="F1790" s="33" t="s">
        <v>1497</v>
      </c>
      <c r="G1790" s="33" t="s">
        <v>4781</v>
      </c>
      <c r="H1790" s="33" t="s">
        <v>4782</v>
      </c>
      <c r="I1790" s="33" t="s">
        <v>4783</v>
      </c>
      <c r="J1790" s="33">
        <v>142597</v>
      </c>
      <c r="K1790" s="33" t="s">
        <v>5151</v>
      </c>
      <c r="L1790" s="33" t="s">
        <v>5152</v>
      </c>
      <c r="M1790" s="33" t="s">
        <v>5153</v>
      </c>
      <c r="N1790" s="44">
        <v>42203408</v>
      </c>
      <c r="O1790" s="33" t="s">
        <v>5164</v>
      </c>
      <c r="P1790" s="33" t="s">
        <v>5165</v>
      </c>
      <c r="Q1790" s="34" t="s">
        <v>1494</v>
      </c>
      <c r="R1790" s="34" t="s">
        <v>1494</v>
      </c>
    </row>
    <row r="1791" spans="1:18" ht="15" customHeight="1" x14ac:dyDescent="0.25">
      <c r="A1791" t="str">
        <f>IFERROR(RANK(B1791,$B:$B,1)+COUNTIF($B$1:B1790,B1791),"")</f>
        <v/>
      </c>
      <c r="B1791" t="str">
        <f>IFERROR(SEARCH(#REF!,Table4[[#This Row],[Commodity Title]],1),"")</f>
        <v/>
      </c>
      <c r="C1791" s="35">
        <v>42203409</v>
      </c>
      <c r="D1791" s="33" t="s">
        <v>1495</v>
      </c>
      <c r="E1791" s="33" t="s">
        <v>1496</v>
      </c>
      <c r="F1791" s="33" t="s">
        <v>1497</v>
      </c>
      <c r="G1791" s="33" t="s">
        <v>4781</v>
      </c>
      <c r="H1791" s="33" t="s">
        <v>4782</v>
      </c>
      <c r="I1791" s="33" t="s">
        <v>4783</v>
      </c>
      <c r="J1791" s="33">
        <v>142598</v>
      </c>
      <c r="K1791" s="33" t="s">
        <v>5151</v>
      </c>
      <c r="L1791" s="33" t="s">
        <v>5152</v>
      </c>
      <c r="M1791" s="33" t="s">
        <v>5153</v>
      </c>
      <c r="N1791" s="44">
        <v>42203409</v>
      </c>
      <c r="O1791" s="33" t="s">
        <v>5166</v>
      </c>
      <c r="P1791" s="33" t="s">
        <v>5167</v>
      </c>
      <c r="Q1791" s="34" t="s">
        <v>1494</v>
      </c>
      <c r="R1791" s="34" t="s">
        <v>1494</v>
      </c>
    </row>
    <row r="1792" spans="1:18" ht="15" customHeight="1" x14ac:dyDescent="0.25">
      <c r="A1792" t="str">
        <f>IFERROR(RANK(B1792,$B:$B,1)+COUNTIF($B$1:B1791,B1792),"")</f>
        <v/>
      </c>
      <c r="B1792" t="str">
        <f>IFERROR(SEARCH(#REF!,Table4[[#This Row],[Commodity Title]],1),"")</f>
        <v/>
      </c>
      <c r="C1792" s="35">
        <v>42203410</v>
      </c>
      <c r="D1792" s="33" t="s">
        <v>1495</v>
      </c>
      <c r="E1792" s="33" t="s">
        <v>1496</v>
      </c>
      <c r="F1792" s="33" t="s">
        <v>1497</v>
      </c>
      <c r="G1792" s="33" t="s">
        <v>4781</v>
      </c>
      <c r="H1792" s="33" t="s">
        <v>4782</v>
      </c>
      <c r="I1792" s="33" t="s">
        <v>4783</v>
      </c>
      <c r="J1792" s="33">
        <v>142599</v>
      </c>
      <c r="K1792" s="33" t="s">
        <v>5151</v>
      </c>
      <c r="L1792" s="33" t="s">
        <v>5152</v>
      </c>
      <c r="M1792" s="33" t="s">
        <v>5153</v>
      </c>
      <c r="N1792" s="44">
        <v>42203410</v>
      </c>
      <c r="O1792" s="33" t="s">
        <v>5168</v>
      </c>
      <c r="P1792" s="33" t="s">
        <v>5169</v>
      </c>
      <c r="Q1792" s="34" t="s">
        <v>1494</v>
      </c>
      <c r="R1792" s="34" t="s">
        <v>1494</v>
      </c>
    </row>
    <row r="1793" spans="1:18" ht="15" customHeight="1" x14ac:dyDescent="0.25">
      <c r="A1793" t="str">
        <f>IFERROR(RANK(B1793,$B:$B,1)+COUNTIF($B$1:B1792,B1793),"")</f>
        <v/>
      </c>
      <c r="B1793" t="str">
        <f>IFERROR(SEARCH(#REF!,Table4[[#This Row],[Commodity Title]],1),"")</f>
        <v/>
      </c>
      <c r="C1793" s="35">
        <v>42203413</v>
      </c>
      <c r="D1793" s="33" t="s">
        <v>1495</v>
      </c>
      <c r="E1793" s="33" t="s">
        <v>1496</v>
      </c>
      <c r="F1793" s="33" t="s">
        <v>1497</v>
      </c>
      <c r="G1793" s="33" t="s">
        <v>4781</v>
      </c>
      <c r="H1793" s="33" t="s">
        <v>4782</v>
      </c>
      <c r="I1793" s="33" t="s">
        <v>4783</v>
      </c>
      <c r="J1793" s="33">
        <v>145085</v>
      </c>
      <c r="K1793" s="33" t="s">
        <v>5151</v>
      </c>
      <c r="L1793" s="33" t="s">
        <v>5152</v>
      </c>
      <c r="M1793" s="33" t="s">
        <v>5153</v>
      </c>
      <c r="N1793" s="44">
        <v>42203413</v>
      </c>
      <c r="O1793" s="33" t="s">
        <v>288</v>
      </c>
      <c r="P1793" s="33" t="s">
        <v>5170</v>
      </c>
      <c r="Q1793" s="34" t="s">
        <v>1494</v>
      </c>
      <c r="R1793" s="34" t="s">
        <v>1494</v>
      </c>
    </row>
    <row r="1794" spans="1:18" ht="15" customHeight="1" x14ac:dyDescent="0.25">
      <c r="A1794" t="str">
        <f>IFERROR(RANK(B1794,$B:$B,1)+COUNTIF($B$1:B1793,B1794),"")</f>
        <v/>
      </c>
      <c r="B1794" t="str">
        <f>IFERROR(SEARCH(#REF!,Table4[[#This Row],[Commodity Title]],1),"")</f>
        <v/>
      </c>
      <c r="C1794" s="35">
        <v>42203414</v>
      </c>
      <c r="D1794" s="33" t="s">
        <v>1495</v>
      </c>
      <c r="E1794" s="33" t="s">
        <v>1496</v>
      </c>
      <c r="F1794" s="33" t="s">
        <v>1497</v>
      </c>
      <c r="G1794" s="33" t="s">
        <v>4781</v>
      </c>
      <c r="H1794" s="33" t="s">
        <v>4782</v>
      </c>
      <c r="I1794" s="33" t="s">
        <v>4783</v>
      </c>
      <c r="J1794" s="33">
        <v>145086</v>
      </c>
      <c r="K1794" s="33" t="s">
        <v>5151</v>
      </c>
      <c r="L1794" s="33" t="s">
        <v>5152</v>
      </c>
      <c r="M1794" s="33" t="s">
        <v>5153</v>
      </c>
      <c r="N1794" s="44">
        <v>42203414</v>
      </c>
      <c r="O1794" s="33" t="s">
        <v>5171</v>
      </c>
      <c r="P1794" s="33" t="s">
        <v>5172</v>
      </c>
      <c r="Q1794" s="34" t="s">
        <v>1494</v>
      </c>
      <c r="R1794" s="34" t="s">
        <v>1494</v>
      </c>
    </row>
    <row r="1795" spans="1:18" ht="15" customHeight="1" x14ac:dyDescent="0.25">
      <c r="A1795" t="str">
        <f>IFERROR(RANK(B1795,$B:$B,1)+COUNTIF($B$1:B1794,B1795),"")</f>
        <v/>
      </c>
      <c r="B1795" t="str">
        <f>IFERROR(SEARCH(#REF!,Table4[[#This Row],[Commodity Title]],1),"")</f>
        <v/>
      </c>
      <c r="C1795" s="35">
        <v>42203415</v>
      </c>
      <c r="D1795" s="33" t="s">
        <v>1495</v>
      </c>
      <c r="E1795" s="33" t="s">
        <v>1496</v>
      </c>
      <c r="F1795" s="33" t="s">
        <v>1497</v>
      </c>
      <c r="G1795" s="33" t="s">
        <v>4781</v>
      </c>
      <c r="H1795" s="33" t="s">
        <v>4782</v>
      </c>
      <c r="I1795" s="33" t="s">
        <v>4783</v>
      </c>
      <c r="J1795" s="33">
        <v>115625</v>
      </c>
      <c r="K1795" s="33" t="s">
        <v>5151</v>
      </c>
      <c r="L1795" s="33" t="s">
        <v>5152</v>
      </c>
      <c r="M1795" s="33" t="s">
        <v>5153</v>
      </c>
      <c r="N1795" s="44">
        <v>42203415</v>
      </c>
      <c r="O1795" s="33" t="s">
        <v>5173</v>
      </c>
      <c r="P1795" s="33" t="s">
        <v>5174</v>
      </c>
      <c r="Q1795" s="34" t="s">
        <v>1494</v>
      </c>
      <c r="R1795" s="34" t="s">
        <v>1494</v>
      </c>
    </row>
    <row r="1796" spans="1:18" ht="15" customHeight="1" x14ac:dyDescent="0.25">
      <c r="A1796" t="str">
        <f>IFERROR(RANK(B1796,$B:$B,1)+COUNTIF($B$1:B1795,B1796),"")</f>
        <v/>
      </c>
      <c r="B1796" t="str">
        <f>IFERROR(SEARCH(#REF!,Table4[[#This Row],[Commodity Title]],1),"")</f>
        <v/>
      </c>
      <c r="C1796" s="35">
        <v>42203416</v>
      </c>
      <c r="D1796" s="33" t="s">
        <v>1495</v>
      </c>
      <c r="E1796" s="33" t="s">
        <v>1496</v>
      </c>
      <c r="F1796" s="33" t="s">
        <v>1497</v>
      </c>
      <c r="G1796" s="33" t="s">
        <v>4781</v>
      </c>
      <c r="H1796" s="33" t="s">
        <v>4782</v>
      </c>
      <c r="I1796" s="33" t="s">
        <v>4783</v>
      </c>
      <c r="J1796" s="33">
        <v>145592</v>
      </c>
      <c r="K1796" s="33" t="s">
        <v>5151</v>
      </c>
      <c r="L1796" s="33" t="s">
        <v>5152</v>
      </c>
      <c r="M1796" s="33" t="s">
        <v>5153</v>
      </c>
      <c r="N1796" s="44">
        <v>42203416</v>
      </c>
      <c r="O1796" s="33" t="s">
        <v>5175</v>
      </c>
      <c r="P1796" s="33" t="s">
        <v>5176</v>
      </c>
      <c r="Q1796" s="34" t="s">
        <v>1494</v>
      </c>
      <c r="R1796" s="34" t="s">
        <v>1494</v>
      </c>
    </row>
    <row r="1797" spans="1:18" ht="15" customHeight="1" x14ac:dyDescent="0.25">
      <c r="A1797" t="str">
        <f>IFERROR(RANK(B1797,$B:$B,1)+COUNTIF($B$1:B1796,B1797),"")</f>
        <v/>
      </c>
      <c r="B1797" t="str">
        <f>IFERROR(SEARCH(#REF!,Table4[[#This Row],[Commodity Title]],1),"")</f>
        <v/>
      </c>
      <c r="C1797" s="35">
        <v>42203417</v>
      </c>
      <c r="D1797" s="33" t="s">
        <v>1495</v>
      </c>
      <c r="E1797" s="33" t="s">
        <v>1496</v>
      </c>
      <c r="F1797" s="33" t="s">
        <v>1497</v>
      </c>
      <c r="G1797" s="33" t="s">
        <v>4781</v>
      </c>
      <c r="H1797" s="33" t="s">
        <v>4782</v>
      </c>
      <c r="I1797" s="33" t="s">
        <v>4783</v>
      </c>
      <c r="J1797" s="33">
        <v>145859</v>
      </c>
      <c r="K1797" s="33" t="s">
        <v>5151</v>
      </c>
      <c r="L1797" s="33" t="s">
        <v>5152</v>
      </c>
      <c r="M1797" s="33" t="s">
        <v>5153</v>
      </c>
      <c r="N1797" s="44">
        <v>42203417</v>
      </c>
      <c r="O1797" s="33" t="s">
        <v>5177</v>
      </c>
      <c r="P1797" s="33" t="s">
        <v>5178</v>
      </c>
      <c r="Q1797" s="34" t="s">
        <v>1494</v>
      </c>
      <c r="R1797" s="34" t="s">
        <v>1494</v>
      </c>
    </row>
    <row r="1798" spans="1:18" ht="15" customHeight="1" x14ac:dyDescent="0.25">
      <c r="A1798" t="str">
        <f>IFERROR(RANK(B1798,$B:$B,1)+COUNTIF($B$1:B1797,B1798),"")</f>
        <v/>
      </c>
      <c r="B1798" t="str">
        <f>IFERROR(SEARCH(#REF!,Table4[[#This Row],[Commodity Title]],1),"")</f>
        <v/>
      </c>
      <c r="C1798" s="35">
        <v>42203418</v>
      </c>
      <c r="D1798" s="33" t="s">
        <v>1495</v>
      </c>
      <c r="E1798" s="33" t="s">
        <v>1496</v>
      </c>
      <c r="F1798" s="33" t="s">
        <v>1497</v>
      </c>
      <c r="G1798" s="33" t="s">
        <v>4781</v>
      </c>
      <c r="H1798" s="33" t="s">
        <v>4782</v>
      </c>
      <c r="I1798" s="33" t="s">
        <v>4783</v>
      </c>
      <c r="J1798" s="33">
        <v>146140</v>
      </c>
      <c r="K1798" s="33" t="s">
        <v>5151</v>
      </c>
      <c r="L1798" s="33" t="s">
        <v>5152</v>
      </c>
      <c r="M1798" s="33" t="s">
        <v>5153</v>
      </c>
      <c r="N1798" s="44">
        <v>42203418</v>
      </c>
      <c r="O1798" s="33" t="s">
        <v>5179</v>
      </c>
      <c r="P1798" s="33" t="s">
        <v>5180</v>
      </c>
      <c r="Q1798" s="34" t="s">
        <v>1494</v>
      </c>
      <c r="R1798" s="34" t="s">
        <v>1494</v>
      </c>
    </row>
    <row r="1799" spans="1:18" ht="15" customHeight="1" x14ac:dyDescent="0.25">
      <c r="A1799" t="str">
        <f>IFERROR(RANK(B1799,$B:$B,1)+COUNTIF($B$1:B1798,B1799),"")</f>
        <v/>
      </c>
      <c r="B1799" t="str">
        <f>IFERROR(SEARCH(#REF!,Table4[[#This Row],[Commodity Title]],1),"")</f>
        <v/>
      </c>
      <c r="C1799" s="35">
        <v>42203420</v>
      </c>
      <c r="D1799" s="33" t="s">
        <v>1495</v>
      </c>
      <c r="E1799" s="33" t="s">
        <v>1496</v>
      </c>
      <c r="F1799" s="33" t="s">
        <v>1497</v>
      </c>
      <c r="G1799" s="33" t="s">
        <v>4781</v>
      </c>
      <c r="H1799" s="33" t="s">
        <v>4782</v>
      </c>
      <c r="I1799" s="33" t="s">
        <v>4783</v>
      </c>
      <c r="J1799" s="33">
        <v>146142</v>
      </c>
      <c r="K1799" s="33" t="s">
        <v>5151</v>
      </c>
      <c r="L1799" s="33" t="s">
        <v>5152</v>
      </c>
      <c r="M1799" s="33" t="s">
        <v>5153</v>
      </c>
      <c r="N1799" s="44">
        <v>42203420</v>
      </c>
      <c r="O1799" s="33" t="s">
        <v>5181</v>
      </c>
      <c r="P1799" s="33" t="s">
        <v>5182</v>
      </c>
      <c r="Q1799" s="34" t="s">
        <v>1494</v>
      </c>
      <c r="R1799" s="34" t="s">
        <v>1494</v>
      </c>
    </row>
    <row r="1800" spans="1:18" ht="15" customHeight="1" x14ac:dyDescent="0.25">
      <c r="A1800" t="str">
        <f>IFERROR(RANK(B1800,$B:$B,1)+COUNTIF($B$1:B1799,B1800),"")</f>
        <v/>
      </c>
      <c r="B1800" t="str">
        <f>IFERROR(SEARCH(#REF!,Table4[[#This Row],[Commodity Title]],1),"")</f>
        <v/>
      </c>
      <c r="C1800" s="35">
        <v>42203421</v>
      </c>
      <c r="D1800" s="33" t="s">
        <v>1495</v>
      </c>
      <c r="E1800" s="33" t="s">
        <v>1496</v>
      </c>
      <c r="F1800" s="33" t="s">
        <v>1497</v>
      </c>
      <c r="G1800" s="33" t="s">
        <v>4781</v>
      </c>
      <c r="H1800" s="33" t="s">
        <v>4782</v>
      </c>
      <c r="I1800" s="33" t="s">
        <v>4783</v>
      </c>
      <c r="J1800" s="33">
        <v>146143</v>
      </c>
      <c r="K1800" s="33" t="s">
        <v>5151</v>
      </c>
      <c r="L1800" s="33" t="s">
        <v>5152</v>
      </c>
      <c r="M1800" s="33" t="s">
        <v>5153</v>
      </c>
      <c r="N1800" s="44">
        <v>42203421</v>
      </c>
      <c r="O1800" s="33" t="s">
        <v>5183</v>
      </c>
      <c r="P1800" s="33" t="s">
        <v>5184</v>
      </c>
      <c r="Q1800" s="34" t="s">
        <v>1494</v>
      </c>
      <c r="R1800" s="34" t="s">
        <v>1494</v>
      </c>
    </row>
    <row r="1801" spans="1:18" ht="15" customHeight="1" x14ac:dyDescent="0.25">
      <c r="A1801" t="str">
        <f>IFERROR(RANK(B1801,$B:$B,1)+COUNTIF($B$1:B1800,B1801),"")</f>
        <v/>
      </c>
      <c r="B1801" t="str">
        <f>IFERROR(SEARCH(#REF!,Table4[[#This Row],[Commodity Title]],1),"")</f>
        <v/>
      </c>
      <c r="C1801" s="35">
        <v>42203422</v>
      </c>
      <c r="D1801" s="33" t="s">
        <v>1495</v>
      </c>
      <c r="E1801" s="33" t="s">
        <v>1496</v>
      </c>
      <c r="F1801" s="33" t="s">
        <v>1497</v>
      </c>
      <c r="G1801" s="33" t="s">
        <v>4781</v>
      </c>
      <c r="H1801" s="33" t="s">
        <v>4782</v>
      </c>
      <c r="I1801" s="33" t="s">
        <v>4783</v>
      </c>
      <c r="J1801" s="33">
        <v>146144</v>
      </c>
      <c r="K1801" s="33" t="s">
        <v>5151</v>
      </c>
      <c r="L1801" s="33" t="s">
        <v>5152</v>
      </c>
      <c r="M1801" s="33" t="s">
        <v>5153</v>
      </c>
      <c r="N1801" s="44">
        <v>42203422</v>
      </c>
      <c r="O1801" s="33" t="s">
        <v>5185</v>
      </c>
      <c r="P1801" s="33" t="s">
        <v>5186</v>
      </c>
      <c r="Q1801" s="34" t="s">
        <v>1494</v>
      </c>
      <c r="R1801" s="34" t="s">
        <v>1494</v>
      </c>
    </row>
    <row r="1802" spans="1:18" ht="15" customHeight="1" x14ac:dyDescent="0.25">
      <c r="A1802" t="str">
        <f>IFERROR(RANK(B1802,$B:$B,1)+COUNTIF($B$1:B1801,B1802),"")</f>
        <v/>
      </c>
      <c r="B1802" t="str">
        <f>IFERROR(SEARCH(#REF!,Table4[[#This Row],[Commodity Title]],1),"")</f>
        <v/>
      </c>
      <c r="C1802" s="35">
        <v>42203423</v>
      </c>
      <c r="D1802" s="33" t="s">
        <v>1495</v>
      </c>
      <c r="E1802" s="33" t="s">
        <v>1496</v>
      </c>
      <c r="F1802" s="33" t="s">
        <v>1497</v>
      </c>
      <c r="G1802" s="33" t="s">
        <v>4781</v>
      </c>
      <c r="H1802" s="33" t="s">
        <v>4782</v>
      </c>
      <c r="I1802" s="33" t="s">
        <v>4783</v>
      </c>
      <c r="J1802" s="33">
        <v>146145</v>
      </c>
      <c r="K1802" s="33" t="s">
        <v>5151</v>
      </c>
      <c r="L1802" s="33" t="s">
        <v>5152</v>
      </c>
      <c r="M1802" s="33" t="s">
        <v>5153</v>
      </c>
      <c r="N1802" s="44">
        <v>42203423</v>
      </c>
      <c r="O1802" s="33" t="s">
        <v>5187</v>
      </c>
      <c r="P1802" s="33" t="s">
        <v>5188</v>
      </c>
      <c r="Q1802" s="34" t="s">
        <v>1494</v>
      </c>
      <c r="R1802" s="34" t="s">
        <v>1494</v>
      </c>
    </row>
    <row r="1803" spans="1:18" ht="15" customHeight="1" x14ac:dyDescent="0.25">
      <c r="A1803" t="str">
        <f>IFERROR(RANK(B1803,$B:$B,1)+COUNTIF($B$1:B1802,B1803),"")</f>
        <v/>
      </c>
      <c r="B1803" t="str">
        <f>IFERROR(SEARCH(#REF!,Table4[[#This Row],[Commodity Title]],1),"")</f>
        <v/>
      </c>
      <c r="C1803" s="35">
        <v>42203424</v>
      </c>
      <c r="D1803" s="33" t="s">
        <v>1495</v>
      </c>
      <c r="E1803" s="33" t="s">
        <v>1496</v>
      </c>
      <c r="F1803" s="33" t="s">
        <v>1497</v>
      </c>
      <c r="G1803" s="33" t="s">
        <v>4781</v>
      </c>
      <c r="H1803" s="33" t="s">
        <v>4782</v>
      </c>
      <c r="I1803" s="33" t="s">
        <v>4783</v>
      </c>
      <c r="J1803" s="33">
        <v>146154</v>
      </c>
      <c r="K1803" s="33" t="s">
        <v>5151</v>
      </c>
      <c r="L1803" s="33" t="s">
        <v>5152</v>
      </c>
      <c r="M1803" s="33" t="s">
        <v>5153</v>
      </c>
      <c r="N1803" s="44">
        <v>42203424</v>
      </c>
      <c r="O1803" s="33" t="s">
        <v>5189</v>
      </c>
      <c r="P1803" s="33" t="s">
        <v>5190</v>
      </c>
      <c r="Q1803" s="34" t="s">
        <v>1494</v>
      </c>
      <c r="R1803" s="34" t="s">
        <v>1494</v>
      </c>
    </row>
    <row r="1804" spans="1:18" ht="15" customHeight="1" x14ac:dyDescent="0.25">
      <c r="A1804" t="str">
        <f>IFERROR(RANK(B1804,$B:$B,1)+COUNTIF($B$1:B1803,B1804),"")</f>
        <v/>
      </c>
      <c r="B1804" t="str">
        <f>IFERROR(SEARCH(#REF!,Table4[[#This Row],[Commodity Title]],1),"")</f>
        <v/>
      </c>
      <c r="C1804" s="35">
        <v>42203425</v>
      </c>
      <c r="D1804" s="33" t="s">
        <v>1495</v>
      </c>
      <c r="E1804" s="33" t="s">
        <v>1496</v>
      </c>
      <c r="F1804" s="33" t="s">
        <v>1497</v>
      </c>
      <c r="G1804" s="33" t="s">
        <v>4781</v>
      </c>
      <c r="H1804" s="33" t="s">
        <v>4782</v>
      </c>
      <c r="I1804" s="33" t="s">
        <v>4783</v>
      </c>
      <c r="J1804" s="33">
        <v>146197</v>
      </c>
      <c r="K1804" s="33" t="s">
        <v>5151</v>
      </c>
      <c r="L1804" s="33" t="s">
        <v>5152</v>
      </c>
      <c r="M1804" s="33" t="s">
        <v>5153</v>
      </c>
      <c r="N1804" s="44">
        <v>42203425</v>
      </c>
      <c r="O1804" s="33" t="s">
        <v>5191</v>
      </c>
      <c r="P1804" s="33" t="s">
        <v>5192</v>
      </c>
      <c r="Q1804" s="34" t="s">
        <v>1494</v>
      </c>
      <c r="R1804" s="34" t="s">
        <v>1494</v>
      </c>
    </row>
    <row r="1805" spans="1:18" ht="15" customHeight="1" x14ac:dyDescent="0.25">
      <c r="A1805" t="str">
        <f>IFERROR(RANK(B1805,$B:$B,1)+COUNTIF($B$1:B1804,B1805),"")</f>
        <v/>
      </c>
      <c r="B1805" t="str">
        <f>IFERROR(SEARCH(#REF!,Table4[[#This Row],[Commodity Title]],1),"")</f>
        <v/>
      </c>
      <c r="C1805" s="35">
        <v>42203426</v>
      </c>
      <c r="D1805" s="33" t="s">
        <v>1495</v>
      </c>
      <c r="E1805" s="33" t="s">
        <v>1496</v>
      </c>
      <c r="F1805" s="33" t="s">
        <v>1497</v>
      </c>
      <c r="G1805" s="33" t="s">
        <v>4781</v>
      </c>
      <c r="H1805" s="33" t="s">
        <v>4782</v>
      </c>
      <c r="I1805" s="33" t="s">
        <v>4783</v>
      </c>
      <c r="J1805" s="33">
        <v>164867</v>
      </c>
      <c r="K1805" s="33" t="s">
        <v>5151</v>
      </c>
      <c r="L1805" s="33" t="s">
        <v>5152</v>
      </c>
      <c r="M1805" s="33" t="s">
        <v>5153</v>
      </c>
      <c r="N1805" s="44">
        <v>42203426</v>
      </c>
      <c r="O1805" s="33" t="s">
        <v>5193</v>
      </c>
      <c r="P1805" s="33" t="s">
        <v>5194</v>
      </c>
      <c r="Q1805" s="34" t="s">
        <v>1494</v>
      </c>
      <c r="R1805" s="34" t="s">
        <v>1494</v>
      </c>
    </row>
    <row r="1806" spans="1:18" ht="15" customHeight="1" x14ac:dyDescent="0.25">
      <c r="A1806" t="str">
        <f>IFERROR(RANK(B1806,$B:$B,1)+COUNTIF($B$1:B1805,B1806),"")</f>
        <v/>
      </c>
      <c r="B1806" t="str">
        <f>IFERROR(SEARCH(#REF!,Table4[[#This Row],[Commodity Title]],1),"")</f>
        <v/>
      </c>
      <c r="C1806" s="35">
        <v>42203427</v>
      </c>
      <c r="D1806" s="33" t="s">
        <v>1495</v>
      </c>
      <c r="E1806" s="33" t="s">
        <v>1496</v>
      </c>
      <c r="F1806" s="33" t="s">
        <v>1497</v>
      </c>
      <c r="G1806" s="33" t="s">
        <v>4781</v>
      </c>
      <c r="H1806" s="33" t="s">
        <v>4782</v>
      </c>
      <c r="I1806" s="33" t="s">
        <v>4783</v>
      </c>
      <c r="J1806" s="33">
        <v>164868</v>
      </c>
      <c r="K1806" s="33" t="s">
        <v>5151</v>
      </c>
      <c r="L1806" s="33" t="s">
        <v>5152</v>
      </c>
      <c r="M1806" s="33" t="s">
        <v>5153</v>
      </c>
      <c r="N1806" s="44">
        <v>42203427</v>
      </c>
      <c r="O1806" s="33" t="s">
        <v>5195</v>
      </c>
      <c r="P1806" s="33" t="s">
        <v>5196</v>
      </c>
      <c r="Q1806" s="34" t="s">
        <v>1494</v>
      </c>
      <c r="R1806" s="34" t="s">
        <v>1494</v>
      </c>
    </row>
    <row r="1807" spans="1:18" ht="15" customHeight="1" x14ac:dyDescent="0.25">
      <c r="A1807" t="str">
        <f>IFERROR(RANK(B1807,$B:$B,1)+COUNTIF($B$1:B1806,B1807),"")</f>
        <v/>
      </c>
      <c r="B1807" t="str">
        <f>IFERROR(SEARCH(#REF!,Table4[[#This Row],[Commodity Title]],1),"")</f>
        <v/>
      </c>
      <c r="C1807" s="35">
        <v>42203428</v>
      </c>
      <c r="D1807" s="33" t="s">
        <v>1495</v>
      </c>
      <c r="E1807" s="33" t="s">
        <v>1496</v>
      </c>
      <c r="F1807" s="33" t="s">
        <v>1497</v>
      </c>
      <c r="G1807" s="33" t="s">
        <v>4781</v>
      </c>
      <c r="H1807" s="33" t="s">
        <v>4782</v>
      </c>
      <c r="I1807" s="33" t="s">
        <v>4783</v>
      </c>
      <c r="J1807" s="33">
        <v>164900</v>
      </c>
      <c r="K1807" s="33" t="s">
        <v>5151</v>
      </c>
      <c r="L1807" s="33" t="s">
        <v>5152</v>
      </c>
      <c r="M1807" s="33" t="s">
        <v>5153</v>
      </c>
      <c r="N1807" s="44">
        <v>42203428</v>
      </c>
      <c r="O1807" s="33" t="s">
        <v>5197</v>
      </c>
      <c r="P1807" s="33" t="s">
        <v>5198</v>
      </c>
      <c r="Q1807" s="34" t="s">
        <v>1494</v>
      </c>
      <c r="R1807" s="34" t="s">
        <v>1494</v>
      </c>
    </row>
    <row r="1808" spans="1:18" ht="15" customHeight="1" x14ac:dyDescent="0.25">
      <c r="A1808" t="str">
        <f>IFERROR(RANK(B1808,$B:$B,1)+COUNTIF($B$1:B1807,B1808),"")</f>
        <v/>
      </c>
      <c r="B1808" t="str">
        <f>IFERROR(SEARCH(#REF!,Table4[[#This Row],[Commodity Title]],1),"")</f>
        <v/>
      </c>
      <c r="C1808" s="35">
        <v>42203429</v>
      </c>
      <c r="D1808" s="33" t="s">
        <v>1495</v>
      </c>
      <c r="E1808" s="33" t="s">
        <v>1496</v>
      </c>
      <c r="F1808" s="33" t="s">
        <v>1497</v>
      </c>
      <c r="G1808" s="33" t="s">
        <v>4781</v>
      </c>
      <c r="H1808" s="33" t="s">
        <v>4782</v>
      </c>
      <c r="I1808" s="33" t="s">
        <v>4783</v>
      </c>
      <c r="J1808" s="33">
        <v>174392</v>
      </c>
      <c r="K1808" s="33" t="s">
        <v>5151</v>
      </c>
      <c r="L1808" s="33" t="s">
        <v>5152</v>
      </c>
      <c r="M1808" s="33" t="s">
        <v>5153</v>
      </c>
      <c r="N1808" s="44">
        <v>42203429</v>
      </c>
      <c r="O1808" s="33" t="s">
        <v>5199</v>
      </c>
      <c r="P1808" s="33" t="s">
        <v>5200</v>
      </c>
      <c r="Q1808" s="34" t="s">
        <v>1494</v>
      </c>
      <c r="R1808" s="34" t="s">
        <v>1494</v>
      </c>
    </row>
    <row r="1809" spans="1:18" ht="15" customHeight="1" x14ac:dyDescent="0.25">
      <c r="A1809" t="str">
        <f>IFERROR(RANK(B1809,$B:$B,1)+COUNTIF($B$1:B1808,B1809),"")</f>
        <v/>
      </c>
      <c r="B1809" t="str">
        <f>IFERROR(SEARCH(#REF!,Table4[[#This Row],[Commodity Title]],1),"")</f>
        <v/>
      </c>
      <c r="C1809" s="35">
        <v>42203430</v>
      </c>
      <c r="D1809" s="33" t="s">
        <v>1495</v>
      </c>
      <c r="E1809" s="33" t="s">
        <v>1496</v>
      </c>
      <c r="F1809" s="33" t="s">
        <v>1497</v>
      </c>
      <c r="G1809" s="33" t="s">
        <v>4781</v>
      </c>
      <c r="H1809" s="33" t="s">
        <v>4782</v>
      </c>
      <c r="I1809" s="33" t="s">
        <v>4783</v>
      </c>
      <c r="J1809" s="33">
        <v>177417</v>
      </c>
      <c r="K1809" s="33" t="s">
        <v>5151</v>
      </c>
      <c r="L1809" s="33" t="s">
        <v>5152</v>
      </c>
      <c r="M1809" s="33" t="s">
        <v>5153</v>
      </c>
      <c r="N1809" s="44">
        <v>42203430</v>
      </c>
      <c r="O1809" s="33" t="s">
        <v>5201</v>
      </c>
      <c r="P1809" s="33" t="s">
        <v>5202</v>
      </c>
      <c r="Q1809" s="34" t="s">
        <v>1494</v>
      </c>
      <c r="R1809" s="34" t="s">
        <v>1494</v>
      </c>
    </row>
    <row r="1810" spans="1:18" ht="15" customHeight="1" x14ac:dyDescent="0.25">
      <c r="A1810" t="str">
        <f>IFERROR(RANK(B1810,$B:$B,1)+COUNTIF($B$1:B1809,B1810),"")</f>
        <v/>
      </c>
      <c r="B1810" t="str">
        <f>IFERROR(SEARCH(#REF!,Table4[[#This Row],[Commodity Title]],1),"")</f>
        <v/>
      </c>
      <c r="C1810" s="35">
        <v>42203431</v>
      </c>
      <c r="D1810" s="33" t="s">
        <v>1495</v>
      </c>
      <c r="E1810" s="33" t="s">
        <v>1496</v>
      </c>
      <c r="F1810" s="33" t="s">
        <v>1497</v>
      </c>
      <c r="G1810" s="33" t="s">
        <v>4781</v>
      </c>
      <c r="H1810" s="33" t="s">
        <v>4782</v>
      </c>
      <c r="I1810" s="33" t="s">
        <v>4783</v>
      </c>
      <c r="J1810" s="33">
        <v>202859</v>
      </c>
      <c r="K1810" s="33" t="s">
        <v>5151</v>
      </c>
      <c r="L1810" s="33" t="s">
        <v>5152</v>
      </c>
      <c r="M1810" s="33" t="s">
        <v>5153</v>
      </c>
      <c r="N1810" s="44">
        <v>42203431</v>
      </c>
      <c r="O1810" s="33" t="s">
        <v>5203</v>
      </c>
      <c r="P1810" s="33" t="s">
        <v>5204</v>
      </c>
      <c r="Q1810" s="34" t="s">
        <v>1494</v>
      </c>
      <c r="R1810" s="34" t="s">
        <v>1494</v>
      </c>
    </row>
    <row r="1811" spans="1:18" ht="15" customHeight="1" x14ac:dyDescent="0.25">
      <c r="A1811" t="str">
        <f>IFERROR(RANK(B1811,$B:$B,1)+COUNTIF($B$1:B1810,B1811),"")</f>
        <v/>
      </c>
      <c r="B1811" t="str">
        <f>IFERROR(SEARCH(#REF!,Table4[[#This Row],[Commodity Title]],1),"")</f>
        <v/>
      </c>
      <c r="C1811" s="35">
        <v>42203432</v>
      </c>
      <c r="D1811" s="33" t="s">
        <v>1495</v>
      </c>
      <c r="E1811" s="33" t="s">
        <v>1496</v>
      </c>
      <c r="F1811" s="33" t="s">
        <v>1497</v>
      </c>
      <c r="G1811" s="33" t="s">
        <v>4781</v>
      </c>
      <c r="H1811" s="33" t="s">
        <v>4782</v>
      </c>
      <c r="I1811" s="33" t="s">
        <v>4783</v>
      </c>
      <c r="J1811" s="33">
        <v>202860</v>
      </c>
      <c r="K1811" s="33" t="s">
        <v>5151</v>
      </c>
      <c r="L1811" s="33" t="s">
        <v>5152</v>
      </c>
      <c r="M1811" s="33" t="s">
        <v>5153</v>
      </c>
      <c r="N1811" s="44">
        <v>42203432</v>
      </c>
      <c r="O1811" s="33" t="s">
        <v>5205</v>
      </c>
      <c r="P1811" s="33" t="s">
        <v>5206</v>
      </c>
      <c r="Q1811" s="34" t="s">
        <v>1494</v>
      </c>
      <c r="R1811" s="34" t="s">
        <v>1494</v>
      </c>
    </row>
    <row r="1812" spans="1:18" ht="15" customHeight="1" x14ac:dyDescent="0.25">
      <c r="A1812" t="str">
        <f>IFERROR(RANK(B1812,$B:$B,1)+COUNTIF($B$1:B1811,B1812),"")</f>
        <v/>
      </c>
      <c r="B1812" t="str">
        <f>IFERROR(SEARCH(#REF!,Table4[[#This Row],[Commodity Title]],1),"")</f>
        <v/>
      </c>
      <c r="C1812" s="35">
        <v>42203433</v>
      </c>
      <c r="D1812" s="33" t="s">
        <v>1495</v>
      </c>
      <c r="E1812" s="33" t="s">
        <v>1496</v>
      </c>
      <c r="F1812" s="33" t="s">
        <v>1497</v>
      </c>
      <c r="G1812" s="33" t="s">
        <v>4781</v>
      </c>
      <c r="H1812" s="33" t="s">
        <v>4782</v>
      </c>
      <c r="I1812" s="33" t="s">
        <v>4783</v>
      </c>
      <c r="J1812" s="33">
        <v>202861</v>
      </c>
      <c r="K1812" s="33" t="s">
        <v>5151</v>
      </c>
      <c r="L1812" s="33" t="s">
        <v>5152</v>
      </c>
      <c r="M1812" s="33" t="s">
        <v>5153</v>
      </c>
      <c r="N1812" s="44">
        <v>42203433</v>
      </c>
      <c r="O1812" s="33" t="s">
        <v>5207</v>
      </c>
      <c r="P1812" s="33" t="s">
        <v>5208</v>
      </c>
      <c r="Q1812" s="34" t="s">
        <v>1494</v>
      </c>
      <c r="R1812" s="34" t="s">
        <v>1494</v>
      </c>
    </row>
    <row r="1813" spans="1:18" ht="15" customHeight="1" x14ac:dyDescent="0.25">
      <c r="A1813" t="str">
        <f>IFERROR(RANK(B1813,$B:$B,1)+COUNTIF($B$1:B1812,B1813),"")</f>
        <v/>
      </c>
      <c r="B1813" t="str">
        <f>IFERROR(SEARCH(#REF!,Table4[[#This Row],[Commodity Title]],1),"")</f>
        <v/>
      </c>
      <c r="C1813" s="35">
        <v>42203434</v>
      </c>
      <c r="D1813" s="33" t="s">
        <v>1495</v>
      </c>
      <c r="E1813" s="33" t="s">
        <v>1496</v>
      </c>
      <c r="F1813" s="33" t="s">
        <v>1497</v>
      </c>
      <c r="G1813" s="33" t="s">
        <v>4781</v>
      </c>
      <c r="H1813" s="33" t="s">
        <v>4782</v>
      </c>
      <c r="I1813" s="33" t="s">
        <v>4783</v>
      </c>
      <c r="J1813" s="33">
        <v>202862</v>
      </c>
      <c r="K1813" s="33" t="s">
        <v>5151</v>
      </c>
      <c r="L1813" s="33" t="s">
        <v>5152</v>
      </c>
      <c r="M1813" s="33" t="s">
        <v>5153</v>
      </c>
      <c r="N1813" s="44">
        <v>42203434</v>
      </c>
      <c r="O1813" s="33" t="s">
        <v>5209</v>
      </c>
      <c r="P1813" s="33" t="s">
        <v>5210</v>
      </c>
      <c r="Q1813" s="34" t="s">
        <v>1494</v>
      </c>
      <c r="R1813" s="34" t="s">
        <v>1494</v>
      </c>
    </row>
    <row r="1814" spans="1:18" ht="15" customHeight="1" x14ac:dyDescent="0.25">
      <c r="A1814" t="str">
        <f>IFERROR(RANK(B1814,$B:$B,1)+COUNTIF($B$1:B1813,B1814),"")</f>
        <v/>
      </c>
      <c r="B1814" t="str">
        <f>IFERROR(SEARCH(#REF!,Table4[[#This Row],[Commodity Title]],1),"")</f>
        <v/>
      </c>
      <c r="C1814" s="35">
        <v>42203435</v>
      </c>
      <c r="D1814" s="33" t="s">
        <v>1495</v>
      </c>
      <c r="E1814" s="33" t="s">
        <v>1496</v>
      </c>
      <c r="F1814" s="33" t="s">
        <v>1497</v>
      </c>
      <c r="G1814" s="33" t="s">
        <v>4781</v>
      </c>
      <c r="H1814" s="33" t="s">
        <v>4782</v>
      </c>
      <c r="I1814" s="33" t="s">
        <v>4783</v>
      </c>
      <c r="J1814" s="33">
        <v>202863</v>
      </c>
      <c r="K1814" s="33" t="s">
        <v>5151</v>
      </c>
      <c r="L1814" s="33" t="s">
        <v>5152</v>
      </c>
      <c r="M1814" s="33" t="s">
        <v>5153</v>
      </c>
      <c r="N1814" s="44">
        <v>42203435</v>
      </c>
      <c r="O1814" s="33" t="s">
        <v>5211</v>
      </c>
      <c r="P1814" s="33" t="s">
        <v>5212</v>
      </c>
      <c r="Q1814" s="34" t="s">
        <v>1494</v>
      </c>
      <c r="R1814" s="34" t="s">
        <v>1494</v>
      </c>
    </row>
    <row r="1815" spans="1:18" ht="15" customHeight="1" x14ac:dyDescent="0.25">
      <c r="A1815" t="str">
        <f>IFERROR(RANK(B1815,$B:$B,1)+COUNTIF($B$1:B1814,B1815),"")</f>
        <v/>
      </c>
      <c r="B1815" t="str">
        <f>IFERROR(SEARCH(#REF!,Table4[[#This Row],[Commodity Title]],1),"")</f>
        <v/>
      </c>
      <c r="C1815" s="35">
        <v>42203436</v>
      </c>
      <c r="D1815" s="33" t="s">
        <v>1495</v>
      </c>
      <c r="E1815" s="33" t="s">
        <v>1496</v>
      </c>
      <c r="F1815" s="33" t="s">
        <v>1497</v>
      </c>
      <c r="G1815" s="33" t="s">
        <v>4781</v>
      </c>
      <c r="H1815" s="33" t="s">
        <v>4782</v>
      </c>
      <c r="I1815" s="33" t="s">
        <v>4783</v>
      </c>
      <c r="J1815" s="33">
        <v>202864</v>
      </c>
      <c r="K1815" s="33" t="s">
        <v>5151</v>
      </c>
      <c r="L1815" s="33" t="s">
        <v>5152</v>
      </c>
      <c r="M1815" s="33" t="s">
        <v>5153</v>
      </c>
      <c r="N1815" s="44">
        <v>42203436</v>
      </c>
      <c r="O1815" s="33" t="s">
        <v>5213</v>
      </c>
      <c r="P1815" s="33" t="s">
        <v>5214</v>
      </c>
      <c r="Q1815" s="34" t="s">
        <v>1494</v>
      </c>
      <c r="R1815" s="34" t="s">
        <v>1494</v>
      </c>
    </row>
    <row r="1816" spans="1:18" ht="15" customHeight="1" x14ac:dyDescent="0.25">
      <c r="A1816" t="str">
        <f>IFERROR(RANK(B1816,$B:$B,1)+COUNTIF($B$1:B1815,B1816),"")</f>
        <v/>
      </c>
      <c r="B1816" t="str">
        <f>IFERROR(SEARCH(#REF!,Table4[[#This Row],[Commodity Title]],1),"")</f>
        <v/>
      </c>
      <c r="C1816" s="35">
        <v>42203437</v>
      </c>
      <c r="D1816" s="33" t="s">
        <v>1495</v>
      </c>
      <c r="E1816" s="33" t="s">
        <v>1496</v>
      </c>
      <c r="F1816" s="33" t="s">
        <v>1497</v>
      </c>
      <c r="G1816" s="33" t="s">
        <v>4781</v>
      </c>
      <c r="H1816" s="33" t="s">
        <v>4782</v>
      </c>
      <c r="I1816" s="33" t="s">
        <v>4783</v>
      </c>
      <c r="J1816" s="33">
        <v>202865</v>
      </c>
      <c r="K1816" s="33" t="s">
        <v>5151</v>
      </c>
      <c r="L1816" s="33" t="s">
        <v>5152</v>
      </c>
      <c r="M1816" s="33" t="s">
        <v>5153</v>
      </c>
      <c r="N1816" s="44">
        <v>42203437</v>
      </c>
      <c r="O1816" s="33" t="s">
        <v>5215</v>
      </c>
      <c r="P1816" s="33" t="s">
        <v>5216</v>
      </c>
      <c r="Q1816" s="34" t="s">
        <v>1494</v>
      </c>
      <c r="R1816" s="34" t="s">
        <v>1494</v>
      </c>
    </row>
    <row r="1817" spans="1:18" ht="15" customHeight="1" x14ac:dyDescent="0.25">
      <c r="A1817" t="str">
        <f>IFERROR(RANK(B1817,$B:$B,1)+COUNTIF($B$1:B1816,B1817),"")</f>
        <v/>
      </c>
      <c r="B1817" t="str">
        <f>IFERROR(SEARCH(#REF!,Table4[[#This Row],[Commodity Title]],1),"")</f>
        <v/>
      </c>
      <c r="C1817" s="35">
        <v>42203438</v>
      </c>
      <c r="D1817" s="33" t="s">
        <v>1495</v>
      </c>
      <c r="E1817" s="33" t="s">
        <v>1496</v>
      </c>
      <c r="F1817" s="33" t="s">
        <v>1497</v>
      </c>
      <c r="G1817" s="33" t="s">
        <v>4781</v>
      </c>
      <c r="H1817" s="33" t="s">
        <v>4782</v>
      </c>
      <c r="I1817" s="33" t="s">
        <v>4783</v>
      </c>
      <c r="J1817" s="33">
        <v>202866</v>
      </c>
      <c r="K1817" s="33" t="s">
        <v>5151</v>
      </c>
      <c r="L1817" s="33" t="s">
        <v>5152</v>
      </c>
      <c r="M1817" s="33" t="s">
        <v>5153</v>
      </c>
      <c r="N1817" s="44">
        <v>42203438</v>
      </c>
      <c r="O1817" s="33" t="s">
        <v>5217</v>
      </c>
      <c r="P1817" s="33" t="s">
        <v>5218</v>
      </c>
      <c r="Q1817" s="34" t="s">
        <v>1494</v>
      </c>
      <c r="R1817" s="34" t="s">
        <v>1494</v>
      </c>
    </row>
    <row r="1818" spans="1:18" ht="15" customHeight="1" x14ac:dyDescent="0.25">
      <c r="A1818" t="str">
        <f>IFERROR(RANK(B1818,$B:$B,1)+COUNTIF($B$1:B1817,B1818),"")</f>
        <v/>
      </c>
      <c r="B1818" t="str">
        <f>IFERROR(SEARCH(#REF!,Table4[[#This Row],[Commodity Title]],1),"")</f>
        <v/>
      </c>
      <c r="C1818" s="35">
        <v>42203439</v>
      </c>
      <c r="D1818" s="33" t="s">
        <v>1495</v>
      </c>
      <c r="E1818" s="33" t="s">
        <v>1496</v>
      </c>
      <c r="F1818" s="33" t="s">
        <v>1497</v>
      </c>
      <c r="G1818" s="33" t="s">
        <v>4781</v>
      </c>
      <c r="H1818" s="33" t="s">
        <v>4782</v>
      </c>
      <c r="I1818" s="33" t="s">
        <v>4783</v>
      </c>
      <c r="J1818" s="33">
        <v>202867</v>
      </c>
      <c r="K1818" s="33" t="s">
        <v>5151</v>
      </c>
      <c r="L1818" s="33" t="s">
        <v>5152</v>
      </c>
      <c r="M1818" s="33" t="s">
        <v>5153</v>
      </c>
      <c r="N1818" s="44">
        <v>42203439</v>
      </c>
      <c r="O1818" s="33" t="s">
        <v>5219</v>
      </c>
      <c r="P1818" s="33" t="s">
        <v>5220</v>
      </c>
      <c r="Q1818" s="34" t="s">
        <v>1494</v>
      </c>
      <c r="R1818" s="34" t="s">
        <v>1494</v>
      </c>
    </row>
    <row r="1819" spans="1:18" ht="15" customHeight="1" x14ac:dyDescent="0.25">
      <c r="A1819" t="str">
        <f>IFERROR(RANK(B1819,$B:$B,1)+COUNTIF($B$1:B1818,B1819),"")</f>
        <v/>
      </c>
      <c r="B1819" t="str">
        <f>IFERROR(SEARCH(#REF!,Table4[[#This Row],[Commodity Title]],1),"")</f>
        <v/>
      </c>
      <c r="C1819" s="35">
        <v>42203440</v>
      </c>
      <c r="D1819" s="33" t="s">
        <v>1495</v>
      </c>
      <c r="E1819" s="33" t="s">
        <v>1496</v>
      </c>
      <c r="F1819" s="33" t="s">
        <v>1497</v>
      </c>
      <c r="G1819" s="33" t="s">
        <v>4781</v>
      </c>
      <c r="H1819" s="33" t="s">
        <v>4782</v>
      </c>
      <c r="I1819" s="33" t="s">
        <v>4783</v>
      </c>
      <c r="J1819" s="33">
        <v>202868</v>
      </c>
      <c r="K1819" s="33" t="s">
        <v>5151</v>
      </c>
      <c r="L1819" s="33" t="s">
        <v>5152</v>
      </c>
      <c r="M1819" s="33" t="s">
        <v>5153</v>
      </c>
      <c r="N1819" s="44">
        <v>42203440</v>
      </c>
      <c r="O1819" s="33" t="s">
        <v>5221</v>
      </c>
      <c r="P1819" s="33" t="s">
        <v>5222</v>
      </c>
      <c r="Q1819" s="34" t="s">
        <v>1494</v>
      </c>
      <c r="R1819" s="34" t="s">
        <v>1494</v>
      </c>
    </row>
    <row r="1820" spans="1:18" ht="15" customHeight="1" x14ac:dyDescent="0.25">
      <c r="A1820" t="str">
        <f>IFERROR(RANK(B1820,$B:$B,1)+COUNTIF($B$1:B1819,B1820),"")</f>
        <v/>
      </c>
      <c r="B1820" t="str">
        <f>IFERROR(SEARCH(#REF!,Table4[[#This Row],[Commodity Title]],1),"")</f>
        <v/>
      </c>
      <c r="C1820" s="35">
        <v>42203441</v>
      </c>
      <c r="D1820" s="33" t="s">
        <v>1495</v>
      </c>
      <c r="E1820" s="33" t="s">
        <v>1496</v>
      </c>
      <c r="F1820" s="33" t="s">
        <v>1497</v>
      </c>
      <c r="G1820" s="33" t="s">
        <v>4781</v>
      </c>
      <c r="H1820" s="33" t="s">
        <v>4782</v>
      </c>
      <c r="I1820" s="33" t="s">
        <v>4783</v>
      </c>
      <c r="J1820" s="33">
        <v>202869</v>
      </c>
      <c r="K1820" s="33" t="s">
        <v>5151</v>
      </c>
      <c r="L1820" s="33" t="s">
        <v>5152</v>
      </c>
      <c r="M1820" s="33" t="s">
        <v>5153</v>
      </c>
      <c r="N1820" s="44">
        <v>42203441</v>
      </c>
      <c r="O1820" s="33" t="s">
        <v>5223</v>
      </c>
      <c r="P1820" s="33" t="s">
        <v>5224</v>
      </c>
      <c r="Q1820" s="34" t="s">
        <v>1494</v>
      </c>
      <c r="R1820" s="34" t="s">
        <v>1494</v>
      </c>
    </row>
    <row r="1821" spans="1:18" ht="15" customHeight="1" x14ac:dyDescent="0.25">
      <c r="A1821" t="str">
        <f>IFERROR(RANK(B1821,$B:$B,1)+COUNTIF($B$1:B1820,B1821),"")</f>
        <v/>
      </c>
      <c r="B1821" t="str">
        <f>IFERROR(SEARCH(#REF!,Table4[[#This Row],[Commodity Title]],1),"")</f>
        <v/>
      </c>
      <c r="C1821" s="35">
        <v>42203442</v>
      </c>
      <c r="D1821" s="33" t="s">
        <v>1495</v>
      </c>
      <c r="E1821" s="33" t="s">
        <v>1496</v>
      </c>
      <c r="F1821" s="33" t="s">
        <v>1497</v>
      </c>
      <c r="G1821" s="33" t="s">
        <v>4781</v>
      </c>
      <c r="H1821" s="33" t="s">
        <v>4782</v>
      </c>
      <c r="I1821" s="33" t="s">
        <v>4783</v>
      </c>
      <c r="J1821" s="33">
        <v>202870</v>
      </c>
      <c r="K1821" s="33" t="s">
        <v>5151</v>
      </c>
      <c r="L1821" s="33" t="s">
        <v>5152</v>
      </c>
      <c r="M1821" s="33" t="s">
        <v>5153</v>
      </c>
      <c r="N1821" s="44">
        <v>42203442</v>
      </c>
      <c r="O1821" s="33" t="s">
        <v>5225</v>
      </c>
      <c r="P1821" s="33" t="s">
        <v>5226</v>
      </c>
      <c r="Q1821" s="34" t="s">
        <v>1494</v>
      </c>
      <c r="R1821" s="34" t="s">
        <v>1494</v>
      </c>
    </row>
    <row r="1822" spans="1:18" ht="15" customHeight="1" x14ac:dyDescent="0.25">
      <c r="A1822" t="str">
        <f>IFERROR(RANK(B1822,$B:$B,1)+COUNTIF($B$1:B1821,B1822),"")</f>
        <v/>
      </c>
      <c r="B1822" t="str">
        <f>IFERROR(SEARCH(#REF!,Table4[[#This Row],[Commodity Title]],1),"")</f>
        <v/>
      </c>
      <c r="C1822" s="35">
        <v>42203443</v>
      </c>
      <c r="D1822" s="33" t="s">
        <v>1495</v>
      </c>
      <c r="E1822" s="33" t="s">
        <v>1496</v>
      </c>
      <c r="F1822" s="33" t="s">
        <v>1497</v>
      </c>
      <c r="G1822" s="33" t="s">
        <v>4781</v>
      </c>
      <c r="H1822" s="33" t="s">
        <v>4782</v>
      </c>
      <c r="I1822" s="33" t="s">
        <v>4783</v>
      </c>
      <c r="J1822" s="33">
        <v>202871</v>
      </c>
      <c r="K1822" s="33" t="s">
        <v>5151</v>
      </c>
      <c r="L1822" s="33" t="s">
        <v>5152</v>
      </c>
      <c r="M1822" s="33" t="s">
        <v>5153</v>
      </c>
      <c r="N1822" s="44">
        <v>42203443</v>
      </c>
      <c r="O1822" s="33" t="s">
        <v>5227</v>
      </c>
      <c r="P1822" s="33" t="s">
        <v>5228</v>
      </c>
      <c r="Q1822" s="34" t="s">
        <v>1494</v>
      </c>
      <c r="R1822" s="34" t="s">
        <v>1494</v>
      </c>
    </row>
    <row r="1823" spans="1:18" ht="15" customHeight="1" x14ac:dyDescent="0.25">
      <c r="A1823" t="str">
        <f>IFERROR(RANK(B1823,$B:$B,1)+COUNTIF($B$1:B1822,B1823),"")</f>
        <v/>
      </c>
      <c r="B1823" t="str">
        <f>IFERROR(SEARCH(#REF!,Table4[[#This Row],[Commodity Title]],1),"")</f>
        <v/>
      </c>
      <c r="C1823" s="35">
        <v>42203444</v>
      </c>
      <c r="D1823" s="33" t="s">
        <v>1495</v>
      </c>
      <c r="E1823" s="33" t="s">
        <v>1496</v>
      </c>
      <c r="F1823" s="33" t="s">
        <v>1497</v>
      </c>
      <c r="G1823" s="33" t="s">
        <v>4781</v>
      </c>
      <c r="H1823" s="33" t="s">
        <v>4782</v>
      </c>
      <c r="I1823" s="33" t="s">
        <v>4783</v>
      </c>
      <c r="J1823" s="33">
        <v>202872</v>
      </c>
      <c r="K1823" s="33" t="s">
        <v>5151</v>
      </c>
      <c r="L1823" s="33" t="s">
        <v>5152</v>
      </c>
      <c r="M1823" s="33" t="s">
        <v>5153</v>
      </c>
      <c r="N1823" s="44">
        <v>42203444</v>
      </c>
      <c r="O1823" s="33" t="s">
        <v>5229</v>
      </c>
      <c r="P1823" s="33" t="s">
        <v>5230</v>
      </c>
      <c r="Q1823" s="34" t="s">
        <v>1494</v>
      </c>
      <c r="R1823" s="34" t="s">
        <v>1494</v>
      </c>
    </row>
    <row r="1824" spans="1:18" ht="15" customHeight="1" x14ac:dyDescent="0.25">
      <c r="A1824" t="str">
        <f>IFERROR(RANK(B1824,$B:$B,1)+COUNTIF($B$1:B1823,B1824),"")</f>
        <v/>
      </c>
      <c r="B1824" t="str">
        <f>IFERROR(SEARCH(#REF!,Table4[[#This Row],[Commodity Title]],1),"")</f>
        <v/>
      </c>
      <c r="C1824" s="35">
        <v>42203445</v>
      </c>
      <c r="D1824" s="33" t="s">
        <v>1495</v>
      </c>
      <c r="E1824" s="33" t="s">
        <v>1496</v>
      </c>
      <c r="F1824" s="33" t="s">
        <v>1497</v>
      </c>
      <c r="G1824" s="33" t="s">
        <v>4781</v>
      </c>
      <c r="H1824" s="33" t="s">
        <v>4782</v>
      </c>
      <c r="I1824" s="33" t="s">
        <v>4783</v>
      </c>
      <c r="J1824" s="33">
        <v>202873</v>
      </c>
      <c r="K1824" s="33" t="s">
        <v>5151</v>
      </c>
      <c r="L1824" s="33" t="s">
        <v>5152</v>
      </c>
      <c r="M1824" s="33" t="s">
        <v>5153</v>
      </c>
      <c r="N1824" s="44">
        <v>42203445</v>
      </c>
      <c r="O1824" s="33" t="s">
        <v>5231</v>
      </c>
      <c r="P1824" s="33" t="s">
        <v>5232</v>
      </c>
      <c r="Q1824" s="34" t="s">
        <v>1494</v>
      </c>
      <c r="R1824" s="34" t="s">
        <v>1494</v>
      </c>
    </row>
    <row r="1825" spans="1:18" ht="15" customHeight="1" x14ac:dyDescent="0.25">
      <c r="A1825" t="str">
        <f>IFERROR(RANK(B1825,$B:$B,1)+COUNTIF($B$1:B1824,B1825),"")</f>
        <v/>
      </c>
      <c r="B1825" t="str">
        <f>IFERROR(SEARCH(#REF!,Table4[[#This Row],[Commodity Title]],1),"")</f>
        <v/>
      </c>
      <c r="C1825" s="35">
        <v>42203446</v>
      </c>
      <c r="D1825" s="33" t="s">
        <v>1495</v>
      </c>
      <c r="E1825" s="33" t="s">
        <v>1496</v>
      </c>
      <c r="F1825" s="33" t="s">
        <v>1497</v>
      </c>
      <c r="G1825" s="33" t="s">
        <v>4781</v>
      </c>
      <c r="H1825" s="33" t="s">
        <v>4782</v>
      </c>
      <c r="I1825" s="33" t="s">
        <v>4783</v>
      </c>
      <c r="J1825" s="33">
        <v>202874</v>
      </c>
      <c r="K1825" s="33" t="s">
        <v>5151</v>
      </c>
      <c r="L1825" s="33" t="s">
        <v>5152</v>
      </c>
      <c r="M1825" s="33" t="s">
        <v>5153</v>
      </c>
      <c r="N1825" s="44">
        <v>42203446</v>
      </c>
      <c r="O1825" s="33" t="s">
        <v>5233</v>
      </c>
      <c r="P1825" s="33" t="s">
        <v>5234</v>
      </c>
      <c r="Q1825" s="34" t="s">
        <v>1494</v>
      </c>
      <c r="R1825" s="34" t="s">
        <v>1494</v>
      </c>
    </row>
    <row r="1826" spans="1:18" ht="15" customHeight="1" x14ac:dyDescent="0.25">
      <c r="A1826" t="str">
        <f>IFERROR(RANK(B1826,$B:$B,1)+COUNTIF($B$1:B1825,B1826),"")</f>
        <v/>
      </c>
      <c r="B1826" t="str">
        <f>IFERROR(SEARCH(#REF!,Table4[[#This Row],[Commodity Title]],1),"")</f>
        <v/>
      </c>
      <c r="C1826" s="35">
        <v>42203447</v>
      </c>
      <c r="D1826" s="33" t="s">
        <v>1495</v>
      </c>
      <c r="E1826" s="33" t="s">
        <v>1496</v>
      </c>
      <c r="F1826" s="33" t="s">
        <v>1497</v>
      </c>
      <c r="G1826" s="33" t="s">
        <v>4781</v>
      </c>
      <c r="H1826" s="33" t="s">
        <v>4782</v>
      </c>
      <c r="I1826" s="33" t="s">
        <v>4783</v>
      </c>
      <c r="J1826" s="33">
        <v>142613</v>
      </c>
      <c r="K1826" s="33" t="s">
        <v>5151</v>
      </c>
      <c r="L1826" s="33" t="s">
        <v>5152</v>
      </c>
      <c r="M1826" s="33" t="s">
        <v>5153</v>
      </c>
      <c r="N1826" s="44">
        <v>42203447</v>
      </c>
      <c r="O1826" s="33" t="s">
        <v>5235</v>
      </c>
      <c r="P1826" s="33" t="s">
        <v>5236</v>
      </c>
      <c r="Q1826" s="34" t="s">
        <v>1494</v>
      </c>
      <c r="R1826" s="34" t="s">
        <v>1494</v>
      </c>
    </row>
    <row r="1827" spans="1:18" ht="15" customHeight="1" x14ac:dyDescent="0.25">
      <c r="A1827" t="str">
        <f>IFERROR(RANK(B1827,$B:$B,1)+COUNTIF($B$1:B1826,B1827),"")</f>
        <v/>
      </c>
      <c r="B1827" t="str">
        <f>IFERROR(SEARCH(#REF!,Table4[[#This Row],[Commodity Title]],1),"")</f>
        <v/>
      </c>
      <c r="C1827" s="33" t="s">
        <v>1494</v>
      </c>
      <c r="D1827" s="33" t="s">
        <v>1495</v>
      </c>
      <c r="E1827" s="33" t="s">
        <v>1496</v>
      </c>
      <c r="F1827" s="33" t="s">
        <v>1497</v>
      </c>
      <c r="G1827" s="33" t="s">
        <v>4781</v>
      </c>
      <c r="H1827" s="33" t="s">
        <v>4782</v>
      </c>
      <c r="I1827" s="33" t="s">
        <v>4783</v>
      </c>
      <c r="J1827" s="33">
        <v>104555</v>
      </c>
      <c r="K1827" s="33" t="s">
        <v>5237</v>
      </c>
      <c r="L1827" s="33" t="s">
        <v>5238</v>
      </c>
      <c r="M1827" s="33" t="s">
        <v>5239</v>
      </c>
      <c r="N1827" s="44" t="s">
        <v>1494</v>
      </c>
      <c r="O1827" s="33" t="s">
        <v>1494</v>
      </c>
      <c r="P1827" s="33" t="s">
        <v>1494</v>
      </c>
      <c r="Q1827" s="34" t="s">
        <v>1494</v>
      </c>
      <c r="R1827" s="34" t="s">
        <v>1494</v>
      </c>
    </row>
    <row r="1828" spans="1:18" ht="15" customHeight="1" x14ac:dyDescent="0.25">
      <c r="A1828" t="str">
        <f>IFERROR(RANK(B1828,$B:$B,1)+COUNTIF($B$1:B1827,B1828),"")</f>
        <v/>
      </c>
      <c r="B1828" t="str">
        <f>IFERROR(SEARCH(#REF!,Table4[[#This Row],[Commodity Title]],1),"")</f>
        <v/>
      </c>
      <c r="C1828" s="35">
        <v>42203501</v>
      </c>
      <c r="D1828" s="33" t="s">
        <v>1495</v>
      </c>
      <c r="E1828" s="33" t="s">
        <v>1496</v>
      </c>
      <c r="F1828" s="33" t="s">
        <v>1497</v>
      </c>
      <c r="G1828" s="33" t="s">
        <v>4781</v>
      </c>
      <c r="H1828" s="33" t="s">
        <v>4782</v>
      </c>
      <c r="I1828" s="33" t="s">
        <v>4783</v>
      </c>
      <c r="J1828" s="33">
        <v>115622</v>
      </c>
      <c r="K1828" s="33" t="s">
        <v>5237</v>
      </c>
      <c r="L1828" s="33" t="s">
        <v>5238</v>
      </c>
      <c r="M1828" s="33" t="s">
        <v>5239</v>
      </c>
      <c r="N1828" s="44">
        <v>42203501</v>
      </c>
      <c r="O1828" s="33" t="s">
        <v>5240</v>
      </c>
      <c r="P1828" s="33" t="s">
        <v>5241</v>
      </c>
      <c r="Q1828" s="34" t="s">
        <v>1494</v>
      </c>
      <c r="R1828" s="34" t="s">
        <v>1494</v>
      </c>
    </row>
    <row r="1829" spans="1:18" ht="15" customHeight="1" x14ac:dyDescent="0.25">
      <c r="A1829" t="str">
        <f>IFERROR(RANK(B1829,$B:$B,1)+COUNTIF($B$1:B1828,B1829),"")</f>
        <v/>
      </c>
      <c r="B1829" t="str">
        <f>IFERROR(SEARCH(#REF!,Table4[[#This Row],[Commodity Title]],1),"")</f>
        <v/>
      </c>
      <c r="C1829" s="35">
        <v>42203502</v>
      </c>
      <c r="D1829" s="33" t="s">
        <v>1495</v>
      </c>
      <c r="E1829" s="33" t="s">
        <v>1496</v>
      </c>
      <c r="F1829" s="33" t="s">
        <v>1497</v>
      </c>
      <c r="G1829" s="33" t="s">
        <v>4781</v>
      </c>
      <c r="H1829" s="33" t="s">
        <v>4782</v>
      </c>
      <c r="I1829" s="33" t="s">
        <v>4783</v>
      </c>
      <c r="J1829" s="33">
        <v>115623</v>
      </c>
      <c r="K1829" s="33" t="s">
        <v>5237</v>
      </c>
      <c r="L1829" s="33" t="s">
        <v>5238</v>
      </c>
      <c r="M1829" s="33" t="s">
        <v>5239</v>
      </c>
      <c r="N1829" s="44">
        <v>42203502</v>
      </c>
      <c r="O1829" s="33" t="s">
        <v>5242</v>
      </c>
      <c r="P1829" s="33" t="s">
        <v>5243</v>
      </c>
      <c r="Q1829" s="34" t="s">
        <v>1494</v>
      </c>
      <c r="R1829" s="34" t="s">
        <v>1494</v>
      </c>
    </row>
    <row r="1830" spans="1:18" ht="15" customHeight="1" x14ac:dyDescent="0.25">
      <c r="A1830" t="str">
        <f>IFERROR(RANK(B1830,$B:$B,1)+COUNTIF($B$1:B1829,B1830),"")</f>
        <v/>
      </c>
      <c r="B1830" t="str">
        <f>IFERROR(SEARCH(#REF!,Table4[[#This Row],[Commodity Title]],1),"")</f>
        <v/>
      </c>
      <c r="C1830" s="35">
        <v>42203503</v>
      </c>
      <c r="D1830" s="33" t="s">
        <v>1495</v>
      </c>
      <c r="E1830" s="33" t="s">
        <v>1496</v>
      </c>
      <c r="F1830" s="33" t="s">
        <v>1497</v>
      </c>
      <c r="G1830" s="33" t="s">
        <v>4781</v>
      </c>
      <c r="H1830" s="33" t="s">
        <v>4782</v>
      </c>
      <c r="I1830" s="33" t="s">
        <v>4783</v>
      </c>
      <c r="J1830" s="33">
        <v>115624</v>
      </c>
      <c r="K1830" s="33" t="s">
        <v>5237</v>
      </c>
      <c r="L1830" s="33" t="s">
        <v>5238</v>
      </c>
      <c r="M1830" s="33" t="s">
        <v>5239</v>
      </c>
      <c r="N1830" s="44">
        <v>42203503</v>
      </c>
      <c r="O1830" s="33" t="s">
        <v>5244</v>
      </c>
      <c r="P1830" s="33" t="s">
        <v>5245</v>
      </c>
      <c r="Q1830" s="34" t="s">
        <v>1494</v>
      </c>
      <c r="R1830" s="34" t="s">
        <v>1494</v>
      </c>
    </row>
    <row r="1831" spans="1:18" ht="15" customHeight="1" x14ac:dyDescent="0.25">
      <c r="A1831" t="str">
        <f>IFERROR(RANK(B1831,$B:$B,1)+COUNTIF($B$1:B1830,B1831),"")</f>
        <v/>
      </c>
      <c r="B1831" t="str">
        <f>IFERROR(SEARCH(#REF!,Table4[[#This Row],[Commodity Title]],1),"")</f>
        <v/>
      </c>
      <c r="C1831" s="35">
        <v>42203504</v>
      </c>
      <c r="D1831" s="33" t="s">
        <v>1495</v>
      </c>
      <c r="E1831" s="33" t="s">
        <v>1496</v>
      </c>
      <c r="F1831" s="33" t="s">
        <v>1497</v>
      </c>
      <c r="G1831" s="33" t="s">
        <v>4781</v>
      </c>
      <c r="H1831" s="33" t="s">
        <v>4782</v>
      </c>
      <c r="I1831" s="33" t="s">
        <v>4783</v>
      </c>
      <c r="J1831" s="33">
        <v>146146</v>
      </c>
      <c r="K1831" s="33" t="s">
        <v>5237</v>
      </c>
      <c r="L1831" s="33" t="s">
        <v>5238</v>
      </c>
      <c r="M1831" s="33" t="s">
        <v>5239</v>
      </c>
      <c r="N1831" s="44">
        <v>42203504</v>
      </c>
      <c r="O1831" s="33" t="s">
        <v>5246</v>
      </c>
      <c r="P1831" s="33" t="s">
        <v>5247</v>
      </c>
      <c r="Q1831" s="34" t="s">
        <v>1494</v>
      </c>
      <c r="R1831" s="34" t="s">
        <v>1494</v>
      </c>
    </row>
    <row r="1832" spans="1:18" ht="15" customHeight="1" x14ac:dyDescent="0.25">
      <c r="A1832" t="str">
        <f>IFERROR(RANK(B1832,$B:$B,1)+COUNTIF($B$1:B1831,B1832),"")</f>
        <v/>
      </c>
      <c r="B1832" t="str">
        <f>IFERROR(SEARCH(#REF!,Table4[[#This Row],[Commodity Title]],1),"")</f>
        <v/>
      </c>
      <c r="C1832" s="35">
        <v>42203505</v>
      </c>
      <c r="D1832" s="33" t="s">
        <v>1495</v>
      </c>
      <c r="E1832" s="33" t="s">
        <v>1496</v>
      </c>
      <c r="F1832" s="33" t="s">
        <v>1497</v>
      </c>
      <c r="G1832" s="33" t="s">
        <v>4781</v>
      </c>
      <c r="H1832" s="33" t="s">
        <v>4782</v>
      </c>
      <c r="I1832" s="33" t="s">
        <v>4783</v>
      </c>
      <c r="J1832" s="33">
        <v>164869</v>
      </c>
      <c r="K1832" s="33" t="s">
        <v>5237</v>
      </c>
      <c r="L1832" s="33" t="s">
        <v>5238</v>
      </c>
      <c r="M1832" s="33" t="s">
        <v>5239</v>
      </c>
      <c r="N1832" s="44">
        <v>42203505</v>
      </c>
      <c r="O1832" s="33" t="s">
        <v>5248</v>
      </c>
      <c r="P1832" s="33" t="s">
        <v>5249</v>
      </c>
      <c r="Q1832" s="34" t="s">
        <v>1494</v>
      </c>
      <c r="R1832" s="34" t="s">
        <v>1494</v>
      </c>
    </row>
    <row r="1833" spans="1:18" ht="15" customHeight="1" x14ac:dyDescent="0.25">
      <c r="A1833" t="str">
        <f>IFERROR(RANK(B1833,$B:$B,1)+COUNTIF($B$1:B1832,B1833),"")</f>
        <v/>
      </c>
      <c r="B1833" t="str">
        <f>IFERROR(SEARCH(#REF!,Table4[[#This Row],[Commodity Title]],1),"")</f>
        <v/>
      </c>
      <c r="C1833" s="35">
        <v>42203506</v>
      </c>
      <c r="D1833" s="33" t="s">
        <v>1495</v>
      </c>
      <c r="E1833" s="33" t="s">
        <v>1496</v>
      </c>
      <c r="F1833" s="33" t="s">
        <v>1497</v>
      </c>
      <c r="G1833" s="33" t="s">
        <v>4781</v>
      </c>
      <c r="H1833" s="33" t="s">
        <v>4782</v>
      </c>
      <c r="I1833" s="33" t="s">
        <v>4783</v>
      </c>
      <c r="J1833" s="33">
        <v>174393</v>
      </c>
      <c r="K1833" s="33" t="s">
        <v>5237</v>
      </c>
      <c r="L1833" s="33" t="s">
        <v>5238</v>
      </c>
      <c r="M1833" s="33" t="s">
        <v>5239</v>
      </c>
      <c r="N1833" s="44">
        <v>42203506</v>
      </c>
      <c r="O1833" s="33" t="s">
        <v>5250</v>
      </c>
      <c r="P1833" s="33" t="s">
        <v>5251</v>
      </c>
      <c r="Q1833" s="34" t="s">
        <v>1494</v>
      </c>
      <c r="R1833" s="34" t="s">
        <v>1494</v>
      </c>
    </row>
    <row r="1834" spans="1:18" ht="15" customHeight="1" x14ac:dyDescent="0.25">
      <c r="A1834" t="str">
        <f>IFERROR(RANK(B1834,$B:$B,1)+COUNTIF($B$1:B1833,B1834),"")</f>
        <v/>
      </c>
      <c r="B1834" t="str">
        <f>IFERROR(SEARCH(#REF!,Table4[[#This Row],[Commodity Title]],1),"")</f>
        <v/>
      </c>
      <c r="C1834" s="35">
        <v>42203507</v>
      </c>
      <c r="D1834" s="33" t="s">
        <v>1495</v>
      </c>
      <c r="E1834" s="33" t="s">
        <v>1496</v>
      </c>
      <c r="F1834" s="33" t="s">
        <v>1497</v>
      </c>
      <c r="G1834" s="33" t="s">
        <v>4781</v>
      </c>
      <c r="H1834" s="33" t="s">
        <v>4782</v>
      </c>
      <c r="I1834" s="33" t="s">
        <v>4783</v>
      </c>
      <c r="J1834" s="33">
        <v>202875</v>
      </c>
      <c r="K1834" s="33" t="s">
        <v>5237</v>
      </c>
      <c r="L1834" s="33" t="s">
        <v>5238</v>
      </c>
      <c r="M1834" s="33" t="s">
        <v>5239</v>
      </c>
      <c r="N1834" s="44">
        <v>42203507</v>
      </c>
      <c r="O1834" s="33" t="s">
        <v>5252</v>
      </c>
      <c r="P1834" s="33" t="s">
        <v>5253</v>
      </c>
      <c r="Q1834" s="34" t="s">
        <v>1494</v>
      </c>
      <c r="R1834" s="34" t="s">
        <v>1494</v>
      </c>
    </row>
    <row r="1835" spans="1:18" ht="15" customHeight="1" x14ac:dyDescent="0.25">
      <c r="A1835" t="str">
        <f>IFERROR(RANK(B1835,$B:$B,1)+COUNTIF($B$1:B1834,B1835),"")</f>
        <v/>
      </c>
      <c r="B1835" t="str">
        <f>IFERROR(SEARCH(#REF!,Table4[[#This Row],[Commodity Title]],1),"")</f>
        <v/>
      </c>
      <c r="C1835" s="35">
        <v>42203508</v>
      </c>
      <c r="D1835" s="33" t="s">
        <v>1495</v>
      </c>
      <c r="E1835" s="33" t="s">
        <v>1496</v>
      </c>
      <c r="F1835" s="33" t="s">
        <v>1497</v>
      </c>
      <c r="G1835" s="33" t="s">
        <v>4781</v>
      </c>
      <c r="H1835" s="33" t="s">
        <v>4782</v>
      </c>
      <c r="I1835" s="33" t="s">
        <v>4783</v>
      </c>
      <c r="J1835" s="33">
        <v>202876</v>
      </c>
      <c r="K1835" s="33" t="s">
        <v>5237</v>
      </c>
      <c r="L1835" s="33" t="s">
        <v>5238</v>
      </c>
      <c r="M1835" s="33" t="s">
        <v>5239</v>
      </c>
      <c r="N1835" s="44">
        <v>42203508</v>
      </c>
      <c r="O1835" s="33" t="s">
        <v>5254</v>
      </c>
      <c r="P1835" s="33" t="s">
        <v>5255</v>
      </c>
      <c r="Q1835" s="34" t="s">
        <v>1494</v>
      </c>
      <c r="R1835" s="34" t="s">
        <v>1494</v>
      </c>
    </row>
    <row r="1836" spans="1:18" ht="15" customHeight="1" x14ac:dyDescent="0.25">
      <c r="A1836" t="str">
        <f>IFERROR(RANK(B1836,$B:$B,1)+COUNTIF($B$1:B1835,B1836),"")</f>
        <v/>
      </c>
      <c r="B1836" t="str">
        <f>IFERROR(SEARCH(#REF!,Table4[[#This Row],[Commodity Title]],1),"")</f>
        <v/>
      </c>
      <c r="C1836" s="35">
        <v>42203509</v>
      </c>
      <c r="D1836" s="33" t="s">
        <v>1495</v>
      </c>
      <c r="E1836" s="33" t="s">
        <v>1496</v>
      </c>
      <c r="F1836" s="33" t="s">
        <v>1497</v>
      </c>
      <c r="G1836" s="33" t="s">
        <v>4781</v>
      </c>
      <c r="H1836" s="33" t="s">
        <v>4782</v>
      </c>
      <c r="I1836" s="33" t="s">
        <v>4783</v>
      </c>
      <c r="J1836" s="33">
        <v>202877</v>
      </c>
      <c r="K1836" s="33" t="s">
        <v>5237</v>
      </c>
      <c r="L1836" s="33" t="s">
        <v>5238</v>
      </c>
      <c r="M1836" s="33" t="s">
        <v>5239</v>
      </c>
      <c r="N1836" s="44">
        <v>42203509</v>
      </c>
      <c r="O1836" s="33" t="s">
        <v>5256</v>
      </c>
      <c r="P1836" s="33" t="s">
        <v>5257</v>
      </c>
      <c r="Q1836" s="34" t="s">
        <v>1494</v>
      </c>
      <c r="R1836" s="34" t="s">
        <v>1494</v>
      </c>
    </row>
    <row r="1837" spans="1:18" ht="15" customHeight="1" x14ac:dyDescent="0.25">
      <c r="A1837" t="str">
        <f>IFERROR(RANK(B1837,$B:$B,1)+COUNTIF($B$1:B1836,B1837),"")</f>
        <v/>
      </c>
      <c r="B1837" t="str">
        <f>IFERROR(SEARCH(#REF!,Table4[[#This Row],[Commodity Title]],1),"")</f>
        <v/>
      </c>
      <c r="C1837" s="35">
        <v>42203510</v>
      </c>
      <c r="D1837" s="33" t="s">
        <v>1495</v>
      </c>
      <c r="E1837" s="33" t="s">
        <v>1496</v>
      </c>
      <c r="F1837" s="33" t="s">
        <v>1497</v>
      </c>
      <c r="G1837" s="33" t="s">
        <v>4781</v>
      </c>
      <c r="H1837" s="33" t="s">
        <v>4782</v>
      </c>
      <c r="I1837" s="33" t="s">
        <v>4783</v>
      </c>
      <c r="J1837" s="33">
        <v>202878</v>
      </c>
      <c r="K1837" s="33" t="s">
        <v>5237</v>
      </c>
      <c r="L1837" s="33" t="s">
        <v>5238</v>
      </c>
      <c r="M1837" s="33" t="s">
        <v>5239</v>
      </c>
      <c r="N1837" s="44">
        <v>42203510</v>
      </c>
      <c r="O1837" s="33" t="s">
        <v>5258</v>
      </c>
      <c r="P1837" s="33" t="s">
        <v>5259</v>
      </c>
      <c r="Q1837" s="34" t="s">
        <v>1494</v>
      </c>
      <c r="R1837" s="34" t="s">
        <v>1494</v>
      </c>
    </row>
    <row r="1838" spans="1:18" ht="15" customHeight="1" x14ac:dyDescent="0.25">
      <c r="A1838" t="str">
        <f>IFERROR(RANK(B1838,$B:$B,1)+COUNTIF($B$1:B1837,B1838),"")</f>
        <v/>
      </c>
      <c r="B1838" t="str">
        <f>IFERROR(SEARCH(#REF!,Table4[[#This Row],[Commodity Title]],1),"")</f>
        <v/>
      </c>
      <c r="C1838" s="33" t="s">
        <v>1494</v>
      </c>
      <c r="D1838" s="33" t="s">
        <v>1495</v>
      </c>
      <c r="E1838" s="33" t="s">
        <v>1496</v>
      </c>
      <c r="F1838" s="33" t="s">
        <v>1497</v>
      </c>
      <c r="G1838" s="33" t="s">
        <v>4781</v>
      </c>
      <c r="H1838" s="33" t="s">
        <v>4782</v>
      </c>
      <c r="I1838" s="33" t="s">
        <v>4783</v>
      </c>
      <c r="J1838" s="33">
        <v>115626</v>
      </c>
      <c r="K1838" s="33" t="s">
        <v>5260</v>
      </c>
      <c r="L1838" s="33" t="s">
        <v>5261</v>
      </c>
      <c r="M1838" s="33" t="s">
        <v>5262</v>
      </c>
      <c r="N1838" s="44" t="s">
        <v>1494</v>
      </c>
      <c r="O1838" s="33" t="s">
        <v>1494</v>
      </c>
      <c r="P1838" s="33" t="s">
        <v>1494</v>
      </c>
      <c r="Q1838" s="34" t="s">
        <v>1494</v>
      </c>
      <c r="R1838" s="34" t="s">
        <v>1494</v>
      </c>
    </row>
    <row r="1839" spans="1:18" ht="15" customHeight="1" x14ac:dyDescent="0.25">
      <c r="A1839" t="str">
        <f>IFERROR(RANK(B1839,$B:$B,1)+COUNTIF($B$1:B1838,B1839),"")</f>
        <v/>
      </c>
      <c r="B1839" t="str">
        <f>IFERROR(SEARCH(#REF!,Table4[[#This Row],[Commodity Title]],1),"")</f>
        <v/>
      </c>
      <c r="C1839" s="35">
        <v>42203601</v>
      </c>
      <c r="D1839" s="33" t="s">
        <v>1495</v>
      </c>
      <c r="E1839" s="33" t="s">
        <v>1496</v>
      </c>
      <c r="F1839" s="33" t="s">
        <v>1497</v>
      </c>
      <c r="G1839" s="33" t="s">
        <v>4781</v>
      </c>
      <c r="H1839" s="33" t="s">
        <v>4782</v>
      </c>
      <c r="I1839" s="33" t="s">
        <v>4783</v>
      </c>
      <c r="J1839" s="33">
        <v>115627</v>
      </c>
      <c r="K1839" s="33" t="s">
        <v>5260</v>
      </c>
      <c r="L1839" s="33" t="s">
        <v>5261</v>
      </c>
      <c r="M1839" s="33" t="s">
        <v>5262</v>
      </c>
      <c r="N1839" s="44">
        <v>42203601</v>
      </c>
      <c r="O1839" s="33" t="s">
        <v>5263</v>
      </c>
      <c r="P1839" s="33" t="s">
        <v>5264</v>
      </c>
      <c r="Q1839" s="34" t="s">
        <v>1494</v>
      </c>
      <c r="R1839" s="34" t="s">
        <v>1494</v>
      </c>
    </row>
    <row r="1840" spans="1:18" ht="15" customHeight="1" x14ac:dyDescent="0.25">
      <c r="A1840" t="str">
        <f>IFERROR(RANK(B1840,$B:$B,1)+COUNTIF($B$1:B1839,B1840),"")</f>
        <v/>
      </c>
      <c r="B1840" t="str">
        <f>IFERROR(SEARCH(#REF!,Table4[[#This Row],[Commodity Title]],1),"")</f>
        <v/>
      </c>
      <c r="C1840" s="35">
        <v>42203602</v>
      </c>
      <c r="D1840" s="33" t="s">
        <v>1495</v>
      </c>
      <c r="E1840" s="33" t="s">
        <v>1496</v>
      </c>
      <c r="F1840" s="33" t="s">
        <v>1497</v>
      </c>
      <c r="G1840" s="33" t="s">
        <v>4781</v>
      </c>
      <c r="H1840" s="33" t="s">
        <v>4782</v>
      </c>
      <c r="I1840" s="33" t="s">
        <v>4783</v>
      </c>
      <c r="J1840" s="33">
        <v>115628</v>
      </c>
      <c r="K1840" s="33" t="s">
        <v>5260</v>
      </c>
      <c r="L1840" s="33" t="s">
        <v>5261</v>
      </c>
      <c r="M1840" s="33" t="s">
        <v>5262</v>
      </c>
      <c r="N1840" s="44">
        <v>42203602</v>
      </c>
      <c r="O1840" s="33" t="s">
        <v>5265</v>
      </c>
      <c r="P1840" s="33" t="s">
        <v>5266</v>
      </c>
      <c r="Q1840" s="34" t="s">
        <v>1494</v>
      </c>
      <c r="R1840" s="34" t="s">
        <v>1494</v>
      </c>
    </row>
    <row r="1841" spans="1:18" ht="15" customHeight="1" x14ac:dyDescent="0.25">
      <c r="A1841" t="str">
        <f>IFERROR(RANK(B1841,$B:$B,1)+COUNTIF($B$1:B1840,B1841),"")</f>
        <v/>
      </c>
      <c r="B1841" t="str">
        <f>IFERROR(SEARCH(#REF!,Table4[[#This Row],[Commodity Title]],1),"")</f>
        <v/>
      </c>
      <c r="C1841" s="35">
        <v>42203603</v>
      </c>
      <c r="D1841" s="33" t="s">
        <v>1495</v>
      </c>
      <c r="E1841" s="33" t="s">
        <v>1496</v>
      </c>
      <c r="F1841" s="33" t="s">
        <v>1497</v>
      </c>
      <c r="G1841" s="33" t="s">
        <v>4781</v>
      </c>
      <c r="H1841" s="33" t="s">
        <v>4782</v>
      </c>
      <c r="I1841" s="33" t="s">
        <v>4783</v>
      </c>
      <c r="J1841" s="33">
        <v>115629</v>
      </c>
      <c r="K1841" s="33" t="s">
        <v>5260</v>
      </c>
      <c r="L1841" s="33" t="s">
        <v>5261</v>
      </c>
      <c r="M1841" s="33" t="s">
        <v>5262</v>
      </c>
      <c r="N1841" s="44">
        <v>42203603</v>
      </c>
      <c r="O1841" s="33" t="s">
        <v>5267</v>
      </c>
      <c r="P1841" s="33" t="s">
        <v>5268</v>
      </c>
      <c r="Q1841" s="34" t="s">
        <v>1494</v>
      </c>
      <c r="R1841" s="34" t="s">
        <v>1494</v>
      </c>
    </row>
    <row r="1842" spans="1:18" ht="15" customHeight="1" x14ac:dyDescent="0.25">
      <c r="A1842" t="str">
        <f>IFERROR(RANK(B1842,$B:$B,1)+COUNTIF($B$1:B1841,B1842),"")</f>
        <v/>
      </c>
      <c r="B1842" t="str">
        <f>IFERROR(SEARCH(#REF!,Table4[[#This Row],[Commodity Title]],1),"")</f>
        <v/>
      </c>
      <c r="C1842" s="35">
        <v>42203605</v>
      </c>
      <c r="D1842" s="33" t="s">
        <v>1495</v>
      </c>
      <c r="E1842" s="33" t="s">
        <v>1496</v>
      </c>
      <c r="F1842" s="33" t="s">
        <v>1497</v>
      </c>
      <c r="G1842" s="33" t="s">
        <v>4781</v>
      </c>
      <c r="H1842" s="33" t="s">
        <v>4782</v>
      </c>
      <c r="I1842" s="33" t="s">
        <v>4783</v>
      </c>
      <c r="J1842" s="33">
        <v>115631</v>
      </c>
      <c r="K1842" s="33" t="s">
        <v>5260</v>
      </c>
      <c r="L1842" s="33" t="s">
        <v>5261</v>
      </c>
      <c r="M1842" s="33" t="s">
        <v>5262</v>
      </c>
      <c r="N1842" s="44">
        <v>42203605</v>
      </c>
      <c r="O1842" s="33" t="s">
        <v>5269</v>
      </c>
      <c r="P1842" s="33" t="s">
        <v>5270</v>
      </c>
      <c r="Q1842" s="34" t="s">
        <v>1494</v>
      </c>
      <c r="R1842" s="34" t="s">
        <v>1494</v>
      </c>
    </row>
    <row r="1843" spans="1:18" ht="15" customHeight="1" x14ac:dyDescent="0.25">
      <c r="A1843" t="str">
        <f>IFERROR(RANK(B1843,$B:$B,1)+COUNTIF($B$1:B1842,B1843),"")</f>
        <v/>
      </c>
      <c r="B1843" t="str">
        <f>IFERROR(SEARCH(#REF!,Table4[[#This Row],[Commodity Title]],1),"")</f>
        <v/>
      </c>
      <c r="C1843" s="35">
        <v>42203606</v>
      </c>
      <c r="D1843" s="33" t="s">
        <v>1495</v>
      </c>
      <c r="E1843" s="33" t="s">
        <v>1496</v>
      </c>
      <c r="F1843" s="33" t="s">
        <v>1497</v>
      </c>
      <c r="G1843" s="33" t="s">
        <v>4781</v>
      </c>
      <c r="H1843" s="33" t="s">
        <v>4782</v>
      </c>
      <c r="I1843" s="33" t="s">
        <v>4783</v>
      </c>
      <c r="J1843" s="33">
        <v>145087</v>
      </c>
      <c r="K1843" s="33" t="s">
        <v>5260</v>
      </c>
      <c r="L1843" s="33" t="s">
        <v>5261</v>
      </c>
      <c r="M1843" s="33" t="s">
        <v>5262</v>
      </c>
      <c r="N1843" s="44">
        <v>42203606</v>
      </c>
      <c r="O1843" s="33" t="s">
        <v>5271</v>
      </c>
      <c r="P1843" s="33" t="s">
        <v>5272</v>
      </c>
      <c r="Q1843" s="34" t="s">
        <v>1494</v>
      </c>
      <c r="R1843" s="34" t="s">
        <v>1494</v>
      </c>
    </row>
    <row r="1844" spans="1:18" ht="15" customHeight="1" x14ac:dyDescent="0.25">
      <c r="A1844" t="str">
        <f>IFERROR(RANK(B1844,$B:$B,1)+COUNTIF($B$1:B1843,B1844),"")</f>
        <v/>
      </c>
      <c r="B1844" t="str">
        <f>IFERROR(SEARCH(#REF!,Table4[[#This Row],[Commodity Title]],1),"")</f>
        <v/>
      </c>
      <c r="C1844" s="35">
        <v>42203607</v>
      </c>
      <c r="D1844" s="33" t="s">
        <v>1495</v>
      </c>
      <c r="E1844" s="33" t="s">
        <v>1496</v>
      </c>
      <c r="F1844" s="33" t="s">
        <v>1497</v>
      </c>
      <c r="G1844" s="33" t="s">
        <v>4781</v>
      </c>
      <c r="H1844" s="33" t="s">
        <v>4782</v>
      </c>
      <c r="I1844" s="33" t="s">
        <v>4783</v>
      </c>
      <c r="J1844" s="33">
        <v>202879</v>
      </c>
      <c r="K1844" s="33" t="s">
        <v>5260</v>
      </c>
      <c r="L1844" s="33" t="s">
        <v>5261</v>
      </c>
      <c r="M1844" s="33" t="s">
        <v>5262</v>
      </c>
      <c r="N1844" s="44">
        <v>42203607</v>
      </c>
      <c r="O1844" s="33" t="s">
        <v>5273</v>
      </c>
      <c r="P1844" s="33" t="s">
        <v>5274</v>
      </c>
      <c r="Q1844" s="34" t="s">
        <v>1494</v>
      </c>
      <c r="R1844" s="34" t="s">
        <v>1494</v>
      </c>
    </row>
    <row r="1845" spans="1:18" ht="15" customHeight="1" x14ac:dyDescent="0.25">
      <c r="A1845" t="str">
        <f>IFERROR(RANK(B1845,$B:$B,1)+COUNTIF($B$1:B1844,B1845),"")</f>
        <v/>
      </c>
      <c r="B1845" t="str">
        <f>IFERROR(SEARCH(#REF!,Table4[[#This Row],[Commodity Title]],1),"")</f>
        <v/>
      </c>
      <c r="C1845" s="35">
        <v>42203608</v>
      </c>
      <c r="D1845" s="33" t="s">
        <v>1495</v>
      </c>
      <c r="E1845" s="33" t="s">
        <v>1496</v>
      </c>
      <c r="F1845" s="33" t="s">
        <v>1497</v>
      </c>
      <c r="G1845" s="33" t="s">
        <v>4781</v>
      </c>
      <c r="H1845" s="33" t="s">
        <v>4782</v>
      </c>
      <c r="I1845" s="33" t="s">
        <v>4783</v>
      </c>
      <c r="J1845" s="33">
        <v>202880</v>
      </c>
      <c r="K1845" s="33" t="s">
        <v>5260</v>
      </c>
      <c r="L1845" s="33" t="s">
        <v>5261</v>
      </c>
      <c r="M1845" s="33" t="s">
        <v>5262</v>
      </c>
      <c r="N1845" s="44">
        <v>42203608</v>
      </c>
      <c r="O1845" s="33" t="s">
        <v>5275</v>
      </c>
      <c r="P1845" s="33" t="s">
        <v>5276</v>
      </c>
      <c r="Q1845" s="34" t="s">
        <v>1494</v>
      </c>
      <c r="R1845" s="34" t="s">
        <v>1494</v>
      </c>
    </row>
    <row r="1846" spans="1:18" ht="15" customHeight="1" x14ac:dyDescent="0.25">
      <c r="A1846" t="str">
        <f>IFERROR(RANK(B1846,$B:$B,1)+COUNTIF($B$1:B1845,B1846),"")</f>
        <v/>
      </c>
      <c r="B1846" t="str">
        <f>IFERROR(SEARCH(#REF!,Table4[[#This Row],[Commodity Title]],1),"")</f>
        <v/>
      </c>
      <c r="C1846" s="35">
        <v>42203609</v>
      </c>
      <c r="D1846" s="33" t="s">
        <v>1495</v>
      </c>
      <c r="E1846" s="33" t="s">
        <v>1496</v>
      </c>
      <c r="F1846" s="33" t="s">
        <v>1497</v>
      </c>
      <c r="G1846" s="33" t="s">
        <v>4781</v>
      </c>
      <c r="H1846" s="33" t="s">
        <v>4782</v>
      </c>
      <c r="I1846" s="33" t="s">
        <v>4783</v>
      </c>
      <c r="J1846" s="33">
        <v>202881</v>
      </c>
      <c r="K1846" s="33" t="s">
        <v>5260</v>
      </c>
      <c r="L1846" s="33" t="s">
        <v>5261</v>
      </c>
      <c r="M1846" s="33" t="s">
        <v>5262</v>
      </c>
      <c r="N1846" s="44">
        <v>42203609</v>
      </c>
      <c r="O1846" s="33" t="s">
        <v>5277</v>
      </c>
      <c r="P1846" s="33" t="s">
        <v>5278</v>
      </c>
      <c r="Q1846" s="34" t="s">
        <v>1494</v>
      </c>
      <c r="R1846" s="34" t="s">
        <v>1494</v>
      </c>
    </row>
    <row r="1847" spans="1:18" ht="15" customHeight="1" x14ac:dyDescent="0.25">
      <c r="A1847" t="str">
        <f>IFERROR(RANK(B1847,$B:$B,1)+COUNTIF($B$1:B1846,B1847),"")</f>
        <v/>
      </c>
      <c r="B1847" t="str">
        <f>IFERROR(SEARCH(#REF!,Table4[[#This Row],[Commodity Title]],1),"")</f>
        <v/>
      </c>
      <c r="C1847" s="35">
        <v>42203610</v>
      </c>
      <c r="D1847" s="33" t="s">
        <v>1495</v>
      </c>
      <c r="E1847" s="33" t="s">
        <v>1496</v>
      </c>
      <c r="F1847" s="33" t="s">
        <v>1497</v>
      </c>
      <c r="G1847" s="33" t="s">
        <v>4781</v>
      </c>
      <c r="H1847" s="33" t="s">
        <v>4782</v>
      </c>
      <c r="I1847" s="33" t="s">
        <v>4783</v>
      </c>
      <c r="J1847" s="33">
        <v>202882</v>
      </c>
      <c r="K1847" s="33" t="s">
        <v>5260</v>
      </c>
      <c r="L1847" s="33" t="s">
        <v>5261</v>
      </c>
      <c r="M1847" s="33" t="s">
        <v>5262</v>
      </c>
      <c r="N1847" s="44">
        <v>42203610</v>
      </c>
      <c r="O1847" s="33" t="s">
        <v>5279</v>
      </c>
      <c r="P1847" s="33" t="s">
        <v>5280</v>
      </c>
      <c r="Q1847" s="34" t="s">
        <v>1494</v>
      </c>
      <c r="R1847" s="34" t="s">
        <v>1494</v>
      </c>
    </row>
    <row r="1848" spans="1:18" ht="15" customHeight="1" x14ac:dyDescent="0.25">
      <c r="A1848" t="str">
        <f>IFERROR(RANK(B1848,$B:$B,1)+COUNTIF($B$1:B1847,B1848),"")</f>
        <v/>
      </c>
      <c r="B1848" t="str">
        <f>IFERROR(SEARCH(#REF!,Table4[[#This Row],[Commodity Title]],1),"")</f>
        <v/>
      </c>
      <c r="C1848" s="35">
        <v>42203611</v>
      </c>
      <c r="D1848" s="33" t="s">
        <v>1495</v>
      </c>
      <c r="E1848" s="33" t="s">
        <v>1496</v>
      </c>
      <c r="F1848" s="33" t="s">
        <v>1497</v>
      </c>
      <c r="G1848" s="33" t="s">
        <v>4781</v>
      </c>
      <c r="H1848" s="33" t="s">
        <v>4782</v>
      </c>
      <c r="I1848" s="33" t="s">
        <v>4783</v>
      </c>
      <c r="J1848" s="33">
        <v>202883</v>
      </c>
      <c r="K1848" s="33" t="s">
        <v>5260</v>
      </c>
      <c r="L1848" s="33" t="s">
        <v>5261</v>
      </c>
      <c r="M1848" s="33" t="s">
        <v>5262</v>
      </c>
      <c r="N1848" s="44">
        <v>42203611</v>
      </c>
      <c r="O1848" s="33" t="s">
        <v>5281</v>
      </c>
      <c r="P1848" s="33" t="s">
        <v>5282</v>
      </c>
      <c r="Q1848" s="34" t="s">
        <v>1494</v>
      </c>
      <c r="R1848" s="34" t="s">
        <v>1494</v>
      </c>
    </row>
    <row r="1849" spans="1:18" ht="15" customHeight="1" x14ac:dyDescent="0.25">
      <c r="A1849" t="str">
        <f>IFERROR(RANK(B1849,$B:$B,1)+COUNTIF($B$1:B1848,B1849),"")</f>
        <v/>
      </c>
      <c r="B1849" t="str">
        <f>IFERROR(SEARCH(#REF!,Table4[[#This Row],[Commodity Title]],1),"")</f>
        <v/>
      </c>
      <c r="C1849" s="35">
        <v>42203612</v>
      </c>
      <c r="D1849" s="33" t="s">
        <v>1495</v>
      </c>
      <c r="E1849" s="33" t="s">
        <v>1496</v>
      </c>
      <c r="F1849" s="33" t="s">
        <v>1497</v>
      </c>
      <c r="G1849" s="33" t="s">
        <v>4781</v>
      </c>
      <c r="H1849" s="33" t="s">
        <v>4782</v>
      </c>
      <c r="I1849" s="33" t="s">
        <v>4783</v>
      </c>
      <c r="J1849" s="33">
        <v>202884</v>
      </c>
      <c r="K1849" s="33" t="s">
        <v>5260</v>
      </c>
      <c r="L1849" s="33" t="s">
        <v>5261</v>
      </c>
      <c r="M1849" s="33" t="s">
        <v>5262</v>
      </c>
      <c r="N1849" s="44">
        <v>42203612</v>
      </c>
      <c r="O1849" s="33" t="s">
        <v>5283</v>
      </c>
      <c r="P1849" s="33" t="s">
        <v>5284</v>
      </c>
      <c r="Q1849" s="34" t="s">
        <v>1494</v>
      </c>
      <c r="R1849" s="34" t="s">
        <v>1494</v>
      </c>
    </row>
    <row r="1850" spans="1:18" ht="15" customHeight="1" x14ac:dyDescent="0.25">
      <c r="A1850" t="str">
        <f>IFERROR(RANK(B1850,$B:$B,1)+COUNTIF($B$1:B1849,B1850),"")</f>
        <v/>
      </c>
      <c r="B1850" t="str">
        <f>IFERROR(SEARCH(#REF!,Table4[[#This Row],[Commodity Title]],1),"")</f>
        <v/>
      </c>
      <c r="C1850" s="35">
        <v>42203613</v>
      </c>
      <c r="D1850" s="33" t="s">
        <v>1495</v>
      </c>
      <c r="E1850" s="33" t="s">
        <v>1496</v>
      </c>
      <c r="F1850" s="33" t="s">
        <v>1497</v>
      </c>
      <c r="G1850" s="33" t="s">
        <v>4781</v>
      </c>
      <c r="H1850" s="33" t="s">
        <v>4782</v>
      </c>
      <c r="I1850" s="33" t="s">
        <v>4783</v>
      </c>
      <c r="J1850" s="33">
        <v>202885</v>
      </c>
      <c r="K1850" s="33" t="s">
        <v>5260</v>
      </c>
      <c r="L1850" s="33" t="s">
        <v>5261</v>
      </c>
      <c r="M1850" s="33" t="s">
        <v>5262</v>
      </c>
      <c r="N1850" s="44">
        <v>42203613</v>
      </c>
      <c r="O1850" s="33" t="s">
        <v>5285</v>
      </c>
      <c r="P1850" s="33" t="s">
        <v>5286</v>
      </c>
      <c r="Q1850" s="34" t="s">
        <v>1494</v>
      </c>
      <c r="R1850" s="34" t="s">
        <v>1494</v>
      </c>
    </row>
    <row r="1851" spans="1:18" ht="15" customHeight="1" x14ac:dyDescent="0.25">
      <c r="A1851" t="str">
        <f>IFERROR(RANK(B1851,$B:$B,1)+COUNTIF($B$1:B1850,B1851),"")</f>
        <v/>
      </c>
      <c r="B1851" t="str">
        <f>IFERROR(SEARCH(#REF!,Table4[[#This Row],[Commodity Title]],1),"")</f>
        <v/>
      </c>
      <c r="C1851" s="33" t="s">
        <v>1494</v>
      </c>
      <c r="D1851" s="33" t="s">
        <v>1495</v>
      </c>
      <c r="E1851" s="33" t="s">
        <v>1496</v>
      </c>
      <c r="F1851" s="33" t="s">
        <v>1497</v>
      </c>
      <c r="G1851" s="33" t="s">
        <v>4781</v>
      </c>
      <c r="H1851" s="33" t="s">
        <v>4782</v>
      </c>
      <c r="I1851" s="33" t="s">
        <v>4783</v>
      </c>
      <c r="J1851" s="33">
        <v>115632</v>
      </c>
      <c r="K1851" s="33" t="s">
        <v>5287</v>
      </c>
      <c r="L1851" s="33" t="s">
        <v>5288</v>
      </c>
      <c r="M1851" s="33" t="s">
        <v>5289</v>
      </c>
      <c r="N1851" s="44" t="s">
        <v>1494</v>
      </c>
      <c r="O1851" s="33" t="s">
        <v>1494</v>
      </c>
      <c r="P1851" s="33" t="s">
        <v>1494</v>
      </c>
      <c r="Q1851" s="34" t="s">
        <v>1494</v>
      </c>
      <c r="R1851" s="34" t="s">
        <v>1494</v>
      </c>
    </row>
    <row r="1852" spans="1:18" ht="15" customHeight="1" x14ac:dyDescent="0.25">
      <c r="A1852" t="str">
        <f>IFERROR(RANK(B1852,$B:$B,1)+COUNTIF($B$1:B1851,B1852),"")</f>
        <v/>
      </c>
      <c r="B1852" t="str">
        <f>IFERROR(SEARCH(#REF!,Table4[[#This Row],[Commodity Title]],1),"")</f>
        <v/>
      </c>
      <c r="C1852" s="35">
        <v>42203701</v>
      </c>
      <c r="D1852" s="33" t="s">
        <v>1495</v>
      </c>
      <c r="E1852" s="33" t="s">
        <v>1496</v>
      </c>
      <c r="F1852" s="33" t="s">
        <v>1497</v>
      </c>
      <c r="G1852" s="33" t="s">
        <v>4781</v>
      </c>
      <c r="H1852" s="33" t="s">
        <v>4782</v>
      </c>
      <c r="I1852" s="33" t="s">
        <v>4783</v>
      </c>
      <c r="J1852" s="33">
        <v>115633</v>
      </c>
      <c r="K1852" s="33" t="s">
        <v>5287</v>
      </c>
      <c r="L1852" s="33" t="s">
        <v>5288</v>
      </c>
      <c r="M1852" s="33" t="s">
        <v>5289</v>
      </c>
      <c r="N1852" s="44">
        <v>42203701</v>
      </c>
      <c r="O1852" s="33" t="s">
        <v>5290</v>
      </c>
      <c r="P1852" s="33" t="s">
        <v>5291</v>
      </c>
      <c r="Q1852" s="34" t="s">
        <v>1494</v>
      </c>
      <c r="R1852" s="34" t="s">
        <v>1494</v>
      </c>
    </row>
    <row r="1853" spans="1:18" ht="15" customHeight="1" x14ac:dyDescent="0.25">
      <c r="A1853" t="str">
        <f>IFERROR(RANK(B1853,$B:$B,1)+COUNTIF($B$1:B1852,B1853),"")</f>
        <v/>
      </c>
      <c r="B1853" t="str">
        <f>IFERROR(SEARCH(#REF!,Table4[[#This Row],[Commodity Title]],1),"")</f>
        <v/>
      </c>
      <c r="C1853" s="35">
        <v>42203702</v>
      </c>
      <c r="D1853" s="33" t="s">
        <v>1495</v>
      </c>
      <c r="E1853" s="33" t="s">
        <v>1496</v>
      </c>
      <c r="F1853" s="33" t="s">
        <v>1497</v>
      </c>
      <c r="G1853" s="33" t="s">
        <v>4781</v>
      </c>
      <c r="H1853" s="33" t="s">
        <v>4782</v>
      </c>
      <c r="I1853" s="33" t="s">
        <v>4783</v>
      </c>
      <c r="J1853" s="33">
        <v>115634</v>
      </c>
      <c r="K1853" s="33" t="s">
        <v>5287</v>
      </c>
      <c r="L1853" s="33" t="s">
        <v>5288</v>
      </c>
      <c r="M1853" s="33" t="s">
        <v>5289</v>
      </c>
      <c r="N1853" s="44">
        <v>42203702</v>
      </c>
      <c r="O1853" s="33" t="s">
        <v>5292</v>
      </c>
      <c r="P1853" s="33" t="s">
        <v>5293</v>
      </c>
      <c r="Q1853" s="34" t="s">
        <v>1494</v>
      </c>
      <c r="R1853" s="34" t="s">
        <v>1494</v>
      </c>
    </row>
    <row r="1854" spans="1:18" ht="15" customHeight="1" x14ac:dyDescent="0.25">
      <c r="A1854" t="str">
        <f>IFERROR(RANK(B1854,$B:$B,1)+COUNTIF($B$1:B1853,B1854),"")</f>
        <v/>
      </c>
      <c r="B1854" t="str">
        <f>IFERROR(SEARCH(#REF!,Table4[[#This Row],[Commodity Title]],1),"")</f>
        <v/>
      </c>
      <c r="C1854" s="35">
        <v>42203703</v>
      </c>
      <c r="D1854" s="33" t="s">
        <v>1495</v>
      </c>
      <c r="E1854" s="33" t="s">
        <v>1496</v>
      </c>
      <c r="F1854" s="33" t="s">
        <v>1497</v>
      </c>
      <c r="G1854" s="33" t="s">
        <v>4781</v>
      </c>
      <c r="H1854" s="33" t="s">
        <v>4782</v>
      </c>
      <c r="I1854" s="33" t="s">
        <v>4783</v>
      </c>
      <c r="J1854" s="33">
        <v>115635</v>
      </c>
      <c r="K1854" s="33" t="s">
        <v>5287</v>
      </c>
      <c r="L1854" s="33" t="s">
        <v>5288</v>
      </c>
      <c r="M1854" s="33" t="s">
        <v>5289</v>
      </c>
      <c r="N1854" s="44">
        <v>42203703</v>
      </c>
      <c r="O1854" s="33" t="s">
        <v>5294</v>
      </c>
      <c r="P1854" s="33" t="s">
        <v>5295</v>
      </c>
      <c r="Q1854" s="34" t="s">
        <v>1494</v>
      </c>
      <c r="R1854" s="34" t="s">
        <v>1494</v>
      </c>
    </row>
    <row r="1855" spans="1:18" ht="15" customHeight="1" x14ac:dyDescent="0.25">
      <c r="A1855" t="str">
        <f>IFERROR(RANK(B1855,$B:$B,1)+COUNTIF($B$1:B1854,B1855),"")</f>
        <v/>
      </c>
      <c r="B1855" t="str">
        <f>IFERROR(SEARCH(#REF!,Table4[[#This Row],[Commodity Title]],1),"")</f>
        <v/>
      </c>
      <c r="C1855" s="35">
        <v>42203704</v>
      </c>
      <c r="D1855" s="33" t="s">
        <v>1495</v>
      </c>
      <c r="E1855" s="33" t="s">
        <v>1496</v>
      </c>
      <c r="F1855" s="33" t="s">
        <v>1497</v>
      </c>
      <c r="G1855" s="33" t="s">
        <v>4781</v>
      </c>
      <c r="H1855" s="33" t="s">
        <v>4782</v>
      </c>
      <c r="I1855" s="33" t="s">
        <v>4783</v>
      </c>
      <c r="J1855" s="33">
        <v>115636</v>
      </c>
      <c r="K1855" s="33" t="s">
        <v>5287</v>
      </c>
      <c r="L1855" s="33" t="s">
        <v>5288</v>
      </c>
      <c r="M1855" s="33" t="s">
        <v>5289</v>
      </c>
      <c r="N1855" s="44">
        <v>42203704</v>
      </c>
      <c r="O1855" s="33" t="s">
        <v>5296</v>
      </c>
      <c r="P1855" s="33" t="s">
        <v>5297</v>
      </c>
      <c r="Q1855" s="34" t="s">
        <v>1494</v>
      </c>
      <c r="R1855" s="34" t="s">
        <v>1494</v>
      </c>
    </row>
    <row r="1856" spans="1:18" ht="15" customHeight="1" x14ac:dyDescent="0.25">
      <c r="A1856" t="str">
        <f>IFERROR(RANK(B1856,$B:$B,1)+COUNTIF($B$1:B1855,B1856),"")</f>
        <v/>
      </c>
      <c r="B1856" t="str">
        <f>IFERROR(SEARCH(#REF!,Table4[[#This Row],[Commodity Title]],1),"")</f>
        <v/>
      </c>
      <c r="C1856" s="35">
        <v>42203705</v>
      </c>
      <c r="D1856" s="33" t="s">
        <v>1495</v>
      </c>
      <c r="E1856" s="33" t="s">
        <v>1496</v>
      </c>
      <c r="F1856" s="33" t="s">
        <v>1497</v>
      </c>
      <c r="G1856" s="33" t="s">
        <v>4781</v>
      </c>
      <c r="H1856" s="33" t="s">
        <v>4782</v>
      </c>
      <c r="I1856" s="33" t="s">
        <v>4783</v>
      </c>
      <c r="J1856" s="33">
        <v>115637</v>
      </c>
      <c r="K1856" s="33" t="s">
        <v>5287</v>
      </c>
      <c r="L1856" s="33" t="s">
        <v>5288</v>
      </c>
      <c r="M1856" s="33" t="s">
        <v>5289</v>
      </c>
      <c r="N1856" s="44">
        <v>42203705</v>
      </c>
      <c r="O1856" s="33" t="s">
        <v>5298</v>
      </c>
      <c r="P1856" s="33" t="s">
        <v>5299</v>
      </c>
      <c r="Q1856" s="34" t="s">
        <v>1494</v>
      </c>
      <c r="R1856" s="34" t="s">
        <v>1494</v>
      </c>
    </row>
    <row r="1857" spans="1:18" ht="15" customHeight="1" x14ac:dyDescent="0.25">
      <c r="A1857" t="str">
        <f>IFERROR(RANK(B1857,$B:$B,1)+COUNTIF($B$1:B1856,B1857),"")</f>
        <v/>
      </c>
      <c r="B1857" t="str">
        <f>IFERROR(SEARCH(#REF!,Table4[[#This Row],[Commodity Title]],1),"")</f>
        <v/>
      </c>
      <c r="C1857" s="35">
        <v>42203706</v>
      </c>
      <c r="D1857" s="33" t="s">
        <v>1495</v>
      </c>
      <c r="E1857" s="33" t="s">
        <v>1496</v>
      </c>
      <c r="F1857" s="33" t="s">
        <v>1497</v>
      </c>
      <c r="G1857" s="33" t="s">
        <v>4781</v>
      </c>
      <c r="H1857" s="33" t="s">
        <v>4782</v>
      </c>
      <c r="I1857" s="33" t="s">
        <v>4783</v>
      </c>
      <c r="J1857" s="33">
        <v>142601</v>
      </c>
      <c r="K1857" s="33" t="s">
        <v>5287</v>
      </c>
      <c r="L1857" s="33" t="s">
        <v>5288</v>
      </c>
      <c r="M1857" s="33" t="s">
        <v>5289</v>
      </c>
      <c r="N1857" s="44">
        <v>42203706</v>
      </c>
      <c r="O1857" s="33" t="s">
        <v>5300</v>
      </c>
      <c r="P1857" s="33" t="s">
        <v>5301</v>
      </c>
      <c r="Q1857" s="34" t="s">
        <v>1494</v>
      </c>
      <c r="R1857" s="34" t="s">
        <v>1494</v>
      </c>
    </row>
    <row r="1858" spans="1:18" ht="15" customHeight="1" x14ac:dyDescent="0.25">
      <c r="A1858" t="str">
        <f>IFERROR(RANK(B1858,$B:$B,1)+COUNTIF($B$1:B1857,B1858),"")</f>
        <v/>
      </c>
      <c r="B1858" t="str">
        <f>IFERROR(SEARCH(#REF!,Table4[[#This Row],[Commodity Title]],1),"")</f>
        <v/>
      </c>
      <c r="C1858" s="35">
        <v>42203707</v>
      </c>
      <c r="D1858" s="33" t="s">
        <v>1495</v>
      </c>
      <c r="E1858" s="33" t="s">
        <v>1496</v>
      </c>
      <c r="F1858" s="33" t="s">
        <v>1497</v>
      </c>
      <c r="G1858" s="33" t="s">
        <v>4781</v>
      </c>
      <c r="H1858" s="33" t="s">
        <v>4782</v>
      </c>
      <c r="I1858" s="33" t="s">
        <v>4783</v>
      </c>
      <c r="J1858" s="33">
        <v>142602</v>
      </c>
      <c r="K1858" s="33" t="s">
        <v>5287</v>
      </c>
      <c r="L1858" s="33" t="s">
        <v>5288</v>
      </c>
      <c r="M1858" s="33" t="s">
        <v>5289</v>
      </c>
      <c r="N1858" s="44">
        <v>42203707</v>
      </c>
      <c r="O1858" s="33" t="s">
        <v>5302</v>
      </c>
      <c r="P1858" s="33" t="s">
        <v>5303</v>
      </c>
      <c r="Q1858" s="34" t="s">
        <v>1494</v>
      </c>
      <c r="R1858" s="34" t="s">
        <v>1494</v>
      </c>
    </row>
    <row r="1859" spans="1:18" ht="15" customHeight="1" x14ac:dyDescent="0.25">
      <c r="A1859" t="str">
        <f>IFERROR(RANK(B1859,$B:$B,1)+COUNTIF($B$1:B1858,B1859),"")</f>
        <v/>
      </c>
      <c r="B1859" t="str">
        <f>IFERROR(SEARCH(#REF!,Table4[[#This Row],[Commodity Title]],1),"")</f>
        <v/>
      </c>
      <c r="C1859" s="35">
        <v>42203708</v>
      </c>
      <c r="D1859" s="33" t="s">
        <v>1495</v>
      </c>
      <c r="E1859" s="33" t="s">
        <v>1496</v>
      </c>
      <c r="F1859" s="33" t="s">
        <v>1497</v>
      </c>
      <c r="G1859" s="33" t="s">
        <v>4781</v>
      </c>
      <c r="H1859" s="33" t="s">
        <v>4782</v>
      </c>
      <c r="I1859" s="33" t="s">
        <v>4783</v>
      </c>
      <c r="J1859" s="33">
        <v>142603</v>
      </c>
      <c r="K1859" s="33" t="s">
        <v>5287</v>
      </c>
      <c r="L1859" s="33" t="s">
        <v>5288</v>
      </c>
      <c r="M1859" s="33" t="s">
        <v>5289</v>
      </c>
      <c r="N1859" s="44">
        <v>42203708</v>
      </c>
      <c r="O1859" s="33" t="s">
        <v>5304</v>
      </c>
      <c r="P1859" s="33" t="s">
        <v>5305</v>
      </c>
      <c r="Q1859" s="34" t="s">
        <v>1494</v>
      </c>
      <c r="R1859" s="34" t="s">
        <v>1494</v>
      </c>
    </row>
    <row r="1860" spans="1:18" ht="15" customHeight="1" x14ac:dyDescent="0.25">
      <c r="A1860" t="str">
        <f>IFERROR(RANK(B1860,$B:$B,1)+COUNTIF($B$1:B1859,B1860),"")</f>
        <v/>
      </c>
      <c r="B1860" t="str">
        <f>IFERROR(SEARCH(#REF!,Table4[[#This Row],[Commodity Title]],1),"")</f>
        <v/>
      </c>
      <c r="C1860" s="35">
        <v>42203709</v>
      </c>
      <c r="D1860" s="33" t="s">
        <v>1495</v>
      </c>
      <c r="E1860" s="33" t="s">
        <v>1496</v>
      </c>
      <c r="F1860" s="33" t="s">
        <v>1497</v>
      </c>
      <c r="G1860" s="33" t="s">
        <v>4781</v>
      </c>
      <c r="H1860" s="33" t="s">
        <v>4782</v>
      </c>
      <c r="I1860" s="33" t="s">
        <v>4783</v>
      </c>
      <c r="J1860" s="33">
        <v>142604</v>
      </c>
      <c r="K1860" s="33" t="s">
        <v>5287</v>
      </c>
      <c r="L1860" s="33" t="s">
        <v>5288</v>
      </c>
      <c r="M1860" s="33" t="s">
        <v>5289</v>
      </c>
      <c r="N1860" s="44">
        <v>42203709</v>
      </c>
      <c r="O1860" s="33" t="s">
        <v>5306</v>
      </c>
      <c r="P1860" s="33" t="s">
        <v>5307</v>
      </c>
      <c r="Q1860" s="34" t="s">
        <v>1494</v>
      </c>
      <c r="R1860" s="34" t="s">
        <v>1494</v>
      </c>
    </row>
    <row r="1861" spans="1:18" ht="15" customHeight="1" x14ac:dyDescent="0.25">
      <c r="A1861" t="str">
        <f>IFERROR(RANK(B1861,$B:$B,1)+COUNTIF($B$1:B1860,B1861),"")</f>
        <v/>
      </c>
      <c r="B1861" t="str">
        <f>IFERROR(SEARCH(#REF!,Table4[[#This Row],[Commodity Title]],1),"")</f>
        <v/>
      </c>
      <c r="C1861" s="35">
        <v>42203710</v>
      </c>
      <c r="D1861" s="33" t="s">
        <v>1495</v>
      </c>
      <c r="E1861" s="33" t="s">
        <v>1496</v>
      </c>
      <c r="F1861" s="33" t="s">
        <v>1497</v>
      </c>
      <c r="G1861" s="33" t="s">
        <v>4781</v>
      </c>
      <c r="H1861" s="33" t="s">
        <v>4782</v>
      </c>
      <c r="I1861" s="33" t="s">
        <v>4783</v>
      </c>
      <c r="J1861" s="33">
        <v>142605</v>
      </c>
      <c r="K1861" s="33" t="s">
        <v>5287</v>
      </c>
      <c r="L1861" s="33" t="s">
        <v>5288</v>
      </c>
      <c r="M1861" s="33" t="s">
        <v>5289</v>
      </c>
      <c r="N1861" s="44">
        <v>42203710</v>
      </c>
      <c r="O1861" s="33" t="s">
        <v>5308</v>
      </c>
      <c r="P1861" s="33" t="s">
        <v>5309</v>
      </c>
      <c r="Q1861" s="34" t="s">
        <v>1494</v>
      </c>
      <c r="R1861" s="34" t="s">
        <v>1494</v>
      </c>
    </row>
    <row r="1862" spans="1:18" ht="15" customHeight="1" x14ac:dyDescent="0.25">
      <c r="A1862" t="str">
        <f>IFERROR(RANK(B1862,$B:$B,1)+COUNTIF($B$1:B1861,B1862),"")</f>
        <v/>
      </c>
      <c r="B1862" t="str">
        <f>IFERROR(SEARCH(#REF!,Table4[[#This Row],[Commodity Title]],1),"")</f>
        <v/>
      </c>
      <c r="C1862" s="35">
        <v>42203711</v>
      </c>
      <c r="D1862" s="33" t="s">
        <v>1495</v>
      </c>
      <c r="E1862" s="33" t="s">
        <v>1496</v>
      </c>
      <c r="F1862" s="33" t="s">
        <v>1497</v>
      </c>
      <c r="G1862" s="33" t="s">
        <v>4781</v>
      </c>
      <c r="H1862" s="33" t="s">
        <v>4782</v>
      </c>
      <c r="I1862" s="33" t="s">
        <v>4783</v>
      </c>
      <c r="J1862" s="33">
        <v>202886</v>
      </c>
      <c r="K1862" s="33" t="s">
        <v>5287</v>
      </c>
      <c r="L1862" s="33" t="s">
        <v>5288</v>
      </c>
      <c r="M1862" s="33" t="s">
        <v>5289</v>
      </c>
      <c r="N1862" s="44">
        <v>42203711</v>
      </c>
      <c r="O1862" s="33" t="s">
        <v>5310</v>
      </c>
      <c r="P1862" s="33" t="s">
        <v>5311</v>
      </c>
      <c r="Q1862" s="34" t="s">
        <v>1494</v>
      </c>
      <c r="R1862" s="34" t="s">
        <v>1494</v>
      </c>
    </row>
    <row r="1863" spans="1:18" ht="15" customHeight="1" x14ac:dyDescent="0.25">
      <c r="A1863" t="str">
        <f>IFERROR(RANK(B1863,$B:$B,1)+COUNTIF($B$1:B1862,B1863),"")</f>
        <v/>
      </c>
      <c r="B1863" t="str">
        <f>IFERROR(SEARCH(#REF!,Table4[[#This Row],[Commodity Title]],1),"")</f>
        <v/>
      </c>
      <c r="C1863" s="35">
        <v>42203712</v>
      </c>
      <c r="D1863" s="33" t="s">
        <v>1495</v>
      </c>
      <c r="E1863" s="33" t="s">
        <v>1496</v>
      </c>
      <c r="F1863" s="33" t="s">
        <v>1497</v>
      </c>
      <c r="G1863" s="33" t="s">
        <v>4781</v>
      </c>
      <c r="H1863" s="33" t="s">
        <v>4782</v>
      </c>
      <c r="I1863" s="33" t="s">
        <v>4783</v>
      </c>
      <c r="J1863" s="33">
        <v>202887</v>
      </c>
      <c r="K1863" s="33" t="s">
        <v>5287</v>
      </c>
      <c r="L1863" s="33" t="s">
        <v>5288</v>
      </c>
      <c r="M1863" s="33" t="s">
        <v>5289</v>
      </c>
      <c r="N1863" s="44">
        <v>42203712</v>
      </c>
      <c r="O1863" s="33" t="s">
        <v>5312</v>
      </c>
      <c r="P1863" s="33" t="s">
        <v>5313</v>
      </c>
      <c r="Q1863" s="34" t="s">
        <v>1494</v>
      </c>
      <c r="R1863" s="34" t="s">
        <v>1494</v>
      </c>
    </row>
    <row r="1864" spans="1:18" ht="15" customHeight="1" x14ac:dyDescent="0.25">
      <c r="A1864" t="str">
        <f>IFERROR(RANK(B1864,$B:$B,1)+COUNTIF($B$1:B1863,B1864),"")</f>
        <v/>
      </c>
      <c r="B1864" t="str">
        <f>IFERROR(SEARCH(#REF!,Table4[[#This Row],[Commodity Title]],1),"")</f>
        <v/>
      </c>
      <c r="C1864" s="33" t="s">
        <v>1494</v>
      </c>
      <c r="D1864" s="33" t="s">
        <v>1495</v>
      </c>
      <c r="E1864" s="33" t="s">
        <v>1496</v>
      </c>
      <c r="F1864" s="33" t="s">
        <v>1497</v>
      </c>
      <c r="G1864" s="33" t="s">
        <v>4781</v>
      </c>
      <c r="H1864" s="33" t="s">
        <v>4782</v>
      </c>
      <c r="I1864" s="33" t="s">
        <v>4783</v>
      </c>
      <c r="J1864" s="33">
        <v>115638</v>
      </c>
      <c r="K1864" s="33" t="s">
        <v>5314</v>
      </c>
      <c r="L1864" s="33" t="s">
        <v>5315</v>
      </c>
      <c r="M1864" s="33" t="s">
        <v>5316</v>
      </c>
      <c r="N1864" s="44" t="s">
        <v>1494</v>
      </c>
      <c r="O1864" s="33" t="s">
        <v>1494</v>
      </c>
      <c r="P1864" s="33" t="s">
        <v>1494</v>
      </c>
      <c r="Q1864" s="34" t="s">
        <v>1494</v>
      </c>
      <c r="R1864" s="34" t="s">
        <v>1494</v>
      </c>
    </row>
    <row r="1865" spans="1:18" ht="15" customHeight="1" x14ac:dyDescent="0.25">
      <c r="A1865" t="str">
        <f>IFERROR(RANK(B1865,$B:$B,1)+COUNTIF($B$1:B1864,B1865),"")</f>
        <v/>
      </c>
      <c r="B1865" t="str">
        <f>IFERROR(SEARCH(#REF!,Table4[[#This Row],[Commodity Title]],1),"")</f>
        <v/>
      </c>
      <c r="C1865" s="35">
        <v>42203801</v>
      </c>
      <c r="D1865" s="33" t="s">
        <v>1495</v>
      </c>
      <c r="E1865" s="33" t="s">
        <v>1496</v>
      </c>
      <c r="F1865" s="33" t="s">
        <v>1497</v>
      </c>
      <c r="G1865" s="33" t="s">
        <v>4781</v>
      </c>
      <c r="H1865" s="33" t="s">
        <v>4782</v>
      </c>
      <c r="I1865" s="33" t="s">
        <v>4783</v>
      </c>
      <c r="J1865" s="33">
        <v>115639</v>
      </c>
      <c r="K1865" s="33" t="s">
        <v>5314</v>
      </c>
      <c r="L1865" s="33" t="s">
        <v>5315</v>
      </c>
      <c r="M1865" s="33" t="s">
        <v>5316</v>
      </c>
      <c r="N1865" s="44">
        <v>42203801</v>
      </c>
      <c r="O1865" s="33" t="s">
        <v>5317</v>
      </c>
      <c r="P1865" s="33" t="s">
        <v>5318</v>
      </c>
      <c r="Q1865" s="34" t="s">
        <v>1494</v>
      </c>
      <c r="R1865" s="34" t="s">
        <v>1494</v>
      </c>
    </row>
    <row r="1866" spans="1:18" ht="15" customHeight="1" x14ac:dyDescent="0.25">
      <c r="A1866" t="str">
        <f>IFERROR(RANK(B1866,$B:$B,1)+COUNTIF($B$1:B1865,B1866),"")</f>
        <v/>
      </c>
      <c r="B1866" t="str">
        <f>IFERROR(SEARCH(#REF!,Table4[[#This Row],[Commodity Title]],1),"")</f>
        <v/>
      </c>
      <c r="C1866" s="35">
        <v>42203802</v>
      </c>
      <c r="D1866" s="33" t="s">
        <v>1495</v>
      </c>
      <c r="E1866" s="33" t="s">
        <v>1496</v>
      </c>
      <c r="F1866" s="33" t="s">
        <v>1497</v>
      </c>
      <c r="G1866" s="33" t="s">
        <v>4781</v>
      </c>
      <c r="H1866" s="33" t="s">
        <v>4782</v>
      </c>
      <c r="I1866" s="33" t="s">
        <v>4783</v>
      </c>
      <c r="J1866" s="33">
        <v>115640</v>
      </c>
      <c r="K1866" s="33" t="s">
        <v>5314</v>
      </c>
      <c r="L1866" s="33" t="s">
        <v>5315</v>
      </c>
      <c r="M1866" s="33" t="s">
        <v>5316</v>
      </c>
      <c r="N1866" s="44">
        <v>42203802</v>
      </c>
      <c r="O1866" s="33" t="s">
        <v>5319</v>
      </c>
      <c r="P1866" s="33" t="s">
        <v>5320</v>
      </c>
      <c r="Q1866" s="34" t="s">
        <v>1494</v>
      </c>
      <c r="R1866" s="34" t="s">
        <v>1494</v>
      </c>
    </row>
    <row r="1867" spans="1:18" ht="15" customHeight="1" x14ac:dyDescent="0.25">
      <c r="A1867" t="str">
        <f>IFERROR(RANK(B1867,$B:$B,1)+COUNTIF($B$1:B1866,B1867),"")</f>
        <v/>
      </c>
      <c r="B1867" t="str">
        <f>IFERROR(SEARCH(#REF!,Table4[[#This Row],[Commodity Title]],1),"")</f>
        <v/>
      </c>
      <c r="C1867" s="35">
        <v>42203803</v>
      </c>
      <c r="D1867" s="33" t="s">
        <v>1495</v>
      </c>
      <c r="E1867" s="33" t="s">
        <v>1496</v>
      </c>
      <c r="F1867" s="33" t="s">
        <v>1497</v>
      </c>
      <c r="G1867" s="33" t="s">
        <v>4781</v>
      </c>
      <c r="H1867" s="33" t="s">
        <v>4782</v>
      </c>
      <c r="I1867" s="33" t="s">
        <v>4783</v>
      </c>
      <c r="J1867" s="33">
        <v>115641</v>
      </c>
      <c r="K1867" s="33" t="s">
        <v>5314</v>
      </c>
      <c r="L1867" s="33" t="s">
        <v>5315</v>
      </c>
      <c r="M1867" s="33" t="s">
        <v>5316</v>
      </c>
      <c r="N1867" s="44">
        <v>42203803</v>
      </c>
      <c r="O1867" s="33" t="s">
        <v>5321</v>
      </c>
      <c r="P1867" s="33" t="s">
        <v>5322</v>
      </c>
      <c r="Q1867" s="34" t="s">
        <v>1494</v>
      </c>
      <c r="R1867" s="34" t="s">
        <v>1494</v>
      </c>
    </row>
    <row r="1868" spans="1:18" ht="15" customHeight="1" x14ac:dyDescent="0.25">
      <c r="A1868" t="str">
        <f>IFERROR(RANK(B1868,$B:$B,1)+COUNTIF($B$1:B1867,B1868),"")</f>
        <v/>
      </c>
      <c r="B1868" t="str">
        <f>IFERROR(SEARCH(#REF!,Table4[[#This Row],[Commodity Title]],1),"")</f>
        <v/>
      </c>
      <c r="C1868" s="35">
        <v>42203804</v>
      </c>
      <c r="D1868" s="33" t="s">
        <v>1495</v>
      </c>
      <c r="E1868" s="33" t="s">
        <v>1496</v>
      </c>
      <c r="F1868" s="33" t="s">
        <v>1497</v>
      </c>
      <c r="G1868" s="33" t="s">
        <v>4781</v>
      </c>
      <c r="H1868" s="33" t="s">
        <v>4782</v>
      </c>
      <c r="I1868" s="33" t="s">
        <v>4783</v>
      </c>
      <c r="J1868" s="33">
        <v>177418</v>
      </c>
      <c r="K1868" s="33" t="s">
        <v>5314</v>
      </c>
      <c r="L1868" s="33" t="s">
        <v>5315</v>
      </c>
      <c r="M1868" s="33" t="s">
        <v>5316</v>
      </c>
      <c r="N1868" s="44">
        <v>42203804</v>
      </c>
      <c r="O1868" s="33" t="s">
        <v>5323</v>
      </c>
      <c r="P1868" s="33" t="s">
        <v>5324</v>
      </c>
      <c r="Q1868" s="34" t="s">
        <v>1494</v>
      </c>
      <c r="R1868" s="34" t="s">
        <v>1494</v>
      </c>
    </row>
    <row r="1869" spans="1:18" ht="15" customHeight="1" x14ac:dyDescent="0.25">
      <c r="A1869" t="str">
        <f>IFERROR(RANK(B1869,$B:$B,1)+COUNTIF($B$1:B1868,B1869),"")</f>
        <v/>
      </c>
      <c r="B1869" t="str">
        <f>IFERROR(SEARCH(#REF!,Table4[[#This Row],[Commodity Title]],1),"")</f>
        <v/>
      </c>
      <c r="C1869" s="35">
        <v>42203805</v>
      </c>
      <c r="D1869" s="33" t="s">
        <v>1495</v>
      </c>
      <c r="E1869" s="33" t="s">
        <v>1496</v>
      </c>
      <c r="F1869" s="33" t="s">
        <v>1497</v>
      </c>
      <c r="G1869" s="33" t="s">
        <v>4781</v>
      </c>
      <c r="H1869" s="33" t="s">
        <v>4782</v>
      </c>
      <c r="I1869" s="33" t="s">
        <v>4783</v>
      </c>
      <c r="J1869" s="33">
        <v>202888</v>
      </c>
      <c r="K1869" s="33" t="s">
        <v>5314</v>
      </c>
      <c r="L1869" s="33" t="s">
        <v>5315</v>
      </c>
      <c r="M1869" s="33" t="s">
        <v>5316</v>
      </c>
      <c r="N1869" s="44">
        <v>42203805</v>
      </c>
      <c r="O1869" s="33" t="s">
        <v>5325</v>
      </c>
      <c r="P1869" s="33" t="s">
        <v>5326</v>
      </c>
      <c r="Q1869" s="34" t="s">
        <v>1494</v>
      </c>
      <c r="R1869" s="34" t="s">
        <v>1494</v>
      </c>
    </row>
    <row r="1870" spans="1:18" ht="15" customHeight="1" x14ac:dyDescent="0.25">
      <c r="A1870" t="str">
        <f>IFERROR(RANK(B1870,$B:$B,1)+COUNTIF($B$1:B1869,B1870),"")</f>
        <v/>
      </c>
      <c r="B1870" t="str">
        <f>IFERROR(SEARCH(#REF!,Table4[[#This Row],[Commodity Title]],1),"")</f>
        <v/>
      </c>
      <c r="C1870" s="35">
        <v>42203806</v>
      </c>
      <c r="D1870" s="33" t="s">
        <v>1495</v>
      </c>
      <c r="E1870" s="33" t="s">
        <v>1496</v>
      </c>
      <c r="F1870" s="33" t="s">
        <v>1497</v>
      </c>
      <c r="G1870" s="33" t="s">
        <v>4781</v>
      </c>
      <c r="H1870" s="33" t="s">
        <v>4782</v>
      </c>
      <c r="I1870" s="33" t="s">
        <v>4783</v>
      </c>
      <c r="J1870" s="33">
        <v>202889</v>
      </c>
      <c r="K1870" s="33" t="s">
        <v>5314</v>
      </c>
      <c r="L1870" s="33" t="s">
        <v>5315</v>
      </c>
      <c r="M1870" s="33" t="s">
        <v>5316</v>
      </c>
      <c r="N1870" s="44">
        <v>42203806</v>
      </c>
      <c r="O1870" s="33" t="s">
        <v>5327</v>
      </c>
      <c r="P1870" s="33" t="s">
        <v>5328</v>
      </c>
      <c r="Q1870" s="34" t="s">
        <v>1494</v>
      </c>
      <c r="R1870" s="34" t="s">
        <v>1494</v>
      </c>
    </row>
    <row r="1871" spans="1:18" ht="15" customHeight="1" x14ac:dyDescent="0.25">
      <c r="A1871" t="str">
        <f>IFERROR(RANK(B1871,$B:$B,1)+COUNTIF($B$1:B1870,B1871),"")</f>
        <v/>
      </c>
      <c r="B1871" t="str">
        <f>IFERROR(SEARCH(#REF!,Table4[[#This Row],[Commodity Title]],1),"")</f>
        <v/>
      </c>
      <c r="C1871" s="33" t="s">
        <v>1494</v>
      </c>
      <c r="D1871" s="33" t="s">
        <v>1495</v>
      </c>
      <c r="E1871" s="33" t="s">
        <v>1496</v>
      </c>
      <c r="F1871" s="33" t="s">
        <v>1497</v>
      </c>
      <c r="G1871" s="33" t="s">
        <v>4781</v>
      </c>
      <c r="H1871" s="33" t="s">
        <v>4782</v>
      </c>
      <c r="I1871" s="33" t="s">
        <v>4783</v>
      </c>
      <c r="J1871" s="33">
        <v>115642</v>
      </c>
      <c r="K1871" s="33" t="s">
        <v>5329</v>
      </c>
      <c r="L1871" s="33" t="s">
        <v>5330</v>
      </c>
      <c r="M1871" s="33" t="s">
        <v>5331</v>
      </c>
      <c r="N1871" s="44" t="s">
        <v>1494</v>
      </c>
      <c r="O1871" s="33" t="s">
        <v>1494</v>
      </c>
      <c r="P1871" s="33" t="s">
        <v>1494</v>
      </c>
      <c r="Q1871" s="34" t="s">
        <v>1494</v>
      </c>
      <c r="R1871" s="34" t="s">
        <v>1494</v>
      </c>
    </row>
    <row r="1872" spans="1:18" ht="15" customHeight="1" x14ac:dyDescent="0.25">
      <c r="A1872" t="str">
        <f>IFERROR(RANK(B1872,$B:$B,1)+COUNTIF($B$1:B1871,B1872),"")</f>
        <v/>
      </c>
      <c r="B1872" t="str">
        <f>IFERROR(SEARCH(#REF!,Table4[[#This Row],[Commodity Title]],1),"")</f>
        <v/>
      </c>
      <c r="C1872" s="35">
        <v>42203901</v>
      </c>
      <c r="D1872" s="33" t="s">
        <v>1495</v>
      </c>
      <c r="E1872" s="33" t="s">
        <v>1496</v>
      </c>
      <c r="F1872" s="33" t="s">
        <v>1497</v>
      </c>
      <c r="G1872" s="33" t="s">
        <v>4781</v>
      </c>
      <c r="H1872" s="33" t="s">
        <v>4782</v>
      </c>
      <c r="I1872" s="33" t="s">
        <v>4783</v>
      </c>
      <c r="J1872" s="33">
        <v>115643</v>
      </c>
      <c r="K1872" s="33" t="s">
        <v>5329</v>
      </c>
      <c r="L1872" s="33" t="s">
        <v>5330</v>
      </c>
      <c r="M1872" s="33" t="s">
        <v>5331</v>
      </c>
      <c r="N1872" s="44">
        <v>42203901</v>
      </c>
      <c r="O1872" s="33" t="s">
        <v>5332</v>
      </c>
      <c r="P1872" s="33" t="s">
        <v>5333</v>
      </c>
      <c r="Q1872" s="34" t="s">
        <v>1494</v>
      </c>
      <c r="R1872" s="34" t="s">
        <v>1494</v>
      </c>
    </row>
    <row r="1873" spans="1:18" ht="15" customHeight="1" x14ac:dyDescent="0.25">
      <c r="A1873" t="str">
        <f>IFERROR(RANK(B1873,$B:$B,1)+COUNTIF($B$1:B1872,B1873),"")</f>
        <v/>
      </c>
      <c r="B1873" t="str">
        <f>IFERROR(SEARCH(#REF!,Table4[[#This Row],[Commodity Title]],1),"")</f>
        <v/>
      </c>
      <c r="C1873" s="35">
        <v>42203902</v>
      </c>
      <c r="D1873" s="33" t="s">
        <v>1495</v>
      </c>
      <c r="E1873" s="33" t="s">
        <v>1496</v>
      </c>
      <c r="F1873" s="33" t="s">
        <v>1497</v>
      </c>
      <c r="G1873" s="33" t="s">
        <v>4781</v>
      </c>
      <c r="H1873" s="33" t="s">
        <v>4782</v>
      </c>
      <c r="I1873" s="33" t="s">
        <v>4783</v>
      </c>
      <c r="J1873" s="33">
        <v>115644</v>
      </c>
      <c r="K1873" s="33" t="s">
        <v>5329</v>
      </c>
      <c r="L1873" s="33" t="s">
        <v>5330</v>
      </c>
      <c r="M1873" s="33" t="s">
        <v>5331</v>
      </c>
      <c r="N1873" s="44">
        <v>42203902</v>
      </c>
      <c r="O1873" s="33" t="s">
        <v>5334</v>
      </c>
      <c r="P1873" s="33" t="s">
        <v>5335</v>
      </c>
      <c r="Q1873" s="34" t="s">
        <v>1494</v>
      </c>
      <c r="R1873" s="34" t="s">
        <v>1494</v>
      </c>
    </row>
    <row r="1874" spans="1:18" ht="15" customHeight="1" x14ac:dyDescent="0.25">
      <c r="A1874" t="str">
        <f>IFERROR(RANK(B1874,$B:$B,1)+COUNTIF($B$1:B1873,B1874),"")</f>
        <v/>
      </c>
      <c r="B1874" t="str">
        <f>IFERROR(SEARCH(#REF!,Table4[[#This Row],[Commodity Title]],1),"")</f>
        <v/>
      </c>
      <c r="C1874" s="35">
        <v>42203903</v>
      </c>
      <c r="D1874" s="33" t="s">
        <v>1495</v>
      </c>
      <c r="E1874" s="33" t="s">
        <v>1496</v>
      </c>
      <c r="F1874" s="33" t="s">
        <v>1497</v>
      </c>
      <c r="G1874" s="33" t="s">
        <v>4781</v>
      </c>
      <c r="H1874" s="33" t="s">
        <v>4782</v>
      </c>
      <c r="I1874" s="33" t="s">
        <v>4783</v>
      </c>
      <c r="J1874" s="33">
        <v>174394</v>
      </c>
      <c r="K1874" s="33" t="s">
        <v>5329</v>
      </c>
      <c r="L1874" s="33" t="s">
        <v>5330</v>
      </c>
      <c r="M1874" s="33" t="s">
        <v>5331</v>
      </c>
      <c r="N1874" s="44">
        <v>42203903</v>
      </c>
      <c r="O1874" s="33" t="s">
        <v>5336</v>
      </c>
      <c r="P1874" s="33" t="s">
        <v>5337</v>
      </c>
      <c r="Q1874" s="34" t="s">
        <v>1494</v>
      </c>
      <c r="R1874" s="34" t="s">
        <v>1494</v>
      </c>
    </row>
    <row r="1875" spans="1:18" ht="15" customHeight="1" x14ac:dyDescent="0.25">
      <c r="A1875" t="str">
        <f>IFERROR(RANK(B1875,$B:$B,1)+COUNTIF($B$1:B1874,B1875),"")</f>
        <v/>
      </c>
      <c r="B1875" t="str">
        <f>IFERROR(SEARCH(#REF!,Table4[[#This Row],[Commodity Title]],1),"")</f>
        <v/>
      </c>
      <c r="C1875" s="35">
        <v>42203904</v>
      </c>
      <c r="D1875" s="33" t="s">
        <v>1495</v>
      </c>
      <c r="E1875" s="33" t="s">
        <v>1496</v>
      </c>
      <c r="F1875" s="33" t="s">
        <v>1497</v>
      </c>
      <c r="G1875" s="33" t="s">
        <v>4781</v>
      </c>
      <c r="H1875" s="33" t="s">
        <v>4782</v>
      </c>
      <c r="I1875" s="33" t="s">
        <v>4783</v>
      </c>
      <c r="J1875" s="33">
        <v>202890</v>
      </c>
      <c r="K1875" s="33" t="s">
        <v>5329</v>
      </c>
      <c r="L1875" s="33" t="s">
        <v>5330</v>
      </c>
      <c r="M1875" s="33" t="s">
        <v>5331</v>
      </c>
      <c r="N1875" s="44">
        <v>42203904</v>
      </c>
      <c r="O1875" s="33" t="s">
        <v>5338</v>
      </c>
      <c r="P1875" s="33" t="s">
        <v>5339</v>
      </c>
      <c r="Q1875" s="34" t="s">
        <v>1494</v>
      </c>
      <c r="R1875" s="34" t="s">
        <v>1494</v>
      </c>
    </row>
    <row r="1876" spans="1:18" ht="15" customHeight="1" x14ac:dyDescent="0.25">
      <c r="A1876" t="str">
        <f>IFERROR(RANK(B1876,$B:$B,1)+COUNTIF($B$1:B1875,B1876),"")</f>
        <v/>
      </c>
      <c r="B1876" t="str">
        <f>IFERROR(SEARCH(#REF!,Table4[[#This Row],[Commodity Title]],1),"")</f>
        <v/>
      </c>
      <c r="C1876" s="35">
        <v>42203905</v>
      </c>
      <c r="D1876" s="33" t="s">
        <v>1495</v>
      </c>
      <c r="E1876" s="33" t="s">
        <v>1496</v>
      </c>
      <c r="F1876" s="33" t="s">
        <v>1497</v>
      </c>
      <c r="G1876" s="33" t="s">
        <v>4781</v>
      </c>
      <c r="H1876" s="33" t="s">
        <v>4782</v>
      </c>
      <c r="I1876" s="33" t="s">
        <v>4783</v>
      </c>
      <c r="J1876" s="33">
        <v>202891</v>
      </c>
      <c r="K1876" s="33" t="s">
        <v>5329</v>
      </c>
      <c r="L1876" s="33" t="s">
        <v>5330</v>
      </c>
      <c r="M1876" s="33" t="s">
        <v>5331</v>
      </c>
      <c r="N1876" s="44">
        <v>42203905</v>
      </c>
      <c r="O1876" s="33" t="s">
        <v>5340</v>
      </c>
      <c r="P1876" s="33" t="s">
        <v>5341</v>
      </c>
      <c r="Q1876" s="34" t="s">
        <v>1494</v>
      </c>
      <c r="R1876" s="34" t="s">
        <v>1494</v>
      </c>
    </row>
    <row r="1877" spans="1:18" ht="15" customHeight="1" x14ac:dyDescent="0.25">
      <c r="A1877" t="str">
        <f>IFERROR(RANK(B1877,$B:$B,1)+COUNTIF($B$1:B1876,B1877),"")</f>
        <v/>
      </c>
      <c r="B1877" t="str">
        <f>IFERROR(SEARCH(#REF!,Table4[[#This Row],[Commodity Title]],1),"")</f>
        <v/>
      </c>
      <c r="C1877" s="35">
        <v>42203906</v>
      </c>
      <c r="D1877" s="33" t="s">
        <v>1495</v>
      </c>
      <c r="E1877" s="33" t="s">
        <v>1496</v>
      </c>
      <c r="F1877" s="33" t="s">
        <v>1497</v>
      </c>
      <c r="G1877" s="33" t="s">
        <v>4781</v>
      </c>
      <c r="H1877" s="33" t="s">
        <v>4782</v>
      </c>
      <c r="I1877" s="33" t="s">
        <v>4783</v>
      </c>
      <c r="J1877" s="33">
        <v>202892</v>
      </c>
      <c r="K1877" s="33" t="s">
        <v>5329</v>
      </c>
      <c r="L1877" s="33" t="s">
        <v>5330</v>
      </c>
      <c r="M1877" s="33" t="s">
        <v>5331</v>
      </c>
      <c r="N1877" s="44">
        <v>42203906</v>
      </c>
      <c r="O1877" s="33" t="s">
        <v>5342</v>
      </c>
      <c r="P1877" s="33" t="s">
        <v>5343</v>
      </c>
      <c r="Q1877" s="34" t="s">
        <v>1494</v>
      </c>
      <c r="R1877" s="34" t="s">
        <v>1494</v>
      </c>
    </row>
    <row r="1878" spans="1:18" ht="15" customHeight="1" x14ac:dyDescent="0.25">
      <c r="A1878" t="str">
        <f>IFERROR(RANK(B1878,$B:$B,1)+COUNTIF($B$1:B1877,B1878),"")</f>
        <v/>
      </c>
      <c r="B1878" t="str">
        <f>IFERROR(SEARCH(#REF!,Table4[[#This Row],[Commodity Title]],1),"")</f>
        <v/>
      </c>
      <c r="C1878" s="35">
        <v>42203907</v>
      </c>
      <c r="D1878" s="33" t="s">
        <v>1495</v>
      </c>
      <c r="E1878" s="33" t="s">
        <v>1496</v>
      </c>
      <c r="F1878" s="33" t="s">
        <v>1497</v>
      </c>
      <c r="G1878" s="33" t="s">
        <v>4781</v>
      </c>
      <c r="H1878" s="33" t="s">
        <v>4782</v>
      </c>
      <c r="I1878" s="33" t="s">
        <v>4783</v>
      </c>
      <c r="J1878" s="33">
        <v>202893</v>
      </c>
      <c r="K1878" s="33" t="s">
        <v>5329</v>
      </c>
      <c r="L1878" s="33" t="s">
        <v>5330</v>
      </c>
      <c r="M1878" s="33" t="s">
        <v>5331</v>
      </c>
      <c r="N1878" s="44">
        <v>42203907</v>
      </c>
      <c r="O1878" s="33" t="s">
        <v>5344</v>
      </c>
      <c r="P1878" s="33" t="s">
        <v>5345</v>
      </c>
      <c r="Q1878" s="34" t="s">
        <v>1494</v>
      </c>
      <c r="R1878" s="34" t="s">
        <v>1494</v>
      </c>
    </row>
    <row r="1879" spans="1:18" ht="15" customHeight="1" x14ac:dyDescent="0.25">
      <c r="A1879" t="str">
        <f>IFERROR(RANK(B1879,$B:$B,1)+COUNTIF($B$1:B1878,B1879),"")</f>
        <v/>
      </c>
      <c r="B1879" t="str">
        <f>IFERROR(SEARCH(#REF!,Table4[[#This Row],[Commodity Title]],1),"")</f>
        <v/>
      </c>
      <c r="C1879" s="33" t="s">
        <v>1494</v>
      </c>
      <c r="D1879" s="33" t="s">
        <v>1495</v>
      </c>
      <c r="E1879" s="33" t="s">
        <v>1496</v>
      </c>
      <c r="F1879" s="33" t="s">
        <v>1497</v>
      </c>
      <c r="G1879" s="33" t="s">
        <v>4781</v>
      </c>
      <c r="H1879" s="33" t="s">
        <v>4782</v>
      </c>
      <c r="I1879" s="33" t="s">
        <v>4783</v>
      </c>
      <c r="J1879" s="33">
        <v>115645</v>
      </c>
      <c r="K1879" s="33" t="s">
        <v>5346</v>
      </c>
      <c r="L1879" s="33" t="s">
        <v>5347</v>
      </c>
      <c r="M1879" s="33" t="s">
        <v>5348</v>
      </c>
      <c r="N1879" s="44" t="s">
        <v>1494</v>
      </c>
      <c r="O1879" s="33" t="s">
        <v>1494</v>
      </c>
      <c r="P1879" s="33" t="s">
        <v>1494</v>
      </c>
      <c r="Q1879" s="34" t="s">
        <v>1494</v>
      </c>
      <c r="R1879" s="34" t="s">
        <v>1494</v>
      </c>
    </row>
    <row r="1880" spans="1:18" ht="15" customHeight="1" x14ac:dyDescent="0.25">
      <c r="A1880" t="str">
        <f>IFERROR(RANK(B1880,$B:$B,1)+COUNTIF($B$1:B1879,B1880),"")</f>
        <v/>
      </c>
      <c r="B1880" t="str">
        <f>IFERROR(SEARCH(#REF!,Table4[[#This Row],[Commodity Title]],1),"")</f>
        <v/>
      </c>
      <c r="C1880" s="35">
        <v>42204001</v>
      </c>
      <c r="D1880" s="33" t="s">
        <v>1495</v>
      </c>
      <c r="E1880" s="33" t="s">
        <v>1496</v>
      </c>
      <c r="F1880" s="33" t="s">
        <v>1497</v>
      </c>
      <c r="G1880" s="33" t="s">
        <v>4781</v>
      </c>
      <c r="H1880" s="33" t="s">
        <v>4782</v>
      </c>
      <c r="I1880" s="33" t="s">
        <v>4783</v>
      </c>
      <c r="J1880" s="33">
        <v>115646</v>
      </c>
      <c r="K1880" s="33" t="s">
        <v>5346</v>
      </c>
      <c r="L1880" s="33" t="s">
        <v>5347</v>
      </c>
      <c r="M1880" s="33" t="s">
        <v>5348</v>
      </c>
      <c r="N1880" s="44">
        <v>42204001</v>
      </c>
      <c r="O1880" s="33" t="s">
        <v>5349</v>
      </c>
      <c r="P1880" s="33" t="s">
        <v>5350</v>
      </c>
      <c r="Q1880" s="34" t="s">
        <v>1494</v>
      </c>
      <c r="R1880" s="34" t="s">
        <v>1494</v>
      </c>
    </row>
    <row r="1881" spans="1:18" ht="15" customHeight="1" x14ac:dyDescent="0.25">
      <c r="A1881" t="str">
        <f>IFERROR(RANK(B1881,$B:$B,1)+COUNTIF($B$1:B1880,B1881),"")</f>
        <v/>
      </c>
      <c r="B1881" t="str">
        <f>IFERROR(SEARCH(#REF!,Table4[[#This Row],[Commodity Title]],1),"")</f>
        <v/>
      </c>
      <c r="C1881" s="35">
        <v>42204002</v>
      </c>
      <c r="D1881" s="33" t="s">
        <v>1495</v>
      </c>
      <c r="E1881" s="33" t="s">
        <v>1496</v>
      </c>
      <c r="F1881" s="33" t="s">
        <v>1497</v>
      </c>
      <c r="G1881" s="33" t="s">
        <v>4781</v>
      </c>
      <c r="H1881" s="33" t="s">
        <v>4782</v>
      </c>
      <c r="I1881" s="33" t="s">
        <v>4783</v>
      </c>
      <c r="J1881" s="33">
        <v>115647</v>
      </c>
      <c r="K1881" s="33" t="s">
        <v>5346</v>
      </c>
      <c r="L1881" s="33" t="s">
        <v>5347</v>
      </c>
      <c r="M1881" s="33" t="s">
        <v>5348</v>
      </c>
      <c r="N1881" s="44">
        <v>42204002</v>
      </c>
      <c r="O1881" s="33" t="s">
        <v>5351</v>
      </c>
      <c r="P1881" s="33" t="s">
        <v>5352</v>
      </c>
      <c r="Q1881" s="34" t="s">
        <v>1494</v>
      </c>
      <c r="R1881" s="34" t="s">
        <v>1494</v>
      </c>
    </row>
    <row r="1882" spans="1:18" ht="15" customHeight="1" x14ac:dyDescent="0.25">
      <c r="A1882" t="str">
        <f>IFERROR(RANK(B1882,$B:$B,1)+COUNTIF($B$1:B1881,B1882),"")</f>
        <v/>
      </c>
      <c r="B1882" t="str">
        <f>IFERROR(SEARCH(#REF!,Table4[[#This Row],[Commodity Title]],1),"")</f>
        <v/>
      </c>
      <c r="C1882" s="35">
        <v>42204003</v>
      </c>
      <c r="D1882" s="33" t="s">
        <v>1495</v>
      </c>
      <c r="E1882" s="33" t="s">
        <v>1496</v>
      </c>
      <c r="F1882" s="33" t="s">
        <v>1497</v>
      </c>
      <c r="G1882" s="33" t="s">
        <v>4781</v>
      </c>
      <c r="H1882" s="33" t="s">
        <v>4782</v>
      </c>
      <c r="I1882" s="33" t="s">
        <v>4783</v>
      </c>
      <c r="J1882" s="33">
        <v>115648</v>
      </c>
      <c r="K1882" s="33" t="s">
        <v>5346</v>
      </c>
      <c r="L1882" s="33" t="s">
        <v>5347</v>
      </c>
      <c r="M1882" s="33" t="s">
        <v>5348</v>
      </c>
      <c r="N1882" s="44">
        <v>42204003</v>
      </c>
      <c r="O1882" s="33" t="s">
        <v>5353</v>
      </c>
      <c r="P1882" s="33" t="s">
        <v>5354</v>
      </c>
      <c r="Q1882" s="34" t="s">
        <v>1494</v>
      </c>
      <c r="R1882" s="34" t="s">
        <v>1494</v>
      </c>
    </row>
    <row r="1883" spans="1:18" ht="15" customHeight="1" x14ac:dyDescent="0.25">
      <c r="A1883" t="str">
        <f>IFERROR(RANK(B1883,$B:$B,1)+COUNTIF($B$1:B1882,B1883),"")</f>
        <v/>
      </c>
      <c r="B1883" t="str">
        <f>IFERROR(SEARCH(#REF!,Table4[[#This Row],[Commodity Title]],1),"")</f>
        <v/>
      </c>
      <c r="C1883" s="35">
        <v>42204004</v>
      </c>
      <c r="D1883" s="33" t="s">
        <v>1495</v>
      </c>
      <c r="E1883" s="33" t="s">
        <v>1496</v>
      </c>
      <c r="F1883" s="33" t="s">
        <v>1497</v>
      </c>
      <c r="G1883" s="33" t="s">
        <v>4781</v>
      </c>
      <c r="H1883" s="33" t="s">
        <v>4782</v>
      </c>
      <c r="I1883" s="33" t="s">
        <v>4783</v>
      </c>
      <c r="J1883" s="33">
        <v>115649</v>
      </c>
      <c r="K1883" s="33" t="s">
        <v>5346</v>
      </c>
      <c r="L1883" s="33" t="s">
        <v>5347</v>
      </c>
      <c r="M1883" s="33" t="s">
        <v>5348</v>
      </c>
      <c r="N1883" s="44">
        <v>42204004</v>
      </c>
      <c r="O1883" s="33" t="s">
        <v>5355</v>
      </c>
      <c r="P1883" s="33" t="s">
        <v>5356</v>
      </c>
      <c r="Q1883" s="34" t="s">
        <v>1494</v>
      </c>
      <c r="R1883" s="34" t="s">
        <v>1494</v>
      </c>
    </row>
    <row r="1884" spans="1:18" ht="15" customHeight="1" x14ac:dyDescent="0.25">
      <c r="A1884" t="str">
        <f>IFERROR(RANK(B1884,$B:$B,1)+COUNTIF($B$1:B1883,B1884),"")</f>
        <v/>
      </c>
      <c r="B1884" t="str">
        <f>IFERROR(SEARCH(#REF!,Table4[[#This Row],[Commodity Title]],1),"")</f>
        <v/>
      </c>
      <c r="C1884" s="35">
        <v>42204005</v>
      </c>
      <c r="D1884" s="33" t="s">
        <v>1495</v>
      </c>
      <c r="E1884" s="33" t="s">
        <v>1496</v>
      </c>
      <c r="F1884" s="33" t="s">
        <v>1497</v>
      </c>
      <c r="G1884" s="33" t="s">
        <v>4781</v>
      </c>
      <c r="H1884" s="33" t="s">
        <v>4782</v>
      </c>
      <c r="I1884" s="33" t="s">
        <v>4783</v>
      </c>
      <c r="J1884" s="33">
        <v>115650</v>
      </c>
      <c r="K1884" s="33" t="s">
        <v>5346</v>
      </c>
      <c r="L1884" s="33" t="s">
        <v>5347</v>
      </c>
      <c r="M1884" s="33" t="s">
        <v>5348</v>
      </c>
      <c r="N1884" s="44">
        <v>42204005</v>
      </c>
      <c r="O1884" s="33" t="s">
        <v>5357</v>
      </c>
      <c r="P1884" s="33" t="s">
        <v>5358</v>
      </c>
      <c r="Q1884" s="34" t="s">
        <v>1494</v>
      </c>
      <c r="R1884" s="34" t="s">
        <v>1494</v>
      </c>
    </row>
    <row r="1885" spans="1:18" ht="15" customHeight="1" x14ac:dyDescent="0.25">
      <c r="A1885" t="str">
        <f>IFERROR(RANK(B1885,$B:$B,1)+COUNTIF($B$1:B1884,B1885),"")</f>
        <v/>
      </c>
      <c r="B1885" t="str">
        <f>IFERROR(SEARCH(#REF!,Table4[[#This Row],[Commodity Title]],1),"")</f>
        <v/>
      </c>
      <c r="C1885" s="35">
        <v>42204006</v>
      </c>
      <c r="D1885" s="33" t="s">
        <v>1495</v>
      </c>
      <c r="E1885" s="33" t="s">
        <v>1496</v>
      </c>
      <c r="F1885" s="33" t="s">
        <v>1497</v>
      </c>
      <c r="G1885" s="33" t="s">
        <v>4781</v>
      </c>
      <c r="H1885" s="33" t="s">
        <v>4782</v>
      </c>
      <c r="I1885" s="33" t="s">
        <v>4783</v>
      </c>
      <c r="J1885" s="33">
        <v>115651</v>
      </c>
      <c r="K1885" s="33" t="s">
        <v>5346</v>
      </c>
      <c r="L1885" s="33" t="s">
        <v>5347</v>
      </c>
      <c r="M1885" s="33" t="s">
        <v>5348</v>
      </c>
      <c r="N1885" s="44">
        <v>42204006</v>
      </c>
      <c r="O1885" s="33" t="s">
        <v>5359</v>
      </c>
      <c r="P1885" s="33" t="s">
        <v>5360</v>
      </c>
      <c r="Q1885" s="34" t="s">
        <v>1494</v>
      </c>
      <c r="R1885" s="34" t="s">
        <v>1494</v>
      </c>
    </row>
    <row r="1886" spans="1:18" ht="15" customHeight="1" x14ac:dyDescent="0.25">
      <c r="A1886" t="str">
        <f>IFERROR(RANK(B1886,$B:$B,1)+COUNTIF($B$1:B1885,B1886),"")</f>
        <v/>
      </c>
      <c r="B1886" t="str">
        <f>IFERROR(SEARCH(#REF!,Table4[[#This Row],[Commodity Title]],1),"")</f>
        <v/>
      </c>
      <c r="C1886" s="35">
        <v>42204007</v>
      </c>
      <c r="D1886" s="33" t="s">
        <v>1495</v>
      </c>
      <c r="E1886" s="33" t="s">
        <v>1496</v>
      </c>
      <c r="F1886" s="33" t="s">
        <v>1497</v>
      </c>
      <c r="G1886" s="33" t="s">
        <v>4781</v>
      </c>
      <c r="H1886" s="33" t="s">
        <v>4782</v>
      </c>
      <c r="I1886" s="33" t="s">
        <v>4783</v>
      </c>
      <c r="J1886" s="33">
        <v>115652</v>
      </c>
      <c r="K1886" s="33" t="s">
        <v>5346</v>
      </c>
      <c r="L1886" s="33" t="s">
        <v>5347</v>
      </c>
      <c r="M1886" s="33" t="s">
        <v>5348</v>
      </c>
      <c r="N1886" s="44">
        <v>42204007</v>
      </c>
      <c r="O1886" s="33" t="s">
        <v>5361</v>
      </c>
      <c r="P1886" s="33" t="s">
        <v>5362</v>
      </c>
      <c r="Q1886" s="34" t="s">
        <v>1494</v>
      </c>
      <c r="R1886" s="34" t="s">
        <v>1494</v>
      </c>
    </row>
    <row r="1887" spans="1:18" ht="15" customHeight="1" x14ac:dyDescent="0.25">
      <c r="A1887" t="str">
        <f>IFERROR(RANK(B1887,$B:$B,1)+COUNTIF($B$1:B1886,B1887),"")</f>
        <v/>
      </c>
      <c r="B1887" t="str">
        <f>IFERROR(SEARCH(#REF!,Table4[[#This Row],[Commodity Title]],1),"")</f>
        <v/>
      </c>
      <c r="C1887" s="35">
        <v>42204008</v>
      </c>
      <c r="D1887" s="33" t="s">
        <v>1495</v>
      </c>
      <c r="E1887" s="33" t="s">
        <v>1496</v>
      </c>
      <c r="F1887" s="33" t="s">
        <v>1497</v>
      </c>
      <c r="G1887" s="33" t="s">
        <v>4781</v>
      </c>
      <c r="H1887" s="33" t="s">
        <v>4782</v>
      </c>
      <c r="I1887" s="33" t="s">
        <v>4783</v>
      </c>
      <c r="J1887" s="33">
        <v>115653</v>
      </c>
      <c r="K1887" s="33" t="s">
        <v>5346</v>
      </c>
      <c r="L1887" s="33" t="s">
        <v>5347</v>
      </c>
      <c r="M1887" s="33" t="s">
        <v>5348</v>
      </c>
      <c r="N1887" s="44">
        <v>42204008</v>
      </c>
      <c r="O1887" s="33" t="s">
        <v>5363</v>
      </c>
      <c r="P1887" s="33" t="s">
        <v>5364</v>
      </c>
      <c r="Q1887" s="34" t="s">
        <v>1494</v>
      </c>
      <c r="R1887" s="34" t="s">
        <v>1494</v>
      </c>
    </row>
    <row r="1888" spans="1:18" ht="15" customHeight="1" x14ac:dyDescent="0.25">
      <c r="A1888" t="str">
        <f>IFERROR(RANK(B1888,$B:$B,1)+COUNTIF($B$1:B1887,B1888),"")</f>
        <v/>
      </c>
      <c r="B1888" t="str">
        <f>IFERROR(SEARCH(#REF!,Table4[[#This Row],[Commodity Title]],1),"")</f>
        <v/>
      </c>
      <c r="C1888" s="35">
        <v>42204009</v>
      </c>
      <c r="D1888" s="33" t="s">
        <v>1495</v>
      </c>
      <c r="E1888" s="33" t="s">
        <v>1496</v>
      </c>
      <c r="F1888" s="33" t="s">
        <v>1497</v>
      </c>
      <c r="G1888" s="33" t="s">
        <v>4781</v>
      </c>
      <c r="H1888" s="33" t="s">
        <v>4782</v>
      </c>
      <c r="I1888" s="33" t="s">
        <v>4783</v>
      </c>
      <c r="J1888" s="33">
        <v>144229</v>
      </c>
      <c r="K1888" s="33" t="s">
        <v>5346</v>
      </c>
      <c r="L1888" s="33" t="s">
        <v>5347</v>
      </c>
      <c r="M1888" s="33" t="s">
        <v>5348</v>
      </c>
      <c r="N1888" s="44">
        <v>42204009</v>
      </c>
      <c r="O1888" s="33" t="s">
        <v>5365</v>
      </c>
      <c r="P1888" s="33" t="s">
        <v>5366</v>
      </c>
      <c r="Q1888" s="34" t="s">
        <v>1494</v>
      </c>
      <c r="R1888" s="34" t="s">
        <v>1494</v>
      </c>
    </row>
    <row r="1889" spans="1:18" ht="15" customHeight="1" x14ac:dyDescent="0.25">
      <c r="A1889" t="str">
        <f>IFERROR(RANK(B1889,$B:$B,1)+COUNTIF($B$1:B1888,B1889),"")</f>
        <v/>
      </c>
      <c r="B1889" t="str">
        <f>IFERROR(SEARCH(#REF!,Table4[[#This Row],[Commodity Title]],1),"")</f>
        <v/>
      </c>
      <c r="C1889" s="35">
        <v>42204010</v>
      </c>
      <c r="D1889" s="33" t="s">
        <v>1495</v>
      </c>
      <c r="E1889" s="33" t="s">
        <v>1496</v>
      </c>
      <c r="F1889" s="33" t="s">
        <v>1497</v>
      </c>
      <c r="G1889" s="33" t="s">
        <v>4781</v>
      </c>
      <c r="H1889" s="33" t="s">
        <v>4782</v>
      </c>
      <c r="I1889" s="33" t="s">
        <v>4783</v>
      </c>
      <c r="J1889" s="33">
        <v>202894</v>
      </c>
      <c r="K1889" s="33" t="s">
        <v>5346</v>
      </c>
      <c r="L1889" s="33" t="s">
        <v>5347</v>
      </c>
      <c r="M1889" s="33" t="s">
        <v>5348</v>
      </c>
      <c r="N1889" s="44">
        <v>42204010</v>
      </c>
      <c r="O1889" s="33" t="s">
        <v>5367</v>
      </c>
      <c r="P1889" s="33" t="s">
        <v>5368</v>
      </c>
      <c r="Q1889" s="34" t="s">
        <v>1494</v>
      </c>
      <c r="R1889" s="34" t="s">
        <v>1494</v>
      </c>
    </row>
    <row r="1890" spans="1:18" ht="15" customHeight="1" x14ac:dyDescent="0.25">
      <c r="A1890" t="str">
        <f>IFERROR(RANK(B1890,$B:$B,1)+COUNTIF($B$1:B1889,B1890),"")</f>
        <v/>
      </c>
      <c r="B1890" t="str">
        <f>IFERROR(SEARCH(#REF!,Table4[[#This Row],[Commodity Title]],1),"")</f>
        <v/>
      </c>
      <c r="C1890" s="35">
        <v>42204011</v>
      </c>
      <c r="D1890" s="33" t="s">
        <v>1495</v>
      </c>
      <c r="E1890" s="33" t="s">
        <v>1496</v>
      </c>
      <c r="F1890" s="33" t="s">
        <v>1497</v>
      </c>
      <c r="G1890" s="33" t="s">
        <v>4781</v>
      </c>
      <c r="H1890" s="33" t="s">
        <v>4782</v>
      </c>
      <c r="I1890" s="33" t="s">
        <v>4783</v>
      </c>
      <c r="J1890" s="33">
        <v>202895</v>
      </c>
      <c r="K1890" s="33" t="s">
        <v>5346</v>
      </c>
      <c r="L1890" s="33" t="s">
        <v>5347</v>
      </c>
      <c r="M1890" s="33" t="s">
        <v>5348</v>
      </c>
      <c r="N1890" s="44">
        <v>42204011</v>
      </c>
      <c r="O1890" s="33" t="s">
        <v>5369</v>
      </c>
      <c r="P1890" s="33" t="s">
        <v>5370</v>
      </c>
      <c r="Q1890" s="34" t="s">
        <v>1494</v>
      </c>
      <c r="R1890" s="34" t="s">
        <v>1494</v>
      </c>
    </row>
    <row r="1891" spans="1:18" ht="15" customHeight="1" x14ac:dyDescent="0.25">
      <c r="A1891" t="str">
        <f>IFERROR(RANK(B1891,$B:$B,1)+COUNTIF($B$1:B1890,B1891),"")</f>
        <v/>
      </c>
      <c r="B1891" t="str">
        <f>IFERROR(SEARCH(#REF!,Table4[[#This Row],[Commodity Title]],1),"")</f>
        <v/>
      </c>
      <c r="C1891" s="35">
        <v>42204012</v>
      </c>
      <c r="D1891" s="33" t="s">
        <v>1495</v>
      </c>
      <c r="E1891" s="33" t="s">
        <v>1496</v>
      </c>
      <c r="F1891" s="33" t="s">
        <v>1497</v>
      </c>
      <c r="G1891" s="33" t="s">
        <v>4781</v>
      </c>
      <c r="H1891" s="33" t="s">
        <v>4782</v>
      </c>
      <c r="I1891" s="33" t="s">
        <v>4783</v>
      </c>
      <c r="J1891" s="33">
        <v>202896</v>
      </c>
      <c r="K1891" s="33" t="s">
        <v>5346</v>
      </c>
      <c r="L1891" s="33" t="s">
        <v>5347</v>
      </c>
      <c r="M1891" s="33" t="s">
        <v>5348</v>
      </c>
      <c r="N1891" s="44">
        <v>42204012</v>
      </c>
      <c r="O1891" s="33" t="s">
        <v>5371</v>
      </c>
      <c r="P1891" s="33" t="s">
        <v>5372</v>
      </c>
      <c r="Q1891" s="34" t="s">
        <v>1494</v>
      </c>
      <c r="R1891" s="34" t="s">
        <v>1494</v>
      </c>
    </row>
    <row r="1892" spans="1:18" ht="15" customHeight="1" x14ac:dyDescent="0.25">
      <c r="A1892" t="str">
        <f>IFERROR(RANK(B1892,$B:$B,1)+COUNTIF($B$1:B1891,B1892),"")</f>
        <v/>
      </c>
      <c r="B1892" t="str">
        <f>IFERROR(SEARCH(#REF!,Table4[[#This Row],[Commodity Title]],1),"")</f>
        <v/>
      </c>
      <c r="C1892" s="35">
        <v>42204013</v>
      </c>
      <c r="D1892" s="33" t="s">
        <v>1495</v>
      </c>
      <c r="E1892" s="33" t="s">
        <v>1496</v>
      </c>
      <c r="F1892" s="33" t="s">
        <v>1497</v>
      </c>
      <c r="G1892" s="33" t="s">
        <v>4781</v>
      </c>
      <c r="H1892" s="33" t="s">
        <v>4782</v>
      </c>
      <c r="I1892" s="33" t="s">
        <v>4783</v>
      </c>
      <c r="J1892" s="33">
        <v>202897</v>
      </c>
      <c r="K1892" s="33" t="s">
        <v>5346</v>
      </c>
      <c r="L1892" s="33" t="s">
        <v>5347</v>
      </c>
      <c r="M1892" s="33" t="s">
        <v>5348</v>
      </c>
      <c r="N1892" s="44">
        <v>42204013</v>
      </c>
      <c r="O1892" s="33" t="s">
        <v>5373</v>
      </c>
      <c r="P1892" s="33" t="s">
        <v>5374</v>
      </c>
      <c r="Q1892" s="34" t="s">
        <v>1494</v>
      </c>
      <c r="R1892" s="34" t="s">
        <v>1494</v>
      </c>
    </row>
    <row r="1893" spans="1:18" ht="15" customHeight="1" x14ac:dyDescent="0.25">
      <c r="A1893" t="str">
        <f>IFERROR(RANK(B1893,$B:$B,1)+COUNTIF($B$1:B1892,B1893),"")</f>
        <v/>
      </c>
      <c r="B1893" t="str">
        <f>IFERROR(SEARCH(#REF!,Table4[[#This Row],[Commodity Title]],1),"")</f>
        <v/>
      </c>
      <c r="C1893" s="35">
        <v>42204014</v>
      </c>
      <c r="D1893" s="33" t="s">
        <v>1495</v>
      </c>
      <c r="E1893" s="33" t="s">
        <v>1496</v>
      </c>
      <c r="F1893" s="33" t="s">
        <v>1497</v>
      </c>
      <c r="G1893" s="33" t="s">
        <v>4781</v>
      </c>
      <c r="H1893" s="33" t="s">
        <v>4782</v>
      </c>
      <c r="I1893" s="33" t="s">
        <v>4783</v>
      </c>
      <c r="J1893" s="33">
        <v>202898</v>
      </c>
      <c r="K1893" s="33" t="s">
        <v>5346</v>
      </c>
      <c r="L1893" s="33" t="s">
        <v>5347</v>
      </c>
      <c r="M1893" s="33" t="s">
        <v>5348</v>
      </c>
      <c r="N1893" s="44">
        <v>42204014</v>
      </c>
      <c r="O1893" s="33" t="s">
        <v>5375</v>
      </c>
      <c r="P1893" s="33" t="s">
        <v>5376</v>
      </c>
      <c r="Q1893" s="34" t="s">
        <v>1494</v>
      </c>
      <c r="R1893" s="34" t="s">
        <v>1494</v>
      </c>
    </row>
    <row r="1894" spans="1:18" ht="15" customHeight="1" x14ac:dyDescent="0.25">
      <c r="A1894" t="str">
        <f>IFERROR(RANK(B1894,$B:$B,1)+COUNTIF($B$1:B1893,B1894),"")</f>
        <v/>
      </c>
      <c r="B1894" t="str">
        <f>IFERROR(SEARCH(#REF!,Table4[[#This Row],[Commodity Title]],1),"")</f>
        <v/>
      </c>
      <c r="C1894" s="35">
        <v>42204015</v>
      </c>
      <c r="D1894" s="33" t="s">
        <v>1495</v>
      </c>
      <c r="E1894" s="33" t="s">
        <v>1496</v>
      </c>
      <c r="F1894" s="33" t="s">
        <v>1497</v>
      </c>
      <c r="G1894" s="33" t="s">
        <v>4781</v>
      </c>
      <c r="H1894" s="33" t="s">
        <v>4782</v>
      </c>
      <c r="I1894" s="33" t="s">
        <v>4783</v>
      </c>
      <c r="J1894" s="33">
        <v>202899</v>
      </c>
      <c r="K1894" s="33" t="s">
        <v>5346</v>
      </c>
      <c r="L1894" s="33" t="s">
        <v>5347</v>
      </c>
      <c r="M1894" s="33" t="s">
        <v>5348</v>
      </c>
      <c r="N1894" s="44">
        <v>42204015</v>
      </c>
      <c r="O1894" s="33" t="s">
        <v>5377</v>
      </c>
      <c r="P1894" s="33" t="s">
        <v>5366</v>
      </c>
      <c r="Q1894" s="34" t="s">
        <v>1494</v>
      </c>
      <c r="R1894" s="34" t="s">
        <v>1494</v>
      </c>
    </row>
    <row r="1895" spans="1:18" ht="15" customHeight="1" x14ac:dyDescent="0.25">
      <c r="A1895" t="str">
        <f>IFERROR(RANK(B1895,$B:$B,1)+COUNTIF($B$1:B1894,B1895),"")</f>
        <v/>
      </c>
      <c r="B1895" t="str">
        <f>IFERROR(SEARCH(#REF!,Table4[[#This Row],[Commodity Title]],1),"")</f>
        <v/>
      </c>
      <c r="C1895" s="35">
        <v>42204016</v>
      </c>
      <c r="D1895" s="33" t="s">
        <v>1495</v>
      </c>
      <c r="E1895" s="33" t="s">
        <v>1496</v>
      </c>
      <c r="F1895" s="33" t="s">
        <v>1497</v>
      </c>
      <c r="G1895" s="33" t="s">
        <v>4781</v>
      </c>
      <c r="H1895" s="33" t="s">
        <v>4782</v>
      </c>
      <c r="I1895" s="33" t="s">
        <v>4783</v>
      </c>
      <c r="J1895" s="33">
        <v>202900</v>
      </c>
      <c r="K1895" s="33" t="s">
        <v>5346</v>
      </c>
      <c r="L1895" s="33" t="s">
        <v>5347</v>
      </c>
      <c r="M1895" s="33" t="s">
        <v>5348</v>
      </c>
      <c r="N1895" s="44">
        <v>42204016</v>
      </c>
      <c r="O1895" s="33" t="s">
        <v>5378</v>
      </c>
      <c r="P1895" s="33" t="s">
        <v>5366</v>
      </c>
      <c r="Q1895" s="34" t="s">
        <v>1494</v>
      </c>
      <c r="R1895" s="34" t="s">
        <v>1494</v>
      </c>
    </row>
    <row r="1896" spans="1:18" ht="15" customHeight="1" x14ac:dyDescent="0.25">
      <c r="A1896" t="str">
        <f>IFERROR(RANK(B1896,$B:$B,1)+COUNTIF($B$1:B1895,B1896),"")</f>
        <v/>
      </c>
      <c r="B1896" t="str">
        <f>IFERROR(SEARCH(#REF!,Table4[[#This Row],[Commodity Title]],1),"")</f>
        <v/>
      </c>
      <c r="C1896" s="35">
        <v>42204017</v>
      </c>
      <c r="D1896" s="33" t="s">
        <v>1495</v>
      </c>
      <c r="E1896" s="33" t="s">
        <v>1496</v>
      </c>
      <c r="F1896" s="33" t="s">
        <v>1497</v>
      </c>
      <c r="G1896" s="33" t="s">
        <v>4781</v>
      </c>
      <c r="H1896" s="33" t="s">
        <v>4782</v>
      </c>
      <c r="I1896" s="33" t="s">
        <v>4783</v>
      </c>
      <c r="J1896" s="33">
        <v>202901</v>
      </c>
      <c r="K1896" s="33" t="s">
        <v>5346</v>
      </c>
      <c r="L1896" s="33" t="s">
        <v>5347</v>
      </c>
      <c r="M1896" s="33" t="s">
        <v>5348</v>
      </c>
      <c r="N1896" s="44">
        <v>42204017</v>
      </c>
      <c r="O1896" s="33" t="s">
        <v>5379</v>
      </c>
      <c r="P1896" s="33" t="s">
        <v>5380</v>
      </c>
      <c r="Q1896" s="34" t="s">
        <v>1494</v>
      </c>
      <c r="R1896" s="34" t="s">
        <v>1494</v>
      </c>
    </row>
    <row r="1897" spans="1:18" ht="15" customHeight="1" x14ac:dyDescent="0.25">
      <c r="A1897" t="str">
        <f>IFERROR(RANK(B1897,$B:$B,1)+COUNTIF($B$1:B1896,B1897),"")</f>
        <v/>
      </c>
      <c r="B1897" t="str">
        <f>IFERROR(SEARCH(#REF!,Table4[[#This Row],[Commodity Title]],1),"")</f>
        <v/>
      </c>
      <c r="C1897" s="35">
        <v>42204018</v>
      </c>
      <c r="D1897" s="33" t="s">
        <v>1495</v>
      </c>
      <c r="E1897" s="33" t="s">
        <v>1496</v>
      </c>
      <c r="F1897" s="33" t="s">
        <v>1497</v>
      </c>
      <c r="G1897" s="33" t="s">
        <v>4781</v>
      </c>
      <c r="H1897" s="33" t="s">
        <v>4782</v>
      </c>
      <c r="I1897" s="33" t="s">
        <v>4783</v>
      </c>
      <c r="J1897" s="33">
        <v>202902</v>
      </c>
      <c r="K1897" s="33" t="s">
        <v>5346</v>
      </c>
      <c r="L1897" s="33" t="s">
        <v>5347</v>
      </c>
      <c r="M1897" s="33" t="s">
        <v>5348</v>
      </c>
      <c r="N1897" s="44">
        <v>42204018</v>
      </c>
      <c r="O1897" s="33" t="s">
        <v>5381</v>
      </c>
      <c r="P1897" s="33" t="s">
        <v>5382</v>
      </c>
      <c r="Q1897" s="34" t="s">
        <v>1494</v>
      </c>
      <c r="R1897" s="34" t="s">
        <v>1494</v>
      </c>
    </row>
    <row r="1898" spans="1:18" ht="15" customHeight="1" x14ac:dyDescent="0.25">
      <c r="A1898" t="str">
        <f>IFERROR(RANK(B1898,$B:$B,1)+COUNTIF($B$1:B1897,B1898),"")</f>
        <v/>
      </c>
      <c r="B1898" t="str">
        <f>IFERROR(SEARCH(#REF!,Table4[[#This Row],[Commodity Title]],1),"")</f>
        <v/>
      </c>
      <c r="C1898" s="35">
        <v>42204019</v>
      </c>
      <c r="D1898" s="33" t="s">
        <v>1495</v>
      </c>
      <c r="E1898" s="33" t="s">
        <v>1496</v>
      </c>
      <c r="F1898" s="33" t="s">
        <v>1497</v>
      </c>
      <c r="G1898" s="33" t="s">
        <v>4781</v>
      </c>
      <c r="H1898" s="33" t="s">
        <v>4782</v>
      </c>
      <c r="I1898" s="33" t="s">
        <v>4783</v>
      </c>
      <c r="J1898" s="33">
        <v>202903</v>
      </c>
      <c r="K1898" s="33" t="s">
        <v>5346</v>
      </c>
      <c r="L1898" s="33" t="s">
        <v>5347</v>
      </c>
      <c r="M1898" s="33" t="s">
        <v>5348</v>
      </c>
      <c r="N1898" s="44">
        <v>42204019</v>
      </c>
      <c r="O1898" s="33" t="s">
        <v>5383</v>
      </c>
      <c r="P1898" s="33" t="s">
        <v>5384</v>
      </c>
      <c r="Q1898" s="34" t="s">
        <v>1494</v>
      </c>
      <c r="R1898" s="34" t="s">
        <v>1494</v>
      </c>
    </row>
    <row r="1899" spans="1:18" ht="15" customHeight="1" x14ac:dyDescent="0.25">
      <c r="A1899" t="str">
        <f>IFERROR(RANK(B1899,$B:$B,1)+COUNTIF($B$1:B1898,B1899),"")</f>
        <v/>
      </c>
      <c r="B1899" t="str">
        <f>IFERROR(SEARCH(#REF!,Table4[[#This Row],[Commodity Title]],1),"")</f>
        <v/>
      </c>
      <c r="C1899" s="33" t="s">
        <v>1494</v>
      </c>
      <c r="D1899" s="33" t="s">
        <v>1495</v>
      </c>
      <c r="E1899" s="33" t="s">
        <v>1496</v>
      </c>
      <c r="F1899" s="33" t="s">
        <v>1497</v>
      </c>
      <c r="G1899" s="33" t="s">
        <v>4781</v>
      </c>
      <c r="H1899" s="33" t="s">
        <v>4782</v>
      </c>
      <c r="I1899" s="33" t="s">
        <v>4783</v>
      </c>
      <c r="J1899" s="33">
        <v>177419</v>
      </c>
      <c r="K1899" s="33" t="s">
        <v>5385</v>
      </c>
      <c r="L1899" s="33" t="s">
        <v>5386</v>
      </c>
      <c r="M1899" s="33" t="s">
        <v>5387</v>
      </c>
      <c r="N1899" s="44" t="s">
        <v>1494</v>
      </c>
      <c r="O1899" s="33" t="s">
        <v>1494</v>
      </c>
      <c r="P1899" s="33" t="s">
        <v>1494</v>
      </c>
      <c r="Q1899" s="34" t="s">
        <v>1494</v>
      </c>
      <c r="R1899" s="34" t="s">
        <v>1494</v>
      </c>
    </row>
    <row r="1900" spans="1:18" ht="15" customHeight="1" x14ac:dyDescent="0.25">
      <c r="A1900" t="str">
        <f>IFERROR(RANK(B1900,$B:$B,1)+COUNTIF($B$1:B1899,B1900),"")</f>
        <v/>
      </c>
      <c r="B1900" t="str">
        <f>IFERROR(SEARCH(#REF!,Table4[[#This Row],[Commodity Title]],1),"")</f>
        <v/>
      </c>
      <c r="C1900" s="35">
        <v>42204101</v>
      </c>
      <c r="D1900" s="33" t="s">
        <v>1495</v>
      </c>
      <c r="E1900" s="33" t="s">
        <v>1496</v>
      </c>
      <c r="F1900" s="33" t="s">
        <v>1497</v>
      </c>
      <c r="G1900" s="33" t="s">
        <v>4781</v>
      </c>
      <c r="H1900" s="33" t="s">
        <v>4782</v>
      </c>
      <c r="I1900" s="33" t="s">
        <v>4783</v>
      </c>
      <c r="J1900" s="33">
        <v>177420</v>
      </c>
      <c r="K1900" s="33" t="s">
        <v>5385</v>
      </c>
      <c r="L1900" s="33" t="s">
        <v>5386</v>
      </c>
      <c r="M1900" s="33" t="s">
        <v>5387</v>
      </c>
      <c r="N1900" s="44">
        <v>42204101</v>
      </c>
      <c r="O1900" s="33" t="s">
        <v>5388</v>
      </c>
      <c r="P1900" s="33" t="s">
        <v>5389</v>
      </c>
      <c r="Q1900" s="34" t="s">
        <v>1494</v>
      </c>
      <c r="R1900" s="34" t="s">
        <v>1494</v>
      </c>
    </row>
    <row r="1901" spans="1:18" ht="15" customHeight="1" x14ac:dyDescent="0.25">
      <c r="A1901" t="str">
        <f>IFERROR(RANK(B1901,$B:$B,1)+COUNTIF($B$1:B1900,B1901),"")</f>
        <v/>
      </c>
      <c r="B1901" t="str">
        <f>IFERROR(SEARCH(#REF!,Table4[[#This Row],[Commodity Title]],1),"")</f>
        <v/>
      </c>
      <c r="C1901" s="33" t="s">
        <v>1494</v>
      </c>
      <c r="D1901" s="33" t="s">
        <v>1495</v>
      </c>
      <c r="E1901" s="33" t="s">
        <v>1496</v>
      </c>
      <c r="F1901" s="33" t="s">
        <v>1497</v>
      </c>
      <c r="G1901" s="33" t="s">
        <v>4781</v>
      </c>
      <c r="H1901" s="33" t="s">
        <v>4782</v>
      </c>
      <c r="I1901" s="33" t="s">
        <v>4783</v>
      </c>
      <c r="J1901" s="33">
        <v>202904</v>
      </c>
      <c r="K1901" s="33" t="s">
        <v>5390</v>
      </c>
      <c r="L1901" s="33" t="s">
        <v>5391</v>
      </c>
      <c r="M1901" s="33" t="s">
        <v>2508</v>
      </c>
      <c r="N1901" s="44" t="s">
        <v>1494</v>
      </c>
      <c r="O1901" s="33" t="s">
        <v>1494</v>
      </c>
      <c r="P1901" s="33" t="s">
        <v>1494</v>
      </c>
      <c r="Q1901" s="34" t="s">
        <v>1494</v>
      </c>
      <c r="R1901" s="34" t="s">
        <v>1494</v>
      </c>
    </row>
    <row r="1902" spans="1:18" ht="15" customHeight="1" x14ac:dyDescent="0.25">
      <c r="A1902" t="str">
        <f>IFERROR(RANK(B1902,$B:$B,1)+COUNTIF($B$1:B1901,B1902),"")</f>
        <v/>
      </c>
      <c r="B1902" t="str">
        <f>IFERROR(SEARCH(#REF!,Table4[[#This Row],[Commodity Title]],1),"")</f>
        <v/>
      </c>
      <c r="C1902" s="35">
        <v>42204201</v>
      </c>
      <c r="D1902" s="33" t="s">
        <v>1495</v>
      </c>
      <c r="E1902" s="33" t="s">
        <v>1496</v>
      </c>
      <c r="F1902" s="33" t="s">
        <v>1497</v>
      </c>
      <c r="G1902" s="33" t="s">
        <v>4781</v>
      </c>
      <c r="H1902" s="33" t="s">
        <v>4782</v>
      </c>
      <c r="I1902" s="33" t="s">
        <v>4783</v>
      </c>
      <c r="J1902" s="33">
        <v>202905</v>
      </c>
      <c r="K1902" s="33" t="s">
        <v>5390</v>
      </c>
      <c r="L1902" s="33" t="s">
        <v>5391</v>
      </c>
      <c r="M1902" s="33" t="s">
        <v>2508</v>
      </c>
      <c r="N1902" s="44">
        <v>42204201</v>
      </c>
      <c r="O1902" s="33" t="s">
        <v>5392</v>
      </c>
      <c r="P1902" s="33" t="s">
        <v>5393</v>
      </c>
      <c r="Q1902" s="34" t="s">
        <v>1494</v>
      </c>
      <c r="R1902" s="34" t="s">
        <v>1494</v>
      </c>
    </row>
    <row r="1903" spans="1:18" ht="15" customHeight="1" x14ac:dyDescent="0.25">
      <c r="A1903" t="str">
        <f>IFERROR(RANK(B1903,$B:$B,1)+COUNTIF($B$1:B1902,B1903),"")</f>
        <v/>
      </c>
      <c r="B1903" t="str">
        <f>IFERROR(SEARCH(#REF!,Table4[[#This Row],[Commodity Title]],1),"")</f>
        <v/>
      </c>
      <c r="C1903" s="35">
        <v>42204202</v>
      </c>
      <c r="D1903" s="33" t="s">
        <v>1495</v>
      </c>
      <c r="E1903" s="33" t="s">
        <v>1496</v>
      </c>
      <c r="F1903" s="33" t="s">
        <v>1497</v>
      </c>
      <c r="G1903" s="33" t="s">
        <v>4781</v>
      </c>
      <c r="H1903" s="33" t="s">
        <v>4782</v>
      </c>
      <c r="I1903" s="33" t="s">
        <v>4783</v>
      </c>
      <c r="J1903" s="33">
        <v>202906</v>
      </c>
      <c r="K1903" s="33" t="s">
        <v>5390</v>
      </c>
      <c r="L1903" s="33" t="s">
        <v>5391</v>
      </c>
      <c r="M1903" s="33" t="s">
        <v>2508</v>
      </c>
      <c r="N1903" s="44">
        <v>42204202</v>
      </c>
      <c r="O1903" s="33" t="s">
        <v>5394</v>
      </c>
      <c r="P1903" s="33" t="s">
        <v>5395</v>
      </c>
      <c r="Q1903" s="34" t="s">
        <v>1494</v>
      </c>
      <c r="R1903" s="34" t="s">
        <v>1494</v>
      </c>
    </row>
    <row r="1904" spans="1:18" ht="15" customHeight="1" x14ac:dyDescent="0.25">
      <c r="A1904" t="str">
        <f>IFERROR(RANK(B1904,$B:$B,1)+COUNTIF($B$1:B1903,B1904),"")</f>
        <v/>
      </c>
      <c r="B1904" t="str">
        <f>IFERROR(SEARCH(#REF!,Table4[[#This Row],[Commodity Title]],1),"")</f>
        <v/>
      </c>
      <c r="C1904" s="35">
        <v>42204203</v>
      </c>
      <c r="D1904" s="33" t="s">
        <v>1495</v>
      </c>
      <c r="E1904" s="33" t="s">
        <v>1496</v>
      </c>
      <c r="F1904" s="33" t="s">
        <v>1497</v>
      </c>
      <c r="G1904" s="33" t="s">
        <v>4781</v>
      </c>
      <c r="H1904" s="33" t="s">
        <v>4782</v>
      </c>
      <c r="I1904" s="33" t="s">
        <v>4783</v>
      </c>
      <c r="J1904" s="33">
        <v>202907</v>
      </c>
      <c r="K1904" s="33" t="s">
        <v>5390</v>
      </c>
      <c r="L1904" s="33" t="s">
        <v>5391</v>
      </c>
      <c r="M1904" s="33" t="s">
        <v>2508</v>
      </c>
      <c r="N1904" s="44">
        <v>42204203</v>
      </c>
      <c r="O1904" s="33" t="s">
        <v>5396</v>
      </c>
      <c r="P1904" s="33" t="s">
        <v>5397</v>
      </c>
      <c r="Q1904" s="34" t="s">
        <v>1494</v>
      </c>
      <c r="R1904" s="34" t="s">
        <v>1494</v>
      </c>
    </row>
    <row r="1905" spans="1:18" ht="15" customHeight="1" x14ac:dyDescent="0.25">
      <c r="A1905" t="str">
        <f>IFERROR(RANK(B1905,$B:$B,1)+COUNTIF($B$1:B1904,B1905),"")</f>
        <v/>
      </c>
      <c r="B1905" t="str">
        <f>IFERROR(SEARCH(#REF!,Table4[[#This Row],[Commodity Title]],1),"")</f>
        <v/>
      </c>
      <c r="C1905" s="33" t="s">
        <v>1494</v>
      </c>
      <c r="D1905" s="33" t="s">
        <v>1495</v>
      </c>
      <c r="E1905" s="33" t="s">
        <v>1496</v>
      </c>
      <c r="F1905" s="33" t="s">
        <v>1497</v>
      </c>
      <c r="G1905" s="33" t="s">
        <v>4781</v>
      </c>
      <c r="H1905" s="33" t="s">
        <v>4782</v>
      </c>
      <c r="I1905" s="33" t="s">
        <v>4783</v>
      </c>
      <c r="J1905" s="33">
        <v>202908</v>
      </c>
      <c r="K1905" s="33" t="s">
        <v>5398</v>
      </c>
      <c r="L1905" s="33" t="s">
        <v>5399</v>
      </c>
      <c r="M1905" s="33" t="s">
        <v>5400</v>
      </c>
      <c r="N1905" s="44" t="s">
        <v>1494</v>
      </c>
      <c r="O1905" s="33" t="s">
        <v>1494</v>
      </c>
      <c r="P1905" s="33" t="s">
        <v>1494</v>
      </c>
      <c r="Q1905" s="34" t="s">
        <v>1494</v>
      </c>
      <c r="R1905" s="34" t="s">
        <v>1494</v>
      </c>
    </row>
    <row r="1906" spans="1:18" ht="15" customHeight="1" x14ac:dyDescent="0.25">
      <c r="A1906" t="str">
        <f>IFERROR(RANK(B1906,$B:$B,1)+COUNTIF($B$1:B1905,B1906),"")</f>
        <v/>
      </c>
      <c r="B1906" t="str">
        <f>IFERROR(SEARCH(#REF!,Table4[[#This Row],[Commodity Title]],1),"")</f>
        <v/>
      </c>
      <c r="C1906" s="35">
        <v>42204301</v>
      </c>
      <c r="D1906" s="33" t="s">
        <v>1495</v>
      </c>
      <c r="E1906" s="33" t="s">
        <v>1496</v>
      </c>
      <c r="F1906" s="33" t="s">
        <v>1497</v>
      </c>
      <c r="G1906" s="33" t="s">
        <v>4781</v>
      </c>
      <c r="H1906" s="33" t="s">
        <v>4782</v>
      </c>
      <c r="I1906" s="33" t="s">
        <v>4783</v>
      </c>
      <c r="J1906" s="33">
        <v>202909</v>
      </c>
      <c r="K1906" s="33" t="s">
        <v>5398</v>
      </c>
      <c r="L1906" s="33" t="s">
        <v>5399</v>
      </c>
      <c r="M1906" s="33" t="s">
        <v>5400</v>
      </c>
      <c r="N1906" s="44">
        <v>42204301</v>
      </c>
      <c r="O1906" s="33" t="s">
        <v>5401</v>
      </c>
      <c r="P1906" s="33" t="s">
        <v>5402</v>
      </c>
      <c r="Q1906" s="34" t="s">
        <v>1494</v>
      </c>
      <c r="R1906" s="34" t="s">
        <v>1494</v>
      </c>
    </row>
    <row r="1907" spans="1:18" ht="15" customHeight="1" x14ac:dyDescent="0.25">
      <c r="A1907" t="str">
        <f>IFERROR(RANK(B1907,$B:$B,1)+COUNTIF($B$1:B1906,B1907),"")</f>
        <v/>
      </c>
      <c r="B1907" t="str">
        <f>IFERROR(SEARCH(#REF!,Table4[[#This Row],[Commodity Title]],1),"")</f>
        <v/>
      </c>
      <c r="C1907" s="35">
        <v>42204302</v>
      </c>
      <c r="D1907" s="33" t="s">
        <v>1495</v>
      </c>
      <c r="E1907" s="33" t="s">
        <v>1496</v>
      </c>
      <c r="F1907" s="33" t="s">
        <v>1497</v>
      </c>
      <c r="G1907" s="33" t="s">
        <v>4781</v>
      </c>
      <c r="H1907" s="33" t="s">
        <v>4782</v>
      </c>
      <c r="I1907" s="33" t="s">
        <v>4783</v>
      </c>
      <c r="J1907" s="33">
        <v>202910</v>
      </c>
      <c r="K1907" s="33" t="s">
        <v>5398</v>
      </c>
      <c r="L1907" s="33" t="s">
        <v>5399</v>
      </c>
      <c r="M1907" s="33" t="s">
        <v>5400</v>
      </c>
      <c r="N1907" s="44">
        <v>42204302</v>
      </c>
      <c r="O1907" s="33" t="s">
        <v>5403</v>
      </c>
      <c r="P1907" s="33" t="s">
        <v>5404</v>
      </c>
      <c r="Q1907" s="34" t="s">
        <v>1494</v>
      </c>
      <c r="R1907" s="34" t="s">
        <v>1494</v>
      </c>
    </row>
    <row r="1908" spans="1:18" ht="15" customHeight="1" x14ac:dyDescent="0.25">
      <c r="A1908" t="str">
        <f>IFERROR(RANK(B1908,$B:$B,1)+COUNTIF($B$1:B1907,B1908),"")</f>
        <v/>
      </c>
      <c r="B1908" t="str">
        <f>IFERROR(SEARCH(#REF!,Table4[[#This Row],[Commodity Title]],1),"")</f>
        <v/>
      </c>
      <c r="C1908" s="35">
        <v>42204303</v>
      </c>
      <c r="D1908" s="33" t="s">
        <v>1495</v>
      </c>
      <c r="E1908" s="33" t="s">
        <v>1496</v>
      </c>
      <c r="F1908" s="33" t="s">
        <v>1497</v>
      </c>
      <c r="G1908" s="33" t="s">
        <v>4781</v>
      </c>
      <c r="H1908" s="33" t="s">
        <v>4782</v>
      </c>
      <c r="I1908" s="33" t="s">
        <v>4783</v>
      </c>
      <c r="J1908" s="33">
        <v>202911</v>
      </c>
      <c r="K1908" s="33" t="s">
        <v>5398</v>
      </c>
      <c r="L1908" s="33" t="s">
        <v>5399</v>
      </c>
      <c r="M1908" s="33" t="s">
        <v>5400</v>
      </c>
      <c r="N1908" s="44">
        <v>42204303</v>
      </c>
      <c r="O1908" s="33" t="s">
        <v>5405</v>
      </c>
      <c r="P1908" s="33" t="s">
        <v>5406</v>
      </c>
      <c r="Q1908" s="34" t="s">
        <v>1494</v>
      </c>
      <c r="R1908" s="34" t="s">
        <v>1494</v>
      </c>
    </row>
    <row r="1909" spans="1:18" ht="15" customHeight="1" x14ac:dyDescent="0.25">
      <c r="A1909" t="str">
        <f>IFERROR(RANK(B1909,$B:$B,1)+COUNTIF($B$1:B1908,B1909),"")</f>
        <v/>
      </c>
      <c r="B1909" t="str">
        <f>IFERROR(SEARCH(#REF!,Table4[[#This Row],[Commodity Title]],1),"")</f>
        <v/>
      </c>
      <c r="C1909" s="35">
        <v>42204304</v>
      </c>
      <c r="D1909" s="33" t="s">
        <v>1495</v>
      </c>
      <c r="E1909" s="33" t="s">
        <v>1496</v>
      </c>
      <c r="F1909" s="33" t="s">
        <v>1497</v>
      </c>
      <c r="G1909" s="33" t="s">
        <v>4781</v>
      </c>
      <c r="H1909" s="33" t="s">
        <v>4782</v>
      </c>
      <c r="I1909" s="33" t="s">
        <v>4783</v>
      </c>
      <c r="J1909" s="33">
        <v>202912</v>
      </c>
      <c r="K1909" s="33" t="s">
        <v>5398</v>
      </c>
      <c r="L1909" s="33" t="s">
        <v>5399</v>
      </c>
      <c r="M1909" s="33" t="s">
        <v>5400</v>
      </c>
      <c r="N1909" s="44">
        <v>42204304</v>
      </c>
      <c r="O1909" s="33" t="s">
        <v>5407</v>
      </c>
      <c r="P1909" s="33" t="s">
        <v>5408</v>
      </c>
      <c r="Q1909" s="34" t="s">
        <v>1494</v>
      </c>
      <c r="R1909" s="34" t="s">
        <v>1494</v>
      </c>
    </row>
    <row r="1910" spans="1:18" ht="15" customHeight="1" x14ac:dyDescent="0.25">
      <c r="A1910" t="str">
        <f>IFERROR(RANK(B1910,$B:$B,1)+COUNTIF($B$1:B1909,B1910),"")</f>
        <v/>
      </c>
      <c r="B1910" t="str">
        <f>IFERROR(SEARCH(#REF!,Table4[[#This Row],[Commodity Title]],1),"")</f>
        <v/>
      </c>
      <c r="C1910" s="35">
        <v>42204305</v>
      </c>
      <c r="D1910" s="33" t="s">
        <v>1495</v>
      </c>
      <c r="E1910" s="33" t="s">
        <v>1496</v>
      </c>
      <c r="F1910" s="33" t="s">
        <v>1497</v>
      </c>
      <c r="G1910" s="33" t="s">
        <v>4781</v>
      </c>
      <c r="H1910" s="33" t="s">
        <v>4782</v>
      </c>
      <c r="I1910" s="33" t="s">
        <v>4783</v>
      </c>
      <c r="J1910" s="33">
        <v>202913</v>
      </c>
      <c r="K1910" s="33" t="s">
        <v>5398</v>
      </c>
      <c r="L1910" s="33" t="s">
        <v>5399</v>
      </c>
      <c r="M1910" s="33" t="s">
        <v>5400</v>
      </c>
      <c r="N1910" s="44">
        <v>42204305</v>
      </c>
      <c r="O1910" s="33" t="s">
        <v>5409</v>
      </c>
      <c r="P1910" s="33" t="s">
        <v>5410</v>
      </c>
      <c r="Q1910" s="34" t="s">
        <v>1494</v>
      </c>
      <c r="R1910" s="34" t="s">
        <v>1494</v>
      </c>
    </row>
    <row r="1911" spans="1:18" ht="15" customHeight="1" x14ac:dyDescent="0.25">
      <c r="A1911" t="str">
        <f>IFERROR(RANK(B1911,$B:$B,1)+COUNTIF($B$1:B1910,B1911),"")</f>
        <v/>
      </c>
      <c r="B1911" t="str">
        <f>IFERROR(SEARCH(#REF!,Table4[[#This Row],[Commodity Title]],1),"")</f>
        <v/>
      </c>
      <c r="C1911" s="33" t="s">
        <v>1494</v>
      </c>
      <c r="D1911" s="33" t="s">
        <v>1495</v>
      </c>
      <c r="E1911" s="33" t="s">
        <v>1496</v>
      </c>
      <c r="F1911" s="33" t="s">
        <v>1497</v>
      </c>
      <c r="G1911" s="33" t="s">
        <v>5411</v>
      </c>
      <c r="H1911" s="33" t="s">
        <v>5412</v>
      </c>
      <c r="I1911" s="33" t="s">
        <v>5413</v>
      </c>
      <c r="J1911" s="33">
        <v>115654</v>
      </c>
      <c r="K1911" s="33" t="s">
        <v>1494</v>
      </c>
      <c r="L1911" s="33" t="s">
        <v>1494</v>
      </c>
      <c r="M1911" s="33" t="s">
        <v>1494</v>
      </c>
      <c r="N1911" s="44" t="s">
        <v>1494</v>
      </c>
      <c r="O1911" s="33" t="s">
        <v>1494</v>
      </c>
      <c r="P1911" s="33" t="s">
        <v>1494</v>
      </c>
      <c r="Q1911" s="34" t="s">
        <v>1494</v>
      </c>
      <c r="R1911" s="34" t="s">
        <v>1494</v>
      </c>
    </row>
    <row r="1912" spans="1:18" ht="15" customHeight="1" x14ac:dyDescent="0.25">
      <c r="A1912" t="str">
        <f>IFERROR(RANK(B1912,$B:$B,1)+COUNTIF($B$1:B1911,B1912),"")</f>
        <v/>
      </c>
      <c r="B1912" t="str">
        <f>IFERROR(SEARCH(#REF!,Table4[[#This Row],[Commodity Title]],1),"")</f>
        <v/>
      </c>
      <c r="C1912" s="33" t="s">
        <v>1494</v>
      </c>
      <c r="D1912" s="33" t="s">
        <v>1495</v>
      </c>
      <c r="E1912" s="33" t="s">
        <v>1496</v>
      </c>
      <c r="F1912" s="33" t="s">
        <v>1497</v>
      </c>
      <c r="G1912" s="33" t="s">
        <v>5411</v>
      </c>
      <c r="H1912" s="33" t="s">
        <v>5412</v>
      </c>
      <c r="I1912" s="33" t="s">
        <v>5413</v>
      </c>
      <c r="J1912" s="33">
        <v>115655</v>
      </c>
      <c r="K1912" s="33" t="s">
        <v>5414</v>
      </c>
      <c r="L1912" s="33" t="s">
        <v>5415</v>
      </c>
      <c r="M1912" s="33" t="s">
        <v>5416</v>
      </c>
      <c r="N1912" s="44" t="s">
        <v>1494</v>
      </c>
      <c r="O1912" s="33" t="s">
        <v>1494</v>
      </c>
      <c r="P1912" s="33" t="s">
        <v>1494</v>
      </c>
      <c r="Q1912" s="34" t="s">
        <v>1494</v>
      </c>
      <c r="R1912" s="34" t="s">
        <v>1494</v>
      </c>
    </row>
    <row r="1913" spans="1:18" ht="15" customHeight="1" x14ac:dyDescent="0.25">
      <c r="A1913" t="str">
        <f>IFERROR(RANK(B1913,$B:$B,1)+COUNTIF($B$1:B1912,B1913),"")</f>
        <v/>
      </c>
      <c r="B1913" t="str">
        <f>IFERROR(SEARCH(#REF!,Table4[[#This Row],[Commodity Title]],1),"")</f>
        <v/>
      </c>
      <c r="C1913" s="35">
        <v>42211501</v>
      </c>
      <c r="D1913" s="33" t="s">
        <v>1495</v>
      </c>
      <c r="E1913" s="33" t="s">
        <v>1496</v>
      </c>
      <c r="F1913" s="33" t="s">
        <v>1497</v>
      </c>
      <c r="G1913" s="33" t="s">
        <v>5411</v>
      </c>
      <c r="H1913" s="33" t="s">
        <v>5412</v>
      </c>
      <c r="I1913" s="33" t="s">
        <v>5413</v>
      </c>
      <c r="J1913" s="33">
        <v>115656</v>
      </c>
      <c r="K1913" s="33" t="s">
        <v>5414</v>
      </c>
      <c r="L1913" s="33" t="s">
        <v>5415</v>
      </c>
      <c r="M1913" s="33" t="s">
        <v>5416</v>
      </c>
      <c r="N1913" s="44">
        <v>42211501</v>
      </c>
      <c r="O1913" s="33" t="s">
        <v>5417</v>
      </c>
      <c r="P1913" s="33" t="s">
        <v>5418</v>
      </c>
      <c r="Q1913" s="34" t="s">
        <v>1494</v>
      </c>
      <c r="R1913" s="34" t="s">
        <v>1494</v>
      </c>
    </row>
    <row r="1914" spans="1:18" ht="15" customHeight="1" x14ac:dyDescent="0.25">
      <c r="A1914" t="str">
        <f>IFERROR(RANK(B1914,$B:$B,1)+COUNTIF($B$1:B1913,B1914),"")</f>
        <v/>
      </c>
      <c r="B1914" t="str">
        <f>IFERROR(SEARCH(#REF!,Table4[[#This Row],[Commodity Title]],1),"")</f>
        <v/>
      </c>
      <c r="C1914" s="35">
        <v>42211502</v>
      </c>
      <c r="D1914" s="33" t="s">
        <v>1495</v>
      </c>
      <c r="E1914" s="33" t="s">
        <v>1496</v>
      </c>
      <c r="F1914" s="33" t="s">
        <v>1497</v>
      </c>
      <c r="G1914" s="33" t="s">
        <v>5411</v>
      </c>
      <c r="H1914" s="33" t="s">
        <v>5412</v>
      </c>
      <c r="I1914" s="33" t="s">
        <v>5413</v>
      </c>
      <c r="J1914" s="33">
        <v>104697</v>
      </c>
      <c r="K1914" s="33" t="s">
        <v>5414</v>
      </c>
      <c r="L1914" s="33" t="s">
        <v>5415</v>
      </c>
      <c r="M1914" s="33" t="s">
        <v>5416</v>
      </c>
      <c r="N1914" s="44">
        <v>42211502</v>
      </c>
      <c r="O1914" s="33" t="s">
        <v>5419</v>
      </c>
      <c r="P1914" s="33" t="s">
        <v>5420</v>
      </c>
      <c r="Q1914" s="34" t="s">
        <v>1494</v>
      </c>
      <c r="R1914" s="34" t="s">
        <v>1494</v>
      </c>
    </row>
    <row r="1915" spans="1:18" ht="15" customHeight="1" x14ac:dyDescent="0.25">
      <c r="A1915" t="str">
        <f>IFERROR(RANK(B1915,$B:$B,1)+COUNTIF($B$1:B1914,B1915),"")</f>
        <v/>
      </c>
      <c r="B1915" t="str">
        <f>IFERROR(SEARCH(#REF!,Table4[[#This Row],[Commodity Title]],1),"")</f>
        <v/>
      </c>
      <c r="C1915" s="35">
        <v>42211503</v>
      </c>
      <c r="D1915" s="33" t="s">
        <v>1495</v>
      </c>
      <c r="E1915" s="33" t="s">
        <v>1496</v>
      </c>
      <c r="F1915" s="33" t="s">
        <v>1497</v>
      </c>
      <c r="G1915" s="33" t="s">
        <v>5411</v>
      </c>
      <c r="H1915" s="33" t="s">
        <v>5412</v>
      </c>
      <c r="I1915" s="33" t="s">
        <v>5413</v>
      </c>
      <c r="J1915" s="33">
        <v>115658</v>
      </c>
      <c r="K1915" s="33" t="s">
        <v>5414</v>
      </c>
      <c r="L1915" s="33" t="s">
        <v>5415</v>
      </c>
      <c r="M1915" s="33" t="s">
        <v>5416</v>
      </c>
      <c r="N1915" s="44">
        <v>42211503</v>
      </c>
      <c r="O1915" s="33" t="s">
        <v>5421</v>
      </c>
      <c r="P1915" s="33" t="s">
        <v>5422</v>
      </c>
      <c r="Q1915" s="34" t="s">
        <v>1494</v>
      </c>
      <c r="R1915" s="34" t="s">
        <v>1494</v>
      </c>
    </row>
    <row r="1916" spans="1:18" ht="15" customHeight="1" x14ac:dyDescent="0.25">
      <c r="A1916" t="str">
        <f>IFERROR(RANK(B1916,$B:$B,1)+COUNTIF($B$1:B1915,B1916),"")</f>
        <v/>
      </c>
      <c r="B1916" t="str">
        <f>IFERROR(SEARCH(#REF!,Table4[[#This Row],[Commodity Title]],1),"")</f>
        <v/>
      </c>
      <c r="C1916" s="35">
        <v>42211504</v>
      </c>
      <c r="D1916" s="33" t="s">
        <v>1495</v>
      </c>
      <c r="E1916" s="33" t="s">
        <v>1496</v>
      </c>
      <c r="F1916" s="33" t="s">
        <v>1497</v>
      </c>
      <c r="G1916" s="33" t="s">
        <v>5411</v>
      </c>
      <c r="H1916" s="33" t="s">
        <v>5412</v>
      </c>
      <c r="I1916" s="33" t="s">
        <v>5413</v>
      </c>
      <c r="J1916" s="33">
        <v>115659</v>
      </c>
      <c r="K1916" s="33" t="s">
        <v>5414</v>
      </c>
      <c r="L1916" s="33" t="s">
        <v>5415</v>
      </c>
      <c r="M1916" s="33" t="s">
        <v>5416</v>
      </c>
      <c r="N1916" s="44">
        <v>42211504</v>
      </c>
      <c r="O1916" s="33" t="s">
        <v>5423</v>
      </c>
      <c r="P1916" s="33" t="s">
        <v>5424</v>
      </c>
      <c r="Q1916" s="34" t="s">
        <v>1494</v>
      </c>
      <c r="R1916" s="34" t="s">
        <v>1494</v>
      </c>
    </row>
    <row r="1917" spans="1:18" ht="15" customHeight="1" x14ac:dyDescent="0.25">
      <c r="A1917" t="str">
        <f>IFERROR(RANK(B1917,$B:$B,1)+COUNTIF($B$1:B1916,B1917),"")</f>
        <v/>
      </c>
      <c r="B1917" t="str">
        <f>IFERROR(SEARCH(#REF!,Table4[[#This Row],[Commodity Title]],1),"")</f>
        <v/>
      </c>
      <c r="C1917" s="35">
        <v>42211505</v>
      </c>
      <c r="D1917" s="33" t="s">
        <v>1495</v>
      </c>
      <c r="E1917" s="33" t="s">
        <v>1496</v>
      </c>
      <c r="F1917" s="33" t="s">
        <v>1497</v>
      </c>
      <c r="G1917" s="33" t="s">
        <v>5411</v>
      </c>
      <c r="H1917" s="33" t="s">
        <v>5412</v>
      </c>
      <c r="I1917" s="33" t="s">
        <v>5413</v>
      </c>
      <c r="J1917" s="33">
        <v>115660</v>
      </c>
      <c r="K1917" s="33" t="s">
        <v>5414</v>
      </c>
      <c r="L1917" s="33" t="s">
        <v>5415</v>
      </c>
      <c r="M1917" s="33" t="s">
        <v>5416</v>
      </c>
      <c r="N1917" s="44">
        <v>42211505</v>
      </c>
      <c r="O1917" s="33" t="s">
        <v>5425</v>
      </c>
      <c r="P1917" s="33" t="s">
        <v>5426</v>
      </c>
      <c r="Q1917" s="34" t="s">
        <v>1494</v>
      </c>
      <c r="R1917" s="34" t="s">
        <v>1494</v>
      </c>
    </row>
    <row r="1918" spans="1:18" ht="15" customHeight="1" x14ac:dyDescent="0.25">
      <c r="A1918" t="str">
        <f>IFERROR(RANK(B1918,$B:$B,1)+COUNTIF($B$1:B1917,B1918),"")</f>
        <v/>
      </c>
      <c r="B1918" t="str">
        <f>IFERROR(SEARCH(#REF!,Table4[[#This Row],[Commodity Title]],1),"")</f>
        <v/>
      </c>
      <c r="C1918" s="35">
        <v>42211506</v>
      </c>
      <c r="D1918" s="33" t="s">
        <v>1495</v>
      </c>
      <c r="E1918" s="33" t="s">
        <v>1496</v>
      </c>
      <c r="F1918" s="33" t="s">
        <v>1497</v>
      </c>
      <c r="G1918" s="33" t="s">
        <v>5411</v>
      </c>
      <c r="H1918" s="33" t="s">
        <v>5412</v>
      </c>
      <c r="I1918" s="33" t="s">
        <v>5413</v>
      </c>
      <c r="J1918" s="33">
        <v>115661</v>
      </c>
      <c r="K1918" s="33" t="s">
        <v>5414</v>
      </c>
      <c r="L1918" s="33" t="s">
        <v>5415</v>
      </c>
      <c r="M1918" s="33" t="s">
        <v>5416</v>
      </c>
      <c r="N1918" s="44">
        <v>42211506</v>
      </c>
      <c r="O1918" s="33" t="s">
        <v>5427</v>
      </c>
      <c r="P1918" s="33" t="s">
        <v>5428</v>
      </c>
      <c r="Q1918" s="34" t="s">
        <v>1494</v>
      </c>
      <c r="R1918" s="34" t="s">
        <v>1494</v>
      </c>
    </row>
    <row r="1919" spans="1:18" ht="15" customHeight="1" x14ac:dyDescent="0.25">
      <c r="A1919" t="str">
        <f>IFERROR(RANK(B1919,$B:$B,1)+COUNTIF($B$1:B1918,B1919),"")</f>
        <v/>
      </c>
      <c r="B1919" t="str">
        <f>IFERROR(SEARCH(#REF!,Table4[[#This Row],[Commodity Title]],1),"")</f>
        <v/>
      </c>
      <c r="C1919" s="35">
        <v>42211507</v>
      </c>
      <c r="D1919" s="33" t="s">
        <v>1495</v>
      </c>
      <c r="E1919" s="33" t="s">
        <v>1496</v>
      </c>
      <c r="F1919" s="33" t="s">
        <v>1497</v>
      </c>
      <c r="G1919" s="33" t="s">
        <v>5411</v>
      </c>
      <c r="H1919" s="33" t="s">
        <v>5412</v>
      </c>
      <c r="I1919" s="33" t="s">
        <v>5413</v>
      </c>
      <c r="J1919" s="33">
        <v>115662</v>
      </c>
      <c r="K1919" s="33" t="s">
        <v>5414</v>
      </c>
      <c r="L1919" s="33" t="s">
        <v>5415</v>
      </c>
      <c r="M1919" s="33" t="s">
        <v>5416</v>
      </c>
      <c r="N1919" s="44">
        <v>42211507</v>
      </c>
      <c r="O1919" s="33" t="s">
        <v>5429</v>
      </c>
      <c r="P1919" s="33" t="s">
        <v>5430</v>
      </c>
      <c r="Q1919" s="34" t="s">
        <v>1494</v>
      </c>
      <c r="R1919" s="34" t="s">
        <v>1494</v>
      </c>
    </row>
    <row r="1920" spans="1:18" ht="15" customHeight="1" x14ac:dyDescent="0.25">
      <c r="A1920" t="str">
        <f>IFERROR(RANK(B1920,$B:$B,1)+COUNTIF($B$1:B1919,B1920),"")</f>
        <v/>
      </c>
      <c r="B1920" t="str">
        <f>IFERROR(SEARCH(#REF!,Table4[[#This Row],[Commodity Title]],1),"")</f>
        <v/>
      </c>
      <c r="C1920" s="35">
        <v>42211508</v>
      </c>
      <c r="D1920" s="33" t="s">
        <v>1495</v>
      </c>
      <c r="E1920" s="33" t="s">
        <v>1496</v>
      </c>
      <c r="F1920" s="33" t="s">
        <v>1497</v>
      </c>
      <c r="G1920" s="33" t="s">
        <v>5411</v>
      </c>
      <c r="H1920" s="33" t="s">
        <v>5412</v>
      </c>
      <c r="I1920" s="33" t="s">
        <v>5413</v>
      </c>
      <c r="J1920" s="33">
        <v>143848</v>
      </c>
      <c r="K1920" s="33" t="s">
        <v>5414</v>
      </c>
      <c r="L1920" s="33" t="s">
        <v>5415</v>
      </c>
      <c r="M1920" s="33" t="s">
        <v>5416</v>
      </c>
      <c r="N1920" s="44">
        <v>42211508</v>
      </c>
      <c r="O1920" s="33" t="s">
        <v>5431</v>
      </c>
      <c r="P1920" s="33" t="s">
        <v>5432</v>
      </c>
      <c r="Q1920" s="34" t="s">
        <v>1494</v>
      </c>
      <c r="R1920" s="34" t="s">
        <v>1494</v>
      </c>
    </row>
    <row r="1921" spans="1:18" ht="15" customHeight="1" x14ac:dyDescent="0.25">
      <c r="A1921" t="str">
        <f>IFERROR(RANK(B1921,$B:$B,1)+COUNTIF($B$1:B1920,B1921),"")</f>
        <v/>
      </c>
      <c r="B1921" t="str">
        <f>IFERROR(SEARCH(#REF!,Table4[[#This Row],[Commodity Title]],1),"")</f>
        <v/>
      </c>
      <c r="C1921" s="35">
        <v>42211509</v>
      </c>
      <c r="D1921" s="33" t="s">
        <v>1495</v>
      </c>
      <c r="E1921" s="33" t="s">
        <v>1496</v>
      </c>
      <c r="F1921" s="33" t="s">
        <v>1497</v>
      </c>
      <c r="G1921" s="33" t="s">
        <v>5411</v>
      </c>
      <c r="H1921" s="33" t="s">
        <v>5412</v>
      </c>
      <c r="I1921" s="33" t="s">
        <v>5413</v>
      </c>
      <c r="J1921" s="33">
        <v>143849</v>
      </c>
      <c r="K1921" s="33" t="s">
        <v>5414</v>
      </c>
      <c r="L1921" s="33" t="s">
        <v>5415</v>
      </c>
      <c r="M1921" s="33" t="s">
        <v>5416</v>
      </c>
      <c r="N1921" s="44">
        <v>42211509</v>
      </c>
      <c r="O1921" s="33" t="s">
        <v>5433</v>
      </c>
      <c r="P1921" s="33" t="s">
        <v>5434</v>
      </c>
      <c r="Q1921" s="34" t="s">
        <v>1494</v>
      </c>
      <c r="R1921" s="34" t="s">
        <v>1494</v>
      </c>
    </row>
    <row r="1922" spans="1:18" ht="15" customHeight="1" x14ac:dyDescent="0.25">
      <c r="A1922" t="str">
        <f>IFERROR(RANK(B1922,$B:$B,1)+COUNTIF($B$1:B1921,B1922),"")</f>
        <v/>
      </c>
      <c r="B1922" t="str">
        <f>IFERROR(SEARCH(#REF!,Table4[[#This Row],[Commodity Title]],1),"")</f>
        <v/>
      </c>
      <c r="C1922" s="35">
        <v>42211510</v>
      </c>
      <c r="D1922" s="33" t="s">
        <v>1495</v>
      </c>
      <c r="E1922" s="33" t="s">
        <v>1496</v>
      </c>
      <c r="F1922" s="33" t="s">
        <v>1497</v>
      </c>
      <c r="G1922" s="33" t="s">
        <v>5411</v>
      </c>
      <c r="H1922" s="33" t="s">
        <v>5412</v>
      </c>
      <c r="I1922" s="33" t="s">
        <v>5413</v>
      </c>
      <c r="J1922" s="33">
        <v>202914</v>
      </c>
      <c r="K1922" s="33" t="s">
        <v>5414</v>
      </c>
      <c r="L1922" s="33" t="s">
        <v>5415</v>
      </c>
      <c r="M1922" s="33" t="s">
        <v>5416</v>
      </c>
      <c r="N1922" s="44">
        <v>42211510</v>
      </c>
      <c r="O1922" s="33" t="s">
        <v>5435</v>
      </c>
      <c r="P1922" s="33" t="s">
        <v>5436</v>
      </c>
      <c r="Q1922" s="34" t="s">
        <v>1494</v>
      </c>
      <c r="R1922" s="34" t="s">
        <v>1494</v>
      </c>
    </row>
    <row r="1923" spans="1:18" ht="15" customHeight="1" x14ac:dyDescent="0.25">
      <c r="A1923" t="str">
        <f>IFERROR(RANK(B1923,$B:$B,1)+COUNTIF($B$1:B1922,B1923),"")</f>
        <v/>
      </c>
      <c r="B1923" t="str">
        <f>IFERROR(SEARCH(#REF!,Table4[[#This Row],[Commodity Title]],1),"")</f>
        <v/>
      </c>
      <c r="C1923" s="35">
        <v>42211511</v>
      </c>
      <c r="D1923" s="33" t="s">
        <v>1495</v>
      </c>
      <c r="E1923" s="33" t="s">
        <v>1496</v>
      </c>
      <c r="F1923" s="33" t="s">
        <v>1497</v>
      </c>
      <c r="G1923" s="33" t="s">
        <v>5411</v>
      </c>
      <c r="H1923" s="33" t="s">
        <v>5412</v>
      </c>
      <c r="I1923" s="33" t="s">
        <v>5413</v>
      </c>
      <c r="J1923" s="33">
        <v>202915</v>
      </c>
      <c r="K1923" s="33" t="s">
        <v>5414</v>
      </c>
      <c r="L1923" s="33" t="s">
        <v>5415</v>
      </c>
      <c r="M1923" s="33" t="s">
        <v>5416</v>
      </c>
      <c r="N1923" s="44">
        <v>42211511</v>
      </c>
      <c r="O1923" s="33" t="s">
        <v>5437</v>
      </c>
      <c r="P1923" s="33" t="s">
        <v>5438</v>
      </c>
      <c r="Q1923" s="34" t="s">
        <v>1494</v>
      </c>
      <c r="R1923" s="34" t="s">
        <v>1494</v>
      </c>
    </row>
    <row r="1924" spans="1:18" ht="15" customHeight="1" x14ac:dyDescent="0.25">
      <c r="A1924" t="str">
        <f>IFERROR(RANK(B1924,$B:$B,1)+COUNTIF($B$1:B1923,B1924),"")</f>
        <v/>
      </c>
      <c r="B1924" t="str">
        <f>IFERROR(SEARCH(#REF!,Table4[[#This Row],[Commodity Title]],1),"")</f>
        <v/>
      </c>
      <c r="C1924" s="35">
        <v>42211512</v>
      </c>
      <c r="D1924" s="33" t="s">
        <v>1495</v>
      </c>
      <c r="E1924" s="33" t="s">
        <v>1496</v>
      </c>
      <c r="F1924" s="33" t="s">
        <v>1497</v>
      </c>
      <c r="G1924" s="33" t="s">
        <v>5411</v>
      </c>
      <c r="H1924" s="33" t="s">
        <v>5412</v>
      </c>
      <c r="I1924" s="33" t="s">
        <v>5413</v>
      </c>
      <c r="J1924" s="33">
        <v>202916</v>
      </c>
      <c r="K1924" s="33" t="s">
        <v>5414</v>
      </c>
      <c r="L1924" s="33" t="s">
        <v>5415</v>
      </c>
      <c r="M1924" s="33" t="s">
        <v>5416</v>
      </c>
      <c r="N1924" s="44">
        <v>42211512</v>
      </c>
      <c r="O1924" s="33" t="s">
        <v>5439</v>
      </c>
      <c r="P1924" s="33" t="s">
        <v>5440</v>
      </c>
      <c r="Q1924" s="34" t="s">
        <v>1494</v>
      </c>
      <c r="R1924" s="34" t="s">
        <v>1494</v>
      </c>
    </row>
    <row r="1925" spans="1:18" ht="15" customHeight="1" x14ac:dyDescent="0.25">
      <c r="A1925" t="str">
        <f>IFERROR(RANK(B1925,$B:$B,1)+COUNTIF($B$1:B1924,B1925),"")</f>
        <v/>
      </c>
      <c r="B1925" t="str">
        <f>IFERROR(SEARCH(#REF!,Table4[[#This Row],[Commodity Title]],1),"")</f>
        <v/>
      </c>
      <c r="C1925" s="35">
        <v>42211513</v>
      </c>
      <c r="D1925" s="33" t="s">
        <v>1495</v>
      </c>
      <c r="E1925" s="33" t="s">
        <v>1496</v>
      </c>
      <c r="F1925" s="33" t="s">
        <v>1497</v>
      </c>
      <c r="G1925" s="33" t="s">
        <v>5411</v>
      </c>
      <c r="H1925" s="33" t="s">
        <v>5412</v>
      </c>
      <c r="I1925" s="33" t="s">
        <v>5413</v>
      </c>
      <c r="J1925" s="33">
        <v>202917</v>
      </c>
      <c r="K1925" s="33" t="s">
        <v>5414</v>
      </c>
      <c r="L1925" s="33" t="s">
        <v>5415</v>
      </c>
      <c r="M1925" s="33" t="s">
        <v>5416</v>
      </c>
      <c r="N1925" s="44">
        <v>42211513</v>
      </c>
      <c r="O1925" s="33" t="s">
        <v>5441</v>
      </c>
      <c r="P1925" s="33" t="s">
        <v>5442</v>
      </c>
      <c r="Q1925" s="34" t="s">
        <v>1494</v>
      </c>
      <c r="R1925" s="34" t="s">
        <v>1494</v>
      </c>
    </row>
    <row r="1926" spans="1:18" ht="15" customHeight="1" x14ac:dyDescent="0.25">
      <c r="A1926" t="str">
        <f>IFERROR(RANK(B1926,$B:$B,1)+COUNTIF($B$1:B1925,B1926),"")</f>
        <v/>
      </c>
      <c r="B1926" t="str">
        <f>IFERROR(SEARCH(#REF!,Table4[[#This Row],[Commodity Title]],1),"")</f>
        <v/>
      </c>
      <c r="C1926" s="35">
        <v>42211514</v>
      </c>
      <c r="D1926" s="33" t="s">
        <v>1495</v>
      </c>
      <c r="E1926" s="33" t="s">
        <v>1496</v>
      </c>
      <c r="F1926" s="33" t="s">
        <v>1497</v>
      </c>
      <c r="G1926" s="33" t="s">
        <v>5411</v>
      </c>
      <c r="H1926" s="33" t="s">
        <v>5412</v>
      </c>
      <c r="I1926" s="33" t="s">
        <v>5413</v>
      </c>
      <c r="J1926" s="33">
        <v>202918</v>
      </c>
      <c r="K1926" s="33" t="s">
        <v>5414</v>
      </c>
      <c r="L1926" s="33" t="s">
        <v>5415</v>
      </c>
      <c r="M1926" s="33" t="s">
        <v>5416</v>
      </c>
      <c r="N1926" s="44">
        <v>42211514</v>
      </c>
      <c r="O1926" s="33" t="s">
        <v>5443</v>
      </c>
      <c r="P1926" s="33" t="s">
        <v>5444</v>
      </c>
      <c r="Q1926" s="34" t="s">
        <v>1494</v>
      </c>
      <c r="R1926" s="34" t="s">
        <v>1494</v>
      </c>
    </row>
    <row r="1927" spans="1:18" ht="15" customHeight="1" x14ac:dyDescent="0.25">
      <c r="A1927" t="str">
        <f>IFERROR(RANK(B1927,$B:$B,1)+COUNTIF($B$1:B1926,B1927),"")</f>
        <v/>
      </c>
      <c r="B1927" t="str">
        <f>IFERROR(SEARCH(#REF!,Table4[[#This Row],[Commodity Title]],1),"")</f>
        <v/>
      </c>
      <c r="C1927" s="35">
        <v>42211515</v>
      </c>
      <c r="D1927" s="33" t="s">
        <v>1495</v>
      </c>
      <c r="E1927" s="33" t="s">
        <v>1496</v>
      </c>
      <c r="F1927" s="33" t="s">
        <v>1497</v>
      </c>
      <c r="G1927" s="33" t="s">
        <v>5411</v>
      </c>
      <c r="H1927" s="33" t="s">
        <v>5412</v>
      </c>
      <c r="I1927" s="33" t="s">
        <v>5413</v>
      </c>
      <c r="J1927" s="33">
        <v>202919</v>
      </c>
      <c r="K1927" s="33" t="s">
        <v>5414</v>
      </c>
      <c r="L1927" s="33" t="s">
        <v>5415</v>
      </c>
      <c r="M1927" s="33" t="s">
        <v>5416</v>
      </c>
      <c r="N1927" s="44">
        <v>42211515</v>
      </c>
      <c r="O1927" s="33" t="s">
        <v>5445</v>
      </c>
      <c r="P1927" s="33" t="s">
        <v>5446</v>
      </c>
      <c r="Q1927" s="34" t="s">
        <v>1494</v>
      </c>
      <c r="R1927" s="34" t="s">
        <v>1494</v>
      </c>
    </row>
    <row r="1928" spans="1:18" ht="15" customHeight="1" x14ac:dyDescent="0.25">
      <c r="A1928" t="str">
        <f>IFERROR(RANK(B1928,$B:$B,1)+COUNTIF($B$1:B1927,B1928),"")</f>
        <v/>
      </c>
      <c r="B1928" t="str">
        <f>IFERROR(SEARCH(#REF!,Table4[[#This Row],[Commodity Title]],1),"")</f>
        <v/>
      </c>
      <c r="C1928" s="33" t="s">
        <v>1494</v>
      </c>
      <c r="D1928" s="33" t="s">
        <v>1495</v>
      </c>
      <c r="E1928" s="33" t="s">
        <v>1496</v>
      </c>
      <c r="F1928" s="33" t="s">
        <v>1497</v>
      </c>
      <c r="G1928" s="33" t="s">
        <v>5411</v>
      </c>
      <c r="H1928" s="33" t="s">
        <v>5412</v>
      </c>
      <c r="I1928" s="33" t="s">
        <v>5413</v>
      </c>
      <c r="J1928" s="33">
        <v>115663</v>
      </c>
      <c r="K1928" s="33" t="s">
        <v>5447</v>
      </c>
      <c r="L1928" s="33" t="s">
        <v>5448</v>
      </c>
      <c r="M1928" s="33" t="s">
        <v>5449</v>
      </c>
      <c r="N1928" s="44" t="s">
        <v>1494</v>
      </c>
      <c r="O1928" s="33" t="s">
        <v>1494</v>
      </c>
      <c r="P1928" s="33" t="s">
        <v>1494</v>
      </c>
      <c r="Q1928" s="34" t="s">
        <v>1494</v>
      </c>
      <c r="R1928" s="34" t="s">
        <v>1494</v>
      </c>
    </row>
    <row r="1929" spans="1:18" ht="15" customHeight="1" x14ac:dyDescent="0.25">
      <c r="A1929" t="str">
        <f>IFERROR(RANK(B1929,$B:$B,1)+COUNTIF($B$1:B1928,B1929),"")</f>
        <v/>
      </c>
      <c r="B1929" t="str">
        <f>IFERROR(SEARCH(#REF!,Table4[[#This Row],[Commodity Title]],1),"")</f>
        <v/>
      </c>
      <c r="C1929" s="35">
        <v>42211601</v>
      </c>
      <c r="D1929" s="33" t="s">
        <v>1495</v>
      </c>
      <c r="E1929" s="33" t="s">
        <v>1496</v>
      </c>
      <c r="F1929" s="33" t="s">
        <v>1497</v>
      </c>
      <c r="G1929" s="33" t="s">
        <v>5411</v>
      </c>
      <c r="H1929" s="33" t="s">
        <v>5412</v>
      </c>
      <c r="I1929" s="33" t="s">
        <v>5413</v>
      </c>
      <c r="J1929" s="33">
        <v>115664</v>
      </c>
      <c r="K1929" s="33" t="s">
        <v>5447</v>
      </c>
      <c r="L1929" s="33" t="s">
        <v>5448</v>
      </c>
      <c r="M1929" s="33" t="s">
        <v>5449</v>
      </c>
      <c r="N1929" s="44">
        <v>42211601</v>
      </c>
      <c r="O1929" s="33" t="s">
        <v>5450</v>
      </c>
      <c r="P1929" s="33" t="s">
        <v>5451</v>
      </c>
      <c r="Q1929" s="34" t="s">
        <v>1494</v>
      </c>
      <c r="R1929" s="34" t="s">
        <v>1494</v>
      </c>
    </row>
    <row r="1930" spans="1:18" ht="15" customHeight="1" x14ac:dyDescent="0.25">
      <c r="A1930" t="str">
        <f>IFERROR(RANK(B1930,$B:$B,1)+COUNTIF($B$1:B1929,B1930),"")</f>
        <v/>
      </c>
      <c r="B1930" t="str">
        <f>IFERROR(SEARCH(#REF!,Table4[[#This Row],[Commodity Title]],1),"")</f>
        <v/>
      </c>
      <c r="C1930" s="35">
        <v>42211602</v>
      </c>
      <c r="D1930" s="33" t="s">
        <v>1495</v>
      </c>
      <c r="E1930" s="33" t="s">
        <v>1496</v>
      </c>
      <c r="F1930" s="33" t="s">
        <v>1497</v>
      </c>
      <c r="G1930" s="33" t="s">
        <v>5411</v>
      </c>
      <c r="H1930" s="33" t="s">
        <v>5412</v>
      </c>
      <c r="I1930" s="33" t="s">
        <v>5413</v>
      </c>
      <c r="J1930" s="33">
        <v>115665</v>
      </c>
      <c r="K1930" s="33" t="s">
        <v>5447</v>
      </c>
      <c r="L1930" s="33" t="s">
        <v>5448</v>
      </c>
      <c r="M1930" s="33" t="s">
        <v>5449</v>
      </c>
      <c r="N1930" s="44">
        <v>42211602</v>
      </c>
      <c r="O1930" s="33" t="s">
        <v>5452</v>
      </c>
      <c r="P1930" s="33" t="s">
        <v>5453</v>
      </c>
      <c r="Q1930" s="34" t="s">
        <v>1494</v>
      </c>
      <c r="R1930" s="34" t="s">
        <v>1494</v>
      </c>
    </row>
    <row r="1931" spans="1:18" ht="15" customHeight="1" x14ac:dyDescent="0.25">
      <c r="A1931" t="str">
        <f>IFERROR(RANK(B1931,$B:$B,1)+COUNTIF($B$1:B1930,B1931),"")</f>
        <v/>
      </c>
      <c r="B1931" t="str">
        <f>IFERROR(SEARCH(#REF!,Table4[[#This Row],[Commodity Title]],1),"")</f>
        <v/>
      </c>
      <c r="C1931" s="35">
        <v>42211603</v>
      </c>
      <c r="D1931" s="33" t="s">
        <v>1495</v>
      </c>
      <c r="E1931" s="33" t="s">
        <v>1496</v>
      </c>
      <c r="F1931" s="33" t="s">
        <v>1497</v>
      </c>
      <c r="G1931" s="33" t="s">
        <v>5411</v>
      </c>
      <c r="H1931" s="33" t="s">
        <v>5412</v>
      </c>
      <c r="I1931" s="33" t="s">
        <v>5413</v>
      </c>
      <c r="J1931" s="33">
        <v>115666</v>
      </c>
      <c r="K1931" s="33" t="s">
        <v>5447</v>
      </c>
      <c r="L1931" s="33" t="s">
        <v>5448</v>
      </c>
      <c r="M1931" s="33" t="s">
        <v>5449</v>
      </c>
      <c r="N1931" s="44">
        <v>42211603</v>
      </c>
      <c r="O1931" s="33" t="s">
        <v>5454</v>
      </c>
      <c r="P1931" s="33" t="s">
        <v>5455</v>
      </c>
      <c r="Q1931" s="34" t="s">
        <v>1494</v>
      </c>
      <c r="R1931" s="34" t="s">
        <v>1494</v>
      </c>
    </row>
    <row r="1932" spans="1:18" ht="15" customHeight="1" x14ac:dyDescent="0.25">
      <c r="A1932" t="str">
        <f>IFERROR(RANK(B1932,$B:$B,1)+COUNTIF($B$1:B1931,B1932),"")</f>
        <v/>
      </c>
      <c r="B1932" t="str">
        <f>IFERROR(SEARCH(#REF!,Table4[[#This Row],[Commodity Title]],1),"")</f>
        <v/>
      </c>
      <c r="C1932" s="35">
        <v>42211604</v>
      </c>
      <c r="D1932" s="33" t="s">
        <v>1495</v>
      </c>
      <c r="E1932" s="33" t="s">
        <v>1496</v>
      </c>
      <c r="F1932" s="33" t="s">
        <v>1497</v>
      </c>
      <c r="G1932" s="33" t="s">
        <v>5411</v>
      </c>
      <c r="H1932" s="33" t="s">
        <v>5412</v>
      </c>
      <c r="I1932" s="33" t="s">
        <v>5413</v>
      </c>
      <c r="J1932" s="33">
        <v>115667</v>
      </c>
      <c r="K1932" s="33" t="s">
        <v>5447</v>
      </c>
      <c r="L1932" s="33" t="s">
        <v>5448</v>
      </c>
      <c r="M1932" s="33" t="s">
        <v>5449</v>
      </c>
      <c r="N1932" s="44">
        <v>42211604</v>
      </c>
      <c r="O1932" s="33" t="s">
        <v>5456</v>
      </c>
      <c r="P1932" s="33" t="s">
        <v>5457</v>
      </c>
      <c r="Q1932" s="34" t="s">
        <v>1494</v>
      </c>
      <c r="R1932" s="34" t="s">
        <v>1494</v>
      </c>
    </row>
    <row r="1933" spans="1:18" ht="15" customHeight="1" x14ac:dyDescent="0.25">
      <c r="A1933" t="str">
        <f>IFERROR(RANK(B1933,$B:$B,1)+COUNTIF($B$1:B1932,B1933),"")</f>
        <v/>
      </c>
      <c r="B1933" t="str">
        <f>IFERROR(SEARCH(#REF!,Table4[[#This Row],[Commodity Title]],1),"")</f>
        <v/>
      </c>
      <c r="C1933" s="35">
        <v>42211605</v>
      </c>
      <c r="D1933" s="33" t="s">
        <v>1495</v>
      </c>
      <c r="E1933" s="33" t="s">
        <v>1496</v>
      </c>
      <c r="F1933" s="33" t="s">
        <v>1497</v>
      </c>
      <c r="G1933" s="33" t="s">
        <v>5411</v>
      </c>
      <c r="H1933" s="33" t="s">
        <v>5412</v>
      </c>
      <c r="I1933" s="33" t="s">
        <v>5413</v>
      </c>
      <c r="J1933" s="33">
        <v>115668</v>
      </c>
      <c r="K1933" s="33" t="s">
        <v>5447</v>
      </c>
      <c r="L1933" s="33" t="s">
        <v>5448</v>
      </c>
      <c r="M1933" s="33" t="s">
        <v>5449</v>
      </c>
      <c r="N1933" s="44">
        <v>42211605</v>
      </c>
      <c r="O1933" s="33" t="s">
        <v>5458</v>
      </c>
      <c r="P1933" s="33" t="s">
        <v>5459</v>
      </c>
      <c r="Q1933" s="34" t="s">
        <v>1494</v>
      </c>
      <c r="R1933" s="34" t="s">
        <v>1494</v>
      </c>
    </row>
    <row r="1934" spans="1:18" ht="15" customHeight="1" x14ac:dyDescent="0.25">
      <c r="A1934" t="str">
        <f>IFERROR(RANK(B1934,$B:$B,1)+COUNTIF($B$1:B1933,B1934),"")</f>
        <v/>
      </c>
      <c r="B1934" t="str">
        <f>IFERROR(SEARCH(#REF!,Table4[[#This Row],[Commodity Title]],1),"")</f>
        <v/>
      </c>
      <c r="C1934" s="35">
        <v>42211606</v>
      </c>
      <c r="D1934" s="33" t="s">
        <v>1495</v>
      </c>
      <c r="E1934" s="33" t="s">
        <v>1496</v>
      </c>
      <c r="F1934" s="33" t="s">
        <v>1497</v>
      </c>
      <c r="G1934" s="33" t="s">
        <v>5411</v>
      </c>
      <c r="H1934" s="33" t="s">
        <v>5412</v>
      </c>
      <c r="I1934" s="33" t="s">
        <v>5413</v>
      </c>
      <c r="J1934" s="33">
        <v>115669</v>
      </c>
      <c r="K1934" s="33" t="s">
        <v>5447</v>
      </c>
      <c r="L1934" s="33" t="s">
        <v>5448</v>
      </c>
      <c r="M1934" s="33" t="s">
        <v>5449</v>
      </c>
      <c r="N1934" s="44">
        <v>42211606</v>
      </c>
      <c r="O1934" s="33" t="s">
        <v>5460</v>
      </c>
      <c r="P1934" s="33" t="s">
        <v>5461</v>
      </c>
      <c r="Q1934" s="34" t="s">
        <v>1494</v>
      </c>
      <c r="R1934" s="34" t="s">
        <v>1494</v>
      </c>
    </row>
    <row r="1935" spans="1:18" ht="15" customHeight="1" x14ac:dyDescent="0.25">
      <c r="A1935" t="str">
        <f>IFERROR(RANK(B1935,$B:$B,1)+COUNTIF($B$1:B1934,B1935),"")</f>
        <v/>
      </c>
      <c r="B1935" t="str">
        <f>IFERROR(SEARCH(#REF!,Table4[[#This Row],[Commodity Title]],1),"")</f>
        <v/>
      </c>
      <c r="C1935" s="35">
        <v>42211607</v>
      </c>
      <c r="D1935" s="33" t="s">
        <v>1495</v>
      </c>
      <c r="E1935" s="33" t="s">
        <v>1496</v>
      </c>
      <c r="F1935" s="33" t="s">
        <v>1497</v>
      </c>
      <c r="G1935" s="33" t="s">
        <v>5411</v>
      </c>
      <c r="H1935" s="33" t="s">
        <v>5412</v>
      </c>
      <c r="I1935" s="33" t="s">
        <v>5413</v>
      </c>
      <c r="J1935" s="33">
        <v>115670</v>
      </c>
      <c r="K1935" s="33" t="s">
        <v>5447</v>
      </c>
      <c r="L1935" s="33" t="s">
        <v>5448</v>
      </c>
      <c r="M1935" s="33" t="s">
        <v>5449</v>
      </c>
      <c r="N1935" s="44">
        <v>42211607</v>
      </c>
      <c r="O1935" s="33" t="s">
        <v>5462</v>
      </c>
      <c r="P1935" s="33" t="s">
        <v>5463</v>
      </c>
      <c r="Q1935" s="34" t="s">
        <v>1494</v>
      </c>
      <c r="R1935" s="34" t="s">
        <v>1494</v>
      </c>
    </row>
    <row r="1936" spans="1:18" ht="15" customHeight="1" x14ac:dyDescent="0.25">
      <c r="A1936" t="str">
        <f>IFERROR(RANK(B1936,$B:$B,1)+COUNTIF($B$1:B1935,B1936),"")</f>
        <v/>
      </c>
      <c r="B1936" t="str">
        <f>IFERROR(SEARCH(#REF!,Table4[[#This Row],[Commodity Title]],1),"")</f>
        <v/>
      </c>
      <c r="C1936" s="35">
        <v>42211608</v>
      </c>
      <c r="D1936" s="33" t="s">
        <v>1495</v>
      </c>
      <c r="E1936" s="33" t="s">
        <v>1496</v>
      </c>
      <c r="F1936" s="33" t="s">
        <v>1497</v>
      </c>
      <c r="G1936" s="33" t="s">
        <v>5411</v>
      </c>
      <c r="H1936" s="33" t="s">
        <v>5412</v>
      </c>
      <c r="I1936" s="33" t="s">
        <v>5413</v>
      </c>
      <c r="J1936" s="33">
        <v>115671</v>
      </c>
      <c r="K1936" s="33" t="s">
        <v>5447</v>
      </c>
      <c r="L1936" s="33" t="s">
        <v>5448</v>
      </c>
      <c r="M1936" s="33" t="s">
        <v>5449</v>
      </c>
      <c r="N1936" s="44">
        <v>42211608</v>
      </c>
      <c r="O1936" s="33" t="s">
        <v>5464</v>
      </c>
      <c r="P1936" s="33" t="s">
        <v>5465</v>
      </c>
      <c r="Q1936" s="34" t="s">
        <v>1494</v>
      </c>
      <c r="R1936" s="34" t="s">
        <v>1494</v>
      </c>
    </row>
    <row r="1937" spans="1:18" ht="15" customHeight="1" x14ac:dyDescent="0.25">
      <c r="A1937" t="str">
        <f>IFERROR(RANK(B1937,$B:$B,1)+COUNTIF($B$1:B1936,B1937),"")</f>
        <v/>
      </c>
      <c r="B1937" t="str">
        <f>IFERROR(SEARCH(#REF!,Table4[[#This Row],[Commodity Title]],1),"")</f>
        <v/>
      </c>
      <c r="C1937" s="35">
        <v>42211610</v>
      </c>
      <c r="D1937" s="33" t="s">
        <v>1495</v>
      </c>
      <c r="E1937" s="33" t="s">
        <v>1496</v>
      </c>
      <c r="F1937" s="33" t="s">
        <v>1497</v>
      </c>
      <c r="G1937" s="33" t="s">
        <v>5411</v>
      </c>
      <c r="H1937" s="33" t="s">
        <v>5412</v>
      </c>
      <c r="I1937" s="33" t="s">
        <v>5413</v>
      </c>
      <c r="J1937" s="33">
        <v>115673</v>
      </c>
      <c r="K1937" s="33" t="s">
        <v>5447</v>
      </c>
      <c r="L1937" s="33" t="s">
        <v>5448</v>
      </c>
      <c r="M1937" s="33" t="s">
        <v>5449</v>
      </c>
      <c r="N1937" s="44">
        <v>42211610</v>
      </c>
      <c r="O1937" s="33" t="s">
        <v>5466</v>
      </c>
      <c r="P1937" s="33" t="s">
        <v>5467</v>
      </c>
      <c r="Q1937" s="34" t="s">
        <v>1494</v>
      </c>
      <c r="R1937" s="34" t="s">
        <v>1494</v>
      </c>
    </row>
    <row r="1938" spans="1:18" ht="15" customHeight="1" x14ac:dyDescent="0.25">
      <c r="A1938" t="str">
        <f>IFERROR(RANK(B1938,$B:$B,1)+COUNTIF($B$1:B1937,B1938),"")</f>
        <v/>
      </c>
      <c r="B1938" t="str">
        <f>IFERROR(SEARCH(#REF!,Table4[[#This Row],[Commodity Title]],1),"")</f>
        <v/>
      </c>
      <c r="C1938" s="35">
        <v>42211611</v>
      </c>
      <c r="D1938" s="33" t="s">
        <v>1495</v>
      </c>
      <c r="E1938" s="33" t="s">
        <v>1496</v>
      </c>
      <c r="F1938" s="33" t="s">
        <v>1497</v>
      </c>
      <c r="G1938" s="33" t="s">
        <v>5411</v>
      </c>
      <c r="H1938" s="33" t="s">
        <v>5412</v>
      </c>
      <c r="I1938" s="33" t="s">
        <v>5413</v>
      </c>
      <c r="J1938" s="33">
        <v>115674</v>
      </c>
      <c r="K1938" s="33" t="s">
        <v>5447</v>
      </c>
      <c r="L1938" s="33" t="s">
        <v>5448</v>
      </c>
      <c r="M1938" s="33" t="s">
        <v>5449</v>
      </c>
      <c r="N1938" s="44">
        <v>42211611</v>
      </c>
      <c r="O1938" s="33" t="s">
        <v>5468</v>
      </c>
      <c r="P1938" s="33" t="s">
        <v>5469</v>
      </c>
      <c r="Q1938" s="34" t="s">
        <v>1494</v>
      </c>
      <c r="R1938" s="34" t="s">
        <v>1494</v>
      </c>
    </row>
    <row r="1939" spans="1:18" ht="15" customHeight="1" x14ac:dyDescent="0.25">
      <c r="A1939" t="str">
        <f>IFERROR(RANK(B1939,$B:$B,1)+COUNTIF($B$1:B1938,B1939),"")</f>
        <v/>
      </c>
      <c r="B1939" t="str">
        <f>IFERROR(SEARCH(#REF!,Table4[[#This Row],[Commodity Title]],1),"")</f>
        <v/>
      </c>
      <c r="C1939" s="35">
        <v>42211612</v>
      </c>
      <c r="D1939" s="33" t="s">
        <v>1495</v>
      </c>
      <c r="E1939" s="33" t="s">
        <v>1496</v>
      </c>
      <c r="F1939" s="33" t="s">
        <v>1497</v>
      </c>
      <c r="G1939" s="33" t="s">
        <v>5411</v>
      </c>
      <c r="H1939" s="33" t="s">
        <v>5412</v>
      </c>
      <c r="I1939" s="33" t="s">
        <v>5413</v>
      </c>
      <c r="J1939" s="33">
        <v>115675</v>
      </c>
      <c r="K1939" s="33" t="s">
        <v>5447</v>
      </c>
      <c r="L1939" s="33" t="s">
        <v>5448</v>
      </c>
      <c r="M1939" s="33" t="s">
        <v>5449</v>
      </c>
      <c r="N1939" s="44">
        <v>42211612</v>
      </c>
      <c r="O1939" s="33" t="s">
        <v>5470</v>
      </c>
      <c r="P1939" s="33" t="s">
        <v>5471</v>
      </c>
      <c r="Q1939" s="34" t="s">
        <v>1494</v>
      </c>
      <c r="R1939" s="34" t="s">
        <v>1494</v>
      </c>
    </row>
    <row r="1940" spans="1:18" ht="15" customHeight="1" x14ac:dyDescent="0.25">
      <c r="A1940" t="str">
        <f>IFERROR(RANK(B1940,$B:$B,1)+COUNTIF($B$1:B1939,B1940),"")</f>
        <v/>
      </c>
      <c r="B1940" t="str">
        <f>IFERROR(SEARCH(#REF!,Table4[[#This Row],[Commodity Title]],1),"")</f>
        <v/>
      </c>
      <c r="C1940" s="35">
        <v>42211613</v>
      </c>
      <c r="D1940" s="33" t="s">
        <v>1495</v>
      </c>
      <c r="E1940" s="33" t="s">
        <v>1496</v>
      </c>
      <c r="F1940" s="33" t="s">
        <v>1497</v>
      </c>
      <c r="G1940" s="33" t="s">
        <v>5411</v>
      </c>
      <c r="H1940" s="33" t="s">
        <v>5412</v>
      </c>
      <c r="I1940" s="33" t="s">
        <v>5413</v>
      </c>
      <c r="J1940" s="33">
        <v>115676</v>
      </c>
      <c r="K1940" s="33" t="s">
        <v>5447</v>
      </c>
      <c r="L1940" s="33" t="s">
        <v>5448</v>
      </c>
      <c r="M1940" s="33" t="s">
        <v>5449</v>
      </c>
      <c r="N1940" s="44">
        <v>42211613</v>
      </c>
      <c r="O1940" s="33" t="s">
        <v>5472</v>
      </c>
      <c r="P1940" s="33" t="s">
        <v>5473</v>
      </c>
      <c r="Q1940" s="34" t="s">
        <v>1494</v>
      </c>
      <c r="R1940" s="34" t="s">
        <v>1494</v>
      </c>
    </row>
    <row r="1941" spans="1:18" ht="15" customHeight="1" x14ac:dyDescent="0.25">
      <c r="A1941" t="str">
        <f>IFERROR(RANK(B1941,$B:$B,1)+COUNTIF($B$1:B1940,B1941),"")</f>
        <v/>
      </c>
      <c r="B1941" t="str">
        <f>IFERROR(SEARCH(#REF!,Table4[[#This Row],[Commodity Title]],1),"")</f>
        <v/>
      </c>
      <c r="C1941" s="35">
        <v>42211614</v>
      </c>
      <c r="D1941" s="33" t="s">
        <v>1495</v>
      </c>
      <c r="E1941" s="33" t="s">
        <v>1496</v>
      </c>
      <c r="F1941" s="33" t="s">
        <v>1497</v>
      </c>
      <c r="G1941" s="33" t="s">
        <v>5411</v>
      </c>
      <c r="H1941" s="33" t="s">
        <v>5412</v>
      </c>
      <c r="I1941" s="33" t="s">
        <v>5413</v>
      </c>
      <c r="J1941" s="33">
        <v>104690</v>
      </c>
      <c r="K1941" s="33" t="s">
        <v>5447</v>
      </c>
      <c r="L1941" s="33" t="s">
        <v>5448</v>
      </c>
      <c r="M1941" s="33" t="s">
        <v>5449</v>
      </c>
      <c r="N1941" s="44">
        <v>42211614</v>
      </c>
      <c r="O1941" s="33" t="s">
        <v>5474</v>
      </c>
      <c r="P1941" s="33" t="s">
        <v>5475</v>
      </c>
      <c r="Q1941" s="34" t="s">
        <v>1494</v>
      </c>
      <c r="R1941" s="34" t="s">
        <v>1494</v>
      </c>
    </row>
    <row r="1942" spans="1:18" ht="15" customHeight="1" x14ac:dyDescent="0.25">
      <c r="A1942" t="str">
        <f>IFERROR(RANK(B1942,$B:$B,1)+COUNTIF($B$1:B1941,B1942),"")</f>
        <v/>
      </c>
      <c r="B1942" t="str">
        <f>IFERROR(SEARCH(#REF!,Table4[[#This Row],[Commodity Title]],1),"")</f>
        <v/>
      </c>
      <c r="C1942" s="35">
        <v>42211615</v>
      </c>
      <c r="D1942" s="33" t="s">
        <v>1495</v>
      </c>
      <c r="E1942" s="33" t="s">
        <v>1496</v>
      </c>
      <c r="F1942" s="33" t="s">
        <v>1497</v>
      </c>
      <c r="G1942" s="33" t="s">
        <v>5411</v>
      </c>
      <c r="H1942" s="33" t="s">
        <v>5412</v>
      </c>
      <c r="I1942" s="33" t="s">
        <v>5413</v>
      </c>
      <c r="J1942" s="33">
        <v>115678</v>
      </c>
      <c r="K1942" s="33" t="s">
        <v>5447</v>
      </c>
      <c r="L1942" s="33" t="s">
        <v>5448</v>
      </c>
      <c r="M1942" s="33" t="s">
        <v>5449</v>
      </c>
      <c r="N1942" s="44">
        <v>42211615</v>
      </c>
      <c r="O1942" s="33" t="s">
        <v>5476</v>
      </c>
      <c r="P1942" s="33" t="s">
        <v>5477</v>
      </c>
      <c r="Q1942" s="34" t="s">
        <v>1494</v>
      </c>
      <c r="R1942" s="34" t="s">
        <v>1494</v>
      </c>
    </row>
    <row r="1943" spans="1:18" ht="15" customHeight="1" x14ac:dyDescent="0.25">
      <c r="A1943" t="str">
        <f>IFERROR(RANK(B1943,$B:$B,1)+COUNTIF($B$1:B1942,B1943),"")</f>
        <v/>
      </c>
      <c r="B1943" t="str">
        <f>IFERROR(SEARCH(#REF!,Table4[[#This Row],[Commodity Title]],1),"")</f>
        <v/>
      </c>
      <c r="C1943" s="35">
        <v>42211616</v>
      </c>
      <c r="D1943" s="33" t="s">
        <v>1495</v>
      </c>
      <c r="E1943" s="33" t="s">
        <v>1496</v>
      </c>
      <c r="F1943" s="33" t="s">
        <v>1497</v>
      </c>
      <c r="G1943" s="33" t="s">
        <v>5411</v>
      </c>
      <c r="H1943" s="33" t="s">
        <v>5412</v>
      </c>
      <c r="I1943" s="33" t="s">
        <v>5413</v>
      </c>
      <c r="J1943" s="33">
        <v>115679</v>
      </c>
      <c r="K1943" s="33" t="s">
        <v>5447</v>
      </c>
      <c r="L1943" s="33" t="s">
        <v>5448</v>
      </c>
      <c r="M1943" s="33" t="s">
        <v>5449</v>
      </c>
      <c r="N1943" s="44">
        <v>42211616</v>
      </c>
      <c r="O1943" s="33" t="s">
        <v>5478</v>
      </c>
      <c r="P1943" s="33" t="s">
        <v>5479</v>
      </c>
      <c r="Q1943" s="34" t="s">
        <v>1494</v>
      </c>
      <c r="R1943" s="34" t="s">
        <v>1494</v>
      </c>
    </row>
    <row r="1944" spans="1:18" ht="15" customHeight="1" x14ac:dyDescent="0.25">
      <c r="A1944" t="str">
        <f>IFERROR(RANK(B1944,$B:$B,1)+COUNTIF($B$1:B1943,B1944),"")</f>
        <v/>
      </c>
      <c r="B1944" t="str">
        <f>IFERROR(SEARCH(#REF!,Table4[[#This Row],[Commodity Title]],1),"")</f>
        <v/>
      </c>
      <c r="C1944" s="35">
        <v>42211617</v>
      </c>
      <c r="D1944" s="33" t="s">
        <v>1495</v>
      </c>
      <c r="E1944" s="33" t="s">
        <v>1496</v>
      </c>
      <c r="F1944" s="33" t="s">
        <v>1497</v>
      </c>
      <c r="G1944" s="33" t="s">
        <v>5411</v>
      </c>
      <c r="H1944" s="33" t="s">
        <v>5412</v>
      </c>
      <c r="I1944" s="33" t="s">
        <v>5413</v>
      </c>
      <c r="J1944" s="33">
        <v>115680</v>
      </c>
      <c r="K1944" s="33" t="s">
        <v>5447</v>
      </c>
      <c r="L1944" s="33" t="s">
        <v>5448</v>
      </c>
      <c r="M1944" s="33" t="s">
        <v>5449</v>
      </c>
      <c r="N1944" s="44">
        <v>42211617</v>
      </c>
      <c r="O1944" s="33" t="s">
        <v>5480</v>
      </c>
      <c r="P1944" s="33" t="s">
        <v>5481</v>
      </c>
      <c r="Q1944" s="34" t="s">
        <v>1494</v>
      </c>
      <c r="R1944" s="34" t="s">
        <v>1494</v>
      </c>
    </row>
    <row r="1945" spans="1:18" ht="15" customHeight="1" x14ac:dyDescent="0.25">
      <c r="A1945" t="str">
        <f>IFERROR(RANK(B1945,$B:$B,1)+COUNTIF($B$1:B1944,B1945),"")</f>
        <v/>
      </c>
      <c r="B1945" t="str">
        <f>IFERROR(SEARCH(#REF!,Table4[[#This Row],[Commodity Title]],1),"")</f>
        <v/>
      </c>
      <c r="C1945" s="35">
        <v>42211618</v>
      </c>
      <c r="D1945" s="33" t="s">
        <v>1495</v>
      </c>
      <c r="E1945" s="33" t="s">
        <v>1496</v>
      </c>
      <c r="F1945" s="33" t="s">
        <v>1497</v>
      </c>
      <c r="G1945" s="33" t="s">
        <v>5411</v>
      </c>
      <c r="H1945" s="33" t="s">
        <v>5412</v>
      </c>
      <c r="I1945" s="33" t="s">
        <v>5413</v>
      </c>
      <c r="J1945" s="33">
        <v>142607</v>
      </c>
      <c r="K1945" s="33" t="s">
        <v>5447</v>
      </c>
      <c r="L1945" s="33" t="s">
        <v>5448</v>
      </c>
      <c r="M1945" s="33" t="s">
        <v>5449</v>
      </c>
      <c r="N1945" s="44">
        <v>42211618</v>
      </c>
      <c r="O1945" s="33" t="s">
        <v>5482</v>
      </c>
      <c r="P1945" s="33" t="s">
        <v>5483</v>
      </c>
      <c r="Q1945" s="34" t="s">
        <v>1494</v>
      </c>
      <c r="R1945" s="34" t="s">
        <v>1494</v>
      </c>
    </row>
    <row r="1946" spans="1:18" ht="15" customHeight="1" x14ac:dyDescent="0.25">
      <c r="A1946" t="str">
        <f>IFERROR(RANK(B1946,$B:$B,1)+COUNTIF($B$1:B1945,B1946),"")</f>
        <v/>
      </c>
      <c r="B1946" t="str">
        <f>IFERROR(SEARCH(#REF!,Table4[[#This Row],[Commodity Title]],1),"")</f>
        <v/>
      </c>
      <c r="C1946" s="35">
        <v>42211619</v>
      </c>
      <c r="D1946" s="33" t="s">
        <v>1495</v>
      </c>
      <c r="E1946" s="33" t="s">
        <v>1496</v>
      </c>
      <c r="F1946" s="33" t="s">
        <v>1497</v>
      </c>
      <c r="G1946" s="33" t="s">
        <v>5411</v>
      </c>
      <c r="H1946" s="33" t="s">
        <v>5412</v>
      </c>
      <c r="I1946" s="33" t="s">
        <v>5413</v>
      </c>
      <c r="J1946" s="33">
        <v>146127</v>
      </c>
      <c r="K1946" s="33" t="s">
        <v>5447</v>
      </c>
      <c r="L1946" s="33" t="s">
        <v>5448</v>
      </c>
      <c r="M1946" s="33" t="s">
        <v>5449</v>
      </c>
      <c r="N1946" s="44">
        <v>42211619</v>
      </c>
      <c r="O1946" s="33" t="s">
        <v>5484</v>
      </c>
      <c r="P1946" s="33" t="s">
        <v>5485</v>
      </c>
      <c r="Q1946" s="34" t="s">
        <v>1494</v>
      </c>
      <c r="R1946" s="34" t="s">
        <v>1494</v>
      </c>
    </row>
    <row r="1947" spans="1:18" ht="15" customHeight="1" x14ac:dyDescent="0.25">
      <c r="A1947" t="str">
        <f>IFERROR(RANK(B1947,$B:$B,1)+COUNTIF($B$1:B1946,B1947),"")</f>
        <v/>
      </c>
      <c r="B1947" t="str">
        <f>IFERROR(SEARCH(#REF!,Table4[[#This Row],[Commodity Title]],1),"")</f>
        <v/>
      </c>
      <c r="C1947" s="35">
        <v>42211620</v>
      </c>
      <c r="D1947" s="33" t="s">
        <v>1495</v>
      </c>
      <c r="E1947" s="33" t="s">
        <v>1496</v>
      </c>
      <c r="F1947" s="33" t="s">
        <v>1497</v>
      </c>
      <c r="G1947" s="33" t="s">
        <v>5411</v>
      </c>
      <c r="H1947" s="33" t="s">
        <v>5412</v>
      </c>
      <c r="I1947" s="33" t="s">
        <v>5413</v>
      </c>
      <c r="J1947" s="33">
        <v>146128</v>
      </c>
      <c r="K1947" s="33" t="s">
        <v>5447</v>
      </c>
      <c r="L1947" s="33" t="s">
        <v>5448</v>
      </c>
      <c r="M1947" s="33" t="s">
        <v>5449</v>
      </c>
      <c r="N1947" s="44">
        <v>42211620</v>
      </c>
      <c r="O1947" s="33" t="s">
        <v>5486</v>
      </c>
      <c r="P1947" s="33" t="s">
        <v>5487</v>
      </c>
      <c r="Q1947" s="34" t="s">
        <v>1494</v>
      </c>
      <c r="R1947" s="34" t="s">
        <v>1494</v>
      </c>
    </row>
    <row r="1948" spans="1:18" ht="15" customHeight="1" x14ac:dyDescent="0.25">
      <c r="A1948" t="str">
        <f>IFERROR(RANK(B1948,$B:$B,1)+COUNTIF($B$1:B1947,B1948),"")</f>
        <v/>
      </c>
      <c r="B1948" t="str">
        <f>IFERROR(SEARCH(#REF!,Table4[[#This Row],[Commodity Title]],1),"")</f>
        <v/>
      </c>
      <c r="C1948" s="35">
        <v>42211621</v>
      </c>
      <c r="D1948" s="33" t="s">
        <v>1495</v>
      </c>
      <c r="E1948" s="33" t="s">
        <v>1496</v>
      </c>
      <c r="F1948" s="33" t="s">
        <v>1497</v>
      </c>
      <c r="G1948" s="33" t="s">
        <v>5411</v>
      </c>
      <c r="H1948" s="33" t="s">
        <v>5412</v>
      </c>
      <c r="I1948" s="33" t="s">
        <v>5413</v>
      </c>
      <c r="J1948" s="33">
        <v>202920</v>
      </c>
      <c r="K1948" s="33" t="s">
        <v>5447</v>
      </c>
      <c r="L1948" s="33" t="s">
        <v>5448</v>
      </c>
      <c r="M1948" s="33" t="s">
        <v>5449</v>
      </c>
      <c r="N1948" s="44">
        <v>42211621</v>
      </c>
      <c r="O1948" s="33" t="s">
        <v>5488</v>
      </c>
      <c r="P1948" s="33" t="s">
        <v>5489</v>
      </c>
      <c r="Q1948" s="34" t="s">
        <v>1494</v>
      </c>
      <c r="R1948" s="34" t="s">
        <v>1494</v>
      </c>
    </row>
    <row r="1949" spans="1:18" ht="15" customHeight="1" x14ac:dyDescent="0.25">
      <c r="A1949" t="str">
        <f>IFERROR(RANK(B1949,$B:$B,1)+COUNTIF($B$1:B1948,B1949),"")</f>
        <v/>
      </c>
      <c r="B1949" t="str">
        <f>IFERROR(SEARCH(#REF!,Table4[[#This Row],[Commodity Title]],1),"")</f>
        <v/>
      </c>
      <c r="C1949" s="35">
        <v>42211622</v>
      </c>
      <c r="D1949" s="33" t="s">
        <v>1495</v>
      </c>
      <c r="E1949" s="33" t="s">
        <v>1496</v>
      </c>
      <c r="F1949" s="33" t="s">
        <v>1497</v>
      </c>
      <c r="G1949" s="33" t="s">
        <v>5411</v>
      </c>
      <c r="H1949" s="33" t="s">
        <v>5412</v>
      </c>
      <c r="I1949" s="33" t="s">
        <v>5413</v>
      </c>
      <c r="J1949" s="33">
        <v>202921</v>
      </c>
      <c r="K1949" s="33" t="s">
        <v>5447</v>
      </c>
      <c r="L1949" s="33" t="s">
        <v>5448</v>
      </c>
      <c r="M1949" s="33" t="s">
        <v>5449</v>
      </c>
      <c r="N1949" s="44">
        <v>42211622</v>
      </c>
      <c r="O1949" s="33" t="s">
        <v>5490</v>
      </c>
      <c r="P1949" s="33" t="s">
        <v>5491</v>
      </c>
      <c r="Q1949" s="34" t="s">
        <v>1494</v>
      </c>
      <c r="R1949" s="34" t="s">
        <v>1494</v>
      </c>
    </row>
    <row r="1950" spans="1:18" ht="15" customHeight="1" x14ac:dyDescent="0.25">
      <c r="A1950" t="str">
        <f>IFERROR(RANK(B1950,$B:$B,1)+COUNTIF($B$1:B1949,B1950),"")</f>
        <v/>
      </c>
      <c r="B1950" t="str">
        <f>IFERROR(SEARCH(#REF!,Table4[[#This Row],[Commodity Title]],1),"")</f>
        <v/>
      </c>
      <c r="C1950" s="33" t="s">
        <v>1494</v>
      </c>
      <c r="D1950" s="33" t="s">
        <v>1495</v>
      </c>
      <c r="E1950" s="33" t="s">
        <v>1496</v>
      </c>
      <c r="F1950" s="33" t="s">
        <v>1497</v>
      </c>
      <c r="G1950" s="33" t="s">
        <v>5411</v>
      </c>
      <c r="H1950" s="33" t="s">
        <v>5412</v>
      </c>
      <c r="I1950" s="33" t="s">
        <v>5413</v>
      </c>
      <c r="J1950" s="33">
        <v>115681</v>
      </c>
      <c r="K1950" s="33" t="s">
        <v>5492</v>
      </c>
      <c r="L1950" s="33" t="s">
        <v>5493</v>
      </c>
      <c r="M1950" s="33" t="s">
        <v>5494</v>
      </c>
      <c r="N1950" s="44" t="s">
        <v>1494</v>
      </c>
      <c r="O1950" s="33" t="s">
        <v>1494</v>
      </c>
      <c r="P1950" s="33" t="s">
        <v>1494</v>
      </c>
      <c r="Q1950" s="34" t="s">
        <v>1494</v>
      </c>
      <c r="R1950" s="34" t="s">
        <v>1494</v>
      </c>
    </row>
    <row r="1951" spans="1:18" ht="15" customHeight="1" x14ac:dyDescent="0.25">
      <c r="A1951" t="str">
        <f>IFERROR(RANK(B1951,$B:$B,1)+COUNTIF($B$1:B1950,B1951),"")</f>
        <v/>
      </c>
      <c r="B1951" t="str">
        <f>IFERROR(SEARCH(#REF!,Table4[[#This Row],[Commodity Title]],1),"")</f>
        <v/>
      </c>
      <c r="C1951" s="35">
        <v>42211701</v>
      </c>
      <c r="D1951" s="33" t="s">
        <v>1495</v>
      </c>
      <c r="E1951" s="33" t="s">
        <v>1496</v>
      </c>
      <c r="F1951" s="33" t="s">
        <v>1497</v>
      </c>
      <c r="G1951" s="33" t="s">
        <v>5411</v>
      </c>
      <c r="H1951" s="33" t="s">
        <v>5412</v>
      </c>
      <c r="I1951" s="33" t="s">
        <v>5413</v>
      </c>
      <c r="J1951" s="33">
        <v>115682</v>
      </c>
      <c r="K1951" s="33" t="s">
        <v>5492</v>
      </c>
      <c r="L1951" s="33" t="s">
        <v>5493</v>
      </c>
      <c r="M1951" s="33" t="s">
        <v>5494</v>
      </c>
      <c r="N1951" s="44">
        <v>42211701</v>
      </c>
      <c r="O1951" s="33" t="s">
        <v>5495</v>
      </c>
      <c r="P1951" s="33" t="s">
        <v>5496</v>
      </c>
      <c r="Q1951" s="34" t="s">
        <v>1494</v>
      </c>
      <c r="R1951" s="34" t="s">
        <v>1494</v>
      </c>
    </row>
    <row r="1952" spans="1:18" ht="15" customHeight="1" x14ac:dyDescent="0.25">
      <c r="A1952" t="str">
        <f>IFERROR(RANK(B1952,$B:$B,1)+COUNTIF($B$1:B1951,B1952),"")</f>
        <v/>
      </c>
      <c r="B1952" t="str">
        <f>IFERROR(SEARCH(#REF!,Table4[[#This Row],[Commodity Title]],1),"")</f>
        <v/>
      </c>
      <c r="C1952" s="35">
        <v>42211702</v>
      </c>
      <c r="D1952" s="33" t="s">
        <v>1495</v>
      </c>
      <c r="E1952" s="33" t="s">
        <v>1496</v>
      </c>
      <c r="F1952" s="33" t="s">
        <v>1497</v>
      </c>
      <c r="G1952" s="33" t="s">
        <v>5411</v>
      </c>
      <c r="H1952" s="33" t="s">
        <v>5412</v>
      </c>
      <c r="I1952" s="33" t="s">
        <v>5413</v>
      </c>
      <c r="J1952" s="33">
        <v>104658</v>
      </c>
      <c r="K1952" s="33" t="s">
        <v>5492</v>
      </c>
      <c r="L1952" s="33" t="s">
        <v>5493</v>
      </c>
      <c r="M1952" s="33" t="s">
        <v>5494</v>
      </c>
      <c r="N1952" s="44">
        <v>42211702</v>
      </c>
      <c r="O1952" s="33" t="s">
        <v>5497</v>
      </c>
      <c r="P1952" s="33" t="s">
        <v>5498</v>
      </c>
      <c r="Q1952" s="34" t="s">
        <v>1494</v>
      </c>
      <c r="R1952" s="34" t="s">
        <v>1494</v>
      </c>
    </row>
    <row r="1953" spans="1:18" ht="15" customHeight="1" x14ac:dyDescent="0.25">
      <c r="A1953" t="str">
        <f>IFERROR(RANK(B1953,$B:$B,1)+COUNTIF($B$1:B1952,B1953),"")</f>
        <v/>
      </c>
      <c r="B1953" t="str">
        <f>IFERROR(SEARCH(#REF!,Table4[[#This Row],[Commodity Title]],1),"")</f>
        <v/>
      </c>
      <c r="C1953" s="35">
        <v>42211703</v>
      </c>
      <c r="D1953" s="33" t="s">
        <v>1495</v>
      </c>
      <c r="E1953" s="33" t="s">
        <v>1496</v>
      </c>
      <c r="F1953" s="33" t="s">
        <v>1497</v>
      </c>
      <c r="G1953" s="33" t="s">
        <v>5411</v>
      </c>
      <c r="H1953" s="33" t="s">
        <v>5412</v>
      </c>
      <c r="I1953" s="33" t="s">
        <v>5413</v>
      </c>
      <c r="J1953" s="33">
        <v>104642</v>
      </c>
      <c r="K1953" s="33" t="s">
        <v>5492</v>
      </c>
      <c r="L1953" s="33" t="s">
        <v>5493</v>
      </c>
      <c r="M1953" s="33" t="s">
        <v>5494</v>
      </c>
      <c r="N1953" s="44">
        <v>42211703</v>
      </c>
      <c r="O1953" s="33" t="s">
        <v>5499</v>
      </c>
      <c r="P1953" s="33" t="s">
        <v>5500</v>
      </c>
      <c r="Q1953" s="34" t="s">
        <v>1494</v>
      </c>
      <c r="R1953" s="34" t="s">
        <v>1494</v>
      </c>
    </row>
    <row r="1954" spans="1:18" ht="15" customHeight="1" x14ac:dyDescent="0.25">
      <c r="A1954" t="str">
        <f>IFERROR(RANK(B1954,$B:$B,1)+COUNTIF($B$1:B1953,B1954),"")</f>
        <v/>
      </c>
      <c r="B1954" t="str">
        <f>IFERROR(SEARCH(#REF!,Table4[[#This Row],[Commodity Title]],1),"")</f>
        <v/>
      </c>
      <c r="C1954" s="35">
        <v>42211704</v>
      </c>
      <c r="D1954" s="33" t="s">
        <v>1495</v>
      </c>
      <c r="E1954" s="33" t="s">
        <v>1496</v>
      </c>
      <c r="F1954" s="33" t="s">
        <v>1497</v>
      </c>
      <c r="G1954" s="33" t="s">
        <v>5411</v>
      </c>
      <c r="H1954" s="33" t="s">
        <v>5412</v>
      </c>
      <c r="I1954" s="33" t="s">
        <v>5413</v>
      </c>
      <c r="J1954" s="33">
        <v>115685</v>
      </c>
      <c r="K1954" s="33" t="s">
        <v>5492</v>
      </c>
      <c r="L1954" s="33" t="s">
        <v>5493</v>
      </c>
      <c r="M1954" s="33" t="s">
        <v>5494</v>
      </c>
      <c r="N1954" s="44">
        <v>42211704</v>
      </c>
      <c r="O1954" s="33" t="s">
        <v>5501</v>
      </c>
      <c r="P1954" s="33" t="s">
        <v>5502</v>
      </c>
      <c r="Q1954" s="34" t="s">
        <v>1494</v>
      </c>
      <c r="R1954" s="34" t="s">
        <v>1494</v>
      </c>
    </row>
    <row r="1955" spans="1:18" ht="15" customHeight="1" x14ac:dyDescent="0.25">
      <c r="A1955" t="str">
        <f>IFERROR(RANK(B1955,$B:$B,1)+COUNTIF($B$1:B1954,B1955),"")</f>
        <v/>
      </c>
      <c r="B1955" t="str">
        <f>IFERROR(SEARCH(#REF!,Table4[[#This Row],[Commodity Title]],1),"")</f>
        <v/>
      </c>
      <c r="C1955" s="35">
        <v>42211705</v>
      </c>
      <c r="D1955" s="33" t="s">
        <v>1495</v>
      </c>
      <c r="E1955" s="33" t="s">
        <v>1496</v>
      </c>
      <c r="F1955" s="33" t="s">
        <v>1497</v>
      </c>
      <c r="G1955" s="33" t="s">
        <v>5411</v>
      </c>
      <c r="H1955" s="33" t="s">
        <v>5412</v>
      </c>
      <c r="I1955" s="33" t="s">
        <v>5413</v>
      </c>
      <c r="J1955" s="33">
        <v>115686</v>
      </c>
      <c r="K1955" s="33" t="s">
        <v>5492</v>
      </c>
      <c r="L1955" s="33" t="s">
        <v>5493</v>
      </c>
      <c r="M1955" s="33" t="s">
        <v>5494</v>
      </c>
      <c r="N1955" s="44">
        <v>42211705</v>
      </c>
      <c r="O1955" s="33" t="s">
        <v>5503</v>
      </c>
      <c r="P1955" s="33" t="s">
        <v>5504</v>
      </c>
      <c r="Q1955" s="34" t="s">
        <v>1494</v>
      </c>
      <c r="R1955" s="34" t="s">
        <v>1494</v>
      </c>
    </row>
    <row r="1956" spans="1:18" ht="15" customHeight="1" x14ac:dyDescent="0.25">
      <c r="A1956" t="str">
        <f>IFERROR(RANK(B1956,$B:$B,1)+COUNTIF($B$1:B1955,B1956),"")</f>
        <v/>
      </c>
      <c r="B1956" t="str">
        <f>IFERROR(SEARCH(#REF!,Table4[[#This Row],[Commodity Title]],1),"")</f>
        <v/>
      </c>
      <c r="C1956" s="35">
        <v>42211706</v>
      </c>
      <c r="D1956" s="33" t="s">
        <v>1495</v>
      </c>
      <c r="E1956" s="33" t="s">
        <v>1496</v>
      </c>
      <c r="F1956" s="33" t="s">
        <v>1497</v>
      </c>
      <c r="G1956" s="33" t="s">
        <v>5411</v>
      </c>
      <c r="H1956" s="33" t="s">
        <v>5412</v>
      </c>
      <c r="I1956" s="33" t="s">
        <v>5413</v>
      </c>
      <c r="J1956" s="33">
        <v>104647</v>
      </c>
      <c r="K1956" s="33" t="s">
        <v>5492</v>
      </c>
      <c r="L1956" s="33" t="s">
        <v>5493</v>
      </c>
      <c r="M1956" s="33" t="s">
        <v>5494</v>
      </c>
      <c r="N1956" s="44">
        <v>42211706</v>
      </c>
      <c r="O1956" s="33" t="s">
        <v>5505</v>
      </c>
      <c r="P1956" s="33" t="s">
        <v>5506</v>
      </c>
      <c r="Q1956" s="34" t="s">
        <v>1494</v>
      </c>
      <c r="R1956" s="34" t="s">
        <v>1494</v>
      </c>
    </row>
    <row r="1957" spans="1:18" ht="15" customHeight="1" x14ac:dyDescent="0.25">
      <c r="A1957" t="str">
        <f>IFERROR(RANK(B1957,$B:$B,1)+COUNTIF($B$1:B1956,B1957),"")</f>
        <v/>
      </c>
      <c r="B1957" t="str">
        <f>IFERROR(SEARCH(#REF!,Table4[[#This Row],[Commodity Title]],1),"")</f>
        <v/>
      </c>
      <c r="C1957" s="35">
        <v>42211707</v>
      </c>
      <c r="D1957" s="33" t="s">
        <v>1495</v>
      </c>
      <c r="E1957" s="33" t="s">
        <v>1496</v>
      </c>
      <c r="F1957" s="33" t="s">
        <v>1497</v>
      </c>
      <c r="G1957" s="33" t="s">
        <v>5411</v>
      </c>
      <c r="H1957" s="33" t="s">
        <v>5412</v>
      </c>
      <c r="I1957" s="33" t="s">
        <v>5413</v>
      </c>
      <c r="J1957" s="33">
        <v>115688</v>
      </c>
      <c r="K1957" s="33" t="s">
        <v>5492</v>
      </c>
      <c r="L1957" s="33" t="s">
        <v>5493</v>
      </c>
      <c r="M1957" s="33" t="s">
        <v>5494</v>
      </c>
      <c r="N1957" s="44">
        <v>42211707</v>
      </c>
      <c r="O1957" s="33" t="s">
        <v>5507</v>
      </c>
      <c r="P1957" s="33" t="s">
        <v>5508</v>
      </c>
      <c r="Q1957" s="34" t="s">
        <v>1494</v>
      </c>
      <c r="R1957" s="34" t="s">
        <v>1494</v>
      </c>
    </row>
    <row r="1958" spans="1:18" ht="15" customHeight="1" x14ac:dyDescent="0.25">
      <c r="A1958" t="str">
        <f>IFERROR(RANK(B1958,$B:$B,1)+COUNTIF($B$1:B1957,B1958),"")</f>
        <v/>
      </c>
      <c r="B1958" t="str">
        <f>IFERROR(SEARCH(#REF!,Table4[[#This Row],[Commodity Title]],1),"")</f>
        <v/>
      </c>
      <c r="C1958" s="35">
        <v>42211708</v>
      </c>
      <c r="D1958" s="33" t="s">
        <v>1495</v>
      </c>
      <c r="E1958" s="33" t="s">
        <v>1496</v>
      </c>
      <c r="F1958" s="33" t="s">
        <v>1497</v>
      </c>
      <c r="G1958" s="33" t="s">
        <v>5411</v>
      </c>
      <c r="H1958" s="33" t="s">
        <v>5412</v>
      </c>
      <c r="I1958" s="33" t="s">
        <v>5413</v>
      </c>
      <c r="J1958" s="33">
        <v>115689</v>
      </c>
      <c r="K1958" s="33" t="s">
        <v>5492</v>
      </c>
      <c r="L1958" s="33" t="s">
        <v>5493</v>
      </c>
      <c r="M1958" s="33" t="s">
        <v>5494</v>
      </c>
      <c r="N1958" s="44">
        <v>42211708</v>
      </c>
      <c r="O1958" s="33" t="s">
        <v>5509</v>
      </c>
      <c r="P1958" s="33" t="s">
        <v>5510</v>
      </c>
      <c r="Q1958" s="34" t="s">
        <v>1494</v>
      </c>
      <c r="R1958" s="34" t="s">
        <v>1494</v>
      </c>
    </row>
    <row r="1959" spans="1:18" ht="15" customHeight="1" x14ac:dyDescent="0.25">
      <c r="A1959" t="str">
        <f>IFERROR(RANK(B1959,$B:$B,1)+COUNTIF($B$1:B1958,B1959),"")</f>
        <v/>
      </c>
      <c r="B1959" t="str">
        <f>IFERROR(SEARCH(#REF!,Table4[[#This Row],[Commodity Title]],1),"")</f>
        <v/>
      </c>
      <c r="C1959" s="35">
        <v>42211709</v>
      </c>
      <c r="D1959" s="33" t="s">
        <v>1495</v>
      </c>
      <c r="E1959" s="33" t="s">
        <v>1496</v>
      </c>
      <c r="F1959" s="33" t="s">
        <v>1497</v>
      </c>
      <c r="G1959" s="33" t="s">
        <v>5411</v>
      </c>
      <c r="H1959" s="33" t="s">
        <v>5412</v>
      </c>
      <c r="I1959" s="33" t="s">
        <v>5413</v>
      </c>
      <c r="J1959" s="33">
        <v>115690</v>
      </c>
      <c r="K1959" s="33" t="s">
        <v>5492</v>
      </c>
      <c r="L1959" s="33" t="s">
        <v>5493</v>
      </c>
      <c r="M1959" s="33" t="s">
        <v>5494</v>
      </c>
      <c r="N1959" s="44">
        <v>42211709</v>
      </c>
      <c r="O1959" s="33" t="s">
        <v>5511</v>
      </c>
      <c r="P1959" s="33" t="s">
        <v>5512</v>
      </c>
      <c r="Q1959" s="34" t="s">
        <v>1494</v>
      </c>
      <c r="R1959" s="34" t="s">
        <v>1494</v>
      </c>
    </row>
    <row r="1960" spans="1:18" ht="15" customHeight="1" x14ac:dyDescent="0.25">
      <c r="A1960" t="str">
        <f>IFERROR(RANK(B1960,$B:$B,1)+COUNTIF($B$1:B1959,B1960),"")</f>
        <v/>
      </c>
      <c r="B1960" t="str">
        <f>IFERROR(SEARCH(#REF!,Table4[[#This Row],[Commodity Title]],1),"")</f>
        <v/>
      </c>
      <c r="C1960" s="35">
        <v>42211710</v>
      </c>
      <c r="D1960" s="33" t="s">
        <v>1495</v>
      </c>
      <c r="E1960" s="33" t="s">
        <v>1496</v>
      </c>
      <c r="F1960" s="33" t="s">
        <v>1497</v>
      </c>
      <c r="G1960" s="33" t="s">
        <v>5411</v>
      </c>
      <c r="H1960" s="33" t="s">
        <v>5412</v>
      </c>
      <c r="I1960" s="33" t="s">
        <v>5413</v>
      </c>
      <c r="J1960" s="33">
        <v>115691</v>
      </c>
      <c r="K1960" s="33" t="s">
        <v>5492</v>
      </c>
      <c r="L1960" s="33" t="s">
        <v>5493</v>
      </c>
      <c r="M1960" s="33" t="s">
        <v>5494</v>
      </c>
      <c r="N1960" s="44">
        <v>42211710</v>
      </c>
      <c r="O1960" s="33" t="s">
        <v>5513</v>
      </c>
      <c r="P1960" s="33" t="s">
        <v>5514</v>
      </c>
      <c r="Q1960" s="34" t="s">
        <v>1494</v>
      </c>
      <c r="R1960" s="34" t="s">
        <v>1494</v>
      </c>
    </row>
    <row r="1961" spans="1:18" ht="15" customHeight="1" x14ac:dyDescent="0.25">
      <c r="A1961" t="str">
        <f>IFERROR(RANK(B1961,$B:$B,1)+COUNTIF($B$1:B1960,B1961),"")</f>
        <v/>
      </c>
      <c r="B1961" t="str">
        <f>IFERROR(SEARCH(#REF!,Table4[[#This Row],[Commodity Title]],1),"")</f>
        <v/>
      </c>
      <c r="C1961" s="35">
        <v>42211711</v>
      </c>
      <c r="D1961" s="33" t="s">
        <v>1495</v>
      </c>
      <c r="E1961" s="33" t="s">
        <v>1496</v>
      </c>
      <c r="F1961" s="33" t="s">
        <v>1497</v>
      </c>
      <c r="G1961" s="33" t="s">
        <v>5411</v>
      </c>
      <c r="H1961" s="33" t="s">
        <v>5412</v>
      </c>
      <c r="I1961" s="33" t="s">
        <v>5413</v>
      </c>
      <c r="J1961" s="33">
        <v>104645</v>
      </c>
      <c r="K1961" s="33" t="s">
        <v>5492</v>
      </c>
      <c r="L1961" s="33" t="s">
        <v>5493</v>
      </c>
      <c r="M1961" s="33" t="s">
        <v>5494</v>
      </c>
      <c r="N1961" s="44">
        <v>42211711</v>
      </c>
      <c r="O1961" s="33" t="s">
        <v>5515</v>
      </c>
      <c r="P1961" s="33" t="s">
        <v>5516</v>
      </c>
      <c r="Q1961" s="34" t="s">
        <v>1494</v>
      </c>
      <c r="R1961" s="34" t="s">
        <v>1494</v>
      </c>
    </row>
    <row r="1962" spans="1:18" ht="15" customHeight="1" x14ac:dyDescent="0.25">
      <c r="A1962" t="str">
        <f>IFERROR(RANK(B1962,$B:$B,1)+COUNTIF($B$1:B1961,B1962),"")</f>
        <v/>
      </c>
      <c r="B1962" t="str">
        <f>IFERROR(SEARCH(#REF!,Table4[[#This Row],[Commodity Title]],1),"")</f>
        <v/>
      </c>
      <c r="C1962" s="35">
        <v>42211712</v>
      </c>
      <c r="D1962" s="33" t="s">
        <v>1495</v>
      </c>
      <c r="E1962" s="33" t="s">
        <v>1496</v>
      </c>
      <c r="F1962" s="33" t="s">
        <v>1497</v>
      </c>
      <c r="G1962" s="33" t="s">
        <v>5411</v>
      </c>
      <c r="H1962" s="33" t="s">
        <v>5412</v>
      </c>
      <c r="I1962" s="33" t="s">
        <v>5413</v>
      </c>
      <c r="J1962" s="33">
        <v>142606</v>
      </c>
      <c r="K1962" s="33" t="s">
        <v>5492</v>
      </c>
      <c r="L1962" s="33" t="s">
        <v>5493</v>
      </c>
      <c r="M1962" s="33" t="s">
        <v>5494</v>
      </c>
      <c r="N1962" s="44">
        <v>42211712</v>
      </c>
      <c r="O1962" s="33" t="s">
        <v>5517</v>
      </c>
      <c r="P1962" s="33" t="s">
        <v>5518</v>
      </c>
      <c r="Q1962" s="34" t="s">
        <v>1494</v>
      </c>
      <c r="R1962" s="34" t="s">
        <v>1494</v>
      </c>
    </row>
    <row r="1963" spans="1:18" ht="15" customHeight="1" x14ac:dyDescent="0.25">
      <c r="A1963" t="str">
        <f>IFERROR(RANK(B1963,$B:$B,1)+COUNTIF($B$1:B1962,B1963),"")</f>
        <v/>
      </c>
      <c r="B1963" t="str">
        <f>IFERROR(SEARCH(#REF!,Table4[[#This Row],[Commodity Title]],1),"")</f>
        <v/>
      </c>
      <c r="C1963" s="35">
        <v>42211713</v>
      </c>
      <c r="D1963" s="33" t="s">
        <v>1495</v>
      </c>
      <c r="E1963" s="33" t="s">
        <v>1496</v>
      </c>
      <c r="F1963" s="33" t="s">
        <v>1497</v>
      </c>
      <c r="G1963" s="33" t="s">
        <v>5411</v>
      </c>
      <c r="H1963" s="33" t="s">
        <v>5412</v>
      </c>
      <c r="I1963" s="33" t="s">
        <v>5413</v>
      </c>
      <c r="J1963" s="33">
        <v>202922</v>
      </c>
      <c r="K1963" s="33" t="s">
        <v>5492</v>
      </c>
      <c r="L1963" s="33" t="s">
        <v>5493</v>
      </c>
      <c r="M1963" s="33" t="s">
        <v>5494</v>
      </c>
      <c r="N1963" s="44">
        <v>42211713</v>
      </c>
      <c r="O1963" s="33" t="s">
        <v>5519</v>
      </c>
      <c r="P1963" s="33" t="s">
        <v>5520</v>
      </c>
      <c r="Q1963" s="34" t="s">
        <v>1494</v>
      </c>
      <c r="R1963" s="34" t="s">
        <v>1494</v>
      </c>
    </row>
    <row r="1964" spans="1:18" ht="15" customHeight="1" x14ac:dyDescent="0.25">
      <c r="A1964" t="str">
        <f>IFERROR(RANK(B1964,$B:$B,1)+COUNTIF($B$1:B1963,B1964),"")</f>
        <v/>
      </c>
      <c r="B1964" t="str">
        <f>IFERROR(SEARCH(#REF!,Table4[[#This Row],[Commodity Title]],1),"")</f>
        <v/>
      </c>
      <c r="C1964" s="35">
        <v>42211714</v>
      </c>
      <c r="D1964" s="33" t="s">
        <v>1495</v>
      </c>
      <c r="E1964" s="33" t="s">
        <v>1496</v>
      </c>
      <c r="F1964" s="33" t="s">
        <v>1497</v>
      </c>
      <c r="G1964" s="33" t="s">
        <v>5411</v>
      </c>
      <c r="H1964" s="33" t="s">
        <v>5412</v>
      </c>
      <c r="I1964" s="33" t="s">
        <v>5413</v>
      </c>
      <c r="J1964" s="33">
        <v>202923</v>
      </c>
      <c r="K1964" s="33" t="s">
        <v>5492</v>
      </c>
      <c r="L1964" s="33" t="s">
        <v>5493</v>
      </c>
      <c r="M1964" s="33" t="s">
        <v>5494</v>
      </c>
      <c r="N1964" s="44">
        <v>42211714</v>
      </c>
      <c r="O1964" s="33" t="s">
        <v>5521</v>
      </c>
      <c r="P1964" s="33" t="s">
        <v>5522</v>
      </c>
      <c r="Q1964" s="34" t="s">
        <v>1494</v>
      </c>
      <c r="R1964" s="34" t="s">
        <v>1494</v>
      </c>
    </row>
    <row r="1965" spans="1:18" ht="15" customHeight="1" x14ac:dyDescent="0.25">
      <c r="A1965" t="str">
        <f>IFERROR(RANK(B1965,$B:$B,1)+COUNTIF($B$1:B1964,B1965),"")</f>
        <v/>
      </c>
      <c r="B1965" t="str">
        <f>IFERROR(SEARCH(#REF!,Table4[[#This Row],[Commodity Title]],1),"")</f>
        <v/>
      </c>
      <c r="C1965" s="35">
        <v>42211715</v>
      </c>
      <c r="D1965" s="33" t="s">
        <v>1495</v>
      </c>
      <c r="E1965" s="33" t="s">
        <v>1496</v>
      </c>
      <c r="F1965" s="33" t="s">
        <v>1497</v>
      </c>
      <c r="G1965" s="33" t="s">
        <v>5411</v>
      </c>
      <c r="H1965" s="33" t="s">
        <v>5412</v>
      </c>
      <c r="I1965" s="33" t="s">
        <v>5413</v>
      </c>
      <c r="J1965" s="33">
        <v>202924</v>
      </c>
      <c r="K1965" s="33" t="s">
        <v>5492</v>
      </c>
      <c r="L1965" s="33" t="s">
        <v>5493</v>
      </c>
      <c r="M1965" s="33" t="s">
        <v>5494</v>
      </c>
      <c r="N1965" s="44">
        <v>42211715</v>
      </c>
      <c r="O1965" s="33" t="s">
        <v>5523</v>
      </c>
      <c r="P1965" s="33" t="s">
        <v>5524</v>
      </c>
      <c r="Q1965" s="34" t="s">
        <v>1494</v>
      </c>
      <c r="R1965" s="34" t="s">
        <v>1494</v>
      </c>
    </row>
    <row r="1966" spans="1:18" ht="15" customHeight="1" x14ac:dyDescent="0.25">
      <c r="A1966" t="str">
        <f>IFERROR(RANK(B1966,$B:$B,1)+COUNTIF($B$1:B1965,B1966),"")</f>
        <v/>
      </c>
      <c r="B1966" t="str">
        <f>IFERROR(SEARCH(#REF!,Table4[[#This Row],[Commodity Title]],1),"")</f>
        <v/>
      </c>
      <c r="C1966" s="33" t="s">
        <v>1494</v>
      </c>
      <c r="D1966" s="33" t="s">
        <v>1495</v>
      </c>
      <c r="E1966" s="33" t="s">
        <v>1496</v>
      </c>
      <c r="F1966" s="33" t="s">
        <v>1497</v>
      </c>
      <c r="G1966" s="33" t="s">
        <v>5411</v>
      </c>
      <c r="H1966" s="33" t="s">
        <v>5412</v>
      </c>
      <c r="I1966" s="33" t="s">
        <v>5413</v>
      </c>
      <c r="J1966" s="33">
        <v>115693</v>
      </c>
      <c r="K1966" s="33" t="s">
        <v>5525</v>
      </c>
      <c r="L1966" s="33" t="s">
        <v>5526</v>
      </c>
      <c r="M1966" s="33" t="s">
        <v>5527</v>
      </c>
      <c r="N1966" s="44" t="s">
        <v>1494</v>
      </c>
      <c r="O1966" s="33" t="s">
        <v>1494</v>
      </c>
      <c r="P1966" s="33" t="s">
        <v>1494</v>
      </c>
      <c r="Q1966" s="34" t="s">
        <v>1494</v>
      </c>
      <c r="R1966" s="34" t="s">
        <v>1494</v>
      </c>
    </row>
    <row r="1967" spans="1:18" ht="15" customHeight="1" x14ac:dyDescent="0.25">
      <c r="A1967" t="str">
        <f>IFERROR(RANK(B1967,$B:$B,1)+COUNTIF($B$1:B1966,B1967),"")</f>
        <v/>
      </c>
      <c r="B1967" t="str">
        <f>IFERROR(SEARCH(#REF!,Table4[[#This Row],[Commodity Title]],1),"")</f>
        <v/>
      </c>
      <c r="C1967" s="35">
        <v>42211801</v>
      </c>
      <c r="D1967" s="33" t="s">
        <v>1495</v>
      </c>
      <c r="E1967" s="33" t="s">
        <v>1496</v>
      </c>
      <c r="F1967" s="33" t="s">
        <v>1497</v>
      </c>
      <c r="G1967" s="33" t="s">
        <v>5411</v>
      </c>
      <c r="H1967" s="33" t="s">
        <v>5412</v>
      </c>
      <c r="I1967" s="33" t="s">
        <v>5413</v>
      </c>
      <c r="J1967" s="33">
        <v>115694</v>
      </c>
      <c r="K1967" s="33" t="s">
        <v>5525</v>
      </c>
      <c r="L1967" s="33" t="s">
        <v>5526</v>
      </c>
      <c r="M1967" s="33" t="s">
        <v>5527</v>
      </c>
      <c r="N1967" s="44">
        <v>42211801</v>
      </c>
      <c r="O1967" s="33" t="s">
        <v>5528</v>
      </c>
      <c r="P1967" s="33" t="s">
        <v>5529</v>
      </c>
      <c r="Q1967" s="34" t="s">
        <v>1494</v>
      </c>
      <c r="R1967" s="34" t="s">
        <v>1494</v>
      </c>
    </row>
    <row r="1968" spans="1:18" ht="15" customHeight="1" x14ac:dyDescent="0.25">
      <c r="A1968" t="str">
        <f>IFERROR(RANK(B1968,$B:$B,1)+COUNTIF($B$1:B1967,B1968),"")</f>
        <v/>
      </c>
      <c r="B1968" t="str">
        <f>IFERROR(SEARCH(#REF!,Table4[[#This Row],[Commodity Title]],1),"")</f>
        <v/>
      </c>
      <c r="C1968" s="35">
        <v>42211802</v>
      </c>
      <c r="D1968" s="33" t="s">
        <v>1495</v>
      </c>
      <c r="E1968" s="33" t="s">
        <v>1496</v>
      </c>
      <c r="F1968" s="33" t="s">
        <v>1497</v>
      </c>
      <c r="G1968" s="33" t="s">
        <v>5411</v>
      </c>
      <c r="H1968" s="33" t="s">
        <v>5412</v>
      </c>
      <c r="I1968" s="33" t="s">
        <v>5413</v>
      </c>
      <c r="J1968" s="33">
        <v>115695</v>
      </c>
      <c r="K1968" s="33" t="s">
        <v>5525</v>
      </c>
      <c r="L1968" s="33" t="s">
        <v>5526</v>
      </c>
      <c r="M1968" s="33" t="s">
        <v>5527</v>
      </c>
      <c r="N1968" s="44">
        <v>42211802</v>
      </c>
      <c r="O1968" s="33" t="s">
        <v>5530</v>
      </c>
      <c r="P1968" s="33" t="s">
        <v>5531</v>
      </c>
      <c r="Q1968" s="34" t="s">
        <v>1494</v>
      </c>
      <c r="R1968" s="34" t="s">
        <v>1494</v>
      </c>
    </row>
    <row r="1969" spans="1:18" ht="15" customHeight="1" x14ac:dyDescent="0.25">
      <c r="A1969" t="str">
        <f>IFERROR(RANK(B1969,$B:$B,1)+COUNTIF($B$1:B1968,B1969),"")</f>
        <v/>
      </c>
      <c r="B1969" t="str">
        <f>IFERROR(SEARCH(#REF!,Table4[[#This Row],[Commodity Title]],1),"")</f>
        <v/>
      </c>
      <c r="C1969" s="35">
        <v>42211803</v>
      </c>
      <c r="D1969" s="33" t="s">
        <v>1495</v>
      </c>
      <c r="E1969" s="33" t="s">
        <v>1496</v>
      </c>
      <c r="F1969" s="33" t="s">
        <v>1497</v>
      </c>
      <c r="G1969" s="33" t="s">
        <v>5411</v>
      </c>
      <c r="H1969" s="33" t="s">
        <v>5412</v>
      </c>
      <c r="I1969" s="33" t="s">
        <v>5413</v>
      </c>
      <c r="J1969" s="33">
        <v>115696</v>
      </c>
      <c r="K1969" s="33" t="s">
        <v>5525</v>
      </c>
      <c r="L1969" s="33" t="s">
        <v>5526</v>
      </c>
      <c r="M1969" s="33" t="s">
        <v>5527</v>
      </c>
      <c r="N1969" s="44">
        <v>42211803</v>
      </c>
      <c r="O1969" s="33" t="s">
        <v>5532</v>
      </c>
      <c r="P1969" s="33" t="s">
        <v>5533</v>
      </c>
      <c r="Q1969" s="34" t="s">
        <v>1494</v>
      </c>
      <c r="R1969" s="34" t="s">
        <v>1494</v>
      </c>
    </row>
    <row r="1970" spans="1:18" ht="15" customHeight="1" x14ac:dyDescent="0.25">
      <c r="A1970" t="str">
        <f>IFERROR(RANK(B1970,$B:$B,1)+COUNTIF($B$1:B1969,B1970),"")</f>
        <v/>
      </c>
      <c r="B1970" t="str">
        <f>IFERROR(SEARCH(#REF!,Table4[[#This Row],[Commodity Title]],1),"")</f>
        <v/>
      </c>
      <c r="C1970" s="35">
        <v>42211804</v>
      </c>
      <c r="D1970" s="33" t="s">
        <v>1495</v>
      </c>
      <c r="E1970" s="33" t="s">
        <v>1496</v>
      </c>
      <c r="F1970" s="33" t="s">
        <v>1497</v>
      </c>
      <c r="G1970" s="33" t="s">
        <v>5411</v>
      </c>
      <c r="H1970" s="33" t="s">
        <v>5412</v>
      </c>
      <c r="I1970" s="33" t="s">
        <v>5413</v>
      </c>
      <c r="J1970" s="33">
        <v>115697</v>
      </c>
      <c r="K1970" s="33" t="s">
        <v>5525</v>
      </c>
      <c r="L1970" s="33" t="s">
        <v>5526</v>
      </c>
      <c r="M1970" s="33" t="s">
        <v>5527</v>
      </c>
      <c r="N1970" s="44">
        <v>42211804</v>
      </c>
      <c r="O1970" s="33" t="s">
        <v>5534</v>
      </c>
      <c r="P1970" s="33" t="s">
        <v>5535</v>
      </c>
      <c r="Q1970" s="34" t="s">
        <v>1494</v>
      </c>
      <c r="R1970" s="34" t="s">
        <v>1494</v>
      </c>
    </row>
    <row r="1971" spans="1:18" ht="15" customHeight="1" x14ac:dyDescent="0.25">
      <c r="A1971" t="str">
        <f>IFERROR(RANK(B1971,$B:$B,1)+COUNTIF($B$1:B1970,B1971),"")</f>
        <v/>
      </c>
      <c r="B1971" t="str">
        <f>IFERROR(SEARCH(#REF!,Table4[[#This Row],[Commodity Title]],1),"")</f>
        <v/>
      </c>
      <c r="C1971" s="35">
        <v>42211805</v>
      </c>
      <c r="D1971" s="33" t="s">
        <v>1495</v>
      </c>
      <c r="E1971" s="33" t="s">
        <v>1496</v>
      </c>
      <c r="F1971" s="33" t="s">
        <v>1497</v>
      </c>
      <c r="G1971" s="33" t="s">
        <v>5411</v>
      </c>
      <c r="H1971" s="33" t="s">
        <v>5412</v>
      </c>
      <c r="I1971" s="33" t="s">
        <v>5413</v>
      </c>
      <c r="J1971" s="33">
        <v>115698</v>
      </c>
      <c r="K1971" s="33" t="s">
        <v>5525</v>
      </c>
      <c r="L1971" s="33" t="s">
        <v>5526</v>
      </c>
      <c r="M1971" s="33" t="s">
        <v>5527</v>
      </c>
      <c r="N1971" s="44">
        <v>42211805</v>
      </c>
      <c r="O1971" s="33" t="s">
        <v>5536</v>
      </c>
      <c r="P1971" s="33" t="s">
        <v>5537</v>
      </c>
      <c r="Q1971" s="34" t="s">
        <v>1494</v>
      </c>
      <c r="R1971" s="34" t="s">
        <v>1494</v>
      </c>
    </row>
    <row r="1972" spans="1:18" ht="15" customHeight="1" x14ac:dyDescent="0.25">
      <c r="A1972" t="str">
        <f>IFERROR(RANK(B1972,$B:$B,1)+COUNTIF($B$1:B1971,B1972),"")</f>
        <v/>
      </c>
      <c r="B1972" t="str">
        <f>IFERROR(SEARCH(#REF!,Table4[[#This Row],[Commodity Title]],1),"")</f>
        <v/>
      </c>
      <c r="C1972" s="35">
        <v>42211806</v>
      </c>
      <c r="D1972" s="33" t="s">
        <v>1495</v>
      </c>
      <c r="E1972" s="33" t="s">
        <v>1496</v>
      </c>
      <c r="F1972" s="33" t="s">
        <v>1497</v>
      </c>
      <c r="G1972" s="33" t="s">
        <v>5411</v>
      </c>
      <c r="H1972" s="33" t="s">
        <v>5412</v>
      </c>
      <c r="I1972" s="33" t="s">
        <v>5413</v>
      </c>
      <c r="J1972" s="33">
        <v>115699</v>
      </c>
      <c r="K1972" s="33" t="s">
        <v>5525</v>
      </c>
      <c r="L1972" s="33" t="s">
        <v>5526</v>
      </c>
      <c r="M1972" s="33" t="s">
        <v>5527</v>
      </c>
      <c r="N1972" s="44">
        <v>42211806</v>
      </c>
      <c r="O1972" s="33" t="s">
        <v>5538</v>
      </c>
      <c r="P1972" s="33" t="s">
        <v>5539</v>
      </c>
      <c r="Q1972" s="34" t="s">
        <v>1494</v>
      </c>
      <c r="R1972" s="34" t="s">
        <v>1494</v>
      </c>
    </row>
    <row r="1973" spans="1:18" ht="15" customHeight="1" x14ac:dyDescent="0.25">
      <c r="A1973" t="str">
        <f>IFERROR(RANK(B1973,$B:$B,1)+COUNTIF($B$1:B1972,B1973),"")</f>
        <v/>
      </c>
      <c r="B1973" t="str">
        <f>IFERROR(SEARCH(#REF!,Table4[[#This Row],[Commodity Title]],1),"")</f>
        <v/>
      </c>
      <c r="C1973" s="35">
        <v>42211807</v>
      </c>
      <c r="D1973" s="33" t="s">
        <v>1495</v>
      </c>
      <c r="E1973" s="33" t="s">
        <v>1496</v>
      </c>
      <c r="F1973" s="33" t="s">
        <v>1497</v>
      </c>
      <c r="G1973" s="33" t="s">
        <v>5411</v>
      </c>
      <c r="H1973" s="33" t="s">
        <v>5412</v>
      </c>
      <c r="I1973" s="33" t="s">
        <v>5413</v>
      </c>
      <c r="J1973" s="33">
        <v>115700</v>
      </c>
      <c r="K1973" s="33" t="s">
        <v>5525</v>
      </c>
      <c r="L1973" s="33" t="s">
        <v>5526</v>
      </c>
      <c r="M1973" s="33" t="s">
        <v>5527</v>
      </c>
      <c r="N1973" s="44">
        <v>42211807</v>
      </c>
      <c r="O1973" s="33" t="s">
        <v>5540</v>
      </c>
      <c r="P1973" s="33" t="s">
        <v>5541</v>
      </c>
      <c r="Q1973" s="34" t="s">
        <v>1494</v>
      </c>
      <c r="R1973" s="34" t="s">
        <v>1494</v>
      </c>
    </row>
    <row r="1974" spans="1:18" ht="15" customHeight="1" x14ac:dyDescent="0.25">
      <c r="A1974" t="str">
        <f>IFERROR(RANK(B1974,$B:$B,1)+COUNTIF($B$1:B1973,B1974),"")</f>
        <v/>
      </c>
      <c r="B1974" t="str">
        <f>IFERROR(SEARCH(#REF!,Table4[[#This Row],[Commodity Title]],1),"")</f>
        <v/>
      </c>
      <c r="C1974" s="35">
        <v>42211808</v>
      </c>
      <c r="D1974" s="33" t="s">
        <v>1495</v>
      </c>
      <c r="E1974" s="33" t="s">
        <v>1496</v>
      </c>
      <c r="F1974" s="33" t="s">
        <v>1497</v>
      </c>
      <c r="G1974" s="33" t="s">
        <v>5411</v>
      </c>
      <c r="H1974" s="33" t="s">
        <v>5412</v>
      </c>
      <c r="I1974" s="33" t="s">
        <v>5413</v>
      </c>
      <c r="J1974" s="33">
        <v>115701</v>
      </c>
      <c r="K1974" s="33" t="s">
        <v>5525</v>
      </c>
      <c r="L1974" s="33" t="s">
        <v>5526</v>
      </c>
      <c r="M1974" s="33" t="s">
        <v>5527</v>
      </c>
      <c r="N1974" s="44">
        <v>42211808</v>
      </c>
      <c r="O1974" s="33" t="s">
        <v>5542</v>
      </c>
      <c r="P1974" s="33" t="s">
        <v>5543</v>
      </c>
      <c r="Q1974" s="34" t="s">
        <v>1494</v>
      </c>
      <c r="R1974" s="34" t="s">
        <v>1494</v>
      </c>
    </row>
    <row r="1975" spans="1:18" ht="15" customHeight="1" x14ac:dyDescent="0.25">
      <c r="A1975" t="str">
        <f>IFERROR(RANK(B1975,$B:$B,1)+COUNTIF($B$1:B1974,B1975),"")</f>
        <v/>
      </c>
      <c r="B1975" t="str">
        <f>IFERROR(SEARCH(#REF!,Table4[[#This Row],[Commodity Title]],1),"")</f>
        <v/>
      </c>
      <c r="C1975" s="35">
        <v>42211809</v>
      </c>
      <c r="D1975" s="33" t="s">
        <v>1495</v>
      </c>
      <c r="E1975" s="33" t="s">
        <v>1496</v>
      </c>
      <c r="F1975" s="33" t="s">
        <v>1497</v>
      </c>
      <c r="G1975" s="33" t="s">
        <v>5411</v>
      </c>
      <c r="H1975" s="33" t="s">
        <v>5412</v>
      </c>
      <c r="I1975" s="33" t="s">
        <v>5413</v>
      </c>
      <c r="J1975" s="33">
        <v>115702</v>
      </c>
      <c r="K1975" s="33" t="s">
        <v>5525</v>
      </c>
      <c r="L1975" s="33" t="s">
        <v>5526</v>
      </c>
      <c r="M1975" s="33" t="s">
        <v>5527</v>
      </c>
      <c r="N1975" s="44">
        <v>42211809</v>
      </c>
      <c r="O1975" s="33" t="s">
        <v>5544</v>
      </c>
      <c r="P1975" s="33" t="s">
        <v>5545</v>
      </c>
      <c r="Q1975" s="34" t="s">
        <v>1494</v>
      </c>
      <c r="R1975" s="34" t="s">
        <v>1494</v>
      </c>
    </row>
    <row r="1976" spans="1:18" ht="15" customHeight="1" x14ac:dyDescent="0.25">
      <c r="A1976" t="str">
        <f>IFERROR(RANK(B1976,$B:$B,1)+COUNTIF($B$1:B1975,B1976),"")</f>
        <v/>
      </c>
      <c r="B1976" t="str">
        <f>IFERROR(SEARCH(#REF!,Table4[[#This Row],[Commodity Title]],1),"")</f>
        <v/>
      </c>
      <c r="C1976" s="35">
        <v>42211810</v>
      </c>
      <c r="D1976" s="33" t="s">
        <v>1495</v>
      </c>
      <c r="E1976" s="33" t="s">
        <v>1496</v>
      </c>
      <c r="F1976" s="33" t="s">
        <v>1497</v>
      </c>
      <c r="G1976" s="33" t="s">
        <v>5411</v>
      </c>
      <c r="H1976" s="33" t="s">
        <v>5412</v>
      </c>
      <c r="I1976" s="33" t="s">
        <v>5413</v>
      </c>
      <c r="J1976" s="33">
        <v>115703</v>
      </c>
      <c r="K1976" s="33" t="s">
        <v>5525</v>
      </c>
      <c r="L1976" s="33" t="s">
        <v>5526</v>
      </c>
      <c r="M1976" s="33" t="s">
        <v>5527</v>
      </c>
      <c r="N1976" s="44">
        <v>42211810</v>
      </c>
      <c r="O1976" s="33" t="s">
        <v>5546</v>
      </c>
      <c r="P1976" s="33" t="s">
        <v>5547</v>
      </c>
      <c r="Q1976" s="34" t="s">
        <v>1494</v>
      </c>
      <c r="R1976" s="34" t="s">
        <v>1494</v>
      </c>
    </row>
    <row r="1977" spans="1:18" ht="15" customHeight="1" x14ac:dyDescent="0.25">
      <c r="A1977" t="str">
        <f>IFERROR(RANK(B1977,$B:$B,1)+COUNTIF($B$1:B1976,B1977),"")</f>
        <v/>
      </c>
      <c r="B1977" t="str">
        <f>IFERROR(SEARCH(#REF!,Table4[[#This Row],[Commodity Title]],1),"")</f>
        <v/>
      </c>
      <c r="C1977" s="35">
        <v>42211811</v>
      </c>
      <c r="D1977" s="33" t="s">
        <v>1495</v>
      </c>
      <c r="E1977" s="33" t="s">
        <v>1496</v>
      </c>
      <c r="F1977" s="33" t="s">
        <v>1497</v>
      </c>
      <c r="G1977" s="33" t="s">
        <v>5411</v>
      </c>
      <c r="H1977" s="33" t="s">
        <v>5412</v>
      </c>
      <c r="I1977" s="33" t="s">
        <v>5413</v>
      </c>
      <c r="J1977" s="33">
        <v>115704</v>
      </c>
      <c r="K1977" s="33" t="s">
        <v>5525</v>
      </c>
      <c r="L1977" s="33" t="s">
        <v>5526</v>
      </c>
      <c r="M1977" s="33" t="s">
        <v>5527</v>
      </c>
      <c r="N1977" s="44">
        <v>42211811</v>
      </c>
      <c r="O1977" s="33" t="s">
        <v>5548</v>
      </c>
      <c r="P1977" s="33" t="s">
        <v>5549</v>
      </c>
      <c r="Q1977" s="34" t="s">
        <v>1494</v>
      </c>
      <c r="R1977" s="34" t="s">
        <v>1494</v>
      </c>
    </row>
    <row r="1978" spans="1:18" ht="15" customHeight="1" x14ac:dyDescent="0.25">
      <c r="A1978" t="str">
        <f>IFERROR(RANK(B1978,$B:$B,1)+COUNTIF($B$1:B1977,B1978),"")</f>
        <v/>
      </c>
      <c r="B1978" t="str">
        <f>IFERROR(SEARCH(#REF!,Table4[[#This Row],[Commodity Title]],1),"")</f>
        <v/>
      </c>
      <c r="C1978" s="35">
        <v>42211812</v>
      </c>
      <c r="D1978" s="33" t="s">
        <v>1495</v>
      </c>
      <c r="E1978" s="33" t="s">
        <v>1496</v>
      </c>
      <c r="F1978" s="33" t="s">
        <v>1497</v>
      </c>
      <c r="G1978" s="33" t="s">
        <v>5411</v>
      </c>
      <c r="H1978" s="33" t="s">
        <v>5412</v>
      </c>
      <c r="I1978" s="33" t="s">
        <v>5413</v>
      </c>
      <c r="J1978" s="33">
        <v>115705</v>
      </c>
      <c r="K1978" s="33" t="s">
        <v>5525</v>
      </c>
      <c r="L1978" s="33" t="s">
        <v>5526</v>
      </c>
      <c r="M1978" s="33" t="s">
        <v>5527</v>
      </c>
      <c r="N1978" s="44">
        <v>42211812</v>
      </c>
      <c r="O1978" s="33" t="s">
        <v>5550</v>
      </c>
      <c r="P1978" s="33" t="s">
        <v>5551</v>
      </c>
      <c r="Q1978" s="34" t="s">
        <v>1494</v>
      </c>
      <c r="R1978" s="34" t="s">
        <v>1494</v>
      </c>
    </row>
    <row r="1979" spans="1:18" ht="15" customHeight="1" x14ac:dyDescent="0.25">
      <c r="A1979" t="str">
        <f>IFERROR(RANK(B1979,$B:$B,1)+COUNTIF($B$1:B1978,B1979),"")</f>
        <v/>
      </c>
      <c r="B1979" t="str">
        <f>IFERROR(SEARCH(#REF!,Table4[[#This Row],[Commodity Title]],1),"")</f>
        <v/>
      </c>
      <c r="C1979" s="35">
        <v>42211813</v>
      </c>
      <c r="D1979" s="33" t="s">
        <v>1495</v>
      </c>
      <c r="E1979" s="33" t="s">
        <v>1496</v>
      </c>
      <c r="F1979" s="33" t="s">
        <v>1497</v>
      </c>
      <c r="G1979" s="33" t="s">
        <v>5411</v>
      </c>
      <c r="H1979" s="33" t="s">
        <v>5412</v>
      </c>
      <c r="I1979" s="33" t="s">
        <v>5413</v>
      </c>
      <c r="J1979" s="33">
        <v>115706</v>
      </c>
      <c r="K1979" s="33" t="s">
        <v>5525</v>
      </c>
      <c r="L1979" s="33" t="s">
        <v>5526</v>
      </c>
      <c r="M1979" s="33" t="s">
        <v>5527</v>
      </c>
      <c r="N1979" s="44">
        <v>42211813</v>
      </c>
      <c r="O1979" s="33" t="s">
        <v>5552</v>
      </c>
      <c r="P1979" s="33" t="s">
        <v>5553</v>
      </c>
      <c r="Q1979" s="34" t="s">
        <v>1494</v>
      </c>
      <c r="R1979" s="34" t="s">
        <v>1494</v>
      </c>
    </row>
    <row r="1980" spans="1:18" ht="15" customHeight="1" x14ac:dyDescent="0.25">
      <c r="A1980" t="str">
        <f>IFERROR(RANK(B1980,$B:$B,1)+COUNTIF($B$1:B1979,B1980),"")</f>
        <v/>
      </c>
      <c r="B1980" t="str">
        <f>IFERROR(SEARCH(#REF!,Table4[[#This Row],[Commodity Title]],1),"")</f>
        <v/>
      </c>
      <c r="C1980" s="33" t="s">
        <v>1494</v>
      </c>
      <c r="D1980" s="33" t="s">
        <v>1495</v>
      </c>
      <c r="E1980" s="33" t="s">
        <v>1496</v>
      </c>
      <c r="F1980" s="33" t="s">
        <v>1497</v>
      </c>
      <c r="G1980" s="33" t="s">
        <v>5411</v>
      </c>
      <c r="H1980" s="33" t="s">
        <v>5412</v>
      </c>
      <c r="I1980" s="33" t="s">
        <v>5413</v>
      </c>
      <c r="J1980" s="33">
        <v>115707</v>
      </c>
      <c r="K1980" s="33" t="s">
        <v>5554</v>
      </c>
      <c r="L1980" s="33" t="s">
        <v>5555</v>
      </c>
      <c r="M1980" s="33" t="s">
        <v>5556</v>
      </c>
      <c r="N1980" s="44" t="s">
        <v>1494</v>
      </c>
      <c r="O1980" s="33" t="s">
        <v>1494</v>
      </c>
      <c r="P1980" s="33" t="s">
        <v>1494</v>
      </c>
      <c r="Q1980" s="34" t="s">
        <v>1494</v>
      </c>
      <c r="R1980" s="34" t="s">
        <v>1494</v>
      </c>
    </row>
    <row r="1981" spans="1:18" ht="15" customHeight="1" x14ac:dyDescent="0.25">
      <c r="A1981" t="str">
        <f>IFERROR(RANK(B1981,$B:$B,1)+COUNTIF($B$1:B1980,B1981),"")</f>
        <v/>
      </c>
      <c r="B1981" t="str">
        <f>IFERROR(SEARCH(#REF!,Table4[[#This Row],[Commodity Title]],1),"")</f>
        <v/>
      </c>
      <c r="C1981" s="35">
        <v>42211901</v>
      </c>
      <c r="D1981" s="33" t="s">
        <v>1495</v>
      </c>
      <c r="E1981" s="33" t="s">
        <v>1496</v>
      </c>
      <c r="F1981" s="33" t="s">
        <v>1497</v>
      </c>
      <c r="G1981" s="33" t="s">
        <v>5411</v>
      </c>
      <c r="H1981" s="33" t="s">
        <v>5412</v>
      </c>
      <c r="I1981" s="33" t="s">
        <v>5413</v>
      </c>
      <c r="J1981" s="33">
        <v>115708</v>
      </c>
      <c r="K1981" s="33" t="s">
        <v>5554</v>
      </c>
      <c r="L1981" s="33" t="s">
        <v>5555</v>
      </c>
      <c r="M1981" s="33" t="s">
        <v>5556</v>
      </c>
      <c r="N1981" s="44">
        <v>42211901</v>
      </c>
      <c r="O1981" s="33" t="s">
        <v>5557</v>
      </c>
      <c r="P1981" s="33" t="s">
        <v>5529</v>
      </c>
      <c r="Q1981" s="34" t="s">
        <v>1494</v>
      </c>
      <c r="R1981" s="34" t="s">
        <v>1494</v>
      </c>
    </row>
    <row r="1982" spans="1:18" ht="15" customHeight="1" x14ac:dyDescent="0.25">
      <c r="A1982" t="str">
        <f>IFERROR(RANK(B1982,$B:$B,1)+COUNTIF($B$1:B1981,B1982),"")</f>
        <v/>
      </c>
      <c r="B1982" t="str">
        <f>IFERROR(SEARCH(#REF!,Table4[[#This Row],[Commodity Title]],1),"")</f>
        <v/>
      </c>
      <c r="C1982" s="35">
        <v>42211902</v>
      </c>
      <c r="D1982" s="33" t="s">
        <v>1495</v>
      </c>
      <c r="E1982" s="33" t="s">
        <v>1496</v>
      </c>
      <c r="F1982" s="33" t="s">
        <v>1497</v>
      </c>
      <c r="G1982" s="33" t="s">
        <v>5411</v>
      </c>
      <c r="H1982" s="33" t="s">
        <v>5412</v>
      </c>
      <c r="I1982" s="33" t="s">
        <v>5413</v>
      </c>
      <c r="J1982" s="33">
        <v>115709</v>
      </c>
      <c r="K1982" s="33" t="s">
        <v>5554</v>
      </c>
      <c r="L1982" s="33" t="s">
        <v>5555</v>
      </c>
      <c r="M1982" s="33" t="s">
        <v>5556</v>
      </c>
      <c r="N1982" s="44">
        <v>42211902</v>
      </c>
      <c r="O1982" s="33" t="s">
        <v>5558</v>
      </c>
      <c r="P1982" s="33" t="s">
        <v>5529</v>
      </c>
      <c r="Q1982" s="34" t="s">
        <v>1494</v>
      </c>
      <c r="R1982" s="34" t="s">
        <v>1494</v>
      </c>
    </row>
    <row r="1983" spans="1:18" ht="15" customHeight="1" x14ac:dyDescent="0.25">
      <c r="A1983" t="str">
        <f>IFERROR(RANK(B1983,$B:$B,1)+COUNTIF($B$1:B1982,B1983),"")</f>
        <v/>
      </c>
      <c r="B1983" t="str">
        <f>IFERROR(SEARCH(#REF!,Table4[[#This Row],[Commodity Title]],1),"")</f>
        <v/>
      </c>
      <c r="C1983" s="35">
        <v>42211903</v>
      </c>
      <c r="D1983" s="33" t="s">
        <v>1495</v>
      </c>
      <c r="E1983" s="33" t="s">
        <v>1496</v>
      </c>
      <c r="F1983" s="33" t="s">
        <v>1497</v>
      </c>
      <c r="G1983" s="33" t="s">
        <v>5411</v>
      </c>
      <c r="H1983" s="33" t="s">
        <v>5412</v>
      </c>
      <c r="I1983" s="33" t="s">
        <v>5413</v>
      </c>
      <c r="J1983" s="33">
        <v>115710</v>
      </c>
      <c r="K1983" s="33" t="s">
        <v>5554</v>
      </c>
      <c r="L1983" s="33" t="s">
        <v>5555</v>
      </c>
      <c r="M1983" s="33" t="s">
        <v>5556</v>
      </c>
      <c r="N1983" s="44">
        <v>42211903</v>
      </c>
      <c r="O1983" s="33" t="s">
        <v>5559</v>
      </c>
      <c r="P1983" s="33" t="s">
        <v>5560</v>
      </c>
      <c r="Q1983" s="34" t="s">
        <v>1494</v>
      </c>
      <c r="R1983" s="34" t="s">
        <v>1494</v>
      </c>
    </row>
    <row r="1984" spans="1:18" ht="15" customHeight="1" x14ac:dyDescent="0.25">
      <c r="A1984" t="str">
        <f>IFERROR(RANK(B1984,$B:$B,1)+COUNTIF($B$1:B1983,B1984),"")</f>
        <v/>
      </c>
      <c r="B1984" t="str">
        <f>IFERROR(SEARCH(#REF!,Table4[[#This Row],[Commodity Title]],1),"")</f>
        <v/>
      </c>
      <c r="C1984" s="35">
        <v>42211904</v>
      </c>
      <c r="D1984" s="33" t="s">
        <v>1495</v>
      </c>
      <c r="E1984" s="33" t="s">
        <v>1496</v>
      </c>
      <c r="F1984" s="33" t="s">
        <v>1497</v>
      </c>
      <c r="G1984" s="33" t="s">
        <v>5411</v>
      </c>
      <c r="H1984" s="33" t="s">
        <v>5412</v>
      </c>
      <c r="I1984" s="33" t="s">
        <v>5413</v>
      </c>
      <c r="J1984" s="33">
        <v>115711</v>
      </c>
      <c r="K1984" s="33" t="s">
        <v>5554</v>
      </c>
      <c r="L1984" s="33" t="s">
        <v>5555</v>
      </c>
      <c r="M1984" s="33" t="s">
        <v>5556</v>
      </c>
      <c r="N1984" s="44">
        <v>42211904</v>
      </c>
      <c r="O1984" s="33" t="s">
        <v>5561</v>
      </c>
      <c r="P1984" s="33" t="s">
        <v>5529</v>
      </c>
      <c r="Q1984" s="34" t="s">
        <v>1494</v>
      </c>
      <c r="R1984" s="34" t="s">
        <v>1494</v>
      </c>
    </row>
    <row r="1985" spans="1:18" ht="15" customHeight="1" x14ac:dyDescent="0.25">
      <c r="A1985" t="str">
        <f>IFERROR(RANK(B1985,$B:$B,1)+COUNTIF($B$1:B1984,B1985),"")</f>
        <v/>
      </c>
      <c r="B1985" t="str">
        <f>IFERROR(SEARCH(#REF!,Table4[[#This Row],[Commodity Title]],1),"")</f>
        <v/>
      </c>
      <c r="C1985" s="35">
        <v>42211905</v>
      </c>
      <c r="D1985" s="33" t="s">
        <v>1495</v>
      </c>
      <c r="E1985" s="33" t="s">
        <v>1496</v>
      </c>
      <c r="F1985" s="33" t="s">
        <v>1497</v>
      </c>
      <c r="G1985" s="33" t="s">
        <v>5411</v>
      </c>
      <c r="H1985" s="33" t="s">
        <v>5412</v>
      </c>
      <c r="I1985" s="33" t="s">
        <v>5413</v>
      </c>
      <c r="J1985" s="33">
        <v>115712</v>
      </c>
      <c r="K1985" s="33" t="s">
        <v>5554</v>
      </c>
      <c r="L1985" s="33" t="s">
        <v>5555</v>
      </c>
      <c r="M1985" s="33" t="s">
        <v>5556</v>
      </c>
      <c r="N1985" s="44">
        <v>42211905</v>
      </c>
      <c r="O1985" s="33" t="s">
        <v>5562</v>
      </c>
      <c r="P1985" s="33" t="s">
        <v>5529</v>
      </c>
      <c r="Q1985" s="34" t="s">
        <v>1494</v>
      </c>
      <c r="R1985" s="34" t="s">
        <v>1494</v>
      </c>
    </row>
    <row r="1986" spans="1:18" ht="15" customHeight="1" x14ac:dyDescent="0.25">
      <c r="A1986" t="str">
        <f>IFERROR(RANK(B1986,$B:$B,1)+COUNTIF($B$1:B1985,B1986),"")</f>
        <v/>
      </c>
      <c r="B1986" t="str">
        <f>IFERROR(SEARCH(#REF!,Table4[[#This Row],[Commodity Title]],1),"")</f>
        <v/>
      </c>
      <c r="C1986" s="35">
        <v>42211906</v>
      </c>
      <c r="D1986" s="33" t="s">
        <v>1495</v>
      </c>
      <c r="E1986" s="33" t="s">
        <v>1496</v>
      </c>
      <c r="F1986" s="33" t="s">
        <v>1497</v>
      </c>
      <c r="G1986" s="33" t="s">
        <v>5411</v>
      </c>
      <c r="H1986" s="33" t="s">
        <v>5412</v>
      </c>
      <c r="I1986" s="33" t="s">
        <v>5413</v>
      </c>
      <c r="J1986" s="33">
        <v>115713</v>
      </c>
      <c r="K1986" s="33" t="s">
        <v>5554</v>
      </c>
      <c r="L1986" s="33" t="s">
        <v>5555</v>
      </c>
      <c r="M1986" s="33" t="s">
        <v>5556</v>
      </c>
      <c r="N1986" s="44">
        <v>42211906</v>
      </c>
      <c r="O1986" s="33" t="s">
        <v>5563</v>
      </c>
      <c r="P1986" s="33" t="s">
        <v>5529</v>
      </c>
      <c r="Q1986" s="34" t="s">
        <v>1494</v>
      </c>
      <c r="R1986" s="34" t="s">
        <v>1494</v>
      </c>
    </row>
    <row r="1987" spans="1:18" ht="15" customHeight="1" x14ac:dyDescent="0.25">
      <c r="A1987" t="str">
        <f>IFERROR(RANK(B1987,$B:$B,1)+COUNTIF($B$1:B1986,B1987),"")</f>
        <v/>
      </c>
      <c r="B1987" t="str">
        <f>IFERROR(SEARCH(#REF!,Table4[[#This Row],[Commodity Title]],1),"")</f>
        <v/>
      </c>
      <c r="C1987" s="35">
        <v>42211907</v>
      </c>
      <c r="D1987" s="33" t="s">
        <v>1495</v>
      </c>
      <c r="E1987" s="33" t="s">
        <v>1496</v>
      </c>
      <c r="F1987" s="33" t="s">
        <v>1497</v>
      </c>
      <c r="G1987" s="33" t="s">
        <v>5411</v>
      </c>
      <c r="H1987" s="33" t="s">
        <v>5412</v>
      </c>
      <c r="I1987" s="33" t="s">
        <v>5413</v>
      </c>
      <c r="J1987" s="33">
        <v>115714</v>
      </c>
      <c r="K1987" s="33" t="s">
        <v>5554</v>
      </c>
      <c r="L1987" s="33" t="s">
        <v>5555</v>
      </c>
      <c r="M1987" s="33" t="s">
        <v>5556</v>
      </c>
      <c r="N1987" s="44">
        <v>42211907</v>
      </c>
      <c r="O1987" s="33" t="s">
        <v>5564</v>
      </c>
      <c r="P1987" s="33" t="s">
        <v>5529</v>
      </c>
      <c r="Q1987" s="34" t="s">
        <v>1494</v>
      </c>
      <c r="R1987" s="34" t="s">
        <v>1494</v>
      </c>
    </row>
    <row r="1988" spans="1:18" ht="15" customHeight="1" x14ac:dyDescent="0.25">
      <c r="A1988" t="str">
        <f>IFERROR(RANK(B1988,$B:$B,1)+COUNTIF($B$1:B1987,B1988),"")</f>
        <v/>
      </c>
      <c r="B1988" t="str">
        <f>IFERROR(SEARCH(#REF!,Table4[[#This Row],[Commodity Title]],1),"")</f>
        <v/>
      </c>
      <c r="C1988" s="35">
        <v>42211908</v>
      </c>
      <c r="D1988" s="33" t="s">
        <v>1495</v>
      </c>
      <c r="E1988" s="33" t="s">
        <v>1496</v>
      </c>
      <c r="F1988" s="33" t="s">
        <v>1497</v>
      </c>
      <c r="G1988" s="33" t="s">
        <v>5411</v>
      </c>
      <c r="H1988" s="33" t="s">
        <v>5412</v>
      </c>
      <c r="I1988" s="33" t="s">
        <v>5413</v>
      </c>
      <c r="J1988" s="33">
        <v>115715</v>
      </c>
      <c r="K1988" s="33" t="s">
        <v>5554</v>
      </c>
      <c r="L1988" s="33" t="s">
        <v>5555</v>
      </c>
      <c r="M1988" s="33" t="s">
        <v>5556</v>
      </c>
      <c r="N1988" s="44">
        <v>42211908</v>
      </c>
      <c r="O1988" s="33" t="s">
        <v>5565</v>
      </c>
      <c r="P1988" s="33" t="s">
        <v>5529</v>
      </c>
      <c r="Q1988" s="34" t="s">
        <v>1494</v>
      </c>
      <c r="R1988" s="34" t="s">
        <v>1494</v>
      </c>
    </row>
    <row r="1989" spans="1:18" ht="15" customHeight="1" x14ac:dyDescent="0.25">
      <c r="A1989" t="str">
        <f>IFERROR(RANK(B1989,$B:$B,1)+COUNTIF($B$1:B1988,B1989),"")</f>
        <v/>
      </c>
      <c r="B1989" t="str">
        <f>IFERROR(SEARCH(#REF!,Table4[[#This Row],[Commodity Title]],1),"")</f>
        <v/>
      </c>
      <c r="C1989" s="35">
        <v>42211909</v>
      </c>
      <c r="D1989" s="33" t="s">
        <v>1495</v>
      </c>
      <c r="E1989" s="33" t="s">
        <v>1496</v>
      </c>
      <c r="F1989" s="33" t="s">
        <v>1497</v>
      </c>
      <c r="G1989" s="33" t="s">
        <v>5411</v>
      </c>
      <c r="H1989" s="33" t="s">
        <v>5412</v>
      </c>
      <c r="I1989" s="33" t="s">
        <v>5413</v>
      </c>
      <c r="J1989" s="33">
        <v>115716</v>
      </c>
      <c r="K1989" s="33" t="s">
        <v>5554</v>
      </c>
      <c r="L1989" s="33" t="s">
        <v>5555</v>
      </c>
      <c r="M1989" s="33" t="s">
        <v>5556</v>
      </c>
      <c r="N1989" s="44">
        <v>42211909</v>
      </c>
      <c r="O1989" s="33" t="s">
        <v>5566</v>
      </c>
      <c r="P1989" s="33" t="s">
        <v>5529</v>
      </c>
      <c r="Q1989" s="34" t="s">
        <v>1494</v>
      </c>
      <c r="R1989" s="34" t="s">
        <v>1494</v>
      </c>
    </row>
    <row r="1990" spans="1:18" ht="15" customHeight="1" x14ac:dyDescent="0.25">
      <c r="A1990" t="str">
        <f>IFERROR(RANK(B1990,$B:$B,1)+COUNTIF($B$1:B1989,B1990),"")</f>
        <v/>
      </c>
      <c r="B1990" t="str">
        <f>IFERROR(SEARCH(#REF!,Table4[[#This Row],[Commodity Title]],1),"")</f>
        <v/>
      </c>
      <c r="C1990" s="35">
        <v>42211910</v>
      </c>
      <c r="D1990" s="33" t="s">
        <v>1495</v>
      </c>
      <c r="E1990" s="33" t="s">
        <v>1496</v>
      </c>
      <c r="F1990" s="33" t="s">
        <v>1497</v>
      </c>
      <c r="G1990" s="33" t="s">
        <v>5411</v>
      </c>
      <c r="H1990" s="33" t="s">
        <v>5412</v>
      </c>
      <c r="I1990" s="33" t="s">
        <v>5413</v>
      </c>
      <c r="J1990" s="33">
        <v>115717</v>
      </c>
      <c r="K1990" s="33" t="s">
        <v>5554</v>
      </c>
      <c r="L1990" s="33" t="s">
        <v>5555</v>
      </c>
      <c r="M1990" s="33" t="s">
        <v>5556</v>
      </c>
      <c r="N1990" s="44">
        <v>42211910</v>
      </c>
      <c r="O1990" s="33" t="s">
        <v>5567</v>
      </c>
      <c r="P1990" s="33" t="s">
        <v>5529</v>
      </c>
      <c r="Q1990" s="34" t="s">
        <v>1494</v>
      </c>
      <c r="R1990" s="34" t="s">
        <v>1494</v>
      </c>
    </row>
    <row r="1991" spans="1:18" ht="15" customHeight="1" x14ac:dyDescent="0.25">
      <c r="A1991" t="str">
        <f>IFERROR(RANK(B1991,$B:$B,1)+COUNTIF($B$1:B1990,B1991),"")</f>
        <v/>
      </c>
      <c r="B1991" t="str">
        <f>IFERROR(SEARCH(#REF!,Table4[[#This Row],[Commodity Title]],1),"")</f>
        <v/>
      </c>
      <c r="C1991" s="35">
        <v>42211911</v>
      </c>
      <c r="D1991" s="33" t="s">
        <v>1495</v>
      </c>
      <c r="E1991" s="33" t="s">
        <v>1496</v>
      </c>
      <c r="F1991" s="33" t="s">
        <v>1497</v>
      </c>
      <c r="G1991" s="33" t="s">
        <v>5411</v>
      </c>
      <c r="H1991" s="33" t="s">
        <v>5412</v>
      </c>
      <c r="I1991" s="33" t="s">
        <v>5413</v>
      </c>
      <c r="J1991" s="33">
        <v>115718</v>
      </c>
      <c r="K1991" s="33" t="s">
        <v>5554</v>
      </c>
      <c r="L1991" s="33" t="s">
        <v>5555</v>
      </c>
      <c r="M1991" s="33" t="s">
        <v>5556</v>
      </c>
      <c r="N1991" s="44">
        <v>42211911</v>
      </c>
      <c r="O1991" s="33" t="s">
        <v>5568</v>
      </c>
      <c r="P1991" s="33" t="s">
        <v>5569</v>
      </c>
      <c r="Q1991" s="34" t="s">
        <v>1494</v>
      </c>
      <c r="R1991" s="34" t="s">
        <v>1494</v>
      </c>
    </row>
    <row r="1992" spans="1:18" ht="15" customHeight="1" x14ac:dyDescent="0.25">
      <c r="A1992" t="str">
        <f>IFERROR(RANK(B1992,$B:$B,1)+COUNTIF($B$1:B1991,B1992),"")</f>
        <v/>
      </c>
      <c r="B1992" t="str">
        <f>IFERROR(SEARCH(#REF!,Table4[[#This Row],[Commodity Title]],1),"")</f>
        <v/>
      </c>
      <c r="C1992" s="35">
        <v>42211912</v>
      </c>
      <c r="D1992" s="33" t="s">
        <v>1495</v>
      </c>
      <c r="E1992" s="33" t="s">
        <v>1496</v>
      </c>
      <c r="F1992" s="33" t="s">
        <v>1497</v>
      </c>
      <c r="G1992" s="33" t="s">
        <v>5411</v>
      </c>
      <c r="H1992" s="33" t="s">
        <v>5412</v>
      </c>
      <c r="I1992" s="33" t="s">
        <v>5413</v>
      </c>
      <c r="J1992" s="33">
        <v>115719</v>
      </c>
      <c r="K1992" s="33" t="s">
        <v>5554</v>
      </c>
      <c r="L1992" s="33" t="s">
        <v>5555</v>
      </c>
      <c r="M1992" s="33" t="s">
        <v>5556</v>
      </c>
      <c r="N1992" s="44">
        <v>42211912</v>
      </c>
      <c r="O1992" s="33" t="s">
        <v>5570</v>
      </c>
      <c r="P1992" s="33" t="s">
        <v>5529</v>
      </c>
      <c r="Q1992" s="34" t="s">
        <v>1494</v>
      </c>
      <c r="R1992" s="34" t="s">
        <v>1494</v>
      </c>
    </row>
    <row r="1993" spans="1:18" ht="15" customHeight="1" x14ac:dyDescent="0.25">
      <c r="A1993" t="str">
        <f>IFERROR(RANK(B1993,$B:$B,1)+COUNTIF($B$1:B1992,B1993),"")</f>
        <v/>
      </c>
      <c r="B1993" t="str">
        <f>IFERROR(SEARCH(#REF!,Table4[[#This Row],[Commodity Title]],1),"")</f>
        <v/>
      </c>
      <c r="C1993" s="35">
        <v>42211913</v>
      </c>
      <c r="D1993" s="33" t="s">
        <v>1495</v>
      </c>
      <c r="E1993" s="33" t="s">
        <v>1496</v>
      </c>
      <c r="F1993" s="33" t="s">
        <v>1497</v>
      </c>
      <c r="G1993" s="33" t="s">
        <v>5411</v>
      </c>
      <c r="H1993" s="33" t="s">
        <v>5412</v>
      </c>
      <c r="I1993" s="33" t="s">
        <v>5413</v>
      </c>
      <c r="J1993" s="33">
        <v>115720</v>
      </c>
      <c r="K1993" s="33" t="s">
        <v>5554</v>
      </c>
      <c r="L1993" s="33" t="s">
        <v>5555</v>
      </c>
      <c r="M1993" s="33" t="s">
        <v>5556</v>
      </c>
      <c r="N1993" s="44">
        <v>42211913</v>
      </c>
      <c r="O1993" s="33" t="s">
        <v>5571</v>
      </c>
      <c r="P1993" s="33" t="s">
        <v>5529</v>
      </c>
      <c r="Q1993" s="34" t="s">
        <v>1494</v>
      </c>
      <c r="R1993" s="34" t="s">
        <v>1494</v>
      </c>
    </row>
    <row r="1994" spans="1:18" ht="15" customHeight="1" x14ac:dyDescent="0.25">
      <c r="A1994" t="str">
        <f>IFERROR(RANK(B1994,$B:$B,1)+COUNTIF($B$1:B1993,B1994),"")</f>
        <v/>
      </c>
      <c r="B1994" t="str">
        <f>IFERROR(SEARCH(#REF!,Table4[[#This Row],[Commodity Title]],1),"")</f>
        <v/>
      </c>
      <c r="C1994" s="35">
        <v>42211914</v>
      </c>
      <c r="D1994" s="33" t="s">
        <v>1495</v>
      </c>
      <c r="E1994" s="33" t="s">
        <v>1496</v>
      </c>
      <c r="F1994" s="33" t="s">
        <v>1497</v>
      </c>
      <c r="G1994" s="33" t="s">
        <v>5411</v>
      </c>
      <c r="H1994" s="33" t="s">
        <v>5412</v>
      </c>
      <c r="I1994" s="33" t="s">
        <v>5413</v>
      </c>
      <c r="J1994" s="33">
        <v>115721</v>
      </c>
      <c r="K1994" s="33" t="s">
        <v>5554</v>
      </c>
      <c r="L1994" s="33" t="s">
        <v>5555</v>
      </c>
      <c r="M1994" s="33" t="s">
        <v>5556</v>
      </c>
      <c r="N1994" s="44">
        <v>42211914</v>
      </c>
      <c r="O1994" s="33" t="s">
        <v>5572</v>
      </c>
      <c r="P1994" s="33" t="s">
        <v>5573</v>
      </c>
      <c r="Q1994" s="34" t="s">
        <v>1494</v>
      </c>
      <c r="R1994" s="34" t="s">
        <v>1494</v>
      </c>
    </row>
    <row r="1995" spans="1:18" ht="15" customHeight="1" x14ac:dyDescent="0.25">
      <c r="A1995" t="str">
        <f>IFERROR(RANK(B1995,$B:$B,1)+COUNTIF($B$1:B1994,B1995),"")</f>
        <v/>
      </c>
      <c r="B1995" t="str">
        <f>IFERROR(SEARCH(#REF!,Table4[[#This Row],[Commodity Title]],1),"")</f>
        <v/>
      </c>
      <c r="C1995" s="35">
        <v>42211915</v>
      </c>
      <c r="D1995" s="33" t="s">
        <v>1495</v>
      </c>
      <c r="E1995" s="33" t="s">
        <v>1496</v>
      </c>
      <c r="F1995" s="33" t="s">
        <v>1497</v>
      </c>
      <c r="G1995" s="33" t="s">
        <v>5411</v>
      </c>
      <c r="H1995" s="33" t="s">
        <v>5412</v>
      </c>
      <c r="I1995" s="33" t="s">
        <v>5413</v>
      </c>
      <c r="J1995" s="33">
        <v>115722</v>
      </c>
      <c r="K1995" s="33" t="s">
        <v>5554</v>
      </c>
      <c r="L1995" s="33" t="s">
        <v>5555</v>
      </c>
      <c r="M1995" s="33" t="s">
        <v>5556</v>
      </c>
      <c r="N1995" s="44">
        <v>42211915</v>
      </c>
      <c r="O1995" s="33" t="s">
        <v>5574</v>
      </c>
      <c r="P1995" s="33" t="s">
        <v>5575</v>
      </c>
      <c r="Q1995" s="34" t="s">
        <v>1494</v>
      </c>
      <c r="R1995" s="34" t="s">
        <v>1494</v>
      </c>
    </row>
    <row r="1996" spans="1:18" ht="15" customHeight="1" x14ac:dyDescent="0.25">
      <c r="A1996" t="str">
        <f>IFERROR(RANK(B1996,$B:$B,1)+COUNTIF($B$1:B1995,B1996),"")</f>
        <v/>
      </c>
      <c r="B1996" t="str">
        <f>IFERROR(SEARCH(#REF!,Table4[[#This Row],[Commodity Title]],1),"")</f>
        <v/>
      </c>
      <c r="C1996" s="35">
        <v>42211916</v>
      </c>
      <c r="D1996" s="33" t="s">
        <v>1495</v>
      </c>
      <c r="E1996" s="33" t="s">
        <v>1496</v>
      </c>
      <c r="F1996" s="33" t="s">
        <v>1497</v>
      </c>
      <c r="G1996" s="33" t="s">
        <v>5411</v>
      </c>
      <c r="H1996" s="33" t="s">
        <v>5412</v>
      </c>
      <c r="I1996" s="33" t="s">
        <v>5413</v>
      </c>
      <c r="J1996" s="33">
        <v>115723</v>
      </c>
      <c r="K1996" s="33" t="s">
        <v>5554</v>
      </c>
      <c r="L1996" s="33" t="s">
        <v>5555</v>
      </c>
      <c r="M1996" s="33" t="s">
        <v>5556</v>
      </c>
      <c r="N1996" s="44">
        <v>42211916</v>
      </c>
      <c r="O1996" s="33" t="s">
        <v>5576</v>
      </c>
      <c r="P1996" s="33" t="s">
        <v>5577</v>
      </c>
      <c r="Q1996" s="34" t="s">
        <v>1494</v>
      </c>
      <c r="R1996" s="34" t="s">
        <v>1494</v>
      </c>
    </row>
    <row r="1997" spans="1:18" ht="15" customHeight="1" x14ac:dyDescent="0.25">
      <c r="A1997" t="str">
        <f>IFERROR(RANK(B1997,$B:$B,1)+COUNTIF($B$1:B1996,B1997),"")</f>
        <v/>
      </c>
      <c r="B1997" t="str">
        <f>IFERROR(SEARCH(#REF!,Table4[[#This Row],[Commodity Title]],1),"")</f>
        <v/>
      </c>
      <c r="C1997" s="35">
        <v>42211917</v>
      </c>
      <c r="D1997" s="33" t="s">
        <v>1495</v>
      </c>
      <c r="E1997" s="33" t="s">
        <v>1496</v>
      </c>
      <c r="F1997" s="33" t="s">
        <v>1497</v>
      </c>
      <c r="G1997" s="33" t="s">
        <v>5411</v>
      </c>
      <c r="H1997" s="33" t="s">
        <v>5412</v>
      </c>
      <c r="I1997" s="33" t="s">
        <v>5413</v>
      </c>
      <c r="J1997" s="33">
        <v>104751</v>
      </c>
      <c r="K1997" s="33" t="s">
        <v>5554</v>
      </c>
      <c r="L1997" s="33" t="s">
        <v>5555</v>
      </c>
      <c r="M1997" s="33" t="s">
        <v>5556</v>
      </c>
      <c r="N1997" s="44">
        <v>42211917</v>
      </c>
      <c r="O1997" s="33" t="s">
        <v>5578</v>
      </c>
      <c r="P1997" s="33" t="s">
        <v>5579</v>
      </c>
      <c r="Q1997" s="34" t="s">
        <v>1494</v>
      </c>
      <c r="R1997" s="34" t="s">
        <v>1494</v>
      </c>
    </row>
    <row r="1998" spans="1:18" ht="15" customHeight="1" x14ac:dyDescent="0.25">
      <c r="A1998" t="str">
        <f>IFERROR(RANK(B1998,$B:$B,1)+COUNTIF($B$1:B1997,B1998),"")</f>
        <v/>
      </c>
      <c r="B1998" t="str">
        <f>IFERROR(SEARCH(#REF!,Table4[[#This Row],[Commodity Title]],1),"")</f>
        <v/>
      </c>
      <c r="C1998" s="35">
        <v>42211918</v>
      </c>
      <c r="D1998" s="33" t="s">
        <v>1495</v>
      </c>
      <c r="E1998" s="33" t="s">
        <v>1496</v>
      </c>
      <c r="F1998" s="33" t="s">
        <v>1497</v>
      </c>
      <c r="G1998" s="33" t="s">
        <v>5411</v>
      </c>
      <c r="H1998" s="33" t="s">
        <v>5412</v>
      </c>
      <c r="I1998" s="33" t="s">
        <v>5413</v>
      </c>
      <c r="J1998" s="33">
        <v>115725</v>
      </c>
      <c r="K1998" s="33" t="s">
        <v>5554</v>
      </c>
      <c r="L1998" s="33" t="s">
        <v>5555</v>
      </c>
      <c r="M1998" s="33" t="s">
        <v>5556</v>
      </c>
      <c r="N1998" s="44">
        <v>42211918</v>
      </c>
      <c r="O1998" s="33" t="s">
        <v>5580</v>
      </c>
      <c r="P1998" s="33" t="s">
        <v>5581</v>
      </c>
      <c r="Q1998" s="34" t="s">
        <v>1494</v>
      </c>
      <c r="R1998" s="34" t="s">
        <v>1494</v>
      </c>
    </row>
    <row r="1999" spans="1:18" ht="15" customHeight="1" x14ac:dyDescent="0.25">
      <c r="A1999" t="str">
        <f>IFERROR(RANK(B1999,$B:$B,1)+COUNTIF($B$1:B1998,B1999),"")</f>
        <v/>
      </c>
      <c r="B1999" t="str">
        <f>IFERROR(SEARCH(#REF!,Table4[[#This Row],[Commodity Title]],1),"")</f>
        <v/>
      </c>
      <c r="C1999" s="35">
        <v>42211919</v>
      </c>
      <c r="D1999" s="33" t="s">
        <v>1495</v>
      </c>
      <c r="E1999" s="33" t="s">
        <v>1496</v>
      </c>
      <c r="F1999" s="33" t="s">
        <v>1497</v>
      </c>
      <c r="G1999" s="33" t="s">
        <v>5411</v>
      </c>
      <c r="H1999" s="33" t="s">
        <v>5412</v>
      </c>
      <c r="I1999" s="33" t="s">
        <v>5413</v>
      </c>
      <c r="J1999" s="33">
        <v>202925</v>
      </c>
      <c r="K1999" s="33" t="s">
        <v>5554</v>
      </c>
      <c r="L1999" s="33" t="s">
        <v>5555</v>
      </c>
      <c r="M1999" s="33" t="s">
        <v>5556</v>
      </c>
      <c r="N1999" s="44">
        <v>42211919</v>
      </c>
      <c r="O1999" s="33" t="s">
        <v>5582</v>
      </c>
      <c r="P1999" s="33" t="s">
        <v>5583</v>
      </c>
      <c r="Q1999" s="34" t="s">
        <v>1494</v>
      </c>
      <c r="R1999" s="34" t="s">
        <v>1494</v>
      </c>
    </row>
    <row r="2000" spans="1:18" ht="15" customHeight="1" x14ac:dyDescent="0.25">
      <c r="A2000" t="str">
        <f>IFERROR(RANK(B2000,$B:$B,1)+COUNTIF($B$1:B1999,B2000),"")</f>
        <v/>
      </c>
      <c r="B2000" t="str">
        <f>IFERROR(SEARCH(#REF!,Table4[[#This Row],[Commodity Title]],1),"")</f>
        <v/>
      </c>
      <c r="C2000" s="33" t="s">
        <v>1494</v>
      </c>
      <c r="D2000" s="33" t="s">
        <v>1495</v>
      </c>
      <c r="E2000" s="33" t="s">
        <v>1496</v>
      </c>
      <c r="F2000" s="33" t="s">
        <v>1497</v>
      </c>
      <c r="G2000" s="33" t="s">
        <v>5411</v>
      </c>
      <c r="H2000" s="33" t="s">
        <v>5412</v>
      </c>
      <c r="I2000" s="33" t="s">
        <v>5413</v>
      </c>
      <c r="J2000" s="33">
        <v>115726</v>
      </c>
      <c r="K2000" s="33" t="s">
        <v>5584</v>
      </c>
      <c r="L2000" s="33" t="s">
        <v>5585</v>
      </c>
      <c r="M2000" s="33" t="s">
        <v>5586</v>
      </c>
      <c r="N2000" s="44" t="s">
        <v>1494</v>
      </c>
      <c r="O2000" s="33" t="s">
        <v>1494</v>
      </c>
      <c r="P2000" s="33" t="s">
        <v>1494</v>
      </c>
      <c r="Q2000" s="34" t="s">
        <v>1494</v>
      </c>
      <c r="R2000" s="34" t="s">
        <v>1494</v>
      </c>
    </row>
    <row r="2001" spans="1:18" ht="15" customHeight="1" x14ac:dyDescent="0.25">
      <c r="A2001" t="str">
        <f>IFERROR(RANK(B2001,$B:$B,1)+COUNTIF($B$1:B2000,B2001),"")</f>
        <v/>
      </c>
      <c r="B2001" t="str">
        <f>IFERROR(SEARCH(#REF!,Table4[[#This Row],[Commodity Title]],1),"")</f>
        <v/>
      </c>
      <c r="C2001" s="35">
        <v>42212001</v>
      </c>
      <c r="D2001" s="33" t="s">
        <v>1495</v>
      </c>
      <c r="E2001" s="33" t="s">
        <v>1496</v>
      </c>
      <c r="F2001" s="33" t="s">
        <v>1497</v>
      </c>
      <c r="G2001" s="33" t="s">
        <v>5411</v>
      </c>
      <c r="H2001" s="33" t="s">
        <v>5412</v>
      </c>
      <c r="I2001" s="33" t="s">
        <v>5413</v>
      </c>
      <c r="J2001" s="33">
        <v>115727</v>
      </c>
      <c r="K2001" s="33" t="s">
        <v>5584</v>
      </c>
      <c r="L2001" s="33" t="s">
        <v>5585</v>
      </c>
      <c r="M2001" s="33" t="s">
        <v>5586</v>
      </c>
      <c r="N2001" s="44">
        <v>42212001</v>
      </c>
      <c r="O2001" s="33" t="s">
        <v>5587</v>
      </c>
      <c r="P2001" s="33" t="s">
        <v>5588</v>
      </c>
      <c r="Q2001" s="34" t="s">
        <v>1494</v>
      </c>
      <c r="R2001" s="34" t="s">
        <v>1494</v>
      </c>
    </row>
    <row r="2002" spans="1:18" ht="15" customHeight="1" x14ac:dyDescent="0.25">
      <c r="A2002" t="str">
        <f>IFERROR(RANK(B2002,$B:$B,1)+COUNTIF($B$1:B2001,B2002),"")</f>
        <v/>
      </c>
      <c r="B2002" t="str">
        <f>IFERROR(SEARCH(#REF!,Table4[[#This Row],[Commodity Title]],1),"")</f>
        <v/>
      </c>
      <c r="C2002" s="35">
        <v>42212002</v>
      </c>
      <c r="D2002" s="33" t="s">
        <v>1495</v>
      </c>
      <c r="E2002" s="33" t="s">
        <v>1496</v>
      </c>
      <c r="F2002" s="33" t="s">
        <v>1497</v>
      </c>
      <c r="G2002" s="33" t="s">
        <v>5411</v>
      </c>
      <c r="H2002" s="33" t="s">
        <v>5412</v>
      </c>
      <c r="I2002" s="33" t="s">
        <v>5413</v>
      </c>
      <c r="J2002" s="33">
        <v>115728</v>
      </c>
      <c r="K2002" s="33" t="s">
        <v>5584</v>
      </c>
      <c r="L2002" s="33" t="s">
        <v>5585</v>
      </c>
      <c r="M2002" s="33" t="s">
        <v>5586</v>
      </c>
      <c r="N2002" s="44">
        <v>42212002</v>
      </c>
      <c r="O2002" s="33" t="s">
        <v>5589</v>
      </c>
      <c r="P2002" s="33" t="s">
        <v>5590</v>
      </c>
      <c r="Q2002" s="34" t="s">
        <v>1494</v>
      </c>
      <c r="R2002" s="34" t="s">
        <v>1494</v>
      </c>
    </row>
    <row r="2003" spans="1:18" ht="15" customHeight="1" x14ac:dyDescent="0.25">
      <c r="A2003" t="str">
        <f>IFERROR(RANK(B2003,$B:$B,1)+COUNTIF($B$1:B2002,B2003),"")</f>
        <v/>
      </c>
      <c r="B2003" t="str">
        <f>IFERROR(SEARCH(#REF!,Table4[[#This Row],[Commodity Title]],1),"")</f>
        <v/>
      </c>
      <c r="C2003" s="35">
        <v>42212003</v>
      </c>
      <c r="D2003" s="33" t="s">
        <v>1495</v>
      </c>
      <c r="E2003" s="33" t="s">
        <v>1496</v>
      </c>
      <c r="F2003" s="33" t="s">
        <v>1497</v>
      </c>
      <c r="G2003" s="33" t="s">
        <v>5411</v>
      </c>
      <c r="H2003" s="33" t="s">
        <v>5412</v>
      </c>
      <c r="I2003" s="33" t="s">
        <v>5413</v>
      </c>
      <c r="J2003" s="33">
        <v>115729</v>
      </c>
      <c r="K2003" s="33" t="s">
        <v>5584</v>
      </c>
      <c r="L2003" s="33" t="s">
        <v>5585</v>
      </c>
      <c r="M2003" s="33" t="s">
        <v>5586</v>
      </c>
      <c r="N2003" s="44">
        <v>42212003</v>
      </c>
      <c r="O2003" s="33" t="s">
        <v>5591</v>
      </c>
      <c r="P2003" s="33" t="s">
        <v>5592</v>
      </c>
      <c r="Q2003" s="34" t="s">
        <v>1494</v>
      </c>
      <c r="R2003" s="34" t="s">
        <v>1494</v>
      </c>
    </row>
    <row r="2004" spans="1:18" ht="15" customHeight="1" x14ac:dyDescent="0.25">
      <c r="A2004" t="str">
        <f>IFERROR(RANK(B2004,$B:$B,1)+COUNTIF($B$1:B2003,B2004),"")</f>
        <v/>
      </c>
      <c r="B2004" t="str">
        <f>IFERROR(SEARCH(#REF!,Table4[[#This Row],[Commodity Title]],1),"")</f>
        <v/>
      </c>
      <c r="C2004" s="35">
        <v>42212004</v>
      </c>
      <c r="D2004" s="33" t="s">
        <v>1495</v>
      </c>
      <c r="E2004" s="33" t="s">
        <v>1496</v>
      </c>
      <c r="F2004" s="33" t="s">
        <v>1497</v>
      </c>
      <c r="G2004" s="33" t="s">
        <v>5411</v>
      </c>
      <c r="H2004" s="33" t="s">
        <v>5412</v>
      </c>
      <c r="I2004" s="33" t="s">
        <v>5413</v>
      </c>
      <c r="J2004" s="33">
        <v>115730</v>
      </c>
      <c r="K2004" s="33" t="s">
        <v>5584</v>
      </c>
      <c r="L2004" s="33" t="s">
        <v>5585</v>
      </c>
      <c r="M2004" s="33" t="s">
        <v>5586</v>
      </c>
      <c r="N2004" s="44">
        <v>42212004</v>
      </c>
      <c r="O2004" s="33" t="s">
        <v>5593</v>
      </c>
      <c r="P2004" s="33" t="s">
        <v>5594</v>
      </c>
      <c r="Q2004" s="34" t="s">
        <v>1494</v>
      </c>
      <c r="R2004" s="34" t="s">
        <v>1494</v>
      </c>
    </row>
    <row r="2005" spans="1:18" ht="15" customHeight="1" x14ac:dyDescent="0.25">
      <c r="A2005" t="str">
        <f>IFERROR(RANK(B2005,$B:$B,1)+COUNTIF($B$1:B2004,B2005),"")</f>
        <v/>
      </c>
      <c r="B2005" t="str">
        <f>IFERROR(SEARCH(#REF!,Table4[[#This Row],[Commodity Title]],1),"")</f>
        <v/>
      </c>
      <c r="C2005" s="35">
        <v>42212005</v>
      </c>
      <c r="D2005" s="33" t="s">
        <v>1495</v>
      </c>
      <c r="E2005" s="33" t="s">
        <v>1496</v>
      </c>
      <c r="F2005" s="33" t="s">
        <v>1497</v>
      </c>
      <c r="G2005" s="33" t="s">
        <v>5411</v>
      </c>
      <c r="H2005" s="33" t="s">
        <v>5412</v>
      </c>
      <c r="I2005" s="33" t="s">
        <v>5413</v>
      </c>
      <c r="J2005" s="33">
        <v>115731</v>
      </c>
      <c r="K2005" s="33" t="s">
        <v>5584</v>
      </c>
      <c r="L2005" s="33" t="s">
        <v>5585</v>
      </c>
      <c r="M2005" s="33" t="s">
        <v>5586</v>
      </c>
      <c r="N2005" s="44">
        <v>42212005</v>
      </c>
      <c r="O2005" s="33" t="s">
        <v>5595</v>
      </c>
      <c r="P2005" s="33" t="s">
        <v>5596</v>
      </c>
      <c r="Q2005" s="34" t="s">
        <v>1494</v>
      </c>
      <c r="R2005" s="34" t="s">
        <v>1494</v>
      </c>
    </row>
    <row r="2006" spans="1:18" ht="15" customHeight="1" x14ac:dyDescent="0.25">
      <c r="A2006" t="str">
        <f>IFERROR(RANK(B2006,$B:$B,1)+COUNTIF($B$1:B2005,B2006),"")</f>
        <v/>
      </c>
      <c r="B2006" t="str">
        <f>IFERROR(SEARCH(#REF!,Table4[[#This Row],[Commodity Title]],1),"")</f>
        <v/>
      </c>
      <c r="C2006" s="35">
        <v>42212006</v>
      </c>
      <c r="D2006" s="33" t="s">
        <v>1495</v>
      </c>
      <c r="E2006" s="33" t="s">
        <v>1496</v>
      </c>
      <c r="F2006" s="33" t="s">
        <v>1497</v>
      </c>
      <c r="G2006" s="33" t="s">
        <v>5411</v>
      </c>
      <c r="H2006" s="33" t="s">
        <v>5412</v>
      </c>
      <c r="I2006" s="33" t="s">
        <v>5413</v>
      </c>
      <c r="J2006" s="33">
        <v>115732</v>
      </c>
      <c r="K2006" s="33" t="s">
        <v>5584</v>
      </c>
      <c r="L2006" s="33" t="s">
        <v>5585</v>
      </c>
      <c r="M2006" s="33" t="s">
        <v>5586</v>
      </c>
      <c r="N2006" s="44">
        <v>42212006</v>
      </c>
      <c r="O2006" s="33" t="s">
        <v>5597</v>
      </c>
      <c r="P2006" s="33" t="s">
        <v>5598</v>
      </c>
      <c r="Q2006" s="34" t="s">
        <v>1494</v>
      </c>
      <c r="R2006" s="34" t="s">
        <v>1494</v>
      </c>
    </row>
    <row r="2007" spans="1:18" ht="15" customHeight="1" x14ac:dyDescent="0.25">
      <c r="A2007" t="str">
        <f>IFERROR(RANK(B2007,$B:$B,1)+COUNTIF($B$1:B2006,B2007),"")</f>
        <v/>
      </c>
      <c r="B2007" t="str">
        <f>IFERROR(SEARCH(#REF!,Table4[[#This Row],[Commodity Title]],1),"")</f>
        <v/>
      </c>
      <c r="C2007" s="35">
        <v>42212007</v>
      </c>
      <c r="D2007" s="33" t="s">
        <v>1495</v>
      </c>
      <c r="E2007" s="33" t="s">
        <v>1496</v>
      </c>
      <c r="F2007" s="33" t="s">
        <v>1497</v>
      </c>
      <c r="G2007" s="33" t="s">
        <v>5411</v>
      </c>
      <c r="H2007" s="33" t="s">
        <v>5412</v>
      </c>
      <c r="I2007" s="33" t="s">
        <v>5413</v>
      </c>
      <c r="J2007" s="33">
        <v>115733</v>
      </c>
      <c r="K2007" s="33" t="s">
        <v>5584</v>
      </c>
      <c r="L2007" s="33" t="s">
        <v>5585</v>
      </c>
      <c r="M2007" s="33" t="s">
        <v>5586</v>
      </c>
      <c r="N2007" s="44">
        <v>42212007</v>
      </c>
      <c r="O2007" s="33" t="s">
        <v>5599</v>
      </c>
      <c r="P2007" s="33" t="s">
        <v>5600</v>
      </c>
      <c r="Q2007" s="34" t="s">
        <v>1494</v>
      </c>
      <c r="R2007" s="34" t="s">
        <v>1494</v>
      </c>
    </row>
    <row r="2008" spans="1:18" ht="15" customHeight="1" x14ac:dyDescent="0.25">
      <c r="A2008" t="str">
        <f>IFERROR(RANK(B2008,$B:$B,1)+COUNTIF($B$1:B2007,B2008),"")</f>
        <v/>
      </c>
      <c r="B2008" t="str">
        <f>IFERROR(SEARCH(#REF!,Table4[[#This Row],[Commodity Title]],1),"")</f>
        <v/>
      </c>
      <c r="C2008" s="33" t="s">
        <v>1494</v>
      </c>
      <c r="D2008" s="33" t="s">
        <v>1495</v>
      </c>
      <c r="E2008" s="33" t="s">
        <v>1496</v>
      </c>
      <c r="F2008" s="33" t="s">
        <v>1497</v>
      </c>
      <c r="G2008" s="33" t="s">
        <v>5411</v>
      </c>
      <c r="H2008" s="33" t="s">
        <v>5412</v>
      </c>
      <c r="I2008" s="33" t="s">
        <v>5413</v>
      </c>
      <c r="J2008" s="33">
        <v>115734</v>
      </c>
      <c r="K2008" s="33" t="s">
        <v>5601</v>
      </c>
      <c r="L2008" s="33" t="s">
        <v>5602</v>
      </c>
      <c r="M2008" s="33" t="s">
        <v>5603</v>
      </c>
      <c r="N2008" s="44" t="s">
        <v>1494</v>
      </c>
      <c r="O2008" s="33" t="s">
        <v>1494</v>
      </c>
      <c r="P2008" s="33" t="s">
        <v>1494</v>
      </c>
      <c r="Q2008" s="34" t="s">
        <v>1494</v>
      </c>
      <c r="R2008" s="34" t="s">
        <v>1494</v>
      </c>
    </row>
    <row r="2009" spans="1:18" ht="15" customHeight="1" x14ac:dyDescent="0.25">
      <c r="A2009" t="str">
        <f>IFERROR(RANK(B2009,$B:$B,1)+COUNTIF($B$1:B2008,B2009),"")</f>
        <v/>
      </c>
      <c r="B2009" t="str">
        <f>IFERROR(SEARCH(#REF!,Table4[[#This Row],[Commodity Title]],1),"")</f>
        <v/>
      </c>
      <c r="C2009" s="35">
        <v>42212101</v>
      </c>
      <c r="D2009" s="33" t="s">
        <v>1495</v>
      </c>
      <c r="E2009" s="33" t="s">
        <v>1496</v>
      </c>
      <c r="F2009" s="33" t="s">
        <v>1497</v>
      </c>
      <c r="G2009" s="33" t="s">
        <v>5411</v>
      </c>
      <c r="H2009" s="33" t="s">
        <v>5412</v>
      </c>
      <c r="I2009" s="33" t="s">
        <v>5413</v>
      </c>
      <c r="J2009" s="33">
        <v>115735</v>
      </c>
      <c r="K2009" s="33" t="s">
        <v>5601</v>
      </c>
      <c r="L2009" s="33" t="s">
        <v>5602</v>
      </c>
      <c r="M2009" s="33" t="s">
        <v>5603</v>
      </c>
      <c r="N2009" s="44">
        <v>42212101</v>
      </c>
      <c r="O2009" s="33" t="s">
        <v>5604</v>
      </c>
      <c r="P2009" s="33" t="s">
        <v>5605</v>
      </c>
      <c r="Q2009" s="34" t="s">
        <v>1494</v>
      </c>
      <c r="R2009" s="34" t="s">
        <v>1494</v>
      </c>
    </row>
    <row r="2010" spans="1:18" ht="15" customHeight="1" x14ac:dyDescent="0.25">
      <c r="A2010" t="str">
        <f>IFERROR(RANK(B2010,$B:$B,1)+COUNTIF($B$1:B2009,B2010),"")</f>
        <v/>
      </c>
      <c r="B2010" t="str">
        <f>IFERROR(SEARCH(#REF!,Table4[[#This Row],[Commodity Title]],1),"")</f>
        <v/>
      </c>
      <c r="C2010" s="35">
        <v>42212102</v>
      </c>
      <c r="D2010" s="33" t="s">
        <v>1495</v>
      </c>
      <c r="E2010" s="33" t="s">
        <v>1496</v>
      </c>
      <c r="F2010" s="33" t="s">
        <v>1497</v>
      </c>
      <c r="G2010" s="33" t="s">
        <v>5411</v>
      </c>
      <c r="H2010" s="33" t="s">
        <v>5412</v>
      </c>
      <c r="I2010" s="33" t="s">
        <v>5413</v>
      </c>
      <c r="J2010" s="33">
        <v>115736</v>
      </c>
      <c r="K2010" s="33" t="s">
        <v>5601</v>
      </c>
      <c r="L2010" s="33" t="s">
        <v>5602</v>
      </c>
      <c r="M2010" s="33" t="s">
        <v>5603</v>
      </c>
      <c r="N2010" s="44">
        <v>42212102</v>
      </c>
      <c r="O2010" s="33" t="s">
        <v>5606</v>
      </c>
      <c r="P2010" s="33" t="s">
        <v>5607</v>
      </c>
      <c r="Q2010" s="34" t="s">
        <v>1494</v>
      </c>
      <c r="R2010" s="34" t="s">
        <v>1494</v>
      </c>
    </row>
    <row r="2011" spans="1:18" ht="15" customHeight="1" x14ac:dyDescent="0.25">
      <c r="A2011" t="str">
        <f>IFERROR(RANK(B2011,$B:$B,1)+COUNTIF($B$1:B2010,B2011),"")</f>
        <v/>
      </c>
      <c r="B2011" t="str">
        <f>IFERROR(SEARCH(#REF!,Table4[[#This Row],[Commodity Title]],1),"")</f>
        <v/>
      </c>
      <c r="C2011" s="35">
        <v>42212103</v>
      </c>
      <c r="D2011" s="33" t="s">
        <v>1495</v>
      </c>
      <c r="E2011" s="33" t="s">
        <v>1496</v>
      </c>
      <c r="F2011" s="33" t="s">
        <v>1497</v>
      </c>
      <c r="G2011" s="33" t="s">
        <v>5411</v>
      </c>
      <c r="H2011" s="33" t="s">
        <v>5412</v>
      </c>
      <c r="I2011" s="33" t="s">
        <v>5413</v>
      </c>
      <c r="J2011" s="33">
        <v>115737</v>
      </c>
      <c r="K2011" s="33" t="s">
        <v>5601</v>
      </c>
      <c r="L2011" s="33" t="s">
        <v>5602</v>
      </c>
      <c r="M2011" s="33" t="s">
        <v>5603</v>
      </c>
      <c r="N2011" s="44">
        <v>42212103</v>
      </c>
      <c r="O2011" s="33" t="s">
        <v>5608</v>
      </c>
      <c r="P2011" s="33" t="s">
        <v>5609</v>
      </c>
      <c r="Q2011" s="34" t="s">
        <v>1494</v>
      </c>
      <c r="R2011" s="34" t="s">
        <v>1494</v>
      </c>
    </row>
    <row r="2012" spans="1:18" ht="15" customHeight="1" x14ac:dyDescent="0.25">
      <c r="A2012" t="str">
        <f>IFERROR(RANK(B2012,$B:$B,1)+COUNTIF($B$1:B2011,B2012),"")</f>
        <v/>
      </c>
      <c r="B2012" t="str">
        <f>IFERROR(SEARCH(#REF!,Table4[[#This Row],[Commodity Title]],1),"")</f>
        <v/>
      </c>
      <c r="C2012" s="35">
        <v>42212104</v>
      </c>
      <c r="D2012" s="33" t="s">
        <v>1495</v>
      </c>
      <c r="E2012" s="33" t="s">
        <v>1496</v>
      </c>
      <c r="F2012" s="33" t="s">
        <v>1497</v>
      </c>
      <c r="G2012" s="33" t="s">
        <v>5411</v>
      </c>
      <c r="H2012" s="33" t="s">
        <v>5412</v>
      </c>
      <c r="I2012" s="33" t="s">
        <v>5413</v>
      </c>
      <c r="J2012" s="33">
        <v>115738</v>
      </c>
      <c r="K2012" s="33" t="s">
        <v>5601</v>
      </c>
      <c r="L2012" s="33" t="s">
        <v>5602</v>
      </c>
      <c r="M2012" s="33" t="s">
        <v>5603</v>
      </c>
      <c r="N2012" s="44">
        <v>42212104</v>
      </c>
      <c r="O2012" s="33" t="s">
        <v>5610</v>
      </c>
      <c r="P2012" s="33" t="s">
        <v>5611</v>
      </c>
      <c r="Q2012" s="34" t="s">
        <v>1494</v>
      </c>
      <c r="R2012" s="34" t="s">
        <v>1494</v>
      </c>
    </row>
    <row r="2013" spans="1:18" ht="15" customHeight="1" x14ac:dyDescent="0.25">
      <c r="A2013" t="str">
        <f>IFERROR(RANK(B2013,$B:$B,1)+COUNTIF($B$1:B2012,B2013),"")</f>
        <v/>
      </c>
      <c r="B2013" t="str">
        <f>IFERROR(SEARCH(#REF!,Table4[[#This Row],[Commodity Title]],1),"")</f>
        <v/>
      </c>
      <c r="C2013" s="35">
        <v>42212105</v>
      </c>
      <c r="D2013" s="33" t="s">
        <v>1495</v>
      </c>
      <c r="E2013" s="33" t="s">
        <v>1496</v>
      </c>
      <c r="F2013" s="33" t="s">
        <v>1497</v>
      </c>
      <c r="G2013" s="33" t="s">
        <v>5411</v>
      </c>
      <c r="H2013" s="33" t="s">
        <v>5412</v>
      </c>
      <c r="I2013" s="33" t="s">
        <v>5413</v>
      </c>
      <c r="J2013" s="33">
        <v>104731</v>
      </c>
      <c r="K2013" s="33" t="s">
        <v>5601</v>
      </c>
      <c r="L2013" s="33" t="s">
        <v>5602</v>
      </c>
      <c r="M2013" s="33" t="s">
        <v>5603</v>
      </c>
      <c r="N2013" s="44">
        <v>42212105</v>
      </c>
      <c r="O2013" s="33" t="s">
        <v>5612</v>
      </c>
      <c r="P2013" s="33" t="s">
        <v>5613</v>
      </c>
      <c r="Q2013" s="34" t="s">
        <v>1494</v>
      </c>
      <c r="R2013" s="34" t="s">
        <v>1494</v>
      </c>
    </row>
    <row r="2014" spans="1:18" ht="15" customHeight="1" x14ac:dyDescent="0.25">
      <c r="A2014" t="str">
        <f>IFERROR(RANK(B2014,$B:$B,1)+COUNTIF($B$1:B2013,B2014),"")</f>
        <v/>
      </c>
      <c r="B2014" t="str">
        <f>IFERROR(SEARCH(#REF!,Table4[[#This Row],[Commodity Title]],1),"")</f>
        <v/>
      </c>
      <c r="C2014" s="35">
        <v>42212106</v>
      </c>
      <c r="D2014" s="33" t="s">
        <v>1495</v>
      </c>
      <c r="E2014" s="33" t="s">
        <v>1496</v>
      </c>
      <c r="F2014" s="33" t="s">
        <v>1497</v>
      </c>
      <c r="G2014" s="33" t="s">
        <v>5411</v>
      </c>
      <c r="H2014" s="33" t="s">
        <v>5412</v>
      </c>
      <c r="I2014" s="33" t="s">
        <v>5413</v>
      </c>
      <c r="J2014" s="33">
        <v>104735</v>
      </c>
      <c r="K2014" s="33" t="s">
        <v>5601</v>
      </c>
      <c r="L2014" s="33" t="s">
        <v>5602</v>
      </c>
      <c r="M2014" s="33" t="s">
        <v>5603</v>
      </c>
      <c r="N2014" s="44">
        <v>42212106</v>
      </c>
      <c r="O2014" s="33" t="s">
        <v>5614</v>
      </c>
      <c r="P2014" s="33" t="s">
        <v>5615</v>
      </c>
      <c r="Q2014" s="34" t="s">
        <v>1494</v>
      </c>
      <c r="R2014" s="34" t="s">
        <v>1494</v>
      </c>
    </row>
    <row r="2015" spans="1:18" ht="15" customHeight="1" x14ac:dyDescent="0.25">
      <c r="A2015" t="str">
        <f>IFERROR(RANK(B2015,$B:$B,1)+COUNTIF($B$1:B2014,B2015),"")</f>
        <v/>
      </c>
      <c r="B2015" t="str">
        <f>IFERROR(SEARCH(#REF!,Table4[[#This Row],[Commodity Title]],1),"")</f>
        <v/>
      </c>
      <c r="C2015" s="35">
        <v>42212107</v>
      </c>
      <c r="D2015" s="33" t="s">
        <v>1495</v>
      </c>
      <c r="E2015" s="33" t="s">
        <v>1496</v>
      </c>
      <c r="F2015" s="33" t="s">
        <v>1497</v>
      </c>
      <c r="G2015" s="33" t="s">
        <v>5411</v>
      </c>
      <c r="H2015" s="33" t="s">
        <v>5412</v>
      </c>
      <c r="I2015" s="33" t="s">
        <v>5413</v>
      </c>
      <c r="J2015" s="33">
        <v>104723</v>
      </c>
      <c r="K2015" s="33" t="s">
        <v>5601</v>
      </c>
      <c r="L2015" s="33" t="s">
        <v>5602</v>
      </c>
      <c r="M2015" s="33" t="s">
        <v>5603</v>
      </c>
      <c r="N2015" s="44">
        <v>42212107</v>
      </c>
      <c r="O2015" s="33" t="s">
        <v>5616</v>
      </c>
      <c r="P2015" s="33" t="s">
        <v>5617</v>
      </c>
      <c r="Q2015" s="34" t="s">
        <v>1494</v>
      </c>
      <c r="R2015" s="34" t="s">
        <v>1494</v>
      </c>
    </row>
    <row r="2016" spans="1:18" ht="15" customHeight="1" x14ac:dyDescent="0.25">
      <c r="A2016" t="str">
        <f>IFERROR(RANK(B2016,$B:$B,1)+COUNTIF($B$1:B2015,B2016),"")</f>
        <v/>
      </c>
      <c r="B2016" t="str">
        <f>IFERROR(SEARCH(#REF!,Table4[[#This Row],[Commodity Title]],1),"")</f>
        <v/>
      </c>
      <c r="C2016" s="35">
        <v>42212108</v>
      </c>
      <c r="D2016" s="33" t="s">
        <v>1495</v>
      </c>
      <c r="E2016" s="33" t="s">
        <v>1496</v>
      </c>
      <c r="F2016" s="33" t="s">
        <v>1497</v>
      </c>
      <c r="G2016" s="33" t="s">
        <v>5411</v>
      </c>
      <c r="H2016" s="33" t="s">
        <v>5412</v>
      </c>
      <c r="I2016" s="33" t="s">
        <v>5413</v>
      </c>
      <c r="J2016" s="33">
        <v>104739</v>
      </c>
      <c r="K2016" s="33" t="s">
        <v>5601</v>
      </c>
      <c r="L2016" s="33" t="s">
        <v>5602</v>
      </c>
      <c r="M2016" s="33" t="s">
        <v>5603</v>
      </c>
      <c r="N2016" s="44">
        <v>42212108</v>
      </c>
      <c r="O2016" s="33" t="s">
        <v>5618</v>
      </c>
      <c r="P2016" s="33" t="s">
        <v>5619</v>
      </c>
      <c r="Q2016" s="34" t="s">
        <v>1494</v>
      </c>
      <c r="R2016" s="34" t="s">
        <v>1494</v>
      </c>
    </row>
    <row r="2017" spans="1:18" ht="15" customHeight="1" x14ac:dyDescent="0.25">
      <c r="A2017" t="str">
        <f>IFERROR(RANK(B2017,$B:$B,1)+COUNTIF($B$1:B2016,B2017),"")</f>
        <v/>
      </c>
      <c r="B2017" t="str">
        <f>IFERROR(SEARCH(#REF!,Table4[[#This Row],[Commodity Title]],1),"")</f>
        <v/>
      </c>
      <c r="C2017" s="35">
        <v>42212109</v>
      </c>
      <c r="D2017" s="33" t="s">
        <v>1495</v>
      </c>
      <c r="E2017" s="33" t="s">
        <v>1496</v>
      </c>
      <c r="F2017" s="33" t="s">
        <v>1497</v>
      </c>
      <c r="G2017" s="33" t="s">
        <v>5411</v>
      </c>
      <c r="H2017" s="33" t="s">
        <v>5412</v>
      </c>
      <c r="I2017" s="33" t="s">
        <v>5413</v>
      </c>
      <c r="J2017" s="33">
        <v>104740</v>
      </c>
      <c r="K2017" s="33" t="s">
        <v>5601</v>
      </c>
      <c r="L2017" s="33" t="s">
        <v>5602</v>
      </c>
      <c r="M2017" s="33" t="s">
        <v>5603</v>
      </c>
      <c r="N2017" s="44">
        <v>42212109</v>
      </c>
      <c r="O2017" s="33" t="s">
        <v>5620</v>
      </c>
      <c r="P2017" s="33" t="s">
        <v>5621</v>
      </c>
      <c r="Q2017" s="34" t="s">
        <v>1494</v>
      </c>
      <c r="R2017" s="34" t="s">
        <v>1494</v>
      </c>
    </row>
    <row r="2018" spans="1:18" ht="15" customHeight="1" x14ac:dyDescent="0.25">
      <c r="A2018" t="str">
        <f>IFERROR(RANK(B2018,$B:$B,1)+COUNTIF($B$1:B2017,B2018),"")</f>
        <v/>
      </c>
      <c r="B2018" t="str">
        <f>IFERROR(SEARCH(#REF!,Table4[[#This Row],[Commodity Title]],1),"")</f>
        <v/>
      </c>
      <c r="C2018" s="35">
        <v>42212110</v>
      </c>
      <c r="D2018" s="33" t="s">
        <v>1495</v>
      </c>
      <c r="E2018" s="33" t="s">
        <v>1496</v>
      </c>
      <c r="F2018" s="33" t="s">
        <v>1497</v>
      </c>
      <c r="G2018" s="33" t="s">
        <v>5411</v>
      </c>
      <c r="H2018" s="33" t="s">
        <v>5412</v>
      </c>
      <c r="I2018" s="33" t="s">
        <v>5413</v>
      </c>
      <c r="J2018" s="33">
        <v>115744</v>
      </c>
      <c r="K2018" s="33" t="s">
        <v>5601</v>
      </c>
      <c r="L2018" s="33" t="s">
        <v>5602</v>
      </c>
      <c r="M2018" s="33" t="s">
        <v>5603</v>
      </c>
      <c r="N2018" s="44">
        <v>42212110</v>
      </c>
      <c r="O2018" s="33" t="s">
        <v>5622</v>
      </c>
      <c r="P2018" s="33" t="s">
        <v>5623</v>
      </c>
      <c r="Q2018" s="34" t="s">
        <v>1494</v>
      </c>
      <c r="R2018" s="34" t="s">
        <v>1494</v>
      </c>
    </row>
    <row r="2019" spans="1:18" ht="15" customHeight="1" x14ac:dyDescent="0.25">
      <c r="A2019" t="str">
        <f>IFERROR(RANK(B2019,$B:$B,1)+COUNTIF($B$1:B2018,B2019),"")</f>
        <v/>
      </c>
      <c r="B2019" t="str">
        <f>IFERROR(SEARCH(#REF!,Table4[[#This Row],[Commodity Title]],1),"")</f>
        <v/>
      </c>
      <c r="C2019" s="35">
        <v>42212111</v>
      </c>
      <c r="D2019" s="33" t="s">
        <v>1495</v>
      </c>
      <c r="E2019" s="33" t="s">
        <v>1496</v>
      </c>
      <c r="F2019" s="33" t="s">
        <v>1497</v>
      </c>
      <c r="G2019" s="33" t="s">
        <v>5411</v>
      </c>
      <c r="H2019" s="33" t="s">
        <v>5412</v>
      </c>
      <c r="I2019" s="33" t="s">
        <v>5413</v>
      </c>
      <c r="J2019" s="33">
        <v>104738</v>
      </c>
      <c r="K2019" s="33" t="s">
        <v>5601</v>
      </c>
      <c r="L2019" s="33" t="s">
        <v>5602</v>
      </c>
      <c r="M2019" s="33" t="s">
        <v>5603</v>
      </c>
      <c r="N2019" s="44">
        <v>42212111</v>
      </c>
      <c r="O2019" s="33" t="s">
        <v>5624</v>
      </c>
      <c r="P2019" s="33" t="s">
        <v>5625</v>
      </c>
      <c r="Q2019" s="34" t="s">
        <v>1494</v>
      </c>
      <c r="R2019" s="34" t="s">
        <v>1494</v>
      </c>
    </row>
    <row r="2020" spans="1:18" ht="15" customHeight="1" x14ac:dyDescent="0.25">
      <c r="A2020" t="str">
        <f>IFERROR(RANK(B2020,$B:$B,1)+COUNTIF($B$1:B2019,B2020),"")</f>
        <v/>
      </c>
      <c r="B2020" t="str">
        <f>IFERROR(SEARCH(#REF!,Table4[[#This Row],[Commodity Title]],1),"")</f>
        <v/>
      </c>
      <c r="C2020" s="35">
        <v>42212112</v>
      </c>
      <c r="D2020" s="33" t="s">
        <v>1495</v>
      </c>
      <c r="E2020" s="33" t="s">
        <v>1496</v>
      </c>
      <c r="F2020" s="33" t="s">
        <v>1497</v>
      </c>
      <c r="G2020" s="33" t="s">
        <v>5411</v>
      </c>
      <c r="H2020" s="33" t="s">
        <v>5412</v>
      </c>
      <c r="I2020" s="33" t="s">
        <v>5413</v>
      </c>
      <c r="J2020" s="33">
        <v>115746</v>
      </c>
      <c r="K2020" s="33" t="s">
        <v>5601</v>
      </c>
      <c r="L2020" s="33" t="s">
        <v>5602</v>
      </c>
      <c r="M2020" s="33" t="s">
        <v>5603</v>
      </c>
      <c r="N2020" s="44">
        <v>42212112</v>
      </c>
      <c r="O2020" s="33" t="s">
        <v>5626</v>
      </c>
      <c r="P2020" s="33" t="s">
        <v>5627</v>
      </c>
      <c r="Q2020" s="34" t="s">
        <v>1494</v>
      </c>
      <c r="R2020" s="34" t="s">
        <v>1494</v>
      </c>
    </row>
    <row r="2021" spans="1:18" ht="15" customHeight="1" x14ac:dyDescent="0.25">
      <c r="A2021" t="str">
        <f>IFERROR(RANK(B2021,$B:$B,1)+COUNTIF($B$1:B2020,B2021),"")</f>
        <v/>
      </c>
      <c r="B2021" t="str">
        <f>IFERROR(SEARCH(#REF!,Table4[[#This Row],[Commodity Title]],1),"")</f>
        <v/>
      </c>
      <c r="C2021" s="35">
        <v>42212113</v>
      </c>
      <c r="D2021" s="33" t="s">
        <v>1495</v>
      </c>
      <c r="E2021" s="33" t="s">
        <v>1496</v>
      </c>
      <c r="F2021" s="33" t="s">
        <v>1497</v>
      </c>
      <c r="G2021" s="33" t="s">
        <v>5411</v>
      </c>
      <c r="H2021" s="33" t="s">
        <v>5412</v>
      </c>
      <c r="I2021" s="33" t="s">
        <v>5413</v>
      </c>
      <c r="J2021" s="33">
        <v>115747</v>
      </c>
      <c r="K2021" s="33" t="s">
        <v>5601</v>
      </c>
      <c r="L2021" s="33" t="s">
        <v>5602</v>
      </c>
      <c r="M2021" s="33" t="s">
        <v>5603</v>
      </c>
      <c r="N2021" s="44">
        <v>42212113</v>
      </c>
      <c r="O2021" s="33" t="s">
        <v>5628</v>
      </c>
      <c r="P2021" s="33" t="s">
        <v>5629</v>
      </c>
      <c r="Q2021" s="34" t="s">
        <v>1494</v>
      </c>
      <c r="R2021" s="34" t="s">
        <v>1494</v>
      </c>
    </row>
    <row r="2022" spans="1:18" ht="15" customHeight="1" x14ac:dyDescent="0.25">
      <c r="A2022" t="str">
        <f>IFERROR(RANK(B2022,$B:$B,1)+COUNTIF($B$1:B2021,B2022),"")</f>
        <v/>
      </c>
      <c r="B2022" t="str">
        <f>IFERROR(SEARCH(#REF!,Table4[[#This Row],[Commodity Title]],1),"")</f>
        <v/>
      </c>
      <c r="C2022" s="33" t="s">
        <v>1494</v>
      </c>
      <c r="D2022" s="33" t="s">
        <v>1495</v>
      </c>
      <c r="E2022" s="33" t="s">
        <v>1496</v>
      </c>
      <c r="F2022" s="33" t="s">
        <v>1497</v>
      </c>
      <c r="G2022" s="33" t="s">
        <v>5411</v>
      </c>
      <c r="H2022" s="33" t="s">
        <v>5412</v>
      </c>
      <c r="I2022" s="33" t="s">
        <v>5413</v>
      </c>
      <c r="J2022" s="33">
        <v>115748</v>
      </c>
      <c r="K2022" s="33" t="s">
        <v>5630</v>
      </c>
      <c r="L2022" s="33" t="s">
        <v>5631</v>
      </c>
      <c r="M2022" s="33" t="s">
        <v>2508</v>
      </c>
      <c r="N2022" s="44" t="s">
        <v>1494</v>
      </c>
      <c r="O2022" s="33" t="s">
        <v>1494</v>
      </c>
      <c r="P2022" s="33" t="s">
        <v>1494</v>
      </c>
      <c r="Q2022" s="34" t="s">
        <v>1494</v>
      </c>
      <c r="R2022" s="34" t="s">
        <v>1494</v>
      </c>
    </row>
    <row r="2023" spans="1:18" ht="15" customHeight="1" x14ac:dyDescent="0.25">
      <c r="A2023" t="str">
        <f>IFERROR(RANK(B2023,$B:$B,1)+COUNTIF($B$1:B2022,B2023),"")</f>
        <v/>
      </c>
      <c r="B2023" t="str">
        <f>IFERROR(SEARCH(#REF!,Table4[[#This Row],[Commodity Title]],1),"")</f>
        <v/>
      </c>
      <c r="C2023" s="35">
        <v>42212201</v>
      </c>
      <c r="D2023" s="33" t="s">
        <v>1495</v>
      </c>
      <c r="E2023" s="33" t="s">
        <v>1496</v>
      </c>
      <c r="F2023" s="33" t="s">
        <v>1497</v>
      </c>
      <c r="G2023" s="33" t="s">
        <v>5411</v>
      </c>
      <c r="H2023" s="33" t="s">
        <v>5412</v>
      </c>
      <c r="I2023" s="33" t="s">
        <v>5413</v>
      </c>
      <c r="J2023" s="33">
        <v>115749</v>
      </c>
      <c r="K2023" s="33" t="s">
        <v>5630</v>
      </c>
      <c r="L2023" s="33" t="s">
        <v>5631</v>
      </c>
      <c r="M2023" s="33" t="s">
        <v>2508</v>
      </c>
      <c r="N2023" s="44">
        <v>42212201</v>
      </c>
      <c r="O2023" s="33" t="s">
        <v>5632</v>
      </c>
      <c r="P2023" s="33" t="s">
        <v>5633</v>
      </c>
      <c r="Q2023" s="34" t="s">
        <v>1494</v>
      </c>
      <c r="R2023" s="34" t="s">
        <v>1494</v>
      </c>
    </row>
    <row r="2024" spans="1:18" ht="15" customHeight="1" x14ac:dyDescent="0.25">
      <c r="A2024" t="str">
        <f>IFERROR(RANK(B2024,$B:$B,1)+COUNTIF($B$1:B2023,B2024),"")</f>
        <v/>
      </c>
      <c r="B2024" t="str">
        <f>IFERROR(SEARCH(#REF!,Table4[[#This Row],[Commodity Title]],1),"")</f>
        <v/>
      </c>
      <c r="C2024" s="35">
        <v>42212202</v>
      </c>
      <c r="D2024" s="33" t="s">
        <v>1495</v>
      </c>
      <c r="E2024" s="33" t="s">
        <v>1496</v>
      </c>
      <c r="F2024" s="33" t="s">
        <v>1497</v>
      </c>
      <c r="G2024" s="33" t="s">
        <v>5411</v>
      </c>
      <c r="H2024" s="33" t="s">
        <v>5412</v>
      </c>
      <c r="I2024" s="33" t="s">
        <v>5413</v>
      </c>
      <c r="J2024" s="33">
        <v>115750</v>
      </c>
      <c r="K2024" s="33" t="s">
        <v>5630</v>
      </c>
      <c r="L2024" s="33" t="s">
        <v>5631</v>
      </c>
      <c r="M2024" s="33" t="s">
        <v>2508</v>
      </c>
      <c r="N2024" s="44">
        <v>42212202</v>
      </c>
      <c r="O2024" s="33" t="s">
        <v>5634</v>
      </c>
      <c r="P2024" s="33" t="s">
        <v>5635</v>
      </c>
      <c r="Q2024" s="34" t="s">
        <v>1494</v>
      </c>
      <c r="R2024" s="34" t="s">
        <v>1494</v>
      </c>
    </row>
    <row r="2025" spans="1:18" ht="15" customHeight="1" x14ac:dyDescent="0.25">
      <c r="A2025" t="str">
        <f>IFERROR(RANK(B2025,$B:$B,1)+COUNTIF($B$1:B2024,B2025),"")</f>
        <v/>
      </c>
      <c r="B2025" t="str">
        <f>IFERROR(SEARCH(#REF!,Table4[[#This Row],[Commodity Title]],1),"")</f>
        <v/>
      </c>
      <c r="C2025" s="35">
        <v>42212203</v>
      </c>
      <c r="D2025" s="33" t="s">
        <v>1495</v>
      </c>
      <c r="E2025" s="33" t="s">
        <v>1496</v>
      </c>
      <c r="F2025" s="33" t="s">
        <v>1497</v>
      </c>
      <c r="G2025" s="33" t="s">
        <v>5411</v>
      </c>
      <c r="H2025" s="33" t="s">
        <v>5412</v>
      </c>
      <c r="I2025" s="33" t="s">
        <v>5413</v>
      </c>
      <c r="J2025" s="33">
        <v>115751</v>
      </c>
      <c r="K2025" s="33" t="s">
        <v>5630</v>
      </c>
      <c r="L2025" s="33" t="s">
        <v>5631</v>
      </c>
      <c r="M2025" s="33" t="s">
        <v>2508</v>
      </c>
      <c r="N2025" s="44">
        <v>42212203</v>
      </c>
      <c r="O2025" s="33" t="s">
        <v>5636</v>
      </c>
      <c r="P2025" s="33" t="s">
        <v>5637</v>
      </c>
      <c r="Q2025" s="34" t="s">
        <v>1494</v>
      </c>
      <c r="R2025" s="34" t="s">
        <v>1494</v>
      </c>
    </row>
    <row r="2026" spans="1:18" ht="15" customHeight="1" x14ac:dyDescent="0.25">
      <c r="A2026" t="str">
        <f>IFERROR(RANK(B2026,$B:$B,1)+COUNTIF($B$1:B2025,B2026),"")</f>
        <v/>
      </c>
      <c r="B2026" t="str">
        <f>IFERROR(SEARCH(#REF!,Table4[[#This Row],[Commodity Title]],1),"")</f>
        <v/>
      </c>
      <c r="C2026" s="35">
        <v>42212204</v>
      </c>
      <c r="D2026" s="33" t="s">
        <v>1495</v>
      </c>
      <c r="E2026" s="33" t="s">
        <v>1496</v>
      </c>
      <c r="F2026" s="33" t="s">
        <v>1497</v>
      </c>
      <c r="G2026" s="33" t="s">
        <v>5411</v>
      </c>
      <c r="H2026" s="33" t="s">
        <v>5412</v>
      </c>
      <c r="I2026" s="33" t="s">
        <v>5413</v>
      </c>
      <c r="J2026" s="33">
        <v>115752</v>
      </c>
      <c r="K2026" s="33" t="s">
        <v>5630</v>
      </c>
      <c r="L2026" s="33" t="s">
        <v>5631</v>
      </c>
      <c r="M2026" s="33" t="s">
        <v>2508</v>
      </c>
      <c r="N2026" s="44">
        <v>42212204</v>
      </c>
      <c r="O2026" s="33" t="s">
        <v>5638</v>
      </c>
      <c r="P2026" s="33" t="s">
        <v>5639</v>
      </c>
      <c r="Q2026" s="34" t="s">
        <v>1494</v>
      </c>
      <c r="R2026" s="34" t="s">
        <v>1494</v>
      </c>
    </row>
    <row r="2027" spans="1:18" ht="15" customHeight="1" x14ac:dyDescent="0.25">
      <c r="A2027" t="str">
        <f>IFERROR(RANK(B2027,$B:$B,1)+COUNTIF($B$1:B2026,B2027),"")</f>
        <v/>
      </c>
      <c r="B2027" t="str">
        <f>IFERROR(SEARCH(#REF!,Table4[[#This Row],[Commodity Title]],1),"")</f>
        <v/>
      </c>
      <c r="C2027" s="33" t="s">
        <v>1494</v>
      </c>
      <c r="D2027" s="33" t="s">
        <v>1495</v>
      </c>
      <c r="E2027" s="33" t="s">
        <v>1496</v>
      </c>
      <c r="F2027" s="33" t="s">
        <v>1497</v>
      </c>
      <c r="G2027" s="33" t="s">
        <v>5411</v>
      </c>
      <c r="H2027" s="33" t="s">
        <v>5412</v>
      </c>
      <c r="I2027" s="33" t="s">
        <v>5413</v>
      </c>
      <c r="J2027" s="33">
        <v>115753</v>
      </c>
      <c r="K2027" s="33" t="s">
        <v>5640</v>
      </c>
      <c r="L2027" s="33" t="s">
        <v>5641</v>
      </c>
      <c r="M2027" s="33" t="s">
        <v>5642</v>
      </c>
      <c r="N2027" s="44" t="s">
        <v>1494</v>
      </c>
      <c r="O2027" s="33" t="s">
        <v>1494</v>
      </c>
      <c r="P2027" s="33" t="s">
        <v>1494</v>
      </c>
      <c r="Q2027" s="34" t="s">
        <v>1494</v>
      </c>
      <c r="R2027" s="34" t="s">
        <v>1494</v>
      </c>
    </row>
    <row r="2028" spans="1:18" ht="15" customHeight="1" x14ac:dyDescent="0.25">
      <c r="A2028" t="str">
        <f>IFERROR(RANK(B2028,$B:$B,1)+COUNTIF($B$1:B2027,B2028),"")</f>
        <v/>
      </c>
      <c r="B2028" t="str">
        <f>IFERROR(SEARCH(#REF!,Table4[[#This Row],[Commodity Title]],1),"")</f>
        <v/>
      </c>
      <c r="C2028" s="35">
        <v>42212301</v>
      </c>
      <c r="D2028" s="33" t="s">
        <v>1495</v>
      </c>
      <c r="E2028" s="33" t="s">
        <v>1496</v>
      </c>
      <c r="F2028" s="33" t="s">
        <v>1497</v>
      </c>
      <c r="G2028" s="33" t="s">
        <v>5411</v>
      </c>
      <c r="H2028" s="33" t="s">
        <v>5412</v>
      </c>
      <c r="I2028" s="33" t="s">
        <v>5413</v>
      </c>
      <c r="J2028" s="33">
        <v>104760</v>
      </c>
      <c r="K2028" s="33" t="s">
        <v>5640</v>
      </c>
      <c r="L2028" s="33" t="s">
        <v>5641</v>
      </c>
      <c r="M2028" s="33" t="s">
        <v>5642</v>
      </c>
      <c r="N2028" s="44">
        <v>42212301</v>
      </c>
      <c r="O2028" s="33" t="s">
        <v>5643</v>
      </c>
      <c r="P2028" s="33" t="s">
        <v>5644</v>
      </c>
      <c r="Q2028" s="34" t="s">
        <v>1494</v>
      </c>
      <c r="R2028" s="34" t="s">
        <v>1494</v>
      </c>
    </row>
    <row r="2029" spans="1:18" ht="15" customHeight="1" x14ac:dyDescent="0.25">
      <c r="A2029" t="str">
        <f>IFERROR(RANK(B2029,$B:$B,1)+COUNTIF($B$1:B2028,B2029),"")</f>
        <v/>
      </c>
      <c r="B2029" t="str">
        <f>IFERROR(SEARCH(#REF!,Table4[[#This Row],[Commodity Title]],1),"")</f>
        <v/>
      </c>
      <c r="C2029" s="35">
        <v>42212302</v>
      </c>
      <c r="D2029" s="33" t="s">
        <v>1495</v>
      </c>
      <c r="E2029" s="33" t="s">
        <v>1496</v>
      </c>
      <c r="F2029" s="33" t="s">
        <v>1497</v>
      </c>
      <c r="G2029" s="33" t="s">
        <v>5411</v>
      </c>
      <c r="H2029" s="33" t="s">
        <v>5412</v>
      </c>
      <c r="I2029" s="33" t="s">
        <v>5413</v>
      </c>
      <c r="J2029" s="33">
        <v>115755</v>
      </c>
      <c r="K2029" s="33" t="s">
        <v>5640</v>
      </c>
      <c r="L2029" s="33" t="s">
        <v>5641</v>
      </c>
      <c r="M2029" s="33" t="s">
        <v>5642</v>
      </c>
      <c r="N2029" s="44">
        <v>42212302</v>
      </c>
      <c r="O2029" s="33" t="s">
        <v>5645</v>
      </c>
      <c r="P2029" s="33" t="s">
        <v>5646</v>
      </c>
      <c r="Q2029" s="34" t="s">
        <v>1494</v>
      </c>
      <c r="R2029" s="34" t="s">
        <v>1494</v>
      </c>
    </row>
    <row r="2030" spans="1:18" ht="15" customHeight="1" x14ac:dyDescent="0.25">
      <c r="A2030" t="str">
        <f>IFERROR(RANK(B2030,$B:$B,1)+COUNTIF($B$1:B2029,B2030),"")</f>
        <v/>
      </c>
      <c r="B2030" t="str">
        <f>IFERROR(SEARCH(#REF!,Table4[[#This Row],[Commodity Title]],1),"")</f>
        <v/>
      </c>
      <c r="C2030" s="35">
        <v>42212303</v>
      </c>
      <c r="D2030" s="33" t="s">
        <v>1495</v>
      </c>
      <c r="E2030" s="33" t="s">
        <v>1496</v>
      </c>
      <c r="F2030" s="33" t="s">
        <v>1497</v>
      </c>
      <c r="G2030" s="33" t="s">
        <v>5411</v>
      </c>
      <c r="H2030" s="33" t="s">
        <v>5412</v>
      </c>
      <c r="I2030" s="33" t="s">
        <v>5413</v>
      </c>
      <c r="J2030" s="33">
        <v>115756</v>
      </c>
      <c r="K2030" s="33" t="s">
        <v>5640</v>
      </c>
      <c r="L2030" s="33" t="s">
        <v>5641</v>
      </c>
      <c r="M2030" s="33" t="s">
        <v>5642</v>
      </c>
      <c r="N2030" s="44">
        <v>42212303</v>
      </c>
      <c r="O2030" s="33" t="s">
        <v>5647</v>
      </c>
      <c r="P2030" s="33" t="s">
        <v>5648</v>
      </c>
      <c r="Q2030" s="34" t="s">
        <v>1494</v>
      </c>
      <c r="R2030" s="34" t="s">
        <v>1494</v>
      </c>
    </row>
    <row r="2031" spans="1:18" ht="15" customHeight="1" x14ac:dyDescent="0.25">
      <c r="A2031" t="str">
        <f>IFERROR(RANK(B2031,$B:$B,1)+COUNTIF($B$1:B2030,B2031),"")</f>
        <v/>
      </c>
      <c r="B2031" t="str">
        <f>IFERROR(SEARCH(#REF!,Table4[[#This Row],[Commodity Title]],1),"")</f>
        <v/>
      </c>
      <c r="C2031" s="35">
        <v>42212304</v>
      </c>
      <c r="D2031" s="33" t="s">
        <v>1495</v>
      </c>
      <c r="E2031" s="33" t="s">
        <v>1496</v>
      </c>
      <c r="F2031" s="33" t="s">
        <v>1497</v>
      </c>
      <c r="G2031" s="33" t="s">
        <v>5411</v>
      </c>
      <c r="H2031" s="33" t="s">
        <v>5412</v>
      </c>
      <c r="I2031" s="33" t="s">
        <v>5413</v>
      </c>
      <c r="J2031" s="33">
        <v>115757</v>
      </c>
      <c r="K2031" s="33" t="s">
        <v>5640</v>
      </c>
      <c r="L2031" s="33" t="s">
        <v>5641</v>
      </c>
      <c r="M2031" s="33" t="s">
        <v>5642</v>
      </c>
      <c r="N2031" s="44">
        <v>42212304</v>
      </c>
      <c r="O2031" s="33" t="s">
        <v>5649</v>
      </c>
      <c r="P2031" s="33" t="s">
        <v>5650</v>
      </c>
      <c r="Q2031" s="34" t="s">
        <v>1494</v>
      </c>
      <c r="R2031" s="34" t="s">
        <v>1494</v>
      </c>
    </row>
    <row r="2032" spans="1:18" ht="15" customHeight="1" x14ac:dyDescent="0.25">
      <c r="A2032" t="str">
        <f>IFERROR(RANK(B2032,$B:$B,1)+COUNTIF($B$1:B2031,B2032),"")</f>
        <v/>
      </c>
      <c r="B2032" t="str">
        <f>IFERROR(SEARCH(#REF!,Table4[[#This Row],[Commodity Title]],1),"")</f>
        <v/>
      </c>
      <c r="C2032" s="35">
        <v>42212305</v>
      </c>
      <c r="D2032" s="33" t="s">
        <v>1495</v>
      </c>
      <c r="E2032" s="33" t="s">
        <v>1496</v>
      </c>
      <c r="F2032" s="33" t="s">
        <v>1497</v>
      </c>
      <c r="G2032" s="33" t="s">
        <v>5411</v>
      </c>
      <c r="H2032" s="33" t="s">
        <v>5412</v>
      </c>
      <c r="I2032" s="33" t="s">
        <v>5413</v>
      </c>
      <c r="J2032" s="33">
        <v>202926</v>
      </c>
      <c r="K2032" s="33" t="s">
        <v>5640</v>
      </c>
      <c r="L2032" s="33" t="s">
        <v>5641</v>
      </c>
      <c r="M2032" s="33" t="s">
        <v>5642</v>
      </c>
      <c r="N2032" s="44">
        <v>42212305</v>
      </c>
      <c r="O2032" s="33" t="s">
        <v>5651</v>
      </c>
      <c r="P2032" s="33" t="s">
        <v>5652</v>
      </c>
      <c r="Q2032" s="34" t="s">
        <v>1494</v>
      </c>
      <c r="R2032" s="34" t="s">
        <v>1494</v>
      </c>
    </row>
    <row r="2033" spans="1:18" ht="15" customHeight="1" x14ac:dyDescent="0.25">
      <c r="A2033" t="str">
        <f>IFERROR(RANK(B2033,$B:$B,1)+COUNTIF($B$1:B2032,B2033),"")</f>
        <v/>
      </c>
      <c r="B2033" t="str">
        <f>IFERROR(SEARCH(#REF!,Table4[[#This Row],[Commodity Title]],1),"")</f>
        <v/>
      </c>
      <c r="C2033" s="35">
        <v>42212306</v>
      </c>
      <c r="D2033" s="33" t="s">
        <v>1495</v>
      </c>
      <c r="E2033" s="33" t="s">
        <v>1496</v>
      </c>
      <c r="F2033" s="33" t="s">
        <v>1497</v>
      </c>
      <c r="G2033" s="33" t="s">
        <v>5411</v>
      </c>
      <c r="H2033" s="33" t="s">
        <v>5412</v>
      </c>
      <c r="I2033" s="33" t="s">
        <v>5413</v>
      </c>
      <c r="J2033" s="33">
        <v>202927</v>
      </c>
      <c r="K2033" s="33" t="s">
        <v>5640</v>
      </c>
      <c r="L2033" s="33" t="s">
        <v>5641</v>
      </c>
      <c r="M2033" s="33" t="s">
        <v>5642</v>
      </c>
      <c r="N2033" s="44">
        <v>42212306</v>
      </c>
      <c r="O2033" s="33" t="s">
        <v>5653</v>
      </c>
      <c r="P2033" s="33" t="s">
        <v>5654</v>
      </c>
      <c r="Q2033" s="34" t="s">
        <v>1494</v>
      </c>
      <c r="R2033" s="34" t="s">
        <v>1494</v>
      </c>
    </row>
    <row r="2034" spans="1:18" ht="15" customHeight="1" x14ac:dyDescent="0.25">
      <c r="A2034" t="str">
        <f>IFERROR(RANK(B2034,$B:$B,1)+COUNTIF($B$1:B2033,B2034),"")</f>
        <v/>
      </c>
      <c r="B2034" t="str">
        <f>IFERROR(SEARCH(#REF!,Table4[[#This Row],[Commodity Title]],1),"")</f>
        <v/>
      </c>
      <c r="C2034" s="33" t="s">
        <v>1494</v>
      </c>
      <c r="D2034" s="33" t="s">
        <v>1495</v>
      </c>
      <c r="E2034" s="33" t="s">
        <v>1496</v>
      </c>
      <c r="F2034" s="33" t="s">
        <v>1497</v>
      </c>
      <c r="G2034" s="33" t="s">
        <v>5655</v>
      </c>
      <c r="H2034" s="33" t="s">
        <v>5656</v>
      </c>
      <c r="I2034" s="33" t="s">
        <v>5657</v>
      </c>
      <c r="J2034" s="33">
        <v>115758</v>
      </c>
      <c r="K2034" s="33" t="s">
        <v>1494</v>
      </c>
      <c r="L2034" s="33" t="s">
        <v>1494</v>
      </c>
      <c r="M2034" s="33" t="s">
        <v>1494</v>
      </c>
      <c r="N2034" s="44" t="s">
        <v>1494</v>
      </c>
      <c r="O2034" s="33" t="s">
        <v>1494</v>
      </c>
      <c r="P2034" s="33" t="s">
        <v>1494</v>
      </c>
      <c r="Q2034" s="34" t="s">
        <v>1494</v>
      </c>
      <c r="R2034" s="34" t="s">
        <v>1494</v>
      </c>
    </row>
    <row r="2035" spans="1:18" ht="15" customHeight="1" x14ac:dyDescent="0.25">
      <c r="A2035" t="str">
        <f>IFERROR(RANK(B2035,$B:$B,1)+COUNTIF($B$1:B2034,B2035),"")</f>
        <v/>
      </c>
      <c r="B2035" t="str">
        <f>IFERROR(SEARCH(#REF!,Table4[[#This Row],[Commodity Title]],1),"")</f>
        <v/>
      </c>
      <c r="C2035" s="33" t="s">
        <v>1494</v>
      </c>
      <c r="D2035" s="33" t="s">
        <v>1495</v>
      </c>
      <c r="E2035" s="33" t="s">
        <v>1496</v>
      </c>
      <c r="F2035" s="33" t="s">
        <v>1497</v>
      </c>
      <c r="G2035" s="33" t="s">
        <v>5655</v>
      </c>
      <c r="H2035" s="33" t="s">
        <v>5656</v>
      </c>
      <c r="I2035" s="33" t="s">
        <v>5657</v>
      </c>
      <c r="J2035" s="33">
        <v>115759</v>
      </c>
      <c r="K2035" s="33" t="s">
        <v>5658</v>
      </c>
      <c r="L2035" s="33" t="s">
        <v>5659</v>
      </c>
      <c r="M2035" s="33" t="s">
        <v>5660</v>
      </c>
      <c r="N2035" s="44" t="s">
        <v>1494</v>
      </c>
      <c r="O2035" s="33" t="s">
        <v>1494</v>
      </c>
      <c r="P2035" s="33" t="s">
        <v>1494</v>
      </c>
      <c r="Q2035" s="34" t="s">
        <v>1494</v>
      </c>
      <c r="R2035" s="34" t="s">
        <v>1494</v>
      </c>
    </row>
    <row r="2036" spans="1:18" ht="15" customHeight="1" x14ac:dyDescent="0.25">
      <c r="A2036" t="str">
        <f>IFERROR(RANK(B2036,$B:$B,1)+COUNTIF($B$1:B2035,B2036),"")</f>
        <v/>
      </c>
      <c r="B2036" t="str">
        <f>IFERROR(SEARCH(#REF!,Table4[[#This Row],[Commodity Title]],1),"")</f>
        <v/>
      </c>
      <c r="C2036" s="35">
        <v>42221501</v>
      </c>
      <c r="D2036" s="33" t="s">
        <v>1495</v>
      </c>
      <c r="E2036" s="33" t="s">
        <v>1496</v>
      </c>
      <c r="F2036" s="33" t="s">
        <v>1497</v>
      </c>
      <c r="G2036" s="33" t="s">
        <v>5655</v>
      </c>
      <c r="H2036" s="33" t="s">
        <v>5656</v>
      </c>
      <c r="I2036" s="33" t="s">
        <v>5657</v>
      </c>
      <c r="J2036" s="33">
        <v>115760</v>
      </c>
      <c r="K2036" s="33" t="s">
        <v>5658</v>
      </c>
      <c r="L2036" s="33" t="s">
        <v>5659</v>
      </c>
      <c r="M2036" s="33" t="s">
        <v>5660</v>
      </c>
      <c r="N2036" s="44">
        <v>42221501</v>
      </c>
      <c r="O2036" s="33" t="s">
        <v>5661</v>
      </c>
      <c r="P2036" s="33" t="s">
        <v>5662</v>
      </c>
      <c r="Q2036" s="34" t="s">
        <v>1494</v>
      </c>
      <c r="R2036" s="34" t="s">
        <v>1494</v>
      </c>
    </row>
    <row r="2037" spans="1:18" ht="15" customHeight="1" x14ac:dyDescent="0.25">
      <c r="A2037" t="str">
        <f>IFERROR(RANK(B2037,$B:$B,1)+COUNTIF($B$1:B2036,B2037),"")</f>
        <v/>
      </c>
      <c r="B2037" t="str">
        <f>IFERROR(SEARCH(#REF!,Table4[[#This Row],[Commodity Title]],1),"")</f>
        <v/>
      </c>
      <c r="C2037" s="35">
        <v>42221502</v>
      </c>
      <c r="D2037" s="33" t="s">
        <v>1495</v>
      </c>
      <c r="E2037" s="33" t="s">
        <v>1496</v>
      </c>
      <c r="F2037" s="33" t="s">
        <v>1497</v>
      </c>
      <c r="G2037" s="33" t="s">
        <v>5655</v>
      </c>
      <c r="H2037" s="33" t="s">
        <v>5656</v>
      </c>
      <c r="I2037" s="33" t="s">
        <v>5657</v>
      </c>
      <c r="J2037" s="33">
        <v>115761</v>
      </c>
      <c r="K2037" s="33" t="s">
        <v>5658</v>
      </c>
      <c r="L2037" s="33" t="s">
        <v>5659</v>
      </c>
      <c r="M2037" s="33" t="s">
        <v>5660</v>
      </c>
      <c r="N2037" s="44">
        <v>42221502</v>
      </c>
      <c r="O2037" s="33" t="s">
        <v>5663</v>
      </c>
      <c r="P2037" s="33" t="s">
        <v>5664</v>
      </c>
      <c r="Q2037" s="34" t="s">
        <v>1494</v>
      </c>
      <c r="R2037" s="34" t="s">
        <v>1494</v>
      </c>
    </row>
    <row r="2038" spans="1:18" ht="15" customHeight="1" x14ac:dyDescent="0.25">
      <c r="A2038" t="str">
        <f>IFERROR(RANK(B2038,$B:$B,1)+COUNTIF($B$1:B2037,B2038),"")</f>
        <v/>
      </c>
      <c r="B2038" t="str">
        <f>IFERROR(SEARCH(#REF!,Table4[[#This Row],[Commodity Title]],1),"")</f>
        <v/>
      </c>
      <c r="C2038" s="35">
        <v>42221503</v>
      </c>
      <c r="D2038" s="33" t="s">
        <v>1495</v>
      </c>
      <c r="E2038" s="33" t="s">
        <v>1496</v>
      </c>
      <c r="F2038" s="33" t="s">
        <v>1497</v>
      </c>
      <c r="G2038" s="33" t="s">
        <v>5655</v>
      </c>
      <c r="H2038" s="33" t="s">
        <v>5656</v>
      </c>
      <c r="I2038" s="33" t="s">
        <v>5657</v>
      </c>
      <c r="J2038" s="33">
        <v>115762</v>
      </c>
      <c r="K2038" s="33" t="s">
        <v>5658</v>
      </c>
      <c r="L2038" s="33" t="s">
        <v>5659</v>
      </c>
      <c r="M2038" s="33" t="s">
        <v>5660</v>
      </c>
      <c r="N2038" s="44">
        <v>42221503</v>
      </c>
      <c r="O2038" s="33" t="s">
        <v>5665</v>
      </c>
      <c r="P2038" s="33" t="s">
        <v>5666</v>
      </c>
      <c r="Q2038" s="34" t="s">
        <v>1494</v>
      </c>
      <c r="R2038" s="34" t="s">
        <v>1494</v>
      </c>
    </row>
    <row r="2039" spans="1:18" ht="15" customHeight="1" x14ac:dyDescent="0.25">
      <c r="A2039" t="str">
        <f>IFERROR(RANK(B2039,$B:$B,1)+COUNTIF($B$1:B2038,B2039),"")</f>
        <v/>
      </c>
      <c r="B2039" t="str">
        <f>IFERROR(SEARCH(#REF!,Table4[[#This Row],[Commodity Title]],1),"")</f>
        <v/>
      </c>
      <c r="C2039" s="35">
        <v>42221504</v>
      </c>
      <c r="D2039" s="33" t="s">
        <v>1495</v>
      </c>
      <c r="E2039" s="33" t="s">
        <v>1496</v>
      </c>
      <c r="F2039" s="33" t="s">
        <v>1497</v>
      </c>
      <c r="G2039" s="33" t="s">
        <v>5655</v>
      </c>
      <c r="H2039" s="33" t="s">
        <v>5656</v>
      </c>
      <c r="I2039" s="33" t="s">
        <v>5657</v>
      </c>
      <c r="J2039" s="33">
        <v>115763</v>
      </c>
      <c r="K2039" s="33" t="s">
        <v>5658</v>
      </c>
      <c r="L2039" s="33" t="s">
        <v>5659</v>
      </c>
      <c r="M2039" s="33" t="s">
        <v>5660</v>
      </c>
      <c r="N2039" s="44">
        <v>42221504</v>
      </c>
      <c r="O2039" s="33" t="s">
        <v>5667</v>
      </c>
      <c r="P2039" s="33" t="s">
        <v>5668</v>
      </c>
      <c r="Q2039" s="34" t="s">
        <v>1494</v>
      </c>
      <c r="R2039" s="34" t="s">
        <v>1494</v>
      </c>
    </row>
    <row r="2040" spans="1:18" ht="15" customHeight="1" x14ac:dyDescent="0.25">
      <c r="A2040" t="str">
        <f>IFERROR(RANK(B2040,$B:$B,1)+COUNTIF($B$1:B2039,B2040),"")</f>
        <v/>
      </c>
      <c r="B2040" t="str">
        <f>IFERROR(SEARCH(#REF!,Table4[[#This Row],[Commodity Title]],1),"")</f>
        <v/>
      </c>
      <c r="C2040" s="35">
        <v>42221506</v>
      </c>
      <c r="D2040" s="33" t="s">
        <v>1495</v>
      </c>
      <c r="E2040" s="33" t="s">
        <v>1496</v>
      </c>
      <c r="F2040" s="33" t="s">
        <v>1497</v>
      </c>
      <c r="G2040" s="33" t="s">
        <v>5655</v>
      </c>
      <c r="H2040" s="33" t="s">
        <v>5656</v>
      </c>
      <c r="I2040" s="33" t="s">
        <v>5657</v>
      </c>
      <c r="J2040" s="33">
        <v>115765</v>
      </c>
      <c r="K2040" s="33" t="s">
        <v>5658</v>
      </c>
      <c r="L2040" s="33" t="s">
        <v>5659</v>
      </c>
      <c r="M2040" s="33" t="s">
        <v>5660</v>
      </c>
      <c r="N2040" s="44">
        <v>42221506</v>
      </c>
      <c r="O2040" s="33" t="s">
        <v>5669</v>
      </c>
      <c r="P2040" s="33" t="s">
        <v>5670</v>
      </c>
      <c r="Q2040" s="34" t="s">
        <v>1494</v>
      </c>
      <c r="R2040" s="34" t="s">
        <v>1494</v>
      </c>
    </row>
    <row r="2041" spans="1:18" ht="15" customHeight="1" x14ac:dyDescent="0.25">
      <c r="A2041" t="str">
        <f>IFERROR(RANK(B2041,$B:$B,1)+COUNTIF($B$1:B2040,B2041),"")</f>
        <v/>
      </c>
      <c r="B2041" t="str">
        <f>IFERROR(SEARCH(#REF!,Table4[[#This Row],[Commodity Title]],1),"")</f>
        <v/>
      </c>
      <c r="C2041" s="35">
        <v>42221507</v>
      </c>
      <c r="D2041" s="33" t="s">
        <v>1495</v>
      </c>
      <c r="E2041" s="33" t="s">
        <v>1496</v>
      </c>
      <c r="F2041" s="33" t="s">
        <v>1497</v>
      </c>
      <c r="G2041" s="33" t="s">
        <v>5655</v>
      </c>
      <c r="H2041" s="33" t="s">
        <v>5656</v>
      </c>
      <c r="I2041" s="33" t="s">
        <v>5657</v>
      </c>
      <c r="J2041" s="33">
        <v>115766</v>
      </c>
      <c r="K2041" s="33" t="s">
        <v>5658</v>
      </c>
      <c r="L2041" s="33" t="s">
        <v>5659</v>
      </c>
      <c r="M2041" s="33" t="s">
        <v>5660</v>
      </c>
      <c r="N2041" s="44">
        <v>42221507</v>
      </c>
      <c r="O2041" s="33" t="s">
        <v>5671</v>
      </c>
      <c r="P2041" s="33" t="s">
        <v>5672</v>
      </c>
      <c r="Q2041" s="34" t="s">
        <v>1494</v>
      </c>
      <c r="R2041" s="34" t="s">
        <v>1494</v>
      </c>
    </row>
    <row r="2042" spans="1:18" ht="15" customHeight="1" x14ac:dyDescent="0.25">
      <c r="A2042" t="str">
        <f>IFERROR(RANK(B2042,$B:$B,1)+COUNTIF($B$1:B2041,B2042),"")</f>
        <v/>
      </c>
      <c r="B2042" t="str">
        <f>IFERROR(SEARCH(#REF!,Table4[[#This Row],[Commodity Title]],1),"")</f>
        <v/>
      </c>
      <c r="C2042" s="35">
        <v>42221508</v>
      </c>
      <c r="D2042" s="33" t="s">
        <v>1495</v>
      </c>
      <c r="E2042" s="33" t="s">
        <v>1496</v>
      </c>
      <c r="F2042" s="33" t="s">
        <v>1497</v>
      </c>
      <c r="G2042" s="33" t="s">
        <v>5655</v>
      </c>
      <c r="H2042" s="33" t="s">
        <v>5656</v>
      </c>
      <c r="I2042" s="33" t="s">
        <v>5657</v>
      </c>
      <c r="J2042" s="33">
        <v>142608</v>
      </c>
      <c r="K2042" s="33" t="s">
        <v>5658</v>
      </c>
      <c r="L2042" s="33" t="s">
        <v>5659</v>
      </c>
      <c r="M2042" s="33" t="s">
        <v>5660</v>
      </c>
      <c r="N2042" s="44">
        <v>42221508</v>
      </c>
      <c r="O2042" s="33" t="s">
        <v>5673</v>
      </c>
      <c r="P2042" s="33" t="s">
        <v>5674</v>
      </c>
      <c r="Q2042" s="34" t="s">
        <v>1494</v>
      </c>
      <c r="R2042" s="34" t="s">
        <v>1494</v>
      </c>
    </row>
    <row r="2043" spans="1:18" ht="15" customHeight="1" x14ac:dyDescent="0.25">
      <c r="A2043" t="str">
        <f>IFERROR(RANK(B2043,$B:$B,1)+COUNTIF($B$1:B2042,B2043),"")</f>
        <v/>
      </c>
      <c r="B2043" t="str">
        <f>IFERROR(SEARCH(#REF!,Table4[[#This Row],[Commodity Title]],1),"")</f>
        <v/>
      </c>
      <c r="C2043" s="35">
        <v>42221509</v>
      </c>
      <c r="D2043" s="33" t="s">
        <v>1495</v>
      </c>
      <c r="E2043" s="33" t="s">
        <v>1496</v>
      </c>
      <c r="F2043" s="33" t="s">
        <v>1497</v>
      </c>
      <c r="G2043" s="33" t="s">
        <v>5655</v>
      </c>
      <c r="H2043" s="33" t="s">
        <v>5656</v>
      </c>
      <c r="I2043" s="33" t="s">
        <v>5657</v>
      </c>
      <c r="J2043" s="33">
        <v>142609</v>
      </c>
      <c r="K2043" s="33" t="s">
        <v>5658</v>
      </c>
      <c r="L2043" s="33" t="s">
        <v>5659</v>
      </c>
      <c r="M2043" s="33" t="s">
        <v>5660</v>
      </c>
      <c r="N2043" s="44">
        <v>42221509</v>
      </c>
      <c r="O2043" s="33" t="s">
        <v>5675</v>
      </c>
      <c r="P2043" s="33" t="s">
        <v>5676</v>
      </c>
      <c r="Q2043" s="34" t="s">
        <v>1494</v>
      </c>
      <c r="R2043" s="34" t="s">
        <v>1494</v>
      </c>
    </row>
    <row r="2044" spans="1:18" ht="15" customHeight="1" x14ac:dyDescent="0.25">
      <c r="A2044" t="str">
        <f>IFERROR(RANK(B2044,$B:$B,1)+COUNTIF($B$1:B2043,B2044),"")</f>
        <v/>
      </c>
      <c r="B2044" t="str">
        <f>IFERROR(SEARCH(#REF!,Table4[[#This Row],[Commodity Title]],1),"")</f>
        <v/>
      </c>
      <c r="C2044" s="35">
        <v>42221512</v>
      </c>
      <c r="D2044" s="33" t="s">
        <v>1495</v>
      </c>
      <c r="E2044" s="33" t="s">
        <v>1496</v>
      </c>
      <c r="F2044" s="33" t="s">
        <v>1497</v>
      </c>
      <c r="G2044" s="33" t="s">
        <v>5655</v>
      </c>
      <c r="H2044" s="33" t="s">
        <v>5656</v>
      </c>
      <c r="I2044" s="33" t="s">
        <v>5657</v>
      </c>
      <c r="J2044" s="33">
        <v>142612</v>
      </c>
      <c r="K2044" s="33" t="s">
        <v>5658</v>
      </c>
      <c r="L2044" s="33" t="s">
        <v>5659</v>
      </c>
      <c r="M2044" s="33" t="s">
        <v>5660</v>
      </c>
      <c r="N2044" s="44">
        <v>42221512</v>
      </c>
      <c r="O2044" s="33" t="s">
        <v>5677</v>
      </c>
      <c r="P2044" s="33" t="s">
        <v>5678</v>
      </c>
      <c r="Q2044" s="34" t="s">
        <v>1494</v>
      </c>
      <c r="R2044" s="34" t="s">
        <v>1494</v>
      </c>
    </row>
    <row r="2045" spans="1:18" ht="15" customHeight="1" x14ac:dyDescent="0.25">
      <c r="A2045" t="str">
        <f>IFERROR(RANK(B2045,$B:$B,1)+COUNTIF($B$1:B2044,B2045),"")</f>
        <v/>
      </c>
      <c r="B2045" t="str">
        <f>IFERROR(SEARCH(#REF!,Table4[[#This Row],[Commodity Title]],1),"")</f>
        <v/>
      </c>
      <c r="C2045" s="35">
        <v>42221514</v>
      </c>
      <c r="D2045" s="33" t="s">
        <v>1495</v>
      </c>
      <c r="E2045" s="33" t="s">
        <v>1496</v>
      </c>
      <c r="F2045" s="33" t="s">
        <v>1497</v>
      </c>
      <c r="G2045" s="33" t="s">
        <v>5655</v>
      </c>
      <c r="H2045" s="33" t="s">
        <v>5656</v>
      </c>
      <c r="I2045" s="33" t="s">
        <v>5657</v>
      </c>
      <c r="J2045" s="33">
        <v>146147</v>
      </c>
      <c r="K2045" s="33" t="s">
        <v>5658</v>
      </c>
      <c r="L2045" s="33" t="s">
        <v>5659</v>
      </c>
      <c r="M2045" s="33" t="s">
        <v>5660</v>
      </c>
      <c r="N2045" s="44">
        <v>42221514</v>
      </c>
      <c r="O2045" s="33" t="s">
        <v>5679</v>
      </c>
      <c r="P2045" s="33" t="s">
        <v>5680</v>
      </c>
      <c r="Q2045" s="34" t="s">
        <v>1494</v>
      </c>
      <c r="R2045" s="34" t="s">
        <v>1494</v>
      </c>
    </row>
    <row r="2046" spans="1:18" ht="15" customHeight="1" x14ac:dyDescent="0.25">
      <c r="A2046" t="str">
        <f>IFERROR(RANK(B2046,$B:$B,1)+COUNTIF($B$1:B2045,B2046),"")</f>
        <v/>
      </c>
      <c r="B2046" t="str">
        <f>IFERROR(SEARCH(#REF!,Table4[[#This Row],[Commodity Title]],1),"")</f>
        <v/>
      </c>
      <c r="C2046" s="35">
        <v>42221515</v>
      </c>
      <c r="D2046" s="33" t="s">
        <v>1495</v>
      </c>
      <c r="E2046" s="33" t="s">
        <v>1496</v>
      </c>
      <c r="F2046" s="33" t="s">
        <v>1497</v>
      </c>
      <c r="G2046" s="33" t="s">
        <v>5655</v>
      </c>
      <c r="H2046" s="33" t="s">
        <v>5656</v>
      </c>
      <c r="I2046" s="33" t="s">
        <v>5657</v>
      </c>
      <c r="J2046" s="33">
        <v>164870</v>
      </c>
      <c r="K2046" s="33" t="s">
        <v>5658</v>
      </c>
      <c r="L2046" s="33" t="s">
        <v>5659</v>
      </c>
      <c r="M2046" s="33" t="s">
        <v>5660</v>
      </c>
      <c r="N2046" s="44">
        <v>42221515</v>
      </c>
      <c r="O2046" s="33" t="s">
        <v>5681</v>
      </c>
      <c r="P2046" s="33" t="s">
        <v>5682</v>
      </c>
      <c r="Q2046" s="34" t="s">
        <v>1494</v>
      </c>
      <c r="R2046" s="34" t="s">
        <v>1494</v>
      </c>
    </row>
    <row r="2047" spans="1:18" ht="15" customHeight="1" x14ac:dyDescent="0.25">
      <c r="A2047" t="str">
        <f>IFERROR(RANK(B2047,$B:$B,1)+COUNTIF($B$1:B2046,B2047),"")</f>
        <v/>
      </c>
      <c r="B2047" t="str">
        <f>IFERROR(SEARCH(#REF!,Table4[[#This Row],[Commodity Title]],1),"")</f>
        <v/>
      </c>
      <c r="C2047" s="35">
        <v>42221516</v>
      </c>
      <c r="D2047" s="33" t="s">
        <v>1495</v>
      </c>
      <c r="E2047" s="33" t="s">
        <v>1496</v>
      </c>
      <c r="F2047" s="33" t="s">
        <v>1497</v>
      </c>
      <c r="G2047" s="33" t="s">
        <v>5655</v>
      </c>
      <c r="H2047" s="33" t="s">
        <v>5656</v>
      </c>
      <c r="I2047" s="33" t="s">
        <v>5657</v>
      </c>
      <c r="J2047" s="33">
        <v>174395</v>
      </c>
      <c r="K2047" s="33" t="s">
        <v>5658</v>
      </c>
      <c r="L2047" s="33" t="s">
        <v>5659</v>
      </c>
      <c r="M2047" s="33" t="s">
        <v>5660</v>
      </c>
      <c r="N2047" s="44">
        <v>42221516</v>
      </c>
      <c r="O2047" s="33" t="s">
        <v>5683</v>
      </c>
      <c r="P2047" s="33" t="s">
        <v>5684</v>
      </c>
      <c r="Q2047" s="34" t="s">
        <v>1494</v>
      </c>
      <c r="R2047" s="34" t="s">
        <v>1494</v>
      </c>
    </row>
    <row r="2048" spans="1:18" ht="15" customHeight="1" x14ac:dyDescent="0.25">
      <c r="A2048" t="str">
        <f>IFERROR(RANK(B2048,$B:$B,1)+COUNTIF($B$1:B2047,B2048),"")</f>
        <v/>
      </c>
      <c r="B2048" t="str">
        <f>IFERROR(SEARCH(#REF!,Table4[[#This Row],[Commodity Title]],1),"")</f>
        <v/>
      </c>
      <c r="C2048" s="35">
        <v>42221519</v>
      </c>
      <c r="D2048" s="33" t="s">
        <v>1495</v>
      </c>
      <c r="E2048" s="33" t="s">
        <v>1496</v>
      </c>
      <c r="F2048" s="33" t="s">
        <v>1497</v>
      </c>
      <c r="G2048" s="33" t="s">
        <v>5655</v>
      </c>
      <c r="H2048" s="33" t="s">
        <v>5656</v>
      </c>
      <c r="I2048" s="33" t="s">
        <v>5657</v>
      </c>
      <c r="J2048" s="33">
        <v>202928</v>
      </c>
      <c r="K2048" s="33" t="s">
        <v>5658</v>
      </c>
      <c r="L2048" s="33" t="s">
        <v>5659</v>
      </c>
      <c r="M2048" s="33" t="s">
        <v>5660</v>
      </c>
      <c r="N2048" s="44">
        <v>42221519</v>
      </c>
      <c r="O2048" s="33" t="s">
        <v>5685</v>
      </c>
      <c r="P2048" s="33" t="s">
        <v>5686</v>
      </c>
      <c r="Q2048" s="34" t="s">
        <v>1494</v>
      </c>
      <c r="R2048" s="34" t="s">
        <v>1494</v>
      </c>
    </row>
    <row r="2049" spans="1:18" ht="15" customHeight="1" x14ac:dyDescent="0.25">
      <c r="A2049" t="str">
        <f>IFERROR(RANK(B2049,$B:$B,1)+COUNTIF($B$1:B2048,B2049),"")</f>
        <v/>
      </c>
      <c r="B2049" t="str">
        <f>IFERROR(SEARCH(#REF!,Table4[[#This Row],[Commodity Title]],1),"")</f>
        <v/>
      </c>
      <c r="C2049" s="35">
        <v>42221520</v>
      </c>
      <c r="D2049" s="33" t="s">
        <v>1495</v>
      </c>
      <c r="E2049" s="33" t="s">
        <v>1496</v>
      </c>
      <c r="F2049" s="33" t="s">
        <v>1497</v>
      </c>
      <c r="G2049" s="33" t="s">
        <v>5655</v>
      </c>
      <c r="H2049" s="33" t="s">
        <v>5656</v>
      </c>
      <c r="I2049" s="33" t="s">
        <v>5657</v>
      </c>
      <c r="J2049" s="33">
        <v>202929</v>
      </c>
      <c r="K2049" s="33" t="s">
        <v>5658</v>
      </c>
      <c r="L2049" s="33" t="s">
        <v>5659</v>
      </c>
      <c r="M2049" s="33" t="s">
        <v>5660</v>
      </c>
      <c r="N2049" s="44">
        <v>42221520</v>
      </c>
      <c r="O2049" s="33" t="s">
        <v>5687</v>
      </c>
      <c r="P2049" s="33" t="s">
        <v>5688</v>
      </c>
      <c r="Q2049" s="34" t="s">
        <v>1494</v>
      </c>
      <c r="R2049" s="34" t="s">
        <v>1494</v>
      </c>
    </row>
    <row r="2050" spans="1:18" ht="15" customHeight="1" x14ac:dyDescent="0.25">
      <c r="A2050" t="str">
        <f>IFERROR(RANK(B2050,$B:$B,1)+COUNTIF($B$1:B2049,B2050),"")</f>
        <v/>
      </c>
      <c r="B2050" t="str">
        <f>IFERROR(SEARCH(#REF!,Table4[[#This Row],[Commodity Title]],1),"")</f>
        <v/>
      </c>
      <c r="C2050" s="35">
        <v>42221521</v>
      </c>
      <c r="D2050" s="33" t="s">
        <v>1495</v>
      </c>
      <c r="E2050" s="33" t="s">
        <v>1496</v>
      </c>
      <c r="F2050" s="33" t="s">
        <v>1497</v>
      </c>
      <c r="G2050" s="33" t="s">
        <v>5655</v>
      </c>
      <c r="H2050" s="33" t="s">
        <v>5656</v>
      </c>
      <c r="I2050" s="33" t="s">
        <v>5657</v>
      </c>
      <c r="J2050" s="33">
        <v>202930</v>
      </c>
      <c r="K2050" s="33" t="s">
        <v>5658</v>
      </c>
      <c r="L2050" s="33" t="s">
        <v>5659</v>
      </c>
      <c r="M2050" s="33" t="s">
        <v>5660</v>
      </c>
      <c r="N2050" s="44">
        <v>42221521</v>
      </c>
      <c r="O2050" s="33" t="s">
        <v>5689</v>
      </c>
      <c r="P2050" s="33" t="s">
        <v>2314</v>
      </c>
      <c r="Q2050" s="34" t="s">
        <v>1494</v>
      </c>
      <c r="R2050" s="34" t="s">
        <v>1494</v>
      </c>
    </row>
    <row r="2051" spans="1:18" ht="15" customHeight="1" x14ac:dyDescent="0.25">
      <c r="A2051" t="str">
        <f>IFERROR(RANK(B2051,$B:$B,1)+COUNTIF($B$1:B2050,B2051),"")</f>
        <v/>
      </c>
      <c r="B2051" t="str">
        <f>IFERROR(SEARCH(#REF!,Table4[[#This Row],[Commodity Title]],1),"")</f>
        <v/>
      </c>
      <c r="C2051" s="35">
        <v>42221522</v>
      </c>
      <c r="D2051" s="33" t="s">
        <v>1495</v>
      </c>
      <c r="E2051" s="33" t="s">
        <v>1496</v>
      </c>
      <c r="F2051" s="33" t="s">
        <v>1497</v>
      </c>
      <c r="G2051" s="33" t="s">
        <v>5655</v>
      </c>
      <c r="H2051" s="33" t="s">
        <v>5656</v>
      </c>
      <c r="I2051" s="33" t="s">
        <v>5657</v>
      </c>
      <c r="J2051" s="33">
        <v>202931</v>
      </c>
      <c r="K2051" s="33" t="s">
        <v>5658</v>
      </c>
      <c r="L2051" s="33" t="s">
        <v>5659</v>
      </c>
      <c r="M2051" s="33" t="s">
        <v>5660</v>
      </c>
      <c r="N2051" s="44">
        <v>42221522</v>
      </c>
      <c r="O2051" s="33" t="s">
        <v>5690</v>
      </c>
      <c r="P2051" s="33" t="s">
        <v>5691</v>
      </c>
      <c r="Q2051" s="34" t="s">
        <v>1494</v>
      </c>
      <c r="R2051" s="34" t="s">
        <v>1494</v>
      </c>
    </row>
    <row r="2052" spans="1:18" ht="15" customHeight="1" x14ac:dyDescent="0.25">
      <c r="A2052" t="str">
        <f>IFERROR(RANK(B2052,$B:$B,1)+COUNTIF($B$1:B2051,B2052),"")</f>
        <v/>
      </c>
      <c r="B2052" t="str">
        <f>IFERROR(SEARCH(#REF!,Table4[[#This Row],[Commodity Title]],1),"")</f>
        <v/>
      </c>
      <c r="C2052" s="35">
        <v>42221523</v>
      </c>
      <c r="D2052" s="33" t="s">
        <v>1495</v>
      </c>
      <c r="E2052" s="33" t="s">
        <v>1496</v>
      </c>
      <c r="F2052" s="33" t="s">
        <v>1497</v>
      </c>
      <c r="G2052" s="33" t="s">
        <v>5655</v>
      </c>
      <c r="H2052" s="33" t="s">
        <v>5656</v>
      </c>
      <c r="I2052" s="33" t="s">
        <v>5657</v>
      </c>
      <c r="J2052" s="33">
        <v>202932</v>
      </c>
      <c r="K2052" s="33" t="s">
        <v>5658</v>
      </c>
      <c r="L2052" s="33" t="s">
        <v>5659</v>
      </c>
      <c r="M2052" s="33" t="s">
        <v>5660</v>
      </c>
      <c r="N2052" s="44">
        <v>42221523</v>
      </c>
      <c r="O2052" s="33" t="s">
        <v>5692</v>
      </c>
      <c r="P2052" s="33" t="s">
        <v>5693</v>
      </c>
      <c r="Q2052" s="34" t="s">
        <v>1494</v>
      </c>
      <c r="R2052" s="34" t="s">
        <v>1494</v>
      </c>
    </row>
    <row r="2053" spans="1:18" ht="15" customHeight="1" x14ac:dyDescent="0.25">
      <c r="A2053" t="str">
        <f>IFERROR(RANK(B2053,$B:$B,1)+COUNTIF($B$1:B2052,B2053),"")</f>
        <v/>
      </c>
      <c r="B2053" t="str">
        <f>IFERROR(SEARCH(#REF!,Table4[[#This Row],[Commodity Title]],1),"")</f>
        <v/>
      </c>
      <c r="C2053" s="35">
        <v>42221524</v>
      </c>
      <c r="D2053" s="33" t="s">
        <v>1495</v>
      </c>
      <c r="E2053" s="33" t="s">
        <v>1496</v>
      </c>
      <c r="F2053" s="33" t="s">
        <v>1497</v>
      </c>
      <c r="G2053" s="33" t="s">
        <v>5655</v>
      </c>
      <c r="H2053" s="33" t="s">
        <v>5656</v>
      </c>
      <c r="I2053" s="33" t="s">
        <v>5657</v>
      </c>
      <c r="J2053" s="33">
        <v>202933</v>
      </c>
      <c r="K2053" s="33" t="s">
        <v>5658</v>
      </c>
      <c r="L2053" s="33" t="s">
        <v>5659</v>
      </c>
      <c r="M2053" s="33" t="s">
        <v>5660</v>
      </c>
      <c r="N2053" s="44">
        <v>42221524</v>
      </c>
      <c r="O2053" s="33" t="s">
        <v>5694</v>
      </c>
      <c r="P2053" s="33" t="s">
        <v>5693</v>
      </c>
      <c r="Q2053" s="34" t="s">
        <v>1494</v>
      </c>
      <c r="R2053" s="34" t="s">
        <v>1494</v>
      </c>
    </row>
    <row r="2054" spans="1:18" ht="15" customHeight="1" x14ac:dyDescent="0.25">
      <c r="A2054" t="str">
        <f>IFERROR(RANK(B2054,$B:$B,1)+COUNTIF($B$1:B2053,B2054),"")</f>
        <v/>
      </c>
      <c r="B2054" t="str">
        <f>IFERROR(SEARCH(#REF!,Table4[[#This Row],[Commodity Title]],1),"")</f>
        <v/>
      </c>
      <c r="C2054" s="35">
        <v>42221525</v>
      </c>
      <c r="D2054" s="33" t="s">
        <v>1495</v>
      </c>
      <c r="E2054" s="33" t="s">
        <v>1496</v>
      </c>
      <c r="F2054" s="33" t="s">
        <v>1497</v>
      </c>
      <c r="G2054" s="33" t="s">
        <v>5655</v>
      </c>
      <c r="H2054" s="33" t="s">
        <v>5656</v>
      </c>
      <c r="I2054" s="33" t="s">
        <v>5657</v>
      </c>
      <c r="J2054" s="33">
        <v>202934</v>
      </c>
      <c r="K2054" s="33" t="s">
        <v>5658</v>
      </c>
      <c r="L2054" s="33" t="s">
        <v>5659</v>
      </c>
      <c r="M2054" s="33" t="s">
        <v>5660</v>
      </c>
      <c r="N2054" s="44">
        <v>42221525</v>
      </c>
      <c r="O2054" s="33" t="s">
        <v>5695</v>
      </c>
      <c r="P2054" s="33" t="s">
        <v>5696</v>
      </c>
      <c r="Q2054" s="34" t="s">
        <v>1494</v>
      </c>
      <c r="R2054" s="34" t="s">
        <v>1494</v>
      </c>
    </row>
    <row r="2055" spans="1:18" ht="15" customHeight="1" x14ac:dyDescent="0.25">
      <c r="A2055" t="str">
        <f>IFERROR(RANK(B2055,$B:$B,1)+COUNTIF($B$1:B2054,B2055),"")</f>
        <v/>
      </c>
      <c r="B2055" t="str">
        <f>IFERROR(SEARCH(#REF!,Table4[[#This Row],[Commodity Title]],1),"")</f>
        <v/>
      </c>
      <c r="C2055" s="33" t="s">
        <v>1494</v>
      </c>
      <c r="D2055" s="33" t="s">
        <v>1495</v>
      </c>
      <c r="E2055" s="33" t="s">
        <v>1496</v>
      </c>
      <c r="F2055" s="33" t="s">
        <v>1497</v>
      </c>
      <c r="G2055" s="33" t="s">
        <v>5655</v>
      </c>
      <c r="H2055" s="33" t="s">
        <v>5656</v>
      </c>
      <c r="I2055" s="33" t="s">
        <v>5657</v>
      </c>
      <c r="J2055" s="33">
        <v>115767</v>
      </c>
      <c r="K2055" s="33" t="s">
        <v>5697</v>
      </c>
      <c r="L2055" s="33" t="s">
        <v>5698</v>
      </c>
      <c r="M2055" s="33" t="s">
        <v>5699</v>
      </c>
      <c r="N2055" s="44" t="s">
        <v>1494</v>
      </c>
      <c r="O2055" s="33" t="s">
        <v>1494</v>
      </c>
      <c r="P2055" s="33" t="s">
        <v>1494</v>
      </c>
      <c r="Q2055" s="34" t="s">
        <v>1494</v>
      </c>
      <c r="R2055" s="34" t="s">
        <v>1494</v>
      </c>
    </row>
    <row r="2056" spans="1:18" ht="15" customHeight="1" x14ac:dyDescent="0.25">
      <c r="A2056" t="str">
        <f>IFERROR(RANK(B2056,$B:$B,1)+COUNTIF($B$1:B2055,B2056),"")</f>
        <v/>
      </c>
      <c r="B2056" t="str">
        <f>IFERROR(SEARCH(#REF!,Table4[[#This Row],[Commodity Title]],1),"")</f>
        <v/>
      </c>
      <c r="C2056" s="35">
        <v>42221601</v>
      </c>
      <c r="D2056" s="33" t="s">
        <v>1495</v>
      </c>
      <c r="E2056" s="33" t="s">
        <v>1496</v>
      </c>
      <c r="F2056" s="33" t="s">
        <v>1497</v>
      </c>
      <c r="G2056" s="33" t="s">
        <v>5655</v>
      </c>
      <c r="H2056" s="33" t="s">
        <v>5656</v>
      </c>
      <c r="I2056" s="33" t="s">
        <v>5657</v>
      </c>
      <c r="J2056" s="33">
        <v>115768</v>
      </c>
      <c r="K2056" s="33" t="s">
        <v>5697</v>
      </c>
      <c r="L2056" s="33" t="s">
        <v>5698</v>
      </c>
      <c r="M2056" s="33" t="s">
        <v>5699</v>
      </c>
      <c r="N2056" s="44">
        <v>42221601</v>
      </c>
      <c r="O2056" s="33" t="s">
        <v>5700</v>
      </c>
      <c r="P2056" s="33" t="s">
        <v>5701</v>
      </c>
      <c r="Q2056" s="34" t="s">
        <v>1494</v>
      </c>
      <c r="R2056" s="34" t="s">
        <v>1494</v>
      </c>
    </row>
    <row r="2057" spans="1:18" ht="15" customHeight="1" x14ac:dyDescent="0.25">
      <c r="A2057" t="str">
        <f>IFERROR(RANK(B2057,$B:$B,1)+COUNTIF($B$1:B2056,B2057),"")</f>
        <v/>
      </c>
      <c r="B2057" t="str">
        <f>IFERROR(SEARCH(#REF!,Table4[[#This Row],[Commodity Title]],1),"")</f>
        <v/>
      </c>
      <c r="C2057" s="35">
        <v>42221602</v>
      </c>
      <c r="D2057" s="33" t="s">
        <v>1495</v>
      </c>
      <c r="E2057" s="33" t="s">
        <v>1496</v>
      </c>
      <c r="F2057" s="33" t="s">
        <v>1497</v>
      </c>
      <c r="G2057" s="33" t="s">
        <v>5655</v>
      </c>
      <c r="H2057" s="33" t="s">
        <v>5656</v>
      </c>
      <c r="I2057" s="33" t="s">
        <v>5657</v>
      </c>
      <c r="J2057" s="33">
        <v>115769</v>
      </c>
      <c r="K2057" s="33" t="s">
        <v>5697</v>
      </c>
      <c r="L2057" s="33" t="s">
        <v>5698</v>
      </c>
      <c r="M2057" s="33" t="s">
        <v>5699</v>
      </c>
      <c r="N2057" s="44">
        <v>42221602</v>
      </c>
      <c r="O2057" s="33" t="s">
        <v>5702</v>
      </c>
      <c r="P2057" s="33" t="s">
        <v>5703</v>
      </c>
      <c r="Q2057" s="34" t="s">
        <v>1494</v>
      </c>
      <c r="R2057" s="34" t="s">
        <v>1494</v>
      </c>
    </row>
    <row r="2058" spans="1:18" ht="15" customHeight="1" x14ac:dyDescent="0.25">
      <c r="A2058" t="str">
        <f>IFERROR(RANK(B2058,$B:$B,1)+COUNTIF($B$1:B2057,B2058),"")</f>
        <v/>
      </c>
      <c r="B2058" t="str">
        <f>IFERROR(SEARCH(#REF!,Table4[[#This Row],[Commodity Title]],1),"")</f>
        <v/>
      </c>
      <c r="C2058" s="35">
        <v>42221603</v>
      </c>
      <c r="D2058" s="33" t="s">
        <v>1495</v>
      </c>
      <c r="E2058" s="33" t="s">
        <v>1496</v>
      </c>
      <c r="F2058" s="33" t="s">
        <v>1497</v>
      </c>
      <c r="G2058" s="33" t="s">
        <v>5655</v>
      </c>
      <c r="H2058" s="33" t="s">
        <v>5656</v>
      </c>
      <c r="I2058" s="33" t="s">
        <v>5657</v>
      </c>
      <c r="J2058" s="33">
        <v>115770</v>
      </c>
      <c r="K2058" s="33" t="s">
        <v>5697</v>
      </c>
      <c r="L2058" s="33" t="s">
        <v>5698</v>
      </c>
      <c r="M2058" s="33" t="s">
        <v>5699</v>
      </c>
      <c r="N2058" s="44">
        <v>42221603</v>
      </c>
      <c r="O2058" s="33" t="s">
        <v>5704</v>
      </c>
      <c r="P2058" s="33" t="s">
        <v>5705</v>
      </c>
      <c r="Q2058" s="34" t="s">
        <v>1494</v>
      </c>
      <c r="R2058" s="34" t="s">
        <v>1494</v>
      </c>
    </row>
    <row r="2059" spans="1:18" ht="15" customHeight="1" x14ac:dyDescent="0.25">
      <c r="A2059" t="str">
        <f>IFERROR(RANK(B2059,$B:$B,1)+COUNTIF($B$1:B2058,B2059),"")</f>
        <v/>
      </c>
      <c r="B2059" t="str">
        <f>IFERROR(SEARCH(#REF!,Table4[[#This Row],[Commodity Title]],1),"")</f>
        <v/>
      </c>
      <c r="C2059" s="35">
        <v>42221604</v>
      </c>
      <c r="D2059" s="33" t="s">
        <v>1495</v>
      </c>
      <c r="E2059" s="33" t="s">
        <v>1496</v>
      </c>
      <c r="F2059" s="33" t="s">
        <v>1497</v>
      </c>
      <c r="G2059" s="33" t="s">
        <v>5655</v>
      </c>
      <c r="H2059" s="33" t="s">
        <v>5656</v>
      </c>
      <c r="I2059" s="33" t="s">
        <v>5657</v>
      </c>
      <c r="J2059" s="33">
        <v>115771</v>
      </c>
      <c r="K2059" s="33" t="s">
        <v>5697</v>
      </c>
      <c r="L2059" s="33" t="s">
        <v>5698</v>
      </c>
      <c r="M2059" s="33" t="s">
        <v>5699</v>
      </c>
      <c r="N2059" s="44">
        <v>42221604</v>
      </c>
      <c r="O2059" s="33" t="s">
        <v>5706</v>
      </c>
      <c r="P2059" s="33" t="s">
        <v>5707</v>
      </c>
      <c r="Q2059" s="34" t="s">
        <v>1494</v>
      </c>
      <c r="R2059" s="34" t="s">
        <v>1494</v>
      </c>
    </row>
    <row r="2060" spans="1:18" ht="15" customHeight="1" x14ac:dyDescent="0.25">
      <c r="A2060" t="str">
        <f>IFERROR(RANK(B2060,$B:$B,1)+COUNTIF($B$1:B2059,B2060),"")</f>
        <v/>
      </c>
      <c r="B2060" t="str">
        <f>IFERROR(SEARCH(#REF!,Table4[[#This Row],[Commodity Title]],1),"")</f>
        <v/>
      </c>
      <c r="C2060" s="35">
        <v>42221605</v>
      </c>
      <c r="D2060" s="33" t="s">
        <v>1495</v>
      </c>
      <c r="E2060" s="33" t="s">
        <v>1496</v>
      </c>
      <c r="F2060" s="33" t="s">
        <v>1497</v>
      </c>
      <c r="G2060" s="33" t="s">
        <v>5655</v>
      </c>
      <c r="H2060" s="33" t="s">
        <v>5656</v>
      </c>
      <c r="I2060" s="33" t="s">
        <v>5657</v>
      </c>
      <c r="J2060" s="33">
        <v>115772</v>
      </c>
      <c r="K2060" s="33" t="s">
        <v>5697</v>
      </c>
      <c r="L2060" s="33" t="s">
        <v>5698</v>
      </c>
      <c r="M2060" s="33" t="s">
        <v>5699</v>
      </c>
      <c r="N2060" s="44">
        <v>42221605</v>
      </c>
      <c r="O2060" s="33" t="s">
        <v>5708</v>
      </c>
      <c r="P2060" s="33" t="s">
        <v>5709</v>
      </c>
      <c r="Q2060" s="34" t="s">
        <v>1494</v>
      </c>
      <c r="R2060" s="34" t="s">
        <v>1494</v>
      </c>
    </row>
    <row r="2061" spans="1:18" ht="15" customHeight="1" x14ac:dyDescent="0.25">
      <c r="A2061" t="str">
        <f>IFERROR(RANK(B2061,$B:$B,1)+COUNTIF($B$1:B2060,B2061),"")</f>
        <v/>
      </c>
      <c r="B2061" t="str">
        <f>IFERROR(SEARCH(#REF!,Table4[[#This Row],[Commodity Title]],1),"")</f>
        <v/>
      </c>
      <c r="C2061" s="35">
        <v>42221606</v>
      </c>
      <c r="D2061" s="33" t="s">
        <v>1495</v>
      </c>
      <c r="E2061" s="33" t="s">
        <v>1496</v>
      </c>
      <c r="F2061" s="33" t="s">
        <v>1497</v>
      </c>
      <c r="G2061" s="33" t="s">
        <v>5655</v>
      </c>
      <c r="H2061" s="33" t="s">
        <v>5656</v>
      </c>
      <c r="I2061" s="33" t="s">
        <v>5657</v>
      </c>
      <c r="J2061" s="33">
        <v>115773</v>
      </c>
      <c r="K2061" s="33" t="s">
        <v>5697</v>
      </c>
      <c r="L2061" s="33" t="s">
        <v>5698</v>
      </c>
      <c r="M2061" s="33" t="s">
        <v>5699</v>
      </c>
      <c r="N2061" s="44">
        <v>42221606</v>
      </c>
      <c r="O2061" s="33" t="s">
        <v>5710</v>
      </c>
      <c r="P2061" s="33" t="s">
        <v>5711</v>
      </c>
      <c r="Q2061" s="34" t="s">
        <v>1494</v>
      </c>
      <c r="R2061" s="34" t="s">
        <v>1494</v>
      </c>
    </row>
    <row r="2062" spans="1:18" ht="15" customHeight="1" x14ac:dyDescent="0.25">
      <c r="A2062" t="str">
        <f>IFERROR(RANK(B2062,$B:$B,1)+COUNTIF($B$1:B2061,B2062),"")</f>
        <v/>
      </c>
      <c r="B2062" t="str">
        <f>IFERROR(SEARCH(#REF!,Table4[[#This Row],[Commodity Title]],1),"")</f>
        <v/>
      </c>
      <c r="C2062" s="35">
        <v>42221607</v>
      </c>
      <c r="D2062" s="33" t="s">
        <v>1495</v>
      </c>
      <c r="E2062" s="33" t="s">
        <v>1496</v>
      </c>
      <c r="F2062" s="33" t="s">
        <v>1497</v>
      </c>
      <c r="G2062" s="33" t="s">
        <v>5655</v>
      </c>
      <c r="H2062" s="33" t="s">
        <v>5656</v>
      </c>
      <c r="I2062" s="33" t="s">
        <v>5657</v>
      </c>
      <c r="J2062" s="33">
        <v>115774</v>
      </c>
      <c r="K2062" s="33" t="s">
        <v>5697</v>
      </c>
      <c r="L2062" s="33" t="s">
        <v>5698</v>
      </c>
      <c r="M2062" s="33" t="s">
        <v>5699</v>
      </c>
      <c r="N2062" s="44">
        <v>42221607</v>
      </c>
      <c r="O2062" s="33" t="s">
        <v>5712</v>
      </c>
      <c r="P2062" s="33" t="s">
        <v>5713</v>
      </c>
      <c r="Q2062" s="34" t="s">
        <v>1494</v>
      </c>
      <c r="R2062" s="34" t="s">
        <v>1494</v>
      </c>
    </row>
    <row r="2063" spans="1:18" ht="15" customHeight="1" x14ac:dyDescent="0.25">
      <c r="A2063" t="str">
        <f>IFERROR(RANK(B2063,$B:$B,1)+COUNTIF($B$1:B2062,B2063),"")</f>
        <v/>
      </c>
      <c r="B2063" t="str">
        <f>IFERROR(SEARCH(#REF!,Table4[[#This Row],[Commodity Title]],1),"")</f>
        <v/>
      </c>
      <c r="C2063" s="35">
        <v>42221608</v>
      </c>
      <c r="D2063" s="33" t="s">
        <v>1495</v>
      </c>
      <c r="E2063" s="33" t="s">
        <v>1496</v>
      </c>
      <c r="F2063" s="33" t="s">
        <v>1497</v>
      </c>
      <c r="G2063" s="33" t="s">
        <v>5655</v>
      </c>
      <c r="H2063" s="33" t="s">
        <v>5656</v>
      </c>
      <c r="I2063" s="33" t="s">
        <v>5657</v>
      </c>
      <c r="J2063" s="33">
        <v>115775</v>
      </c>
      <c r="K2063" s="33" t="s">
        <v>5697</v>
      </c>
      <c r="L2063" s="33" t="s">
        <v>5698</v>
      </c>
      <c r="M2063" s="33" t="s">
        <v>5699</v>
      </c>
      <c r="N2063" s="44">
        <v>42221608</v>
      </c>
      <c r="O2063" s="33" t="s">
        <v>5714</v>
      </c>
      <c r="P2063" s="33" t="s">
        <v>5715</v>
      </c>
      <c r="Q2063" s="34" t="s">
        <v>1494</v>
      </c>
      <c r="R2063" s="34" t="s">
        <v>1494</v>
      </c>
    </row>
    <row r="2064" spans="1:18" ht="15" customHeight="1" x14ac:dyDescent="0.25">
      <c r="A2064" t="str">
        <f>IFERROR(RANK(B2064,$B:$B,1)+COUNTIF($B$1:B2063,B2064),"")</f>
        <v/>
      </c>
      <c r="B2064" t="str">
        <f>IFERROR(SEARCH(#REF!,Table4[[#This Row],[Commodity Title]],1),"")</f>
        <v/>
      </c>
      <c r="C2064" s="35">
        <v>42221609</v>
      </c>
      <c r="D2064" s="33" t="s">
        <v>1495</v>
      </c>
      <c r="E2064" s="33" t="s">
        <v>1496</v>
      </c>
      <c r="F2064" s="33" t="s">
        <v>1497</v>
      </c>
      <c r="G2064" s="33" t="s">
        <v>5655</v>
      </c>
      <c r="H2064" s="33" t="s">
        <v>5656</v>
      </c>
      <c r="I2064" s="33" t="s">
        <v>5657</v>
      </c>
      <c r="J2064" s="33">
        <v>115776</v>
      </c>
      <c r="K2064" s="33" t="s">
        <v>5697</v>
      </c>
      <c r="L2064" s="33" t="s">
        <v>5698</v>
      </c>
      <c r="M2064" s="33" t="s">
        <v>5699</v>
      </c>
      <c r="N2064" s="44">
        <v>42221609</v>
      </c>
      <c r="O2064" s="33" t="s">
        <v>5716</v>
      </c>
      <c r="P2064" s="33" t="s">
        <v>5717</v>
      </c>
      <c r="Q2064" s="34" t="s">
        <v>1494</v>
      </c>
      <c r="R2064" s="34" t="s">
        <v>1494</v>
      </c>
    </row>
    <row r="2065" spans="1:18" ht="15" customHeight="1" x14ac:dyDescent="0.25">
      <c r="A2065" t="str">
        <f>IFERROR(RANK(B2065,$B:$B,1)+COUNTIF($B$1:B2064,B2065),"")</f>
        <v/>
      </c>
      <c r="B2065" t="str">
        <f>IFERROR(SEARCH(#REF!,Table4[[#This Row],[Commodity Title]],1),"")</f>
        <v/>
      </c>
      <c r="C2065" s="35">
        <v>42221610</v>
      </c>
      <c r="D2065" s="33" t="s">
        <v>1495</v>
      </c>
      <c r="E2065" s="33" t="s">
        <v>1496</v>
      </c>
      <c r="F2065" s="33" t="s">
        <v>1497</v>
      </c>
      <c r="G2065" s="33" t="s">
        <v>5655</v>
      </c>
      <c r="H2065" s="33" t="s">
        <v>5656</v>
      </c>
      <c r="I2065" s="33" t="s">
        <v>5657</v>
      </c>
      <c r="J2065" s="33">
        <v>115777</v>
      </c>
      <c r="K2065" s="33" t="s">
        <v>5697</v>
      </c>
      <c r="L2065" s="33" t="s">
        <v>5698</v>
      </c>
      <c r="M2065" s="33" t="s">
        <v>5699</v>
      </c>
      <c r="N2065" s="44">
        <v>42221610</v>
      </c>
      <c r="O2065" s="33" t="s">
        <v>5718</v>
      </c>
      <c r="P2065" s="33" t="s">
        <v>5719</v>
      </c>
      <c r="Q2065" s="34" t="s">
        <v>1494</v>
      </c>
      <c r="R2065" s="34" t="s">
        <v>1494</v>
      </c>
    </row>
    <row r="2066" spans="1:18" ht="15" customHeight="1" x14ac:dyDescent="0.25">
      <c r="A2066" t="str">
        <f>IFERROR(RANK(B2066,$B:$B,1)+COUNTIF($B$1:B2065,B2066),"")</f>
        <v/>
      </c>
      <c r="B2066" t="str">
        <f>IFERROR(SEARCH(#REF!,Table4[[#This Row],[Commodity Title]],1),"")</f>
        <v/>
      </c>
      <c r="C2066" s="35">
        <v>42221611</v>
      </c>
      <c r="D2066" s="33" t="s">
        <v>1495</v>
      </c>
      <c r="E2066" s="33" t="s">
        <v>1496</v>
      </c>
      <c r="F2066" s="33" t="s">
        <v>1497</v>
      </c>
      <c r="G2066" s="33" t="s">
        <v>5655</v>
      </c>
      <c r="H2066" s="33" t="s">
        <v>5656</v>
      </c>
      <c r="I2066" s="33" t="s">
        <v>5657</v>
      </c>
      <c r="J2066" s="33">
        <v>115778</v>
      </c>
      <c r="K2066" s="33" t="s">
        <v>5697</v>
      </c>
      <c r="L2066" s="33" t="s">
        <v>5698</v>
      </c>
      <c r="M2066" s="33" t="s">
        <v>5699</v>
      </c>
      <c r="N2066" s="44">
        <v>42221611</v>
      </c>
      <c r="O2066" s="33" t="s">
        <v>5720</v>
      </c>
      <c r="P2066" s="33" t="s">
        <v>5721</v>
      </c>
      <c r="Q2066" s="34" t="s">
        <v>1494</v>
      </c>
      <c r="R2066" s="34" t="s">
        <v>1494</v>
      </c>
    </row>
    <row r="2067" spans="1:18" ht="15" customHeight="1" x14ac:dyDescent="0.25">
      <c r="A2067" t="str">
        <f>IFERROR(RANK(B2067,$B:$B,1)+COUNTIF($B$1:B2066,B2067),"")</f>
        <v/>
      </c>
      <c r="B2067" t="str">
        <f>IFERROR(SEARCH(#REF!,Table4[[#This Row],[Commodity Title]],1),"")</f>
        <v/>
      </c>
      <c r="C2067" s="35">
        <v>42221612</v>
      </c>
      <c r="D2067" s="33" t="s">
        <v>1495</v>
      </c>
      <c r="E2067" s="33" t="s">
        <v>1496</v>
      </c>
      <c r="F2067" s="33" t="s">
        <v>1497</v>
      </c>
      <c r="G2067" s="33" t="s">
        <v>5655</v>
      </c>
      <c r="H2067" s="33" t="s">
        <v>5656</v>
      </c>
      <c r="I2067" s="33" t="s">
        <v>5657</v>
      </c>
      <c r="J2067" s="33">
        <v>115779</v>
      </c>
      <c r="K2067" s="33" t="s">
        <v>5697</v>
      </c>
      <c r="L2067" s="33" t="s">
        <v>5698</v>
      </c>
      <c r="M2067" s="33" t="s">
        <v>5699</v>
      </c>
      <c r="N2067" s="44">
        <v>42221612</v>
      </c>
      <c r="O2067" s="33" t="s">
        <v>5722</v>
      </c>
      <c r="P2067" s="33" t="s">
        <v>5723</v>
      </c>
      <c r="Q2067" s="34" t="s">
        <v>1494</v>
      </c>
      <c r="R2067" s="34" t="s">
        <v>1494</v>
      </c>
    </row>
    <row r="2068" spans="1:18" ht="15" customHeight="1" x14ac:dyDescent="0.25">
      <c r="A2068" t="str">
        <f>IFERROR(RANK(B2068,$B:$B,1)+COUNTIF($B$1:B2067,B2068),"")</f>
        <v/>
      </c>
      <c r="B2068" t="str">
        <f>IFERROR(SEARCH(#REF!,Table4[[#This Row],[Commodity Title]],1),"")</f>
        <v/>
      </c>
      <c r="C2068" s="35">
        <v>42221613</v>
      </c>
      <c r="D2068" s="33" t="s">
        <v>1495</v>
      </c>
      <c r="E2068" s="33" t="s">
        <v>1496</v>
      </c>
      <c r="F2068" s="33" t="s">
        <v>1497</v>
      </c>
      <c r="G2068" s="33" t="s">
        <v>5655</v>
      </c>
      <c r="H2068" s="33" t="s">
        <v>5656</v>
      </c>
      <c r="I2068" s="33" t="s">
        <v>5657</v>
      </c>
      <c r="J2068" s="33">
        <v>115780</v>
      </c>
      <c r="K2068" s="33" t="s">
        <v>5697</v>
      </c>
      <c r="L2068" s="33" t="s">
        <v>5698</v>
      </c>
      <c r="M2068" s="33" t="s">
        <v>5699</v>
      </c>
      <c r="N2068" s="44">
        <v>42221613</v>
      </c>
      <c r="O2068" s="33" t="s">
        <v>5724</v>
      </c>
      <c r="P2068" s="33" t="s">
        <v>5725</v>
      </c>
      <c r="Q2068" s="34" t="s">
        <v>1494</v>
      </c>
      <c r="R2068" s="34" t="s">
        <v>1494</v>
      </c>
    </row>
    <row r="2069" spans="1:18" ht="15" customHeight="1" x14ac:dyDescent="0.25">
      <c r="A2069" t="str">
        <f>IFERROR(RANK(B2069,$B:$B,1)+COUNTIF($B$1:B2068,B2069),"")</f>
        <v/>
      </c>
      <c r="B2069" t="str">
        <f>IFERROR(SEARCH(#REF!,Table4[[#This Row],[Commodity Title]],1),"")</f>
        <v/>
      </c>
      <c r="C2069" s="35">
        <v>42221614</v>
      </c>
      <c r="D2069" s="33" t="s">
        <v>1495</v>
      </c>
      <c r="E2069" s="33" t="s">
        <v>1496</v>
      </c>
      <c r="F2069" s="33" t="s">
        <v>1497</v>
      </c>
      <c r="G2069" s="33" t="s">
        <v>5655</v>
      </c>
      <c r="H2069" s="33" t="s">
        <v>5656</v>
      </c>
      <c r="I2069" s="33" t="s">
        <v>5657</v>
      </c>
      <c r="J2069" s="33">
        <v>115781</v>
      </c>
      <c r="K2069" s="33" t="s">
        <v>5697</v>
      </c>
      <c r="L2069" s="33" t="s">
        <v>5698</v>
      </c>
      <c r="M2069" s="33" t="s">
        <v>5699</v>
      </c>
      <c r="N2069" s="44">
        <v>42221614</v>
      </c>
      <c r="O2069" s="33" t="s">
        <v>5726</v>
      </c>
      <c r="P2069" s="33" t="s">
        <v>5727</v>
      </c>
      <c r="Q2069" s="34" t="s">
        <v>1494</v>
      </c>
      <c r="R2069" s="34" t="s">
        <v>1494</v>
      </c>
    </row>
    <row r="2070" spans="1:18" ht="15" customHeight="1" x14ac:dyDescent="0.25">
      <c r="A2070" t="str">
        <f>IFERROR(RANK(B2070,$B:$B,1)+COUNTIF($B$1:B2069,B2070),"")</f>
        <v/>
      </c>
      <c r="B2070" t="str">
        <f>IFERROR(SEARCH(#REF!,Table4[[#This Row],[Commodity Title]],1),"")</f>
        <v/>
      </c>
      <c r="C2070" s="35">
        <v>42221615</v>
      </c>
      <c r="D2070" s="33" t="s">
        <v>1495</v>
      </c>
      <c r="E2070" s="33" t="s">
        <v>1496</v>
      </c>
      <c r="F2070" s="33" t="s">
        <v>1497</v>
      </c>
      <c r="G2070" s="33" t="s">
        <v>5655</v>
      </c>
      <c r="H2070" s="33" t="s">
        <v>5656</v>
      </c>
      <c r="I2070" s="33" t="s">
        <v>5657</v>
      </c>
      <c r="J2070" s="33">
        <v>115782</v>
      </c>
      <c r="K2070" s="33" t="s">
        <v>5697</v>
      </c>
      <c r="L2070" s="33" t="s">
        <v>5698</v>
      </c>
      <c r="M2070" s="33" t="s">
        <v>5699</v>
      </c>
      <c r="N2070" s="44">
        <v>42221615</v>
      </c>
      <c r="O2070" s="33" t="s">
        <v>5728</v>
      </c>
      <c r="P2070" s="33" t="s">
        <v>5729</v>
      </c>
      <c r="Q2070" s="34" t="s">
        <v>1494</v>
      </c>
      <c r="R2070" s="34" t="s">
        <v>1494</v>
      </c>
    </row>
    <row r="2071" spans="1:18" ht="15" customHeight="1" x14ac:dyDescent="0.25">
      <c r="A2071" t="str">
        <f>IFERROR(RANK(B2071,$B:$B,1)+COUNTIF($B$1:B2070,B2071),"")</f>
        <v/>
      </c>
      <c r="B2071" t="str">
        <f>IFERROR(SEARCH(#REF!,Table4[[#This Row],[Commodity Title]],1),"")</f>
        <v/>
      </c>
      <c r="C2071" s="35">
        <v>42221616</v>
      </c>
      <c r="D2071" s="33" t="s">
        <v>1495</v>
      </c>
      <c r="E2071" s="33" t="s">
        <v>1496</v>
      </c>
      <c r="F2071" s="33" t="s">
        <v>1497</v>
      </c>
      <c r="G2071" s="33" t="s">
        <v>5655</v>
      </c>
      <c r="H2071" s="33" t="s">
        <v>5656</v>
      </c>
      <c r="I2071" s="33" t="s">
        <v>5657</v>
      </c>
      <c r="J2071" s="33">
        <v>142614</v>
      </c>
      <c r="K2071" s="33" t="s">
        <v>5697</v>
      </c>
      <c r="L2071" s="33" t="s">
        <v>5698</v>
      </c>
      <c r="M2071" s="33" t="s">
        <v>5699</v>
      </c>
      <c r="N2071" s="44">
        <v>42221616</v>
      </c>
      <c r="O2071" s="33" t="s">
        <v>5730</v>
      </c>
      <c r="P2071" s="33" t="s">
        <v>5731</v>
      </c>
      <c r="Q2071" s="34" t="s">
        <v>1494</v>
      </c>
      <c r="R2071" s="34" t="s">
        <v>1494</v>
      </c>
    </row>
    <row r="2072" spans="1:18" ht="15" customHeight="1" x14ac:dyDescent="0.25">
      <c r="A2072" t="str">
        <f>IFERROR(RANK(B2072,$B:$B,1)+COUNTIF($B$1:B2071,B2072),"")</f>
        <v/>
      </c>
      <c r="B2072" t="str">
        <f>IFERROR(SEARCH(#REF!,Table4[[#This Row],[Commodity Title]],1),"")</f>
        <v/>
      </c>
      <c r="C2072" s="35">
        <v>42221617</v>
      </c>
      <c r="D2072" s="33" t="s">
        <v>1495</v>
      </c>
      <c r="E2072" s="33" t="s">
        <v>1496</v>
      </c>
      <c r="F2072" s="33" t="s">
        <v>1497</v>
      </c>
      <c r="G2072" s="33" t="s">
        <v>5655</v>
      </c>
      <c r="H2072" s="33" t="s">
        <v>5656</v>
      </c>
      <c r="I2072" s="33" t="s">
        <v>5657</v>
      </c>
      <c r="J2072" s="33">
        <v>142615</v>
      </c>
      <c r="K2072" s="33" t="s">
        <v>5697</v>
      </c>
      <c r="L2072" s="33" t="s">
        <v>5698</v>
      </c>
      <c r="M2072" s="33" t="s">
        <v>5699</v>
      </c>
      <c r="N2072" s="44">
        <v>42221617</v>
      </c>
      <c r="O2072" s="33" t="s">
        <v>5732</v>
      </c>
      <c r="P2072" s="33" t="s">
        <v>5733</v>
      </c>
      <c r="Q2072" s="34" t="s">
        <v>1494</v>
      </c>
      <c r="R2072" s="34" t="s">
        <v>1494</v>
      </c>
    </row>
    <row r="2073" spans="1:18" ht="15" customHeight="1" x14ac:dyDescent="0.25">
      <c r="A2073" t="str">
        <f>IFERROR(RANK(B2073,$B:$B,1)+COUNTIF($B$1:B2072,B2073),"")</f>
        <v/>
      </c>
      <c r="B2073" t="str">
        <f>IFERROR(SEARCH(#REF!,Table4[[#This Row],[Commodity Title]],1),"")</f>
        <v/>
      </c>
      <c r="C2073" s="35">
        <v>42221618</v>
      </c>
      <c r="D2073" s="33" t="s">
        <v>1495</v>
      </c>
      <c r="E2073" s="33" t="s">
        <v>1496</v>
      </c>
      <c r="F2073" s="33" t="s">
        <v>1497</v>
      </c>
      <c r="G2073" s="33" t="s">
        <v>5655</v>
      </c>
      <c r="H2073" s="33" t="s">
        <v>5656</v>
      </c>
      <c r="I2073" s="33" t="s">
        <v>5657</v>
      </c>
      <c r="J2073" s="33">
        <v>143496</v>
      </c>
      <c r="K2073" s="33" t="s">
        <v>5697</v>
      </c>
      <c r="L2073" s="33" t="s">
        <v>5698</v>
      </c>
      <c r="M2073" s="33" t="s">
        <v>5699</v>
      </c>
      <c r="N2073" s="44">
        <v>42221618</v>
      </c>
      <c r="O2073" s="33" t="s">
        <v>5734</v>
      </c>
      <c r="P2073" s="33" t="s">
        <v>5735</v>
      </c>
      <c r="Q2073" s="34" t="s">
        <v>1494</v>
      </c>
      <c r="R2073" s="34" t="s">
        <v>1494</v>
      </c>
    </row>
    <row r="2074" spans="1:18" ht="15" customHeight="1" x14ac:dyDescent="0.25">
      <c r="A2074" t="str">
        <f>IFERROR(RANK(B2074,$B:$B,1)+COUNTIF($B$1:B2073,B2074),"")</f>
        <v/>
      </c>
      <c r="B2074" t="str">
        <f>IFERROR(SEARCH(#REF!,Table4[[#This Row],[Commodity Title]],1),"")</f>
        <v/>
      </c>
      <c r="C2074" s="35">
        <v>42221619</v>
      </c>
      <c r="D2074" s="33" t="s">
        <v>1495</v>
      </c>
      <c r="E2074" s="33" t="s">
        <v>1496</v>
      </c>
      <c r="F2074" s="33" t="s">
        <v>1497</v>
      </c>
      <c r="G2074" s="33" t="s">
        <v>5655</v>
      </c>
      <c r="H2074" s="33" t="s">
        <v>5656</v>
      </c>
      <c r="I2074" s="33" t="s">
        <v>5657</v>
      </c>
      <c r="J2074" s="33">
        <v>146149</v>
      </c>
      <c r="K2074" s="33" t="s">
        <v>5697</v>
      </c>
      <c r="L2074" s="33" t="s">
        <v>5698</v>
      </c>
      <c r="M2074" s="33" t="s">
        <v>5699</v>
      </c>
      <c r="N2074" s="44">
        <v>42221619</v>
      </c>
      <c r="O2074" s="33" t="s">
        <v>5736</v>
      </c>
      <c r="P2074" s="33" t="s">
        <v>5737</v>
      </c>
      <c r="Q2074" s="34" t="s">
        <v>1494</v>
      </c>
      <c r="R2074" s="34" t="s">
        <v>1494</v>
      </c>
    </row>
    <row r="2075" spans="1:18" ht="15" customHeight="1" x14ac:dyDescent="0.25">
      <c r="A2075" t="str">
        <f>IFERROR(RANK(B2075,$B:$B,1)+COUNTIF($B$1:B2074,B2075),"")</f>
        <v/>
      </c>
      <c r="B2075" t="str">
        <f>IFERROR(SEARCH(#REF!,Table4[[#This Row],[Commodity Title]],1),"")</f>
        <v/>
      </c>
      <c r="C2075" s="33" t="s">
        <v>1494</v>
      </c>
      <c r="D2075" s="33" t="s">
        <v>1495</v>
      </c>
      <c r="E2075" s="33" t="s">
        <v>1496</v>
      </c>
      <c r="F2075" s="33" t="s">
        <v>1497</v>
      </c>
      <c r="G2075" s="33" t="s">
        <v>5655</v>
      </c>
      <c r="H2075" s="33" t="s">
        <v>5656</v>
      </c>
      <c r="I2075" s="33" t="s">
        <v>5657</v>
      </c>
      <c r="J2075" s="33">
        <v>115783</v>
      </c>
      <c r="K2075" s="33" t="s">
        <v>5738</v>
      </c>
      <c r="L2075" s="33" t="s">
        <v>5739</v>
      </c>
      <c r="M2075" s="33" t="s">
        <v>5740</v>
      </c>
      <c r="N2075" s="44" t="s">
        <v>1494</v>
      </c>
      <c r="O2075" s="33" t="s">
        <v>1494</v>
      </c>
      <c r="P2075" s="33" t="s">
        <v>1494</v>
      </c>
      <c r="Q2075" s="34" t="s">
        <v>1494</v>
      </c>
      <c r="R2075" s="34" t="s">
        <v>1494</v>
      </c>
    </row>
    <row r="2076" spans="1:18" ht="15" customHeight="1" x14ac:dyDescent="0.25">
      <c r="A2076" t="str">
        <f>IFERROR(RANK(B2076,$B:$B,1)+COUNTIF($B$1:B2075,B2076),"")</f>
        <v/>
      </c>
      <c r="B2076" t="str">
        <f>IFERROR(SEARCH(#REF!,Table4[[#This Row],[Commodity Title]],1),"")</f>
        <v/>
      </c>
      <c r="C2076" s="35">
        <v>42221701</v>
      </c>
      <c r="D2076" s="33" t="s">
        <v>1495</v>
      </c>
      <c r="E2076" s="33" t="s">
        <v>1496</v>
      </c>
      <c r="F2076" s="33" t="s">
        <v>1497</v>
      </c>
      <c r="G2076" s="33" t="s">
        <v>5655</v>
      </c>
      <c r="H2076" s="33" t="s">
        <v>5656</v>
      </c>
      <c r="I2076" s="33" t="s">
        <v>5657</v>
      </c>
      <c r="J2076" s="33">
        <v>115784</v>
      </c>
      <c r="K2076" s="33" t="s">
        <v>5738</v>
      </c>
      <c r="L2076" s="33" t="s">
        <v>5739</v>
      </c>
      <c r="M2076" s="33" t="s">
        <v>5740</v>
      </c>
      <c r="N2076" s="44">
        <v>42221701</v>
      </c>
      <c r="O2076" s="33" t="s">
        <v>5741</v>
      </c>
      <c r="P2076" s="33" t="s">
        <v>5742</v>
      </c>
      <c r="Q2076" s="34" t="s">
        <v>1494</v>
      </c>
      <c r="R2076" s="34" t="s">
        <v>1494</v>
      </c>
    </row>
    <row r="2077" spans="1:18" ht="15" customHeight="1" x14ac:dyDescent="0.25">
      <c r="A2077" t="str">
        <f>IFERROR(RANK(B2077,$B:$B,1)+COUNTIF($B$1:B2076,B2077),"")</f>
        <v/>
      </c>
      <c r="B2077" t="str">
        <f>IFERROR(SEARCH(#REF!,Table4[[#This Row],[Commodity Title]],1),"")</f>
        <v/>
      </c>
      <c r="C2077" s="35">
        <v>42221703</v>
      </c>
      <c r="D2077" s="33" t="s">
        <v>1495</v>
      </c>
      <c r="E2077" s="33" t="s">
        <v>1496</v>
      </c>
      <c r="F2077" s="33" t="s">
        <v>1497</v>
      </c>
      <c r="G2077" s="33" t="s">
        <v>5655</v>
      </c>
      <c r="H2077" s="33" t="s">
        <v>5656</v>
      </c>
      <c r="I2077" s="33" t="s">
        <v>5657</v>
      </c>
      <c r="J2077" s="33">
        <v>115786</v>
      </c>
      <c r="K2077" s="33" t="s">
        <v>5738</v>
      </c>
      <c r="L2077" s="33" t="s">
        <v>5739</v>
      </c>
      <c r="M2077" s="33" t="s">
        <v>5740</v>
      </c>
      <c r="N2077" s="44">
        <v>42221703</v>
      </c>
      <c r="O2077" s="33" t="s">
        <v>5743</v>
      </c>
      <c r="P2077" s="33" t="s">
        <v>5744</v>
      </c>
      <c r="Q2077" s="34" t="s">
        <v>1494</v>
      </c>
      <c r="R2077" s="34" t="s">
        <v>1494</v>
      </c>
    </row>
    <row r="2078" spans="1:18" ht="15" customHeight="1" x14ac:dyDescent="0.25">
      <c r="A2078" t="str">
        <f>IFERROR(RANK(B2078,$B:$B,1)+COUNTIF($B$1:B2077,B2078),"")</f>
        <v/>
      </c>
      <c r="B2078" t="str">
        <f>IFERROR(SEARCH(#REF!,Table4[[#This Row],[Commodity Title]],1),"")</f>
        <v/>
      </c>
      <c r="C2078" s="35">
        <v>42221704</v>
      </c>
      <c r="D2078" s="33" t="s">
        <v>1495</v>
      </c>
      <c r="E2078" s="33" t="s">
        <v>1496</v>
      </c>
      <c r="F2078" s="33" t="s">
        <v>1497</v>
      </c>
      <c r="G2078" s="33" t="s">
        <v>5655</v>
      </c>
      <c r="H2078" s="33" t="s">
        <v>5656</v>
      </c>
      <c r="I2078" s="33" t="s">
        <v>5657</v>
      </c>
      <c r="J2078" s="33">
        <v>115787</v>
      </c>
      <c r="K2078" s="33" t="s">
        <v>5738</v>
      </c>
      <c r="L2078" s="33" t="s">
        <v>5739</v>
      </c>
      <c r="M2078" s="33" t="s">
        <v>5740</v>
      </c>
      <c r="N2078" s="44">
        <v>42221704</v>
      </c>
      <c r="O2078" s="33" t="s">
        <v>5745</v>
      </c>
      <c r="P2078" s="33" t="s">
        <v>5746</v>
      </c>
      <c r="Q2078" s="34" t="s">
        <v>1494</v>
      </c>
      <c r="R2078" s="34" t="s">
        <v>1494</v>
      </c>
    </row>
    <row r="2079" spans="1:18" ht="15" customHeight="1" x14ac:dyDescent="0.25">
      <c r="A2079" t="str">
        <f>IFERROR(RANK(B2079,$B:$B,1)+COUNTIF($B$1:B2078,B2079),"")</f>
        <v/>
      </c>
      <c r="B2079" t="str">
        <f>IFERROR(SEARCH(#REF!,Table4[[#This Row],[Commodity Title]],1),"")</f>
        <v/>
      </c>
      <c r="C2079" s="35">
        <v>42221705</v>
      </c>
      <c r="D2079" s="33" t="s">
        <v>1495</v>
      </c>
      <c r="E2079" s="33" t="s">
        <v>1496</v>
      </c>
      <c r="F2079" s="33" t="s">
        <v>1497</v>
      </c>
      <c r="G2079" s="33" t="s">
        <v>5655</v>
      </c>
      <c r="H2079" s="33" t="s">
        <v>5656</v>
      </c>
      <c r="I2079" s="33" t="s">
        <v>5657</v>
      </c>
      <c r="J2079" s="33">
        <v>142616</v>
      </c>
      <c r="K2079" s="33" t="s">
        <v>5738</v>
      </c>
      <c r="L2079" s="33" t="s">
        <v>5739</v>
      </c>
      <c r="M2079" s="33" t="s">
        <v>5740</v>
      </c>
      <c r="N2079" s="44">
        <v>42221705</v>
      </c>
      <c r="O2079" s="33" t="s">
        <v>5747</v>
      </c>
      <c r="P2079" s="33" t="s">
        <v>5748</v>
      </c>
      <c r="Q2079" s="34" t="s">
        <v>1494</v>
      </c>
      <c r="R2079" s="34" t="s">
        <v>1494</v>
      </c>
    </row>
    <row r="2080" spans="1:18" ht="15" customHeight="1" x14ac:dyDescent="0.25">
      <c r="A2080" t="str">
        <f>IFERROR(RANK(B2080,$B:$B,1)+COUNTIF($B$1:B2079,B2080),"")</f>
        <v/>
      </c>
      <c r="B2080" t="str">
        <f>IFERROR(SEARCH(#REF!,Table4[[#This Row],[Commodity Title]],1),"")</f>
        <v/>
      </c>
      <c r="C2080" s="35">
        <v>42221706</v>
      </c>
      <c r="D2080" s="33" t="s">
        <v>1495</v>
      </c>
      <c r="E2080" s="33" t="s">
        <v>1496</v>
      </c>
      <c r="F2080" s="33" t="s">
        <v>1497</v>
      </c>
      <c r="G2080" s="33" t="s">
        <v>5655</v>
      </c>
      <c r="H2080" s="33" t="s">
        <v>5656</v>
      </c>
      <c r="I2080" s="33" t="s">
        <v>5657</v>
      </c>
      <c r="J2080" s="33">
        <v>142617</v>
      </c>
      <c r="K2080" s="33" t="s">
        <v>5738</v>
      </c>
      <c r="L2080" s="33" t="s">
        <v>5739</v>
      </c>
      <c r="M2080" s="33" t="s">
        <v>5740</v>
      </c>
      <c r="N2080" s="44">
        <v>42221706</v>
      </c>
      <c r="O2080" s="33" t="s">
        <v>5749</v>
      </c>
      <c r="P2080" s="33" t="s">
        <v>5750</v>
      </c>
      <c r="Q2080" s="34" t="s">
        <v>1494</v>
      </c>
      <c r="R2080" s="34" t="s">
        <v>1494</v>
      </c>
    </row>
    <row r="2081" spans="1:18" ht="15" customHeight="1" x14ac:dyDescent="0.25">
      <c r="A2081" t="str">
        <f>IFERROR(RANK(B2081,$B:$B,1)+COUNTIF($B$1:B2080,B2081),"")</f>
        <v/>
      </c>
      <c r="B2081" t="str">
        <f>IFERROR(SEARCH(#REF!,Table4[[#This Row],[Commodity Title]],1),"")</f>
        <v/>
      </c>
      <c r="C2081" s="35">
        <v>42221707</v>
      </c>
      <c r="D2081" s="33" t="s">
        <v>1495</v>
      </c>
      <c r="E2081" s="33" t="s">
        <v>1496</v>
      </c>
      <c r="F2081" s="33" t="s">
        <v>1497</v>
      </c>
      <c r="G2081" s="33" t="s">
        <v>5655</v>
      </c>
      <c r="H2081" s="33" t="s">
        <v>5656</v>
      </c>
      <c r="I2081" s="33" t="s">
        <v>5657</v>
      </c>
      <c r="J2081" s="33">
        <v>142618</v>
      </c>
      <c r="K2081" s="33" t="s">
        <v>5738</v>
      </c>
      <c r="L2081" s="33" t="s">
        <v>5739</v>
      </c>
      <c r="M2081" s="33" t="s">
        <v>5740</v>
      </c>
      <c r="N2081" s="44">
        <v>42221707</v>
      </c>
      <c r="O2081" s="33" t="s">
        <v>5751</v>
      </c>
      <c r="P2081" s="33" t="s">
        <v>5752</v>
      </c>
      <c r="Q2081" s="34" t="s">
        <v>1494</v>
      </c>
      <c r="R2081" s="34" t="s">
        <v>1494</v>
      </c>
    </row>
    <row r="2082" spans="1:18" ht="15" customHeight="1" x14ac:dyDescent="0.25">
      <c r="A2082" t="str">
        <f>IFERROR(RANK(B2082,$B:$B,1)+COUNTIF($B$1:B2081,B2082),"")</f>
        <v/>
      </c>
      <c r="B2082" t="str">
        <f>IFERROR(SEARCH(#REF!,Table4[[#This Row],[Commodity Title]],1),"")</f>
        <v/>
      </c>
      <c r="C2082" s="35">
        <v>42221708</v>
      </c>
      <c r="D2082" s="33" t="s">
        <v>1495</v>
      </c>
      <c r="E2082" s="33" t="s">
        <v>1496</v>
      </c>
      <c r="F2082" s="33" t="s">
        <v>1497</v>
      </c>
      <c r="G2082" s="33" t="s">
        <v>5655</v>
      </c>
      <c r="H2082" s="33" t="s">
        <v>5656</v>
      </c>
      <c r="I2082" s="33" t="s">
        <v>5657</v>
      </c>
      <c r="J2082" s="33">
        <v>208424</v>
      </c>
      <c r="K2082" s="33" t="s">
        <v>5738</v>
      </c>
      <c r="L2082" s="33" t="s">
        <v>5739</v>
      </c>
      <c r="M2082" s="33" t="s">
        <v>5740</v>
      </c>
      <c r="N2082" s="44">
        <v>42221708</v>
      </c>
      <c r="O2082" s="33" t="s">
        <v>5753</v>
      </c>
      <c r="P2082" s="33" t="s">
        <v>5754</v>
      </c>
      <c r="Q2082" s="34" t="s">
        <v>1494</v>
      </c>
      <c r="R2082" s="34" t="s">
        <v>1494</v>
      </c>
    </row>
    <row r="2083" spans="1:18" ht="15" customHeight="1" x14ac:dyDescent="0.25">
      <c r="A2083" t="str">
        <f>IFERROR(RANK(B2083,$B:$B,1)+COUNTIF($B$1:B2082,B2083),"")</f>
        <v/>
      </c>
      <c r="B2083" t="str">
        <f>IFERROR(SEARCH(#REF!,Table4[[#This Row],[Commodity Title]],1),"")</f>
        <v/>
      </c>
      <c r="C2083" s="33" t="s">
        <v>1494</v>
      </c>
      <c r="D2083" s="33" t="s">
        <v>1495</v>
      </c>
      <c r="E2083" s="33" t="s">
        <v>1496</v>
      </c>
      <c r="F2083" s="33" t="s">
        <v>1497</v>
      </c>
      <c r="G2083" s="33" t="s">
        <v>5655</v>
      </c>
      <c r="H2083" s="33" t="s">
        <v>5656</v>
      </c>
      <c r="I2083" s="33" t="s">
        <v>5657</v>
      </c>
      <c r="J2083" s="33">
        <v>115788</v>
      </c>
      <c r="K2083" s="33" t="s">
        <v>5755</v>
      </c>
      <c r="L2083" s="33" t="s">
        <v>5756</v>
      </c>
      <c r="M2083" s="33" t="s">
        <v>5757</v>
      </c>
      <c r="N2083" s="44" t="s">
        <v>1494</v>
      </c>
      <c r="O2083" s="33" t="s">
        <v>1494</v>
      </c>
      <c r="P2083" s="33" t="s">
        <v>1494</v>
      </c>
      <c r="Q2083" s="34" t="s">
        <v>1494</v>
      </c>
      <c r="R2083" s="34" t="s">
        <v>1494</v>
      </c>
    </row>
    <row r="2084" spans="1:18" ht="15" customHeight="1" x14ac:dyDescent="0.25">
      <c r="A2084" t="str">
        <f>IFERROR(RANK(B2084,$B:$B,1)+COUNTIF($B$1:B2083,B2084),"")</f>
        <v/>
      </c>
      <c r="B2084" t="str">
        <f>IFERROR(SEARCH(#REF!,Table4[[#This Row],[Commodity Title]],1),"")</f>
        <v/>
      </c>
      <c r="C2084" s="35">
        <v>42221801</v>
      </c>
      <c r="D2084" s="33" t="s">
        <v>1495</v>
      </c>
      <c r="E2084" s="33" t="s">
        <v>1496</v>
      </c>
      <c r="F2084" s="33" t="s">
        <v>1497</v>
      </c>
      <c r="G2084" s="33" t="s">
        <v>5655</v>
      </c>
      <c r="H2084" s="33" t="s">
        <v>5656</v>
      </c>
      <c r="I2084" s="33" t="s">
        <v>5657</v>
      </c>
      <c r="J2084" s="33">
        <v>115789</v>
      </c>
      <c r="K2084" s="33" t="s">
        <v>5755</v>
      </c>
      <c r="L2084" s="33" t="s">
        <v>5756</v>
      </c>
      <c r="M2084" s="33" t="s">
        <v>5757</v>
      </c>
      <c r="N2084" s="44">
        <v>42221801</v>
      </c>
      <c r="O2084" s="33" t="s">
        <v>5758</v>
      </c>
      <c r="P2084" s="33" t="s">
        <v>5759</v>
      </c>
      <c r="Q2084" s="34" t="s">
        <v>1494</v>
      </c>
      <c r="R2084" s="34" t="s">
        <v>1494</v>
      </c>
    </row>
    <row r="2085" spans="1:18" ht="15" customHeight="1" x14ac:dyDescent="0.25">
      <c r="A2085" t="str">
        <f>IFERROR(RANK(B2085,$B:$B,1)+COUNTIF($B$1:B2084,B2085),"")</f>
        <v/>
      </c>
      <c r="B2085" t="str">
        <f>IFERROR(SEARCH(#REF!,Table4[[#This Row],[Commodity Title]],1),"")</f>
        <v/>
      </c>
      <c r="C2085" s="35">
        <v>42221802</v>
      </c>
      <c r="D2085" s="33" t="s">
        <v>1495</v>
      </c>
      <c r="E2085" s="33" t="s">
        <v>1496</v>
      </c>
      <c r="F2085" s="33" t="s">
        <v>1497</v>
      </c>
      <c r="G2085" s="33" t="s">
        <v>5655</v>
      </c>
      <c r="H2085" s="33" t="s">
        <v>5656</v>
      </c>
      <c r="I2085" s="33" t="s">
        <v>5657</v>
      </c>
      <c r="J2085" s="33">
        <v>115790</v>
      </c>
      <c r="K2085" s="33" t="s">
        <v>5755</v>
      </c>
      <c r="L2085" s="33" t="s">
        <v>5756</v>
      </c>
      <c r="M2085" s="33" t="s">
        <v>5757</v>
      </c>
      <c r="N2085" s="44">
        <v>42221802</v>
      </c>
      <c r="O2085" s="33" t="s">
        <v>5760</v>
      </c>
      <c r="P2085" s="33" t="s">
        <v>5761</v>
      </c>
      <c r="Q2085" s="34" t="s">
        <v>1494</v>
      </c>
      <c r="R2085" s="34" t="s">
        <v>1494</v>
      </c>
    </row>
    <row r="2086" spans="1:18" ht="15" customHeight="1" x14ac:dyDescent="0.25">
      <c r="A2086" t="str">
        <f>IFERROR(RANK(B2086,$B:$B,1)+COUNTIF($B$1:B2085,B2086),"")</f>
        <v/>
      </c>
      <c r="B2086" t="str">
        <f>IFERROR(SEARCH(#REF!,Table4[[#This Row],[Commodity Title]],1),"")</f>
        <v/>
      </c>
      <c r="C2086" s="35">
        <v>42221803</v>
      </c>
      <c r="D2086" s="33" t="s">
        <v>1495</v>
      </c>
      <c r="E2086" s="33" t="s">
        <v>1496</v>
      </c>
      <c r="F2086" s="33" t="s">
        <v>1497</v>
      </c>
      <c r="G2086" s="33" t="s">
        <v>5655</v>
      </c>
      <c r="H2086" s="33" t="s">
        <v>5656</v>
      </c>
      <c r="I2086" s="33" t="s">
        <v>5657</v>
      </c>
      <c r="J2086" s="33">
        <v>115791</v>
      </c>
      <c r="K2086" s="33" t="s">
        <v>5755</v>
      </c>
      <c r="L2086" s="33" t="s">
        <v>5756</v>
      </c>
      <c r="M2086" s="33" t="s">
        <v>5757</v>
      </c>
      <c r="N2086" s="44">
        <v>42221803</v>
      </c>
      <c r="O2086" s="33" t="s">
        <v>5762</v>
      </c>
      <c r="P2086" s="33" t="s">
        <v>5763</v>
      </c>
      <c r="Q2086" s="34" t="s">
        <v>1494</v>
      </c>
      <c r="R2086" s="34" t="s">
        <v>1494</v>
      </c>
    </row>
    <row r="2087" spans="1:18" ht="15" customHeight="1" x14ac:dyDescent="0.25">
      <c r="A2087" t="str">
        <f>IFERROR(RANK(B2087,$B:$B,1)+COUNTIF($B$1:B2086,B2087),"")</f>
        <v/>
      </c>
      <c r="B2087" t="str">
        <f>IFERROR(SEARCH(#REF!,Table4[[#This Row],[Commodity Title]],1),"")</f>
        <v/>
      </c>
      <c r="C2087" s="33" t="s">
        <v>1494</v>
      </c>
      <c r="D2087" s="33" t="s">
        <v>1495</v>
      </c>
      <c r="E2087" s="33" t="s">
        <v>1496</v>
      </c>
      <c r="F2087" s="33" t="s">
        <v>1497</v>
      </c>
      <c r="G2087" s="33" t="s">
        <v>5655</v>
      </c>
      <c r="H2087" s="33" t="s">
        <v>5656</v>
      </c>
      <c r="I2087" s="33" t="s">
        <v>5657</v>
      </c>
      <c r="J2087" s="33">
        <v>115792</v>
      </c>
      <c r="K2087" s="33" t="s">
        <v>5764</v>
      </c>
      <c r="L2087" s="33" t="s">
        <v>5765</v>
      </c>
      <c r="M2087" s="33" t="s">
        <v>5766</v>
      </c>
      <c r="N2087" s="44" t="s">
        <v>1494</v>
      </c>
      <c r="O2087" s="33" t="s">
        <v>1494</v>
      </c>
      <c r="P2087" s="33" t="s">
        <v>1494</v>
      </c>
      <c r="Q2087" s="34" t="s">
        <v>1494</v>
      </c>
      <c r="R2087" s="34" t="s">
        <v>1494</v>
      </c>
    </row>
    <row r="2088" spans="1:18" ht="15" customHeight="1" x14ac:dyDescent="0.25">
      <c r="A2088" t="str">
        <f>IFERROR(RANK(B2088,$B:$B,1)+COUNTIF($B$1:B2087,B2088),"")</f>
        <v/>
      </c>
      <c r="B2088" t="str">
        <f>IFERROR(SEARCH(#REF!,Table4[[#This Row],[Commodity Title]],1),"")</f>
        <v/>
      </c>
      <c r="C2088" s="35">
        <v>42221901</v>
      </c>
      <c r="D2088" s="33" t="s">
        <v>1495</v>
      </c>
      <c r="E2088" s="33" t="s">
        <v>1496</v>
      </c>
      <c r="F2088" s="33" t="s">
        <v>1497</v>
      </c>
      <c r="G2088" s="33" t="s">
        <v>5655</v>
      </c>
      <c r="H2088" s="33" t="s">
        <v>5656</v>
      </c>
      <c r="I2088" s="33" t="s">
        <v>5657</v>
      </c>
      <c r="J2088" s="33">
        <v>115793</v>
      </c>
      <c r="K2088" s="33" t="s">
        <v>5764</v>
      </c>
      <c r="L2088" s="33" t="s">
        <v>5765</v>
      </c>
      <c r="M2088" s="33" t="s">
        <v>5766</v>
      </c>
      <c r="N2088" s="44">
        <v>42221901</v>
      </c>
      <c r="O2088" s="33" t="s">
        <v>5767</v>
      </c>
      <c r="P2088" s="33" t="s">
        <v>5768</v>
      </c>
      <c r="Q2088" s="34" t="s">
        <v>1494</v>
      </c>
      <c r="R2088" s="34" t="s">
        <v>1494</v>
      </c>
    </row>
    <row r="2089" spans="1:18" ht="15" customHeight="1" x14ac:dyDescent="0.25">
      <c r="A2089" t="str">
        <f>IFERROR(RANK(B2089,$B:$B,1)+COUNTIF($B$1:B2088,B2089),"")</f>
        <v/>
      </c>
      <c r="B2089" t="str">
        <f>IFERROR(SEARCH(#REF!,Table4[[#This Row],[Commodity Title]],1),"")</f>
        <v/>
      </c>
      <c r="C2089" s="35">
        <v>42221902</v>
      </c>
      <c r="D2089" s="33" t="s">
        <v>1495</v>
      </c>
      <c r="E2089" s="33" t="s">
        <v>1496</v>
      </c>
      <c r="F2089" s="33" t="s">
        <v>1497</v>
      </c>
      <c r="G2089" s="33" t="s">
        <v>5655</v>
      </c>
      <c r="H2089" s="33" t="s">
        <v>5656</v>
      </c>
      <c r="I2089" s="33" t="s">
        <v>5657</v>
      </c>
      <c r="J2089" s="33">
        <v>115794</v>
      </c>
      <c r="K2089" s="33" t="s">
        <v>5764</v>
      </c>
      <c r="L2089" s="33" t="s">
        <v>5765</v>
      </c>
      <c r="M2089" s="33" t="s">
        <v>5766</v>
      </c>
      <c r="N2089" s="44">
        <v>42221902</v>
      </c>
      <c r="O2089" s="33" t="s">
        <v>5769</v>
      </c>
      <c r="P2089" s="33" t="s">
        <v>5770</v>
      </c>
      <c r="Q2089" s="34" t="s">
        <v>1494</v>
      </c>
      <c r="R2089" s="34" t="s">
        <v>1494</v>
      </c>
    </row>
    <row r="2090" spans="1:18" ht="15" customHeight="1" x14ac:dyDescent="0.25">
      <c r="A2090" t="str">
        <f>IFERROR(RANK(B2090,$B:$B,1)+COUNTIF($B$1:B2089,B2090),"")</f>
        <v/>
      </c>
      <c r="B2090" t="str">
        <f>IFERROR(SEARCH(#REF!,Table4[[#This Row],[Commodity Title]],1),"")</f>
        <v/>
      </c>
      <c r="C2090" s="35">
        <v>42221903</v>
      </c>
      <c r="D2090" s="33" t="s">
        <v>1495</v>
      </c>
      <c r="E2090" s="33" t="s">
        <v>1496</v>
      </c>
      <c r="F2090" s="33" t="s">
        <v>1497</v>
      </c>
      <c r="G2090" s="33" t="s">
        <v>5655</v>
      </c>
      <c r="H2090" s="33" t="s">
        <v>5656</v>
      </c>
      <c r="I2090" s="33" t="s">
        <v>5657</v>
      </c>
      <c r="J2090" s="33">
        <v>142619</v>
      </c>
      <c r="K2090" s="33" t="s">
        <v>5764</v>
      </c>
      <c r="L2090" s="33" t="s">
        <v>5765</v>
      </c>
      <c r="M2090" s="33" t="s">
        <v>5766</v>
      </c>
      <c r="N2090" s="44">
        <v>42221903</v>
      </c>
      <c r="O2090" s="33" t="s">
        <v>5771</v>
      </c>
      <c r="P2090" s="33" t="s">
        <v>5772</v>
      </c>
      <c r="Q2090" s="34" t="s">
        <v>1494</v>
      </c>
      <c r="R2090" s="34" t="s">
        <v>1494</v>
      </c>
    </row>
    <row r="2091" spans="1:18" ht="15" customHeight="1" x14ac:dyDescent="0.25">
      <c r="A2091" t="str">
        <f>IFERROR(RANK(B2091,$B:$B,1)+COUNTIF($B$1:B2090,B2091),"")</f>
        <v/>
      </c>
      <c r="B2091" t="str">
        <f>IFERROR(SEARCH(#REF!,Table4[[#This Row],[Commodity Title]],1),"")</f>
        <v/>
      </c>
      <c r="C2091" s="35">
        <v>42221904</v>
      </c>
      <c r="D2091" s="33" t="s">
        <v>1495</v>
      </c>
      <c r="E2091" s="33" t="s">
        <v>1496</v>
      </c>
      <c r="F2091" s="33" t="s">
        <v>1497</v>
      </c>
      <c r="G2091" s="33" t="s">
        <v>5655</v>
      </c>
      <c r="H2091" s="33" t="s">
        <v>5656</v>
      </c>
      <c r="I2091" s="33" t="s">
        <v>5657</v>
      </c>
      <c r="J2091" s="33">
        <v>174396</v>
      </c>
      <c r="K2091" s="33" t="s">
        <v>5764</v>
      </c>
      <c r="L2091" s="33" t="s">
        <v>5765</v>
      </c>
      <c r="M2091" s="33" t="s">
        <v>5766</v>
      </c>
      <c r="N2091" s="44">
        <v>42221904</v>
      </c>
      <c r="O2091" s="33" t="s">
        <v>5773</v>
      </c>
      <c r="P2091" s="33" t="s">
        <v>5774</v>
      </c>
      <c r="Q2091" s="34" t="s">
        <v>1494</v>
      </c>
      <c r="R2091" s="34" t="s">
        <v>1494</v>
      </c>
    </row>
    <row r="2092" spans="1:18" ht="15" customHeight="1" x14ac:dyDescent="0.25">
      <c r="A2092" t="str">
        <f>IFERROR(RANK(B2092,$B:$B,1)+COUNTIF($B$1:B2091,B2092),"")</f>
        <v/>
      </c>
      <c r="B2092" t="str">
        <f>IFERROR(SEARCH(#REF!,Table4[[#This Row],[Commodity Title]],1),"")</f>
        <v/>
      </c>
      <c r="C2092" s="35">
        <v>42221905</v>
      </c>
      <c r="D2092" s="33" t="s">
        <v>1495</v>
      </c>
      <c r="E2092" s="33" t="s">
        <v>1496</v>
      </c>
      <c r="F2092" s="33" t="s">
        <v>1497</v>
      </c>
      <c r="G2092" s="33" t="s">
        <v>5655</v>
      </c>
      <c r="H2092" s="33" t="s">
        <v>5656</v>
      </c>
      <c r="I2092" s="33" t="s">
        <v>5657</v>
      </c>
      <c r="J2092" s="33">
        <v>174397</v>
      </c>
      <c r="K2092" s="33" t="s">
        <v>5764</v>
      </c>
      <c r="L2092" s="33" t="s">
        <v>5765</v>
      </c>
      <c r="M2092" s="33" t="s">
        <v>5766</v>
      </c>
      <c r="N2092" s="44">
        <v>42221905</v>
      </c>
      <c r="O2092" s="33" t="s">
        <v>5775</v>
      </c>
      <c r="P2092" s="33" t="s">
        <v>5776</v>
      </c>
      <c r="Q2092" s="34" t="s">
        <v>1494</v>
      </c>
      <c r="R2092" s="34" t="s">
        <v>1494</v>
      </c>
    </row>
    <row r="2093" spans="1:18" ht="15" customHeight="1" x14ac:dyDescent="0.25">
      <c r="A2093" t="str">
        <f>IFERROR(RANK(B2093,$B:$B,1)+COUNTIF($B$1:B2092,B2093),"")</f>
        <v/>
      </c>
      <c r="B2093" t="str">
        <f>IFERROR(SEARCH(#REF!,Table4[[#This Row],[Commodity Title]],1),"")</f>
        <v/>
      </c>
      <c r="C2093" s="35">
        <v>42221906</v>
      </c>
      <c r="D2093" s="33" t="s">
        <v>1495</v>
      </c>
      <c r="E2093" s="33" t="s">
        <v>1496</v>
      </c>
      <c r="F2093" s="33" t="s">
        <v>1497</v>
      </c>
      <c r="G2093" s="33" t="s">
        <v>5655</v>
      </c>
      <c r="H2093" s="33" t="s">
        <v>5656</v>
      </c>
      <c r="I2093" s="33" t="s">
        <v>5657</v>
      </c>
      <c r="J2093" s="33">
        <v>174398</v>
      </c>
      <c r="K2093" s="33" t="s">
        <v>5764</v>
      </c>
      <c r="L2093" s="33" t="s">
        <v>5765</v>
      </c>
      <c r="M2093" s="33" t="s">
        <v>5766</v>
      </c>
      <c r="N2093" s="44">
        <v>42221906</v>
      </c>
      <c r="O2093" s="33" t="s">
        <v>5777</v>
      </c>
      <c r="P2093" s="33" t="s">
        <v>5778</v>
      </c>
      <c r="Q2093" s="34" t="s">
        <v>1494</v>
      </c>
      <c r="R2093" s="34" t="s">
        <v>1494</v>
      </c>
    </row>
    <row r="2094" spans="1:18" ht="15" customHeight="1" x14ac:dyDescent="0.25">
      <c r="A2094" t="str">
        <f>IFERROR(RANK(B2094,$B:$B,1)+COUNTIF($B$1:B2093,B2094),"")</f>
        <v/>
      </c>
      <c r="B2094" t="str">
        <f>IFERROR(SEARCH(#REF!,Table4[[#This Row],[Commodity Title]],1),"")</f>
        <v/>
      </c>
      <c r="C2094" s="35">
        <v>42221907</v>
      </c>
      <c r="D2094" s="33" t="s">
        <v>1495</v>
      </c>
      <c r="E2094" s="33" t="s">
        <v>1496</v>
      </c>
      <c r="F2094" s="33" t="s">
        <v>1497</v>
      </c>
      <c r="G2094" s="33" t="s">
        <v>5655</v>
      </c>
      <c r="H2094" s="33" t="s">
        <v>5656</v>
      </c>
      <c r="I2094" s="33" t="s">
        <v>5657</v>
      </c>
      <c r="J2094" s="33">
        <v>202935</v>
      </c>
      <c r="K2094" s="33" t="s">
        <v>5764</v>
      </c>
      <c r="L2094" s="33" t="s">
        <v>5765</v>
      </c>
      <c r="M2094" s="33" t="s">
        <v>5766</v>
      </c>
      <c r="N2094" s="44">
        <v>42221907</v>
      </c>
      <c r="O2094" s="33" t="s">
        <v>5779</v>
      </c>
      <c r="P2094" s="33" t="s">
        <v>5780</v>
      </c>
      <c r="Q2094" s="34" t="s">
        <v>1494</v>
      </c>
      <c r="R2094" s="34" t="s">
        <v>1494</v>
      </c>
    </row>
    <row r="2095" spans="1:18" ht="15" customHeight="1" x14ac:dyDescent="0.25">
      <c r="A2095" t="str">
        <f>IFERROR(RANK(B2095,$B:$B,1)+COUNTIF($B$1:B2094,B2095),"")</f>
        <v/>
      </c>
      <c r="B2095" t="str">
        <f>IFERROR(SEARCH(#REF!,Table4[[#This Row],[Commodity Title]],1),"")</f>
        <v/>
      </c>
      <c r="C2095" s="35">
        <v>42221908</v>
      </c>
      <c r="D2095" s="33" t="s">
        <v>1495</v>
      </c>
      <c r="E2095" s="33" t="s">
        <v>1496</v>
      </c>
      <c r="F2095" s="33" t="s">
        <v>1497</v>
      </c>
      <c r="G2095" s="33" t="s">
        <v>5655</v>
      </c>
      <c r="H2095" s="33" t="s">
        <v>5656</v>
      </c>
      <c r="I2095" s="33" t="s">
        <v>5657</v>
      </c>
      <c r="J2095" s="33">
        <v>202936</v>
      </c>
      <c r="K2095" s="33" t="s">
        <v>5764</v>
      </c>
      <c r="L2095" s="33" t="s">
        <v>5765</v>
      </c>
      <c r="M2095" s="33" t="s">
        <v>5766</v>
      </c>
      <c r="N2095" s="44">
        <v>42221908</v>
      </c>
      <c r="O2095" s="33" t="s">
        <v>5781</v>
      </c>
      <c r="P2095" s="33" t="s">
        <v>5782</v>
      </c>
      <c r="Q2095" s="34" t="s">
        <v>1494</v>
      </c>
      <c r="R2095" s="34" t="s">
        <v>1494</v>
      </c>
    </row>
    <row r="2096" spans="1:18" ht="15" customHeight="1" x14ac:dyDescent="0.25">
      <c r="A2096" t="str">
        <f>IFERROR(RANK(B2096,$B:$B,1)+COUNTIF($B$1:B2095,B2096),"")</f>
        <v/>
      </c>
      <c r="B2096" t="str">
        <f>IFERROR(SEARCH(#REF!,Table4[[#This Row],[Commodity Title]],1),"")</f>
        <v/>
      </c>
      <c r="C2096" s="35">
        <v>42221909</v>
      </c>
      <c r="D2096" s="33" t="s">
        <v>1495</v>
      </c>
      <c r="E2096" s="33" t="s">
        <v>1496</v>
      </c>
      <c r="F2096" s="33" t="s">
        <v>1497</v>
      </c>
      <c r="G2096" s="33" t="s">
        <v>5655</v>
      </c>
      <c r="H2096" s="33" t="s">
        <v>5656</v>
      </c>
      <c r="I2096" s="33" t="s">
        <v>5657</v>
      </c>
      <c r="J2096" s="33">
        <v>202937</v>
      </c>
      <c r="K2096" s="33" t="s">
        <v>5764</v>
      </c>
      <c r="L2096" s="33" t="s">
        <v>5765</v>
      </c>
      <c r="M2096" s="33" t="s">
        <v>5766</v>
      </c>
      <c r="N2096" s="44">
        <v>42221909</v>
      </c>
      <c r="O2096" s="33" t="s">
        <v>5783</v>
      </c>
      <c r="P2096" s="33" t="s">
        <v>5784</v>
      </c>
      <c r="Q2096" s="34" t="s">
        <v>1494</v>
      </c>
      <c r="R2096" s="34" t="s">
        <v>1494</v>
      </c>
    </row>
    <row r="2097" spans="1:18" ht="15" customHeight="1" x14ac:dyDescent="0.25">
      <c r="A2097" t="str">
        <f>IFERROR(RANK(B2097,$B:$B,1)+COUNTIF($B$1:B2096,B2097),"")</f>
        <v/>
      </c>
      <c r="B2097" t="str">
        <f>IFERROR(SEARCH(#REF!,Table4[[#This Row],[Commodity Title]],1),"")</f>
        <v/>
      </c>
      <c r="C2097" s="35">
        <v>42221910</v>
      </c>
      <c r="D2097" s="33" t="s">
        <v>1495</v>
      </c>
      <c r="E2097" s="33" t="s">
        <v>1496</v>
      </c>
      <c r="F2097" s="33" t="s">
        <v>1497</v>
      </c>
      <c r="G2097" s="33" t="s">
        <v>5655</v>
      </c>
      <c r="H2097" s="33" t="s">
        <v>5656</v>
      </c>
      <c r="I2097" s="33" t="s">
        <v>5657</v>
      </c>
      <c r="J2097" s="33">
        <v>202938</v>
      </c>
      <c r="K2097" s="33" t="s">
        <v>5764</v>
      </c>
      <c r="L2097" s="33" t="s">
        <v>5765</v>
      </c>
      <c r="M2097" s="33" t="s">
        <v>5766</v>
      </c>
      <c r="N2097" s="44">
        <v>42221910</v>
      </c>
      <c r="O2097" s="33" t="s">
        <v>5785</v>
      </c>
      <c r="P2097" s="33" t="s">
        <v>5786</v>
      </c>
      <c r="Q2097" s="34" t="s">
        <v>1494</v>
      </c>
      <c r="R2097" s="34" t="s">
        <v>1494</v>
      </c>
    </row>
    <row r="2098" spans="1:18" ht="15" customHeight="1" x14ac:dyDescent="0.25">
      <c r="A2098" t="str">
        <f>IFERROR(RANK(B2098,$B:$B,1)+COUNTIF($B$1:B2097,B2098),"")</f>
        <v/>
      </c>
      <c r="B2098" t="str">
        <f>IFERROR(SEARCH(#REF!,Table4[[#This Row],[Commodity Title]],1),"")</f>
        <v/>
      </c>
      <c r="C2098" s="35">
        <v>42221911</v>
      </c>
      <c r="D2098" s="33" t="s">
        <v>1495</v>
      </c>
      <c r="E2098" s="33" t="s">
        <v>1496</v>
      </c>
      <c r="F2098" s="33" t="s">
        <v>1497</v>
      </c>
      <c r="G2098" s="33" t="s">
        <v>5655</v>
      </c>
      <c r="H2098" s="33" t="s">
        <v>5656</v>
      </c>
      <c r="I2098" s="33" t="s">
        <v>5657</v>
      </c>
      <c r="J2098" s="33">
        <v>202939</v>
      </c>
      <c r="K2098" s="33" t="s">
        <v>5764</v>
      </c>
      <c r="L2098" s="33" t="s">
        <v>5765</v>
      </c>
      <c r="M2098" s="33" t="s">
        <v>5766</v>
      </c>
      <c r="N2098" s="44">
        <v>42221911</v>
      </c>
      <c r="O2098" s="33" t="s">
        <v>5787</v>
      </c>
      <c r="P2098" s="33" t="s">
        <v>2304</v>
      </c>
      <c r="Q2098" s="34" t="s">
        <v>1494</v>
      </c>
      <c r="R2098" s="34" t="s">
        <v>1494</v>
      </c>
    </row>
    <row r="2099" spans="1:18" ht="15" customHeight="1" x14ac:dyDescent="0.25">
      <c r="A2099" t="str">
        <f>IFERROR(RANK(B2099,$B:$B,1)+COUNTIF($B$1:B2098,B2099),"")</f>
        <v/>
      </c>
      <c r="B2099" t="str">
        <f>IFERROR(SEARCH(#REF!,Table4[[#This Row],[Commodity Title]],1),"")</f>
        <v/>
      </c>
      <c r="C2099" s="33" t="s">
        <v>1494</v>
      </c>
      <c r="D2099" s="33" t="s">
        <v>1495</v>
      </c>
      <c r="E2099" s="33" t="s">
        <v>1496</v>
      </c>
      <c r="F2099" s="33" t="s">
        <v>1497</v>
      </c>
      <c r="G2099" s="33" t="s">
        <v>5655</v>
      </c>
      <c r="H2099" s="33" t="s">
        <v>5656</v>
      </c>
      <c r="I2099" s="33" t="s">
        <v>5657</v>
      </c>
      <c r="J2099" s="33">
        <v>115795</v>
      </c>
      <c r="K2099" s="33" t="s">
        <v>5788</v>
      </c>
      <c r="L2099" s="33" t="s">
        <v>5789</v>
      </c>
      <c r="M2099" s="33" t="s">
        <v>5790</v>
      </c>
      <c r="N2099" s="44" t="s">
        <v>1494</v>
      </c>
      <c r="O2099" s="33" t="s">
        <v>1494</v>
      </c>
      <c r="P2099" s="33" t="s">
        <v>1494</v>
      </c>
      <c r="Q2099" s="34" t="s">
        <v>1494</v>
      </c>
      <c r="R2099" s="34" t="s">
        <v>1494</v>
      </c>
    </row>
    <row r="2100" spans="1:18" ht="15" customHeight="1" x14ac:dyDescent="0.25">
      <c r="A2100" t="str">
        <f>IFERROR(RANK(B2100,$B:$B,1)+COUNTIF($B$1:B2099,B2100),"")</f>
        <v/>
      </c>
      <c r="B2100" t="str">
        <f>IFERROR(SEARCH(#REF!,Table4[[#This Row],[Commodity Title]],1),"")</f>
        <v/>
      </c>
      <c r="C2100" s="35">
        <v>42222001</v>
      </c>
      <c r="D2100" s="33" t="s">
        <v>1495</v>
      </c>
      <c r="E2100" s="33" t="s">
        <v>1496</v>
      </c>
      <c r="F2100" s="33" t="s">
        <v>1497</v>
      </c>
      <c r="G2100" s="33" t="s">
        <v>5655</v>
      </c>
      <c r="H2100" s="33" t="s">
        <v>5656</v>
      </c>
      <c r="I2100" s="33" t="s">
        <v>5657</v>
      </c>
      <c r="J2100" s="33">
        <v>115796</v>
      </c>
      <c r="K2100" s="33" t="s">
        <v>5788</v>
      </c>
      <c r="L2100" s="33" t="s">
        <v>5789</v>
      </c>
      <c r="M2100" s="33" t="s">
        <v>5790</v>
      </c>
      <c r="N2100" s="44">
        <v>42222001</v>
      </c>
      <c r="O2100" s="33" t="s">
        <v>5791</v>
      </c>
      <c r="P2100" s="33" t="s">
        <v>5792</v>
      </c>
      <c r="Q2100" s="34" t="s">
        <v>1494</v>
      </c>
      <c r="R2100" s="34" t="s">
        <v>1494</v>
      </c>
    </row>
    <row r="2101" spans="1:18" ht="15" customHeight="1" x14ac:dyDescent="0.25">
      <c r="A2101" t="str">
        <f>IFERROR(RANK(B2101,$B:$B,1)+COUNTIF($B$1:B2100,B2101),"")</f>
        <v/>
      </c>
      <c r="B2101" t="str">
        <f>IFERROR(SEARCH(#REF!,Table4[[#This Row],[Commodity Title]],1),"")</f>
        <v/>
      </c>
      <c r="C2101" s="35">
        <v>42222002</v>
      </c>
      <c r="D2101" s="33" t="s">
        <v>1495</v>
      </c>
      <c r="E2101" s="33" t="s">
        <v>1496</v>
      </c>
      <c r="F2101" s="33" t="s">
        <v>1497</v>
      </c>
      <c r="G2101" s="33" t="s">
        <v>5655</v>
      </c>
      <c r="H2101" s="33" t="s">
        <v>5656</v>
      </c>
      <c r="I2101" s="33" t="s">
        <v>5657</v>
      </c>
      <c r="J2101" s="33">
        <v>115797</v>
      </c>
      <c r="K2101" s="33" t="s">
        <v>5788</v>
      </c>
      <c r="L2101" s="33" t="s">
        <v>5789</v>
      </c>
      <c r="M2101" s="33" t="s">
        <v>5790</v>
      </c>
      <c r="N2101" s="44">
        <v>42222002</v>
      </c>
      <c r="O2101" s="33" t="s">
        <v>5793</v>
      </c>
      <c r="P2101" s="33" t="s">
        <v>5794</v>
      </c>
      <c r="Q2101" s="34" t="s">
        <v>1494</v>
      </c>
      <c r="R2101" s="34" t="s">
        <v>1494</v>
      </c>
    </row>
    <row r="2102" spans="1:18" ht="15" customHeight="1" x14ac:dyDescent="0.25">
      <c r="A2102" t="str">
        <f>IFERROR(RANK(B2102,$B:$B,1)+COUNTIF($B$1:B2101,B2102),"")</f>
        <v/>
      </c>
      <c r="B2102" t="str">
        <f>IFERROR(SEARCH(#REF!,Table4[[#This Row],[Commodity Title]],1),"")</f>
        <v/>
      </c>
      <c r="C2102" s="35">
        <v>42222003</v>
      </c>
      <c r="D2102" s="33" t="s">
        <v>1495</v>
      </c>
      <c r="E2102" s="33" t="s">
        <v>1496</v>
      </c>
      <c r="F2102" s="33" t="s">
        <v>1497</v>
      </c>
      <c r="G2102" s="33" t="s">
        <v>5655</v>
      </c>
      <c r="H2102" s="33" t="s">
        <v>5656</v>
      </c>
      <c r="I2102" s="33" t="s">
        <v>5657</v>
      </c>
      <c r="J2102" s="33">
        <v>115798</v>
      </c>
      <c r="K2102" s="33" t="s">
        <v>5788</v>
      </c>
      <c r="L2102" s="33" t="s">
        <v>5789</v>
      </c>
      <c r="M2102" s="33" t="s">
        <v>5790</v>
      </c>
      <c r="N2102" s="44">
        <v>42222003</v>
      </c>
      <c r="O2102" s="33" t="s">
        <v>5795</v>
      </c>
      <c r="P2102" s="33" t="s">
        <v>5796</v>
      </c>
      <c r="Q2102" s="34" t="s">
        <v>1494</v>
      </c>
      <c r="R2102" s="34" t="s">
        <v>1494</v>
      </c>
    </row>
    <row r="2103" spans="1:18" ht="15" customHeight="1" x14ac:dyDescent="0.25">
      <c r="A2103" t="str">
        <f>IFERROR(RANK(B2103,$B:$B,1)+COUNTIF($B$1:B2102,B2103),"")</f>
        <v/>
      </c>
      <c r="B2103" t="str">
        <f>IFERROR(SEARCH(#REF!,Table4[[#This Row],[Commodity Title]],1),"")</f>
        <v/>
      </c>
      <c r="C2103" s="35">
        <v>42222004</v>
      </c>
      <c r="D2103" s="33" t="s">
        <v>1495</v>
      </c>
      <c r="E2103" s="33" t="s">
        <v>1496</v>
      </c>
      <c r="F2103" s="33" t="s">
        <v>1497</v>
      </c>
      <c r="G2103" s="33" t="s">
        <v>5655</v>
      </c>
      <c r="H2103" s="33" t="s">
        <v>5656</v>
      </c>
      <c r="I2103" s="33" t="s">
        <v>5657</v>
      </c>
      <c r="J2103" s="33">
        <v>115799</v>
      </c>
      <c r="K2103" s="33" t="s">
        <v>5788</v>
      </c>
      <c r="L2103" s="33" t="s">
        <v>5789</v>
      </c>
      <c r="M2103" s="33" t="s">
        <v>5790</v>
      </c>
      <c r="N2103" s="44">
        <v>42222004</v>
      </c>
      <c r="O2103" s="33" t="s">
        <v>5797</v>
      </c>
      <c r="P2103" s="33" t="s">
        <v>5798</v>
      </c>
      <c r="Q2103" s="34" t="s">
        <v>1494</v>
      </c>
      <c r="R2103" s="34" t="s">
        <v>1494</v>
      </c>
    </row>
    <row r="2104" spans="1:18" ht="15" customHeight="1" x14ac:dyDescent="0.25">
      <c r="A2104" t="str">
        <f>IFERROR(RANK(B2104,$B:$B,1)+COUNTIF($B$1:B2103,B2104),"")</f>
        <v/>
      </c>
      <c r="B2104" t="str">
        <f>IFERROR(SEARCH(#REF!,Table4[[#This Row],[Commodity Title]],1),"")</f>
        <v/>
      </c>
      <c r="C2104" s="35">
        <v>42222005</v>
      </c>
      <c r="D2104" s="33" t="s">
        <v>1495</v>
      </c>
      <c r="E2104" s="33" t="s">
        <v>1496</v>
      </c>
      <c r="F2104" s="33" t="s">
        <v>1497</v>
      </c>
      <c r="G2104" s="33" t="s">
        <v>5655</v>
      </c>
      <c r="H2104" s="33" t="s">
        <v>5656</v>
      </c>
      <c r="I2104" s="33" t="s">
        <v>5657</v>
      </c>
      <c r="J2104" s="33">
        <v>142620</v>
      </c>
      <c r="K2104" s="33" t="s">
        <v>5788</v>
      </c>
      <c r="L2104" s="33" t="s">
        <v>5789</v>
      </c>
      <c r="M2104" s="33" t="s">
        <v>5790</v>
      </c>
      <c r="N2104" s="44">
        <v>42222005</v>
      </c>
      <c r="O2104" s="33" t="s">
        <v>5799</v>
      </c>
      <c r="P2104" s="33" t="s">
        <v>5800</v>
      </c>
      <c r="Q2104" s="34" t="s">
        <v>1494</v>
      </c>
      <c r="R2104" s="34" t="s">
        <v>1494</v>
      </c>
    </row>
    <row r="2105" spans="1:18" ht="15" customHeight="1" x14ac:dyDescent="0.25">
      <c r="A2105" t="str">
        <f>IFERROR(RANK(B2105,$B:$B,1)+COUNTIF($B$1:B2104,B2105),"")</f>
        <v/>
      </c>
      <c r="B2105" t="str">
        <f>IFERROR(SEARCH(#REF!,Table4[[#This Row],[Commodity Title]],1),"")</f>
        <v/>
      </c>
      <c r="C2105" s="35">
        <v>42222006</v>
      </c>
      <c r="D2105" s="33" t="s">
        <v>1495</v>
      </c>
      <c r="E2105" s="33" t="s">
        <v>1496</v>
      </c>
      <c r="F2105" s="33" t="s">
        <v>1497</v>
      </c>
      <c r="G2105" s="33" t="s">
        <v>5655</v>
      </c>
      <c r="H2105" s="33" t="s">
        <v>5656</v>
      </c>
      <c r="I2105" s="33" t="s">
        <v>5657</v>
      </c>
      <c r="J2105" s="33">
        <v>142621</v>
      </c>
      <c r="K2105" s="33" t="s">
        <v>5788</v>
      </c>
      <c r="L2105" s="33" t="s">
        <v>5789</v>
      </c>
      <c r="M2105" s="33" t="s">
        <v>5790</v>
      </c>
      <c r="N2105" s="44">
        <v>42222006</v>
      </c>
      <c r="O2105" s="33" t="s">
        <v>5801</v>
      </c>
      <c r="P2105" s="33" t="s">
        <v>5802</v>
      </c>
      <c r="Q2105" s="34" t="s">
        <v>1494</v>
      </c>
      <c r="R2105" s="34" t="s">
        <v>1494</v>
      </c>
    </row>
    <row r="2106" spans="1:18" ht="15" customHeight="1" x14ac:dyDescent="0.25">
      <c r="A2106" t="str">
        <f>IFERROR(RANK(B2106,$B:$B,1)+COUNTIF($B$1:B2105,B2106),"")</f>
        <v/>
      </c>
      <c r="B2106" t="str">
        <f>IFERROR(SEARCH(#REF!,Table4[[#This Row],[Commodity Title]],1),"")</f>
        <v/>
      </c>
      <c r="C2106" s="35">
        <v>42222007</v>
      </c>
      <c r="D2106" s="33" t="s">
        <v>1495</v>
      </c>
      <c r="E2106" s="33" t="s">
        <v>1496</v>
      </c>
      <c r="F2106" s="33" t="s">
        <v>1497</v>
      </c>
      <c r="G2106" s="33" t="s">
        <v>5655</v>
      </c>
      <c r="H2106" s="33" t="s">
        <v>5656</v>
      </c>
      <c r="I2106" s="33" t="s">
        <v>5657</v>
      </c>
      <c r="J2106" s="33">
        <v>142622</v>
      </c>
      <c r="K2106" s="33" t="s">
        <v>5788</v>
      </c>
      <c r="L2106" s="33" t="s">
        <v>5789</v>
      </c>
      <c r="M2106" s="33" t="s">
        <v>5790</v>
      </c>
      <c r="N2106" s="44">
        <v>42222007</v>
      </c>
      <c r="O2106" s="33" t="s">
        <v>5803</v>
      </c>
      <c r="P2106" s="33" t="s">
        <v>5804</v>
      </c>
      <c r="Q2106" s="34" t="s">
        <v>1494</v>
      </c>
      <c r="R2106" s="34" t="s">
        <v>1494</v>
      </c>
    </row>
    <row r="2107" spans="1:18" ht="15" customHeight="1" x14ac:dyDescent="0.25">
      <c r="A2107" t="str">
        <f>IFERROR(RANK(B2107,$B:$B,1)+COUNTIF($B$1:B2106,B2107),"")</f>
        <v/>
      </c>
      <c r="B2107" t="str">
        <f>IFERROR(SEARCH(#REF!,Table4[[#This Row],[Commodity Title]],1),"")</f>
        <v/>
      </c>
      <c r="C2107" s="35">
        <v>42222008</v>
      </c>
      <c r="D2107" s="33" t="s">
        <v>1495</v>
      </c>
      <c r="E2107" s="33" t="s">
        <v>1496</v>
      </c>
      <c r="F2107" s="33" t="s">
        <v>1497</v>
      </c>
      <c r="G2107" s="33" t="s">
        <v>5655</v>
      </c>
      <c r="H2107" s="33" t="s">
        <v>5656</v>
      </c>
      <c r="I2107" s="33" t="s">
        <v>5657</v>
      </c>
      <c r="J2107" s="33">
        <v>142623</v>
      </c>
      <c r="K2107" s="33" t="s">
        <v>5788</v>
      </c>
      <c r="L2107" s="33" t="s">
        <v>5789</v>
      </c>
      <c r="M2107" s="33" t="s">
        <v>5790</v>
      </c>
      <c r="N2107" s="44">
        <v>42222008</v>
      </c>
      <c r="O2107" s="33" t="s">
        <v>5805</v>
      </c>
      <c r="P2107" s="33" t="s">
        <v>5806</v>
      </c>
      <c r="Q2107" s="34" t="s">
        <v>1494</v>
      </c>
      <c r="R2107" s="34" t="s">
        <v>1494</v>
      </c>
    </row>
    <row r="2108" spans="1:18" ht="15" customHeight="1" x14ac:dyDescent="0.25">
      <c r="A2108" t="str">
        <f>IFERROR(RANK(B2108,$B:$B,1)+COUNTIF($B$1:B2107,B2108),"")</f>
        <v/>
      </c>
      <c r="B2108" t="str">
        <f>IFERROR(SEARCH(#REF!,Table4[[#This Row],[Commodity Title]],1),"")</f>
        <v/>
      </c>
      <c r="C2108" s="35">
        <v>42222009</v>
      </c>
      <c r="D2108" s="33" t="s">
        <v>1495</v>
      </c>
      <c r="E2108" s="33" t="s">
        <v>1496</v>
      </c>
      <c r="F2108" s="33" t="s">
        <v>1497</v>
      </c>
      <c r="G2108" s="33" t="s">
        <v>5655</v>
      </c>
      <c r="H2108" s="33" t="s">
        <v>5656</v>
      </c>
      <c r="I2108" s="33" t="s">
        <v>5657</v>
      </c>
      <c r="J2108" s="33">
        <v>174399</v>
      </c>
      <c r="K2108" s="33" t="s">
        <v>5788</v>
      </c>
      <c r="L2108" s="33" t="s">
        <v>5789</v>
      </c>
      <c r="M2108" s="33" t="s">
        <v>5790</v>
      </c>
      <c r="N2108" s="44">
        <v>42222009</v>
      </c>
      <c r="O2108" s="33" t="s">
        <v>5807</v>
      </c>
      <c r="P2108" s="33" t="s">
        <v>5808</v>
      </c>
      <c r="Q2108" s="34" t="s">
        <v>1494</v>
      </c>
      <c r="R2108" s="34" t="s">
        <v>1494</v>
      </c>
    </row>
    <row r="2109" spans="1:18" ht="15" customHeight="1" x14ac:dyDescent="0.25">
      <c r="A2109" t="str">
        <f>IFERROR(RANK(B2109,$B:$B,1)+COUNTIF($B$1:B2108,B2109),"")</f>
        <v/>
      </c>
      <c r="B2109" t="str">
        <f>IFERROR(SEARCH(#REF!,Table4[[#This Row],[Commodity Title]],1),"")</f>
        <v/>
      </c>
      <c r="C2109" s="35">
        <v>42222010</v>
      </c>
      <c r="D2109" s="33" t="s">
        <v>1495</v>
      </c>
      <c r="E2109" s="33" t="s">
        <v>1496</v>
      </c>
      <c r="F2109" s="33" t="s">
        <v>1497</v>
      </c>
      <c r="G2109" s="33" t="s">
        <v>5655</v>
      </c>
      <c r="H2109" s="33" t="s">
        <v>5656</v>
      </c>
      <c r="I2109" s="33" t="s">
        <v>5657</v>
      </c>
      <c r="J2109" s="33">
        <v>202940</v>
      </c>
      <c r="K2109" s="33" t="s">
        <v>5788</v>
      </c>
      <c r="L2109" s="33" t="s">
        <v>5789</v>
      </c>
      <c r="M2109" s="33" t="s">
        <v>5790</v>
      </c>
      <c r="N2109" s="44">
        <v>42222010</v>
      </c>
      <c r="O2109" s="33" t="s">
        <v>5809</v>
      </c>
      <c r="P2109" s="33" t="s">
        <v>5810</v>
      </c>
      <c r="Q2109" s="34" t="s">
        <v>1494</v>
      </c>
      <c r="R2109" s="34" t="s">
        <v>1494</v>
      </c>
    </row>
    <row r="2110" spans="1:18" ht="15" customHeight="1" x14ac:dyDescent="0.25">
      <c r="A2110" t="str">
        <f>IFERROR(RANK(B2110,$B:$B,1)+COUNTIF($B$1:B2109,B2110),"")</f>
        <v/>
      </c>
      <c r="B2110" t="str">
        <f>IFERROR(SEARCH(#REF!,Table4[[#This Row],[Commodity Title]],1),"")</f>
        <v/>
      </c>
      <c r="C2110" s="35">
        <v>42222011</v>
      </c>
      <c r="D2110" s="33" t="s">
        <v>1495</v>
      </c>
      <c r="E2110" s="33" t="s">
        <v>1496</v>
      </c>
      <c r="F2110" s="33" t="s">
        <v>1497</v>
      </c>
      <c r="G2110" s="33" t="s">
        <v>5655</v>
      </c>
      <c r="H2110" s="33" t="s">
        <v>5656</v>
      </c>
      <c r="I2110" s="33" t="s">
        <v>5657</v>
      </c>
      <c r="J2110" s="33">
        <v>202941</v>
      </c>
      <c r="K2110" s="33" t="s">
        <v>5788</v>
      </c>
      <c r="L2110" s="33" t="s">
        <v>5789</v>
      </c>
      <c r="M2110" s="33" t="s">
        <v>5790</v>
      </c>
      <c r="N2110" s="44">
        <v>42222011</v>
      </c>
      <c r="O2110" s="33" t="s">
        <v>5811</v>
      </c>
      <c r="P2110" s="33" t="s">
        <v>5812</v>
      </c>
      <c r="Q2110" s="34" t="s">
        <v>1494</v>
      </c>
      <c r="R2110" s="34" t="s">
        <v>1494</v>
      </c>
    </row>
    <row r="2111" spans="1:18" ht="15" customHeight="1" x14ac:dyDescent="0.25">
      <c r="A2111" t="str">
        <f>IFERROR(RANK(B2111,$B:$B,1)+COUNTIF($B$1:B2110,B2111),"")</f>
        <v/>
      </c>
      <c r="B2111" t="str">
        <f>IFERROR(SEARCH(#REF!,Table4[[#This Row],[Commodity Title]],1),"")</f>
        <v/>
      </c>
      <c r="C2111" s="35">
        <v>42222012</v>
      </c>
      <c r="D2111" s="33" t="s">
        <v>1495</v>
      </c>
      <c r="E2111" s="33" t="s">
        <v>1496</v>
      </c>
      <c r="F2111" s="33" t="s">
        <v>1497</v>
      </c>
      <c r="G2111" s="33" t="s">
        <v>5655</v>
      </c>
      <c r="H2111" s="33" t="s">
        <v>5656</v>
      </c>
      <c r="I2111" s="33" t="s">
        <v>5657</v>
      </c>
      <c r="J2111" s="33">
        <v>202942</v>
      </c>
      <c r="K2111" s="33" t="s">
        <v>5788</v>
      </c>
      <c r="L2111" s="33" t="s">
        <v>5789</v>
      </c>
      <c r="M2111" s="33" t="s">
        <v>5790</v>
      </c>
      <c r="N2111" s="44">
        <v>42222012</v>
      </c>
      <c r="O2111" s="33" t="s">
        <v>5813</v>
      </c>
      <c r="P2111" s="33" t="s">
        <v>5814</v>
      </c>
      <c r="Q2111" s="34" t="s">
        <v>1494</v>
      </c>
      <c r="R2111" s="34" t="s">
        <v>1494</v>
      </c>
    </row>
    <row r="2112" spans="1:18" ht="15" customHeight="1" x14ac:dyDescent="0.25">
      <c r="A2112" t="str">
        <f>IFERROR(RANK(B2112,$B:$B,1)+COUNTIF($B$1:B2111,B2112),"")</f>
        <v/>
      </c>
      <c r="B2112" t="str">
        <f>IFERROR(SEARCH(#REF!,Table4[[#This Row],[Commodity Title]],1),"")</f>
        <v/>
      </c>
      <c r="C2112" s="33" t="s">
        <v>1494</v>
      </c>
      <c r="D2112" s="33" t="s">
        <v>1495</v>
      </c>
      <c r="E2112" s="33" t="s">
        <v>1496</v>
      </c>
      <c r="F2112" s="33" t="s">
        <v>1497</v>
      </c>
      <c r="G2112" s="33" t="s">
        <v>5655</v>
      </c>
      <c r="H2112" s="33" t="s">
        <v>5656</v>
      </c>
      <c r="I2112" s="33" t="s">
        <v>5657</v>
      </c>
      <c r="J2112" s="33">
        <v>115800</v>
      </c>
      <c r="K2112" s="33" t="s">
        <v>5815</v>
      </c>
      <c r="L2112" s="33" t="s">
        <v>5816</v>
      </c>
      <c r="M2112" s="33" t="s">
        <v>5817</v>
      </c>
      <c r="N2112" s="44" t="s">
        <v>1494</v>
      </c>
      <c r="O2112" s="33" t="s">
        <v>1494</v>
      </c>
      <c r="P2112" s="33" t="s">
        <v>1494</v>
      </c>
      <c r="Q2112" s="34" t="s">
        <v>1494</v>
      </c>
      <c r="R2112" s="34" t="s">
        <v>1494</v>
      </c>
    </row>
    <row r="2113" spans="1:18" ht="15" customHeight="1" x14ac:dyDescent="0.25">
      <c r="A2113" t="str">
        <f>IFERROR(RANK(B2113,$B:$B,1)+COUNTIF($B$1:B2112,B2113),"")</f>
        <v/>
      </c>
      <c r="B2113" t="str">
        <f>IFERROR(SEARCH(#REF!,Table4[[#This Row],[Commodity Title]],1),"")</f>
        <v/>
      </c>
      <c r="C2113" s="35">
        <v>42222101</v>
      </c>
      <c r="D2113" s="33" t="s">
        <v>1495</v>
      </c>
      <c r="E2113" s="33" t="s">
        <v>1496</v>
      </c>
      <c r="F2113" s="33" t="s">
        <v>1497</v>
      </c>
      <c r="G2113" s="33" t="s">
        <v>5655</v>
      </c>
      <c r="H2113" s="33" t="s">
        <v>5656</v>
      </c>
      <c r="I2113" s="33" t="s">
        <v>5657</v>
      </c>
      <c r="J2113" s="33">
        <v>115801</v>
      </c>
      <c r="K2113" s="33" t="s">
        <v>5815</v>
      </c>
      <c r="L2113" s="33" t="s">
        <v>5816</v>
      </c>
      <c r="M2113" s="33" t="s">
        <v>5817</v>
      </c>
      <c r="N2113" s="44">
        <v>42222101</v>
      </c>
      <c r="O2113" s="33" t="s">
        <v>5818</v>
      </c>
      <c r="P2113" s="33" t="s">
        <v>5819</v>
      </c>
      <c r="Q2113" s="34" t="s">
        <v>1494</v>
      </c>
      <c r="R2113" s="34" t="s">
        <v>1494</v>
      </c>
    </row>
    <row r="2114" spans="1:18" ht="15" customHeight="1" x14ac:dyDescent="0.25">
      <c r="A2114" t="str">
        <f>IFERROR(RANK(B2114,$B:$B,1)+COUNTIF($B$1:B2113,B2114),"")</f>
        <v/>
      </c>
      <c r="B2114" t="str">
        <f>IFERROR(SEARCH(#REF!,Table4[[#This Row],[Commodity Title]],1),"")</f>
        <v/>
      </c>
      <c r="C2114" s="35">
        <v>42222102</v>
      </c>
      <c r="D2114" s="33" t="s">
        <v>1495</v>
      </c>
      <c r="E2114" s="33" t="s">
        <v>1496</v>
      </c>
      <c r="F2114" s="33" t="s">
        <v>1497</v>
      </c>
      <c r="G2114" s="33" t="s">
        <v>5655</v>
      </c>
      <c r="H2114" s="33" t="s">
        <v>5656</v>
      </c>
      <c r="I2114" s="33" t="s">
        <v>5657</v>
      </c>
      <c r="J2114" s="33">
        <v>115802</v>
      </c>
      <c r="K2114" s="33" t="s">
        <v>5815</v>
      </c>
      <c r="L2114" s="33" t="s">
        <v>5816</v>
      </c>
      <c r="M2114" s="33" t="s">
        <v>5817</v>
      </c>
      <c r="N2114" s="44">
        <v>42222102</v>
      </c>
      <c r="O2114" s="33" t="s">
        <v>5820</v>
      </c>
      <c r="P2114" s="33" t="s">
        <v>5821</v>
      </c>
      <c r="Q2114" s="34" t="s">
        <v>1494</v>
      </c>
      <c r="R2114" s="34" t="s">
        <v>1494</v>
      </c>
    </row>
    <row r="2115" spans="1:18" ht="15" customHeight="1" x14ac:dyDescent="0.25">
      <c r="A2115" t="str">
        <f>IFERROR(RANK(B2115,$B:$B,1)+COUNTIF($B$1:B2114,B2115),"")</f>
        <v/>
      </c>
      <c r="B2115" t="str">
        <f>IFERROR(SEARCH(#REF!,Table4[[#This Row],[Commodity Title]],1),"")</f>
        <v/>
      </c>
      <c r="C2115" s="35">
        <v>42222103</v>
      </c>
      <c r="D2115" s="33" t="s">
        <v>1495</v>
      </c>
      <c r="E2115" s="33" t="s">
        <v>1496</v>
      </c>
      <c r="F2115" s="33" t="s">
        <v>1497</v>
      </c>
      <c r="G2115" s="33" t="s">
        <v>5655</v>
      </c>
      <c r="H2115" s="33" t="s">
        <v>5656</v>
      </c>
      <c r="I2115" s="33" t="s">
        <v>5657</v>
      </c>
      <c r="J2115" s="33">
        <v>115803</v>
      </c>
      <c r="K2115" s="33" t="s">
        <v>5815</v>
      </c>
      <c r="L2115" s="33" t="s">
        <v>5816</v>
      </c>
      <c r="M2115" s="33" t="s">
        <v>5817</v>
      </c>
      <c r="N2115" s="44">
        <v>42222103</v>
      </c>
      <c r="O2115" s="33" t="s">
        <v>5822</v>
      </c>
      <c r="P2115" s="33" t="s">
        <v>5823</v>
      </c>
      <c r="Q2115" s="34" t="s">
        <v>1494</v>
      </c>
      <c r="R2115" s="34" t="s">
        <v>1494</v>
      </c>
    </row>
    <row r="2116" spans="1:18" ht="15" customHeight="1" x14ac:dyDescent="0.25">
      <c r="A2116" t="str">
        <f>IFERROR(RANK(B2116,$B:$B,1)+COUNTIF($B$1:B2115,B2116),"")</f>
        <v/>
      </c>
      <c r="B2116" t="str">
        <f>IFERROR(SEARCH(#REF!,Table4[[#This Row],[Commodity Title]],1),"")</f>
        <v/>
      </c>
      <c r="C2116" s="35">
        <v>42222104</v>
      </c>
      <c r="D2116" s="33" t="s">
        <v>1495</v>
      </c>
      <c r="E2116" s="33" t="s">
        <v>1496</v>
      </c>
      <c r="F2116" s="33" t="s">
        <v>1497</v>
      </c>
      <c r="G2116" s="33" t="s">
        <v>5655</v>
      </c>
      <c r="H2116" s="33" t="s">
        <v>5656</v>
      </c>
      <c r="I2116" s="33" t="s">
        <v>5657</v>
      </c>
      <c r="J2116" s="33">
        <v>115804</v>
      </c>
      <c r="K2116" s="33" t="s">
        <v>5815</v>
      </c>
      <c r="L2116" s="33" t="s">
        <v>5816</v>
      </c>
      <c r="M2116" s="33" t="s">
        <v>5817</v>
      </c>
      <c r="N2116" s="44">
        <v>42222104</v>
      </c>
      <c r="O2116" s="33" t="s">
        <v>5824</v>
      </c>
      <c r="P2116" s="33" t="s">
        <v>5825</v>
      </c>
      <c r="Q2116" s="34" t="s">
        <v>1494</v>
      </c>
      <c r="R2116" s="34" t="s">
        <v>1494</v>
      </c>
    </row>
    <row r="2117" spans="1:18" ht="15" customHeight="1" x14ac:dyDescent="0.25">
      <c r="A2117" t="str">
        <f>IFERROR(RANK(B2117,$B:$B,1)+COUNTIF($B$1:B2116,B2117),"")</f>
        <v/>
      </c>
      <c r="B2117" t="str">
        <f>IFERROR(SEARCH(#REF!,Table4[[#This Row],[Commodity Title]],1),"")</f>
        <v/>
      </c>
      <c r="C2117" s="35">
        <v>42222105</v>
      </c>
      <c r="D2117" s="33" t="s">
        <v>1495</v>
      </c>
      <c r="E2117" s="33" t="s">
        <v>1496</v>
      </c>
      <c r="F2117" s="33" t="s">
        <v>1497</v>
      </c>
      <c r="G2117" s="33" t="s">
        <v>5655</v>
      </c>
      <c r="H2117" s="33" t="s">
        <v>5656</v>
      </c>
      <c r="I2117" s="33" t="s">
        <v>5657</v>
      </c>
      <c r="J2117" s="33">
        <v>202943</v>
      </c>
      <c r="K2117" s="33" t="s">
        <v>5815</v>
      </c>
      <c r="L2117" s="33" t="s">
        <v>5816</v>
      </c>
      <c r="M2117" s="33" t="s">
        <v>5817</v>
      </c>
      <c r="N2117" s="44">
        <v>42222105</v>
      </c>
      <c r="O2117" s="33" t="s">
        <v>5826</v>
      </c>
      <c r="P2117" s="33" t="s">
        <v>5827</v>
      </c>
      <c r="Q2117" s="34" t="s">
        <v>1494</v>
      </c>
      <c r="R2117" s="34" t="s">
        <v>1494</v>
      </c>
    </row>
    <row r="2118" spans="1:18" ht="15" customHeight="1" x14ac:dyDescent="0.25">
      <c r="A2118" t="str">
        <f>IFERROR(RANK(B2118,$B:$B,1)+COUNTIF($B$1:B2117,B2118),"")</f>
        <v/>
      </c>
      <c r="B2118" t="str">
        <f>IFERROR(SEARCH(#REF!,Table4[[#This Row],[Commodity Title]],1),"")</f>
        <v/>
      </c>
      <c r="C2118" s="33" t="s">
        <v>1494</v>
      </c>
      <c r="D2118" s="33" t="s">
        <v>1495</v>
      </c>
      <c r="E2118" s="33" t="s">
        <v>1496</v>
      </c>
      <c r="F2118" s="33" t="s">
        <v>1497</v>
      </c>
      <c r="G2118" s="33" t="s">
        <v>5655</v>
      </c>
      <c r="H2118" s="33" t="s">
        <v>5656</v>
      </c>
      <c r="I2118" s="33" t="s">
        <v>5657</v>
      </c>
      <c r="J2118" s="33">
        <v>115805</v>
      </c>
      <c r="K2118" s="33" t="s">
        <v>5828</v>
      </c>
      <c r="L2118" s="33" t="s">
        <v>5829</v>
      </c>
      <c r="M2118" s="33" t="s">
        <v>5830</v>
      </c>
      <c r="N2118" s="44" t="s">
        <v>1494</v>
      </c>
      <c r="O2118" s="33" t="s">
        <v>1494</v>
      </c>
      <c r="P2118" s="33" t="s">
        <v>1494</v>
      </c>
      <c r="Q2118" s="34" t="s">
        <v>1494</v>
      </c>
      <c r="R2118" s="34" t="s">
        <v>1494</v>
      </c>
    </row>
    <row r="2119" spans="1:18" ht="15" customHeight="1" x14ac:dyDescent="0.25">
      <c r="A2119" t="str">
        <f>IFERROR(RANK(B2119,$B:$B,1)+COUNTIF($B$1:B2118,B2119),"")</f>
        <v/>
      </c>
      <c r="B2119" t="str">
        <f>IFERROR(SEARCH(#REF!,Table4[[#This Row],[Commodity Title]],1),"")</f>
        <v/>
      </c>
      <c r="C2119" s="35">
        <v>42222201</v>
      </c>
      <c r="D2119" s="33" t="s">
        <v>1495</v>
      </c>
      <c r="E2119" s="33" t="s">
        <v>1496</v>
      </c>
      <c r="F2119" s="33" t="s">
        <v>1497</v>
      </c>
      <c r="G2119" s="33" t="s">
        <v>5655</v>
      </c>
      <c r="H2119" s="33" t="s">
        <v>5656</v>
      </c>
      <c r="I2119" s="33" t="s">
        <v>5657</v>
      </c>
      <c r="J2119" s="33">
        <v>115806</v>
      </c>
      <c r="K2119" s="33" t="s">
        <v>5828</v>
      </c>
      <c r="L2119" s="33" t="s">
        <v>5829</v>
      </c>
      <c r="M2119" s="33" t="s">
        <v>5830</v>
      </c>
      <c r="N2119" s="44">
        <v>42222201</v>
      </c>
      <c r="O2119" s="33" t="s">
        <v>5831</v>
      </c>
      <c r="P2119" s="33" t="s">
        <v>5832</v>
      </c>
      <c r="Q2119" s="34" t="s">
        <v>1494</v>
      </c>
      <c r="R2119" s="34" t="s">
        <v>1494</v>
      </c>
    </row>
    <row r="2120" spans="1:18" ht="15" customHeight="1" x14ac:dyDescent="0.25">
      <c r="A2120" t="str">
        <f>IFERROR(RANK(B2120,$B:$B,1)+COUNTIF($B$1:B2119,B2120),"")</f>
        <v/>
      </c>
      <c r="B2120" t="str">
        <f>IFERROR(SEARCH(#REF!,Table4[[#This Row],[Commodity Title]],1),"")</f>
        <v/>
      </c>
      <c r="C2120" s="35">
        <v>42222202</v>
      </c>
      <c r="D2120" s="33" t="s">
        <v>1495</v>
      </c>
      <c r="E2120" s="33" t="s">
        <v>1496</v>
      </c>
      <c r="F2120" s="33" t="s">
        <v>1497</v>
      </c>
      <c r="G2120" s="33" t="s">
        <v>5655</v>
      </c>
      <c r="H2120" s="33" t="s">
        <v>5656</v>
      </c>
      <c r="I2120" s="33" t="s">
        <v>5657</v>
      </c>
      <c r="J2120" s="33">
        <v>115807</v>
      </c>
      <c r="K2120" s="33" t="s">
        <v>5828</v>
      </c>
      <c r="L2120" s="33" t="s">
        <v>5829</v>
      </c>
      <c r="M2120" s="33" t="s">
        <v>5830</v>
      </c>
      <c r="N2120" s="44">
        <v>42222202</v>
      </c>
      <c r="O2120" s="33" t="s">
        <v>5833</v>
      </c>
      <c r="P2120" s="33" t="s">
        <v>5834</v>
      </c>
      <c r="Q2120" s="34" t="s">
        <v>1494</v>
      </c>
      <c r="R2120" s="34" t="s">
        <v>1494</v>
      </c>
    </row>
    <row r="2121" spans="1:18" ht="15" customHeight="1" x14ac:dyDescent="0.25">
      <c r="A2121" t="str">
        <f>IFERROR(RANK(B2121,$B:$B,1)+COUNTIF($B$1:B2120,B2121),"")</f>
        <v/>
      </c>
      <c r="B2121" t="str">
        <f>IFERROR(SEARCH(#REF!,Table4[[#This Row],[Commodity Title]],1),"")</f>
        <v/>
      </c>
      <c r="C2121" s="33" t="s">
        <v>1494</v>
      </c>
      <c r="D2121" s="33" t="s">
        <v>1495</v>
      </c>
      <c r="E2121" s="33" t="s">
        <v>1496</v>
      </c>
      <c r="F2121" s="33" t="s">
        <v>1497</v>
      </c>
      <c r="G2121" s="33" t="s">
        <v>5655</v>
      </c>
      <c r="H2121" s="33" t="s">
        <v>5656</v>
      </c>
      <c r="I2121" s="33" t="s">
        <v>5657</v>
      </c>
      <c r="J2121" s="33">
        <v>115808</v>
      </c>
      <c r="K2121" s="33" t="s">
        <v>5835</v>
      </c>
      <c r="L2121" s="33" t="s">
        <v>5836</v>
      </c>
      <c r="M2121" s="33" t="s">
        <v>5837</v>
      </c>
      <c r="N2121" s="44" t="s">
        <v>1494</v>
      </c>
      <c r="O2121" s="33" t="s">
        <v>1494</v>
      </c>
      <c r="P2121" s="33" t="s">
        <v>1494</v>
      </c>
      <c r="Q2121" s="34" t="s">
        <v>1494</v>
      </c>
      <c r="R2121" s="34" t="s">
        <v>1494</v>
      </c>
    </row>
    <row r="2122" spans="1:18" ht="15" customHeight="1" x14ac:dyDescent="0.25">
      <c r="A2122" t="str">
        <f>IFERROR(RANK(B2122,$B:$B,1)+COUNTIF($B$1:B2121,B2122),"")</f>
        <v/>
      </c>
      <c r="B2122" t="str">
        <f>IFERROR(SEARCH(#REF!,Table4[[#This Row],[Commodity Title]],1),"")</f>
        <v/>
      </c>
      <c r="C2122" s="35">
        <v>42222301</v>
      </c>
      <c r="D2122" s="33" t="s">
        <v>1495</v>
      </c>
      <c r="E2122" s="33" t="s">
        <v>1496</v>
      </c>
      <c r="F2122" s="33" t="s">
        <v>1497</v>
      </c>
      <c r="G2122" s="33" t="s">
        <v>5655</v>
      </c>
      <c r="H2122" s="33" t="s">
        <v>5656</v>
      </c>
      <c r="I2122" s="33" t="s">
        <v>5657</v>
      </c>
      <c r="J2122" s="33">
        <v>115809</v>
      </c>
      <c r="K2122" s="33" t="s">
        <v>5835</v>
      </c>
      <c r="L2122" s="33" t="s">
        <v>5836</v>
      </c>
      <c r="M2122" s="33" t="s">
        <v>5837</v>
      </c>
      <c r="N2122" s="44">
        <v>42222301</v>
      </c>
      <c r="O2122" s="33" t="s">
        <v>5838</v>
      </c>
      <c r="P2122" s="33" t="s">
        <v>5839</v>
      </c>
      <c r="Q2122" s="34" t="s">
        <v>1494</v>
      </c>
      <c r="R2122" s="34" t="s">
        <v>1494</v>
      </c>
    </row>
    <row r="2123" spans="1:18" ht="15" customHeight="1" x14ac:dyDescent="0.25">
      <c r="A2123" t="str">
        <f>IFERROR(RANK(B2123,$B:$B,1)+COUNTIF($B$1:B2122,B2123),"")</f>
        <v/>
      </c>
      <c r="B2123" t="str">
        <f>IFERROR(SEARCH(#REF!,Table4[[#This Row],[Commodity Title]],1),"")</f>
        <v/>
      </c>
      <c r="C2123" s="35">
        <v>42222302</v>
      </c>
      <c r="D2123" s="33" t="s">
        <v>1495</v>
      </c>
      <c r="E2123" s="33" t="s">
        <v>1496</v>
      </c>
      <c r="F2123" s="33" t="s">
        <v>1497</v>
      </c>
      <c r="G2123" s="33" t="s">
        <v>5655</v>
      </c>
      <c r="H2123" s="33" t="s">
        <v>5656</v>
      </c>
      <c r="I2123" s="33" t="s">
        <v>5657</v>
      </c>
      <c r="J2123" s="33">
        <v>115810</v>
      </c>
      <c r="K2123" s="33" t="s">
        <v>5835</v>
      </c>
      <c r="L2123" s="33" t="s">
        <v>5836</v>
      </c>
      <c r="M2123" s="33" t="s">
        <v>5837</v>
      </c>
      <c r="N2123" s="44">
        <v>42222302</v>
      </c>
      <c r="O2123" s="33" t="s">
        <v>5840</v>
      </c>
      <c r="P2123" s="33" t="s">
        <v>5841</v>
      </c>
      <c r="Q2123" s="34" t="s">
        <v>1494</v>
      </c>
      <c r="R2123" s="34" t="s">
        <v>1494</v>
      </c>
    </row>
    <row r="2124" spans="1:18" ht="15" customHeight="1" x14ac:dyDescent="0.25">
      <c r="A2124" t="str">
        <f>IFERROR(RANK(B2124,$B:$B,1)+COUNTIF($B$1:B2123,B2124),"")</f>
        <v/>
      </c>
      <c r="B2124" t="str">
        <f>IFERROR(SEARCH(#REF!,Table4[[#This Row],[Commodity Title]],1),"")</f>
        <v/>
      </c>
      <c r="C2124" s="35">
        <v>42222303</v>
      </c>
      <c r="D2124" s="33" t="s">
        <v>1495</v>
      </c>
      <c r="E2124" s="33" t="s">
        <v>1496</v>
      </c>
      <c r="F2124" s="33" t="s">
        <v>1497</v>
      </c>
      <c r="G2124" s="33" t="s">
        <v>5655</v>
      </c>
      <c r="H2124" s="33" t="s">
        <v>5656</v>
      </c>
      <c r="I2124" s="33" t="s">
        <v>5657</v>
      </c>
      <c r="J2124" s="33">
        <v>115811</v>
      </c>
      <c r="K2124" s="33" t="s">
        <v>5835</v>
      </c>
      <c r="L2124" s="33" t="s">
        <v>5836</v>
      </c>
      <c r="M2124" s="33" t="s">
        <v>5837</v>
      </c>
      <c r="N2124" s="44">
        <v>42222303</v>
      </c>
      <c r="O2124" s="33" t="s">
        <v>5842</v>
      </c>
      <c r="P2124" s="33" t="s">
        <v>5843</v>
      </c>
      <c r="Q2124" s="34" t="s">
        <v>1494</v>
      </c>
      <c r="R2124" s="34" t="s">
        <v>1494</v>
      </c>
    </row>
    <row r="2125" spans="1:18" ht="15" customHeight="1" x14ac:dyDescent="0.25">
      <c r="A2125" t="str">
        <f>IFERROR(RANK(B2125,$B:$B,1)+COUNTIF($B$1:B2124,B2125),"")</f>
        <v/>
      </c>
      <c r="B2125" t="str">
        <f>IFERROR(SEARCH(#REF!,Table4[[#This Row],[Commodity Title]],1),"")</f>
        <v/>
      </c>
      <c r="C2125" s="35">
        <v>42222304</v>
      </c>
      <c r="D2125" s="33" t="s">
        <v>1495</v>
      </c>
      <c r="E2125" s="33" t="s">
        <v>1496</v>
      </c>
      <c r="F2125" s="33" t="s">
        <v>1497</v>
      </c>
      <c r="G2125" s="33" t="s">
        <v>5655</v>
      </c>
      <c r="H2125" s="33" t="s">
        <v>5656</v>
      </c>
      <c r="I2125" s="33" t="s">
        <v>5657</v>
      </c>
      <c r="J2125" s="33">
        <v>115812</v>
      </c>
      <c r="K2125" s="33" t="s">
        <v>5835</v>
      </c>
      <c r="L2125" s="33" t="s">
        <v>5836</v>
      </c>
      <c r="M2125" s="33" t="s">
        <v>5837</v>
      </c>
      <c r="N2125" s="44">
        <v>42222304</v>
      </c>
      <c r="O2125" s="33" t="s">
        <v>5844</v>
      </c>
      <c r="P2125" s="33" t="s">
        <v>5845</v>
      </c>
      <c r="Q2125" s="34" t="s">
        <v>1494</v>
      </c>
      <c r="R2125" s="34" t="s">
        <v>1494</v>
      </c>
    </row>
    <row r="2126" spans="1:18" ht="15" customHeight="1" x14ac:dyDescent="0.25">
      <c r="A2126" t="str">
        <f>IFERROR(RANK(B2126,$B:$B,1)+COUNTIF($B$1:B2125,B2126),"")</f>
        <v/>
      </c>
      <c r="B2126" t="str">
        <f>IFERROR(SEARCH(#REF!,Table4[[#This Row],[Commodity Title]],1),"")</f>
        <v/>
      </c>
      <c r="C2126" s="35">
        <v>42222305</v>
      </c>
      <c r="D2126" s="33" t="s">
        <v>1495</v>
      </c>
      <c r="E2126" s="33" t="s">
        <v>1496</v>
      </c>
      <c r="F2126" s="33" t="s">
        <v>1497</v>
      </c>
      <c r="G2126" s="33" t="s">
        <v>5655</v>
      </c>
      <c r="H2126" s="33" t="s">
        <v>5656</v>
      </c>
      <c r="I2126" s="33" t="s">
        <v>5657</v>
      </c>
      <c r="J2126" s="33">
        <v>115813</v>
      </c>
      <c r="K2126" s="33" t="s">
        <v>5835</v>
      </c>
      <c r="L2126" s="33" t="s">
        <v>5836</v>
      </c>
      <c r="M2126" s="33" t="s">
        <v>5837</v>
      </c>
      <c r="N2126" s="44">
        <v>42222305</v>
      </c>
      <c r="O2126" s="33" t="s">
        <v>5846</v>
      </c>
      <c r="P2126" s="33" t="s">
        <v>5847</v>
      </c>
      <c r="Q2126" s="34" t="s">
        <v>1494</v>
      </c>
      <c r="R2126" s="34" t="s">
        <v>1494</v>
      </c>
    </row>
    <row r="2127" spans="1:18" ht="15" customHeight="1" x14ac:dyDescent="0.25">
      <c r="A2127" t="str">
        <f>IFERROR(RANK(B2127,$B:$B,1)+COUNTIF($B$1:B2126,B2127),"")</f>
        <v/>
      </c>
      <c r="B2127" t="str">
        <f>IFERROR(SEARCH(#REF!,Table4[[#This Row],[Commodity Title]],1),"")</f>
        <v/>
      </c>
      <c r="C2127" s="35">
        <v>42222307</v>
      </c>
      <c r="D2127" s="33" t="s">
        <v>1495</v>
      </c>
      <c r="E2127" s="33" t="s">
        <v>1496</v>
      </c>
      <c r="F2127" s="33" t="s">
        <v>1497</v>
      </c>
      <c r="G2127" s="33" t="s">
        <v>5655</v>
      </c>
      <c r="H2127" s="33" t="s">
        <v>5656</v>
      </c>
      <c r="I2127" s="33" t="s">
        <v>5657</v>
      </c>
      <c r="J2127" s="33">
        <v>142625</v>
      </c>
      <c r="K2127" s="33" t="s">
        <v>5835</v>
      </c>
      <c r="L2127" s="33" t="s">
        <v>5836</v>
      </c>
      <c r="M2127" s="33" t="s">
        <v>5837</v>
      </c>
      <c r="N2127" s="44">
        <v>42222307</v>
      </c>
      <c r="O2127" s="33" t="s">
        <v>5848</v>
      </c>
      <c r="P2127" s="33" t="s">
        <v>5849</v>
      </c>
      <c r="Q2127" s="34" t="s">
        <v>1494</v>
      </c>
      <c r="R2127" s="34" t="s">
        <v>1494</v>
      </c>
    </row>
    <row r="2128" spans="1:18" ht="15" customHeight="1" x14ac:dyDescent="0.25">
      <c r="A2128" t="str">
        <f>IFERROR(RANK(B2128,$B:$B,1)+COUNTIF($B$1:B2127,B2128),"")</f>
        <v/>
      </c>
      <c r="B2128" t="str">
        <f>IFERROR(SEARCH(#REF!,Table4[[#This Row],[Commodity Title]],1),"")</f>
        <v/>
      </c>
      <c r="C2128" s="35">
        <v>42222310</v>
      </c>
      <c r="D2128" s="33" t="s">
        <v>1495</v>
      </c>
      <c r="E2128" s="33" t="s">
        <v>1496</v>
      </c>
      <c r="F2128" s="33" t="s">
        <v>1497</v>
      </c>
      <c r="G2128" s="33" t="s">
        <v>5655</v>
      </c>
      <c r="H2128" s="33" t="s">
        <v>5656</v>
      </c>
      <c r="I2128" s="33" t="s">
        <v>5657</v>
      </c>
      <c r="J2128" s="33">
        <v>202944</v>
      </c>
      <c r="K2128" s="33" t="s">
        <v>5835</v>
      </c>
      <c r="L2128" s="33" t="s">
        <v>5836</v>
      </c>
      <c r="M2128" s="33" t="s">
        <v>5837</v>
      </c>
      <c r="N2128" s="44">
        <v>42222310</v>
      </c>
      <c r="O2128" s="33" t="s">
        <v>5850</v>
      </c>
      <c r="P2128" s="33" t="s">
        <v>5851</v>
      </c>
      <c r="Q2128" s="34" t="s">
        <v>1494</v>
      </c>
      <c r="R2128" s="34" t="s">
        <v>1494</v>
      </c>
    </row>
    <row r="2129" spans="1:18" ht="15" customHeight="1" x14ac:dyDescent="0.25">
      <c r="A2129" t="str">
        <f>IFERROR(RANK(B2129,$B:$B,1)+COUNTIF($B$1:B2128,B2129),"")</f>
        <v/>
      </c>
      <c r="B2129" t="str">
        <f>IFERROR(SEARCH(#REF!,Table4[[#This Row],[Commodity Title]],1),"")</f>
        <v/>
      </c>
      <c r="C2129" s="35">
        <v>42222311</v>
      </c>
      <c r="D2129" s="33" t="s">
        <v>1495</v>
      </c>
      <c r="E2129" s="33" t="s">
        <v>1496</v>
      </c>
      <c r="F2129" s="33" t="s">
        <v>1497</v>
      </c>
      <c r="G2129" s="33" t="s">
        <v>5655</v>
      </c>
      <c r="H2129" s="33" t="s">
        <v>5656</v>
      </c>
      <c r="I2129" s="33" t="s">
        <v>5657</v>
      </c>
      <c r="J2129" s="33">
        <v>202945</v>
      </c>
      <c r="K2129" s="33" t="s">
        <v>5835</v>
      </c>
      <c r="L2129" s="33" t="s">
        <v>5836</v>
      </c>
      <c r="M2129" s="33" t="s">
        <v>5837</v>
      </c>
      <c r="N2129" s="44">
        <v>42222311</v>
      </c>
      <c r="O2129" s="33" t="s">
        <v>5852</v>
      </c>
      <c r="P2129" s="33" t="s">
        <v>5853</v>
      </c>
      <c r="Q2129" s="34" t="s">
        <v>1494</v>
      </c>
      <c r="R2129" s="34" t="s">
        <v>1494</v>
      </c>
    </row>
    <row r="2130" spans="1:18" ht="15" customHeight="1" x14ac:dyDescent="0.25">
      <c r="A2130" t="str">
        <f>IFERROR(RANK(B2130,$B:$B,1)+COUNTIF($B$1:B2129,B2130),"")</f>
        <v/>
      </c>
      <c r="B2130" t="str">
        <f>IFERROR(SEARCH(#REF!,Table4[[#This Row],[Commodity Title]],1),"")</f>
        <v/>
      </c>
      <c r="C2130" s="35">
        <v>42222312</v>
      </c>
      <c r="D2130" s="33" t="s">
        <v>1495</v>
      </c>
      <c r="E2130" s="33" t="s">
        <v>1496</v>
      </c>
      <c r="F2130" s="33" t="s">
        <v>1497</v>
      </c>
      <c r="G2130" s="33" t="s">
        <v>5655</v>
      </c>
      <c r="H2130" s="33" t="s">
        <v>5656</v>
      </c>
      <c r="I2130" s="33" t="s">
        <v>5657</v>
      </c>
      <c r="J2130" s="33">
        <v>202946</v>
      </c>
      <c r="K2130" s="33" t="s">
        <v>5835</v>
      </c>
      <c r="L2130" s="33" t="s">
        <v>5836</v>
      </c>
      <c r="M2130" s="33" t="s">
        <v>5837</v>
      </c>
      <c r="N2130" s="44">
        <v>42222312</v>
      </c>
      <c r="O2130" s="33" t="s">
        <v>5854</v>
      </c>
      <c r="P2130" s="33" t="s">
        <v>5855</v>
      </c>
      <c r="Q2130" s="34" t="s">
        <v>1494</v>
      </c>
      <c r="R2130" s="34" t="s">
        <v>1494</v>
      </c>
    </row>
    <row r="2131" spans="1:18" ht="15" customHeight="1" x14ac:dyDescent="0.25">
      <c r="A2131" t="str">
        <f>IFERROR(RANK(B2131,$B:$B,1)+COUNTIF($B$1:B2130,B2131),"")</f>
        <v/>
      </c>
      <c r="B2131" t="str">
        <f>IFERROR(SEARCH(#REF!,Table4[[#This Row],[Commodity Title]],1),"")</f>
        <v/>
      </c>
      <c r="C2131" s="35">
        <v>42222313</v>
      </c>
      <c r="D2131" s="33" t="s">
        <v>1495</v>
      </c>
      <c r="E2131" s="33" t="s">
        <v>1496</v>
      </c>
      <c r="F2131" s="33" t="s">
        <v>1497</v>
      </c>
      <c r="G2131" s="33" t="s">
        <v>5655</v>
      </c>
      <c r="H2131" s="33" t="s">
        <v>5656</v>
      </c>
      <c r="I2131" s="33" t="s">
        <v>5657</v>
      </c>
      <c r="J2131" s="33">
        <v>208425</v>
      </c>
      <c r="K2131" s="33" t="s">
        <v>5835</v>
      </c>
      <c r="L2131" s="33" t="s">
        <v>5836</v>
      </c>
      <c r="M2131" s="33" t="s">
        <v>5837</v>
      </c>
      <c r="N2131" s="44">
        <v>42222313</v>
      </c>
      <c r="O2131" s="33" t="s">
        <v>5856</v>
      </c>
      <c r="P2131" s="33" t="s">
        <v>5857</v>
      </c>
      <c r="Q2131" s="34" t="s">
        <v>1494</v>
      </c>
      <c r="R2131" s="34" t="s">
        <v>1494</v>
      </c>
    </row>
    <row r="2132" spans="1:18" ht="15" customHeight="1" x14ac:dyDescent="0.25">
      <c r="A2132" t="str">
        <f>IFERROR(RANK(B2132,$B:$B,1)+COUNTIF($B$1:B2131,B2132),"")</f>
        <v/>
      </c>
      <c r="B2132" t="str">
        <f>IFERROR(SEARCH(#REF!,Table4[[#This Row],[Commodity Title]],1),"")</f>
        <v/>
      </c>
      <c r="C2132" s="33" t="s">
        <v>1494</v>
      </c>
      <c r="D2132" s="33" t="s">
        <v>1495</v>
      </c>
      <c r="E2132" s="33" t="s">
        <v>1496</v>
      </c>
      <c r="F2132" s="33" t="s">
        <v>1497</v>
      </c>
      <c r="G2132" s="33" t="s">
        <v>5858</v>
      </c>
      <c r="H2132" s="33" t="s">
        <v>5859</v>
      </c>
      <c r="I2132" s="33" t="s">
        <v>5860</v>
      </c>
      <c r="J2132" s="33">
        <v>115814</v>
      </c>
      <c r="K2132" s="33" t="s">
        <v>1494</v>
      </c>
      <c r="L2132" s="33" t="s">
        <v>1494</v>
      </c>
      <c r="M2132" s="33" t="s">
        <v>1494</v>
      </c>
      <c r="N2132" s="44" t="s">
        <v>1494</v>
      </c>
      <c r="O2132" s="33" t="s">
        <v>1494</v>
      </c>
      <c r="P2132" s="33" t="s">
        <v>1494</v>
      </c>
      <c r="Q2132" s="34" t="s">
        <v>1494</v>
      </c>
      <c r="R2132" s="34" t="s">
        <v>1494</v>
      </c>
    </row>
    <row r="2133" spans="1:18" ht="15" customHeight="1" x14ac:dyDescent="0.25">
      <c r="A2133" t="str">
        <f>IFERROR(RANK(B2133,$B:$B,1)+COUNTIF($B$1:B2132,B2133),"")</f>
        <v/>
      </c>
      <c r="B2133" t="str">
        <f>IFERROR(SEARCH(#REF!,Table4[[#This Row],[Commodity Title]],1),"")</f>
        <v/>
      </c>
      <c r="C2133" s="33" t="s">
        <v>1494</v>
      </c>
      <c r="D2133" s="33" t="s">
        <v>1495</v>
      </c>
      <c r="E2133" s="33" t="s">
        <v>1496</v>
      </c>
      <c r="F2133" s="33" t="s">
        <v>1497</v>
      </c>
      <c r="G2133" s="33" t="s">
        <v>5858</v>
      </c>
      <c r="H2133" s="33" t="s">
        <v>5859</v>
      </c>
      <c r="I2133" s="33" t="s">
        <v>5860</v>
      </c>
      <c r="J2133" s="33">
        <v>115815</v>
      </c>
      <c r="K2133" s="33" t="s">
        <v>5861</v>
      </c>
      <c r="L2133" s="33" t="s">
        <v>5862</v>
      </c>
      <c r="M2133" s="33" t="s">
        <v>5863</v>
      </c>
      <c r="N2133" s="44" t="s">
        <v>1494</v>
      </c>
      <c r="O2133" s="33" t="s">
        <v>1494</v>
      </c>
      <c r="P2133" s="33" t="s">
        <v>1494</v>
      </c>
      <c r="Q2133" s="34" t="s">
        <v>1494</v>
      </c>
      <c r="R2133" s="34" t="s">
        <v>1494</v>
      </c>
    </row>
    <row r="2134" spans="1:18" ht="15" customHeight="1" x14ac:dyDescent="0.25">
      <c r="A2134" t="str">
        <f>IFERROR(RANK(B2134,$B:$B,1)+COUNTIF($B$1:B2133,B2134),"")</f>
        <v/>
      </c>
      <c r="B2134" t="str">
        <f>IFERROR(SEARCH(#REF!,Table4[[#This Row],[Commodity Title]],1),"")</f>
        <v/>
      </c>
      <c r="C2134" s="35">
        <v>42231501</v>
      </c>
      <c r="D2134" s="33" t="s">
        <v>1495</v>
      </c>
      <c r="E2134" s="33" t="s">
        <v>1496</v>
      </c>
      <c r="F2134" s="33" t="s">
        <v>1497</v>
      </c>
      <c r="G2134" s="33" t="s">
        <v>5858</v>
      </c>
      <c r="H2134" s="33" t="s">
        <v>5859</v>
      </c>
      <c r="I2134" s="33" t="s">
        <v>5860</v>
      </c>
      <c r="J2134" s="33">
        <v>115816</v>
      </c>
      <c r="K2134" s="33" t="s">
        <v>5861</v>
      </c>
      <c r="L2134" s="33" t="s">
        <v>5862</v>
      </c>
      <c r="M2134" s="33" t="s">
        <v>5863</v>
      </c>
      <c r="N2134" s="44">
        <v>42231501</v>
      </c>
      <c r="O2134" s="33" t="s">
        <v>5864</v>
      </c>
      <c r="P2134" s="33" t="s">
        <v>5865</v>
      </c>
      <c r="Q2134" s="34" t="s">
        <v>1494</v>
      </c>
      <c r="R2134" s="34" t="s">
        <v>1494</v>
      </c>
    </row>
    <row r="2135" spans="1:18" ht="15" customHeight="1" x14ac:dyDescent="0.25">
      <c r="A2135" t="str">
        <f>IFERROR(RANK(B2135,$B:$B,1)+COUNTIF($B$1:B2134,B2135),"")</f>
        <v/>
      </c>
      <c r="B2135" t="str">
        <f>IFERROR(SEARCH(#REF!,Table4[[#This Row],[Commodity Title]],1),"")</f>
        <v/>
      </c>
      <c r="C2135" s="35">
        <v>42231502</v>
      </c>
      <c r="D2135" s="33" t="s">
        <v>1495</v>
      </c>
      <c r="E2135" s="33" t="s">
        <v>1496</v>
      </c>
      <c r="F2135" s="33" t="s">
        <v>1497</v>
      </c>
      <c r="G2135" s="33" t="s">
        <v>5858</v>
      </c>
      <c r="H2135" s="33" t="s">
        <v>5859</v>
      </c>
      <c r="I2135" s="33" t="s">
        <v>5860</v>
      </c>
      <c r="J2135" s="33">
        <v>115817</v>
      </c>
      <c r="K2135" s="33" t="s">
        <v>5861</v>
      </c>
      <c r="L2135" s="33" t="s">
        <v>5862</v>
      </c>
      <c r="M2135" s="33" t="s">
        <v>5863</v>
      </c>
      <c r="N2135" s="44">
        <v>42231502</v>
      </c>
      <c r="O2135" s="33" t="s">
        <v>5866</v>
      </c>
      <c r="P2135" s="33" t="s">
        <v>5867</v>
      </c>
      <c r="Q2135" s="34" t="s">
        <v>1494</v>
      </c>
      <c r="R2135" s="34" t="s">
        <v>1494</v>
      </c>
    </row>
    <row r="2136" spans="1:18" ht="15" customHeight="1" x14ac:dyDescent="0.25">
      <c r="A2136" t="str">
        <f>IFERROR(RANK(B2136,$B:$B,1)+COUNTIF($B$1:B2135,B2136),"")</f>
        <v/>
      </c>
      <c r="B2136" t="str">
        <f>IFERROR(SEARCH(#REF!,Table4[[#This Row],[Commodity Title]],1),"")</f>
        <v/>
      </c>
      <c r="C2136" s="35">
        <v>42231503</v>
      </c>
      <c r="D2136" s="33" t="s">
        <v>1495</v>
      </c>
      <c r="E2136" s="33" t="s">
        <v>1496</v>
      </c>
      <c r="F2136" s="33" t="s">
        <v>1497</v>
      </c>
      <c r="G2136" s="33" t="s">
        <v>5858</v>
      </c>
      <c r="H2136" s="33" t="s">
        <v>5859</v>
      </c>
      <c r="I2136" s="33" t="s">
        <v>5860</v>
      </c>
      <c r="J2136" s="33">
        <v>115818</v>
      </c>
      <c r="K2136" s="33" t="s">
        <v>5861</v>
      </c>
      <c r="L2136" s="33" t="s">
        <v>5862</v>
      </c>
      <c r="M2136" s="33" t="s">
        <v>5863</v>
      </c>
      <c r="N2136" s="44">
        <v>42231503</v>
      </c>
      <c r="O2136" s="33" t="s">
        <v>5868</v>
      </c>
      <c r="P2136" s="33" t="s">
        <v>5869</v>
      </c>
      <c r="Q2136" s="34" t="s">
        <v>1494</v>
      </c>
      <c r="R2136" s="34" t="s">
        <v>1494</v>
      </c>
    </row>
    <row r="2137" spans="1:18" ht="15" customHeight="1" x14ac:dyDescent="0.25">
      <c r="A2137" t="str">
        <f>IFERROR(RANK(B2137,$B:$B,1)+COUNTIF($B$1:B2136,B2137),"")</f>
        <v/>
      </c>
      <c r="B2137" t="str">
        <f>IFERROR(SEARCH(#REF!,Table4[[#This Row],[Commodity Title]],1),"")</f>
        <v/>
      </c>
      <c r="C2137" s="35">
        <v>42231504</v>
      </c>
      <c r="D2137" s="33" t="s">
        <v>1495</v>
      </c>
      <c r="E2137" s="33" t="s">
        <v>1496</v>
      </c>
      <c r="F2137" s="33" t="s">
        <v>1497</v>
      </c>
      <c r="G2137" s="33" t="s">
        <v>5858</v>
      </c>
      <c r="H2137" s="33" t="s">
        <v>5859</v>
      </c>
      <c r="I2137" s="33" t="s">
        <v>5860</v>
      </c>
      <c r="J2137" s="33">
        <v>115819</v>
      </c>
      <c r="K2137" s="33" t="s">
        <v>5861</v>
      </c>
      <c r="L2137" s="33" t="s">
        <v>5862</v>
      </c>
      <c r="M2137" s="33" t="s">
        <v>5863</v>
      </c>
      <c r="N2137" s="44">
        <v>42231504</v>
      </c>
      <c r="O2137" s="33" t="s">
        <v>5870</v>
      </c>
      <c r="P2137" s="33" t="s">
        <v>5871</v>
      </c>
      <c r="Q2137" s="34" t="s">
        <v>1494</v>
      </c>
      <c r="R2137" s="34" t="s">
        <v>1494</v>
      </c>
    </row>
    <row r="2138" spans="1:18" ht="15" customHeight="1" x14ac:dyDescent="0.25">
      <c r="A2138" t="str">
        <f>IFERROR(RANK(B2138,$B:$B,1)+COUNTIF($B$1:B2137,B2138),"")</f>
        <v/>
      </c>
      <c r="B2138" t="str">
        <f>IFERROR(SEARCH(#REF!,Table4[[#This Row],[Commodity Title]],1),"")</f>
        <v/>
      </c>
      <c r="C2138" s="35">
        <v>42231505</v>
      </c>
      <c r="D2138" s="33" t="s">
        <v>1495</v>
      </c>
      <c r="E2138" s="33" t="s">
        <v>1496</v>
      </c>
      <c r="F2138" s="33" t="s">
        <v>1497</v>
      </c>
      <c r="G2138" s="33" t="s">
        <v>5858</v>
      </c>
      <c r="H2138" s="33" t="s">
        <v>5859</v>
      </c>
      <c r="I2138" s="33" t="s">
        <v>5860</v>
      </c>
      <c r="J2138" s="33">
        <v>115820</v>
      </c>
      <c r="K2138" s="33" t="s">
        <v>5861</v>
      </c>
      <c r="L2138" s="33" t="s">
        <v>5862</v>
      </c>
      <c r="M2138" s="33" t="s">
        <v>5863</v>
      </c>
      <c r="N2138" s="44">
        <v>42231505</v>
      </c>
      <c r="O2138" s="33" t="s">
        <v>5872</v>
      </c>
      <c r="P2138" s="33" t="s">
        <v>5873</v>
      </c>
      <c r="Q2138" s="34" t="s">
        <v>1494</v>
      </c>
      <c r="R2138" s="34" t="s">
        <v>1494</v>
      </c>
    </row>
    <row r="2139" spans="1:18" ht="15" customHeight="1" x14ac:dyDescent="0.25">
      <c r="A2139" t="str">
        <f>IFERROR(RANK(B2139,$B:$B,1)+COUNTIF($B$1:B2138,B2139),"")</f>
        <v/>
      </c>
      <c r="B2139" t="str">
        <f>IFERROR(SEARCH(#REF!,Table4[[#This Row],[Commodity Title]],1),"")</f>
        <v/>
      </c>
      <c r="C2139" s="35">
        <v>42231506</v>
      </c>
      <c r="D2139" s="33" t="s">
        <v>1495</v>
      </c>
      <c r="E2139" s="33" t="s">
        <v>1496</v>
      </c>
      <c r="F2139" s="33" t="s">
        <v>1497</v>
      </c>
      <c r="G2139" s="33" t="s">
        <v>5858</v>
      </c>
      <c r="H2139" s="33" t="s">
        <v>5859</v>
      </c>
      <c r="I2139" s="33" t="s">
        <v>5860</v>
      </c>
      <c r="J2139" s="33">
        <v>115821</v>
      </c>
      <c r="K2139" s="33" t="s">
        <v>5861</v>
      </c>
      <c r="L2139" s="33" t="s">
        <v>5862</v>
      </c>
      <c r="M2139" s="33" t="s">
        <v>5863</v>
      </c>
      <c r="N2139" s="44">
        <v>42231506</v>
      </c>
      <c r="O2139" s="33" t="s">
        <v>5874</v>
      </c>
      <c r="P2139" s="33" t="s">
        <v>5875</v>
      </c>
      <c r="Q2139" s="34" t="s">
        <v>1494</v>
      </c>
      <c r="R2139" s="34" t="s">
        <v>1494</v>
      </c>
    </row>
    <row r="2140" spans="1:18" ht="15" customHeight="1" x14ac:dyDescent="0.25">
      <c r="A2140" t="str">
        <f>IFERROR(RANK(B2140,$B:$B,1)+COUNTIF($B$1:B2139,B2140),"")</f>
        <v/>
      </c>
      <c r="B2140" t="str">
        <f>IFERROR(SEARCH(#REF!,Table4[[#This Row],[Commodity Title]],1),"")</f>
        <v/>
      </c>
      <c r="C2140" s="35">
        <v>42231507</v>
      </c>
      <c r="D2140" s="33" t="s">
        <v>1495</v>
      </c>
      <c r="E2140" s="33" t="s">
        <v>1496</v>
      </c>
      <c r="F2140" s="33" t="s">
        <v>1497</v>
      </c>
      <c r="G2140" s="33" t="s">
        <v>5858</v>
      </c>
      <c r="H2140" s="33" t="s">
        <v>5859</v>
      </c>
      <c r="I2140" s="33" t="s">
        <v>5860</v>
      </c>
      <c r="J2140" s="33">
        <v>115822</v>
      </c>
      <c r="K2140" s="33" t="s">
        <v>5861</v>
      </c>
      <c r="L2140" s="33" t="s">
        <v>5862</v>
      </c>
      <c r="M2140" s="33" t="s">
        <v>5863</v>
      </c>
      <c r="N2140" s="44">
        <v>42231507</v>
      </c>
      <c r="O2140" s="33" t="s">
        <v>5876</v>
      </c>
      <c r="P2140" s="33" t="s">
        <v>5877</v>
      </c>
      <c r="Q2140" s="34" t="s">
        <v>1494</v>
      </c>
      <c r="R2140" s="34" t="s">
        <v>1494</v>
      </c>
    </row>
    <row r="2141" spans="1:18" ht="15" customHeight="1" x14ac:dyDescent="0.25">
      <c r="A2141" t="str">
        <f>IFERROR(RANK(B2141,$B:$B,1)+COUNTIF($B$1:B2140,B2141),"")</f>
        <v/>
      </c>
      <c r="B2141" t="str">
        <f>IFERROR(SEARCH(#REF!,Table4[[#This Row],[Commodity Title]],1),"")</f>
        <v/>
      </c>
      <c r="C2141" s="35">
        <v>42231508</v>
      </c>
      <c r="D2141" s="33" t="s">
        <v>1495</v>
      </c>
      <c r="E2141" s="33" t="s">
        <v>1496</v>
      </c>
      <c r="F2141" s="33" t="s">
        <v>1497</v>
      </c>
      <c r="G2141" s="33" t="s">
        <v>5858</v>
      </c>
      <c r="H2141" s="33" t="s">
        <v>5859</v>
      </c>
      <c r="I2141" s="33" t="s">
        <v>5860</v>
      </c>
      <c r="J2141" s="33">
        <v>142635</v>
      </c>
      <c r="K2141" s="33" t="s">
        <v>5861</v>
      </c>
      <c r="L2141" s="33" t="s">
        <v>5862</v>
      </c>
      <c r="M2141" s="33" t="s">
        <v>5863</v>
      </c>
      <c r="N2141" s="44">
        <v>42231508</v>
      </c>
      <c r="O2141" s="33" t="s">
        <v>5878</v>
      </c>
      <c r="P2141" s="33" t="s">
        <v>5879</v>
      </c>
      <c r="Q2141" s="34" t="s">
        <v>1494</v>
      </c>
      <c r="R2141" s="34" t="s">
        <v>1494</v>
      </c>
    </row>
    <row r="2142" spans="1:18" ht="15" customHeight="1" x14ac:dyDescent="0.25">
      <c r="A2142" t="str">
        <f>IFERROR(RANK(B2142,$B:$B,1)+COUNTIF($B$1:B2141,B2142),"")</f>
        <v/>
      </c>
      <c r="B2142" t="str">
        <f>IFERROR(SEARCH(#REF!,Table4[[#This Row],[Commodity Title]],1),"")</f>
        <v/>
      </c>
      <c r="C2142" s="35">
        <v>42231509</v>
      </c>
      <c r="D2142" s="33" t="s">
        <v>1495</v>
      </c>
      <c r="E2142" s="33" t="s">
        <v>1496</v>
      </c>
      <c r="F2142" s="33" t="s">
        <v>1497</v>
      </c>
      <c r="G2142" s="33" t="s">
        <v>5858</v>
      </c>
      <c r="H2142" s="33" t="s">
        <v>5859</v>
      </c>
      <c r="I2142" s="33" t="s">
        <v>5860</v>
      </c>
      <c r="J2142" s="33">
        <v>142636</v>
      </c>
      <c r="K2142" s="33" t="s">
        <v>5861</v>
      </c>
      <c r="L2142" s="33" t="s">
        <v>5862</v>
      </c>
      <c r="M2142" s="33" t="s">
        <v>5863</v>
      </c>
      <c r="N2142" s="44">
        <v>42231509</v>
      </c>
      <c r="O2142" s="33" t="s">
        <v>5880</v>
      </c>
      <c r="P2142" s="33" t="s">
        <v>5881</v>
      </c>
      <c r="Q2142" s="34" t="s">
        <v>1494</v>
      </c>
      <c r="R2142" s="34" t="s">
        <v>1494</v>
      </c>
    </row>
    <row r="2143" spans="1:18" ht="15" customHeight="1" x14ac:dyDescent="0.25">
      <c r="A2143" t="str">
        <f>IFERROR(RANK(B2143,$B:$B,1)+COUNTIF($B$1:B2142,B2143),"")</f>
        <v/>
      </c>
      <c r="B2143" t="str">
        <f>IFERROR(SEARCH(#REF!,Table4[[#This Row],[Commodity Title]],1),"")</f>
        <v/>
      </c>
      <c r="C2143" s="35">
        <v>42231510</v>
      </c>
      <c r="D2143" s="33" t="s">
        <v>1495</v>
      </c>
      <c r="E2143" s="33" t="s">
        <v>1496</v>
      </c>
      <c r="F2143" s="33" t="s">
        <v>1497</v>
      </c>
      <c r="G2143" s="33" t="s">
        <v>5858</v>
      </c>
      <c r="H2143" s="33" t="s">
        <v>5859</v>
      </c>
      <c r="I2143" s="33" t="s">
        <v>5860</v>
      </c>
      <c r="J2143" s="33">
        <v>142637</v>
      </c>
      <c r="K2143" s="33" t="s">
        <v>5861</v>
      </c>
      <c r="L2143" s="33" t="s">
        <v>5862</v>
      </c>
      <c r="M2143" s="33" t="s">
        <v>5863</v>
      </c>
      <c r="N2143" s="44">
        <v>42231510</v>
      </c>
      <c r="O2143" s="33" t="s">
        <v>5882</v>
      </c>
      <c r="P2143" s="33" t="s">
        <v>5883</v>
      </c>
      <c r="Q2143" s="34" t="s">
        <v>1494</v>
      </c>
      <c r="R2143" s="34" t="s">
        <v>1494</v>
      </c>
    </row>
    <row r="2144" spans="1:18" ht="15" customHeight="1" x14ac:dyDescent="0.25">
      <c r="A2144" t="str">
        <f>IFERROR(RANK(B2144,$B:$B,1)+COUNTIF($B$1:B2143,B2144),"")</f>
        <v/>
      </c>
      <c r="B2144" t="str">
        <f>IFERROR(SEARCH(#REF!,Table4[[#This Row],[Commodity Title]],1),"")</f>
        <v/>
      </c>
      <c r="C2144" s="33" t="s">
        <v>1494</v>
      </c>
      <c r="D2144" s="33" t="s">
        <v>1495</v>
      </c>
      <c r="E2144" s="33" t="s">
        <v>1496</v>
      </c>
      <c r="F2144" s="33" t="s">
        <v>1497</v>
      </c>
      <c r="G2144" s="33" t="s">
        <v>5858</v>
      </c>
      <c r="H2144" s="33" t="s">
        <v>5859</v>
      </c>
      <c r="I2144" s="33" t="s">
        <v>5860</v>
      </c>
      <c r="J2144" s="33">
        <v>115823</v>
      </c>
      <c r="K2144" s="33" t="s">
        <v>5884</v>
      </c>
      <c r="L2144" s="33" t="s">
        <v>5885</v>
      </c>
      <c r="M2144" s="33" t="s">
        <v>5886</v>
      </c>
      <c r="N2144" s="44" t="s">
        <v>1494</v>
      </c>
      <c r="O2144" s="33" t="s">
        <v>1494</v>
      </c>
      <c r="P2144" s="33" t="s">
        <v>1494</v>
      </c>
      <c r="Q2144" s="34" t="s">
        <v>1494</v>
      </c>
      <c r="R2144" s="34" t="s">
        <v>1494</v>
      </c>
    </row>
    <row r="2145" spans="1:18" ht="15" customHeight="1" x14ac:dyDescent="0.25">
      <c r="A2145" t="str">
        <f>IFERROR(RANK(B2145,$B:$B,1)+COUNTIF($B$1:B2144,B2145),"")</f>
        <v/>
      </c>
      <c r="B2145" t="str">
        <f>IFERROR(SEARCH(#REF!,Table4[[#This Row],[Commodity Title]],1),"")</f>
        <v/>
      </c>
      <c r="C2145" s="35">
        <v>42231601</v>
      </c>
      <c r="D2145" s="33" t="s">
        <v>1495</v>
      </c>
      <c r="E2145" s="33" t="s">
        <v>1496</v>
      </c>
      <c r="F2145" s="33" t="s">
        <v>1497</v>
      </c>
      <c r="G2145" s="33" t="s">
        <v>5858</v>
      </c>
      <c r="H2145" s="33" t="s">
        <v>5859</v>
      </c>
      <c r="I2145" s="33" t="s">
        <v>5860</v>
      </c>
      <c r="J2145" s="33">
        <v>115824</v>
      </c>
      <c r="K2145" s="33" t="s">
        <v>5884</v>
      </c>
      <c r="L2145" s="33" t="s">
        <v>5885</v>
      </c>
      <c r="M2145" s="33" t="s">
        <v>5886</v>
      </c>
      <c r="N2145" s="44">
        <v>42231601</v>
      </c>
      <c r="O2145" s="33" t="s">
        <v>5887</v>
      </c>
      <c r="P2145" s="33" t="s">
        <v>5888</v>
      </c>
      <c r="Q2145" s="34" t="s">
        <v>1494</v>
      </c>
      <c r="R2145" s="34" t="s">
        <v>1494</v>
      </c>
    </row>
    <row r="2146" spans="1:18" ht="15" customHeight="1" x14ac:dyDescent="0.25">
      <c r="A2146" t="str">
        <f>IFERROR(RANK(B2146,$B:$B,1)+COUNTIF($B$1:B2145,B2146),"")</f>
        <v/>
      </c>
      <c r="B2146" t="str">
        <f>IFERROR(SEARCH(#REF!,Table4[[#This Row],[Commodity Title]],1),"")</f>
        <v/>
      </c>
      <c r="C2146" s="35">
        <v>42231602</v>
      </c>
      <c r="D2146" s="33" t="s">
        <v>1495</v>
      </c>
      <c r="E2146" s="33" t="s">
        <v>1496</v>
      </c>
      <c r="F2146" s="33" t="s">
        <v>1497</v>
      </c>
      <c r="G2146" s="33" t="s">
        <v>5858</v>
      </c>
      <c r="H2146" s="33" t="s">
        <v>5859</v>
      </c>
      <c r="I2146" s="33" t="s">
        <v>5860</v>
      </c>
      <c r="J2146" s="33">
        <v>115825</v>
      </c>
      <c r="K2146" s="33" t="s">
        <v>5884</v>
      </c>
      <c r="L2146" s="33" t="s">
        <v>5885</v>
      </c>
      <c r="M2146" s="33" t="s">
        <v>5886</v>
      </c>
      <c r="N2146" s="44">
        <v>42231602</v>
      </c>
      <c r="O2146" s="33" t="s">
        <v>5889</v>
      </c>
      <c r="P2146" s="33" t="s">
        <v>5890</v>
      </c>
      <c r="Q2146" s="34" t="s">
        <v>1494</v>
      </c>
      <c r="R2146" s="34" t="s">
        <v>1494</v>
      </c>
    </row>
    <row r="2147" spans="1:18" ht="15" customHeight="1" x14ac:dyDescent="0.25">
      <c r="A2147" t="str">
        <f>IFERROR(RANK(B2147,$B:$B,1)+COUNTIF($B$1:B2146,B2147),"")</f>
        <v/>
      </c>
      <c r="B2147" t="str">
        <f>IFERROR(SEARCH(#REF!,Table4[[#This Row],[Commodity Title]],1),"")</f>
        <v/>
      </c>
      <c r="C2147" s="35">
        <v>42231603</v>
      </c>
      <c r="D2147" s="33" t="s">
        <v>1495</v>
      </c>
      <c r="E2147" s="33" t="s">
        <v>1496</v>
      </c>
      <c r="F2147" s="33" t="s">
        <v>1497</v>
      </c>
      <c r="G2147" s="33" t="s">
        <v>5858</v>
      </c>
      <c r="H2147" s="33" t="s">
        <v>5859</v>
      </c>
      <c r="I2147" s="33" t="s">
        <v>5860</v>
      </c>
      <c r="J2147" s="33">
        <v>115826</v>
      </c>
      <c r="K2147" s="33" t="s">
        <v>5884</v>
      </c>
      <c r="L2147" s="33" t="s">
        <v>5885</v>
      </c>
      <c r="M2147" s="33" t="s">
        <v>5886</v>
      </c>
      <c r="N2147" s="44">
        <v>42231603</v>
      </c>
      <c r="O2147" s="33" t="s">
        <v>5891</v>
      </c>
      <c r="P2147" s="33" t="s">
        <v>5892</v>
      </c>
      <c r="Q2147" s="34" t="s">
        <v>1494</v>
      </c>
      <c r="R2147" s="34" t="s">
        <v>1494</v>
      </c>
    </row>
    <row r="2148" spans="1:18" ht="15" customHeight="1" x14ac:dyDescent="0.25">
      <c r="A2148" t="str">
        <f>IFERROR(RANK(B2148,$B:$B,1)+COUNTIF($B$1:B2147,B2148),"")</f>
        <v/>
      </c>
      <c r="B2148" t="str">
        <f>IFERROR(SEARCH(#REF!,Table4[[#This Row],[Commodity Title]],1),"")</f>
        <v/>
      </c>
      <c r="C2148" s="35">
        <v>42231604</v>
      </c>
      <c r="D2148" s="33" t="s">
        <v>1495</v>
      </c>
      <c r="E2148" s="33" t="s">
        <v>1496</v>
      </c>
      <c r="F2148" s="33" t="s">
        <v>1497</v>
      </c>
      <c r="G2148" s="33" t="s">
        <v>5858</v>
      </c>
      <c r="H2148" s="33" t="s">
        <v>5859</v>
      </c>
      <c r="I2148" s="33" t="s">
        <v>5860</v>
      </c>
      <c r="J2148" s="33">
        <v>115827</v>
      </c>
      <c r="K2148" s="33" t="s">
        <v>5884</v>
      </c>
      <c r="L2148" s="33" t="s">
        <v>5885</v>
      </c>
      <c r="M2148" s="33" t="s">
        <v>5886</v>
      </c>
      <c r="N2148" s="44">
        <v>42231604</v>
      </c>
      <c r="O2148" s="33" t="s">
        <v>5893</v>
      </c>
      <c r="P2148" s="33" t="s">
        <v>5894</v>
      </c>
      <c r="Q2148" s="34" t="s">
        <v>1494</v>
      </c>
      <c r="R2148" s="34" t="s">
        <v>1494</v>
      </c>
    </row>
    <row r="2149" spans="1:18" ht="15" customHeight="1" x14ac:dyDescent="0.25">
      <c r="A2149" t="str">
        <f>IFERROR(RANK(B2149,$B:$B,1)+COUNTIF($B$1:B2148,B2149),"")</f>
        <v/>
      </c>
      <c r="B2149" t="str">
        <f>IFERROR(SEARCH(#REF!,Table4[[#This Row],[Commodity Title]],1),"")</f>
        <v/>
      </c>
      <c r="C2149" s="35">
        <v>42231605</v>
      </c>
      <c r="D2149" s="33" t="s">
        <v>1495</v>
      </c>
      <c r="E2149" s="33" t="s">
        <v>1496</v>
      </c>
      <c r="F2149" s="33" t="s">
        <v>1497</v>
      </c>
      <c r="G2149" s="33" t="s">
        <v>5858</v>
      </c>
      <c r="H2149" s="33" t="s">
        <v>5859</v>
      </c>
      <c r="I2149" s="33" t="s">
        <v>5860</v>
      </c>
      <c r="J2149" s="33">
        <v>115828</v>
      </c>
      <c r="K2149" s="33" t="s">
        <v>5884</v>
      </c>
      <c r="L2149" s="33" t="s">
        <v>5885</v>
      </c>
      <c r="M2149" s="33" t="s">
        <v>5886</v>
      </c>
      <c r="N2149" s="44">
        <v>42231605</v>
      </c>
      <c r="O2149" s="33" t="s">
        <v>5895</v>
      </c>
      <c r="P2149" s="33" t="s">
        <v>5896</v>
      </c>
      <c r="Q2149" s="34" t="s">
        <v>1494</v>
      </c>
      <c r="R2149" s="34" t="s">
        <v>1494</v>
      </c>
    </row>
    <row r="2150" spans="1:18" ht="15" customHeight="1" x14ac:dyDescent="0.25">
      <c r="A2150" t="str">
        <f>IFERROR(RANK(B2150,$B:$B,1)+COUNTIF($B$1:B2149,B2150),"")</f>
        <v/>
      </c>
      <c r="B2150" t="str">
        <f>IFERROR(SEARCH(#REF!,Table4[[#This Row],[Commodity Title]],1),"")</f>
        <v/>
      </c>
      <c r="C2150" s="35">
        <v>42231606</v>
      </c>
      <c r="D2150" s="33" t="s">
        <v>1495</v>
      </c>
      <c r="E2150" s="33" t="s">
        <v>1496</v>
      </c>
      <c r="F2150" s="33" t="s">
        <v>1497</v>
      </c>
      <c r="G2150" s="33" t="s">
        <v>5858</v>
      </c>
      <c r="H2150" s="33" t="s">
        <v>5859</v>
      </c>
      <c r="I2150" s="33" t="s">
        <v>5860</v>
      </c>
      <c r="J2150" s="33">
        <v>142638</v>
      </c>
      <c r="K2150" s="33" t="s">
        <v>5884</v>
      </c>
      <c r="L2150" s="33" t="s">
        <v>5885</v>
      </c>
      <c r="M2150" s="33" t="s">
        <v>5886</v>
      </c>
      <c r="N2150" s="44">
        <v>42231606</v>
      </c>
      <c r="O2150" s="33" t="s">
        <v>5897</v>
      </c>
      <c r="P2150" s="33" t="s">
        <v>5674</v>
      </c>
      <c r="Q2150" s="34" t="s">
        <v>1494</v>
      </c>
      <c r="R2150" s="34" t="s">
        <v>1494</v>
      </c>
    </row>
    <row r="2151" spans="1:18" ht="15" customHeight="1" x14ac:dyDescent="0.25">
      <c r="A2151" t="str">
        <f>IFERROR(RANK(B2151,$B:$B,1)+COUNTIF($B$1:B2150,B2151),"")</f>
        <v/>
      </c>
      <c r="B2151" t="str">
        <f>IFERROR(SEARCH(#REF!,Table4[[#This Row],[Commodity Title]],1),"")</f>
        <v/>
      </c>
      <c r="C2151" s="35">
        <v>42231608</v>
      </c>
      <c r="D2151" s="33" t="s">
        <v>1495</v>
      </c>
      <c r="E2151" s="33" t="s">
        <v>1496</v>
      </c>
      <c r="F2151" s="33" t="s">
        <v>1497</v>
      </c>
      <c r="G2151" s="33" t="s">
        <v>5858</v>
      </c>
      <c r="H2151" s="33" t="s">
        <v>5859</v>
      </c>
      <c r="I2151" s="33" t="s">
        <v>5860</v>
      </c>
      <c r="J2151" s="33">
        <v>142640</v>
      </c>
      <c r="K2151" s="33" t="s">
        <v>5884</v>
      </c>
      <c r="L2151" s="33" t="s">
        <v>5885</v>
      </c>
      <c r="M2151" s="33" t="s">
        <v>5886</v>
      </c>
      <c r="N2151" s="44">
        <v>42231608</v>
      </c>
      <c r="O2151" s="33" t="s">
        <v>5898</v>
      </c>
      <c r="P2151" s="33" t="s">
        <v>5899</v>
      </c>
      <c r="Q2151" s="34" t="s">
        <v>1494</v>
      </c>
      <c r="R2151" s="34" t="s">
        <v>1494</v>
      </c>
    </row>
    <row r="2152" spans="1:18" ht="15" customHeight="1" x14ac:dyDescent="0.25">
      <c r="A2152" t="str">
        <f>IFERROR(RANK(B2152,$B:$B,1)+COUNTIF($B$1:B2151,B2152),"")</f>
        <v/>
      </c>
      <c r="B2152" t="str">
        <f>IFERROR(SEARCH(#REF!,Table4[[#This Row],[Commodity Title]],1),"")</f>
        <v/>
      </c>
      <c r="C2152" s="35">
        <v>42231609</v>
      </c>
      <c r="D2152" s="33" t="s">
        <v>1495</v>
      </c>
      <c r="E2152" s="33" t="s">
        <v>1496</v>
      </c>
      <c r="F2152" s="33" t="s">
        <v>1497</v>
      </c>
      <c r="G2152" s="33" t="s">
        <v>5858</v>
      </c>
      <c r="H2152" s="33" t="s">
        <v>5859</v>
      </c>
      <c r="I2152" s="33" t="s">
        <v>5860</v>
      </c>
      <c r="J2152" s="33">
        <v>142641</v>
      </c>
      <c r="K2152" s="33" t="s">
        <v>5884</v>
      </c>
      <c r="L2152" s="33" t="s">
        <v>5885</v>
      </c>
      <c r="M2152" s="33" t="s">
        <v>5886</v>
      </c>
      <c r="N2152" s="44">
        <v>42231609</v>
      </c>
      <c r="O2152" s="33" t="s">
        <v>5900</v>
      </c>
      <c r="P2152" s="33" t="s">
        <v>5674</v>
      </c>
      <c r="Q2152" s="34" t="s">
        <v>1494</v>
      </c>
      <c r="R2152" s="34" t="s">
        <v>1494</v>
      </c>
    </row>
    <row r="2153" spans="1:18" ht="15" customHeight="1" x14ac:dyDescent="0.25">
      <c r="A2153" t="str">
        <f>IFERROR(RANK(B2153,$B:$B,1)+COUNTIF($B$1:B2152,B2153),"")</f>
        <v/>
      </c>
      <c r="B2153" t="str">
        <f>IFERROR(SEARCH(#REF!,Table4[[#This Row],[Commodity Title]],1),"")</f>
        <v/>
      </c>
      <c r="C2153" s="35">
        <v>42231610</v>
      </c>
      <c r="D2153" s="33" t="s">
        <v>1495</v>
      </c>
      <c r="E2153" s="33" t="s">
        <v>1496</v>
      </c>
      <c r="F2153" s="33" t="s">
        <v>1497</v>
      </c>
      <c r="G2153" s="33" t="s">
        <v>5858</v>
      </c>
      <c r="H2153" s="33" t="s">
        <v>5859</v>
      </c>
      <c r="I2153" s="33" t="s">
        <v>5860</v>
      </c>
      <c r="J2153" s="33">
        <v>202947</v>
      </c>
      <c r="K2153" s="33" t="s">
        <v>5884</v>
      </c>
      <c r="L2153" s="33" t="s">
        <v>5885</v>
      </c>
      <c r="M2153" s="33" t="s">
        <v>5886</v>
      </c>
      <c r="N2153" s="44">
        <v>42231610</v>
      </c>
      <c r="O2153" s="33" t="s">
        <v>5901</v>
      </c>
      <c r="P2153" s="33" t="s">
        <v>5902</v>
      </c>
      <c r="Q2153" s="34" t="s">
        <v>1494</v>
      </c>
      <c r="R2153" s="34" t="s">
        <v>1494</v>
      </c>
    </row>
    <row r="2154" spans="1:18" ht="15" customHeight="1" x14ac:dyDescent="0.25">
      <c r="A2154" t="str">
        <f>IFERROR(RANK(B2154,$B:$B,1)+COUNTIF($B$1:B2153,B2154),"")</f>
        <v/>
      </c>
      <c r="B2154" t="str">
        <f>IFERROR(SEARCH(#REF!,Table4[[#This Row],[Commodity Title]],1),"")</f>
        <v/>
      </c>
      <c r="C2154" s="35">
        <v>42231611</v>
      </c>
      <c r="D2154" s="33" t="s">
        <v>1495</v>
      </c>
      <c r="E2154" s="33" t="s">
        <v>1496</v>
      </c>
      <c r="F2154" s="33" t="s">
        <v>1497</v>
      </c>
      <c r="G2154" s="33" t="s">
        <v>5858</v>
      </c>
      <c r="H2154" s="33" t="s">
        <v>5859</v>
      </c>
      <c r="I2154" s="33" t="s">
        <v>5860</v>
      </c>
      <c r="J2154" s="33">
        <v>202948</v>
      </c>
      <c r="K2154" s="33" t="s">
        <v>5884</v>
      </c>
      <c r="L2154" s="33" t="s">
        <v>5885</v>
      </c>
      <c r="M2154" s="33" t="s">
        <v>5886</v>
      </c>
      <c r="N2154" s="44">
        <v>42231611</v>
      </c>
      <c r="O2154" s="33" t="s">
        <v>5903</v>
      </c>
      <c r="P2154" s="33" t="s">
        <v>5904</v>
      </c>
      <c r="Q2154" s="34" t="s">
        <v>1494</v>
      </c>
      <c r="R2154" s="34" t="s">
        <v>1494</v>
      </c>
    </row>
    <row r="2155" spans="1:18" ht="15" customHeight="1" x14ac:dyDescent="0.25">
      <c r="A2155" t="str">
        <f>IFERROR(RANK(B2155,$B:$B,1)+COUNTIF($B$1:B2154,B2155),"")</f>
        <v/>
      </c>
      <c r="B2155" t="str">
        <f>IFERROR(SEARCH(#REF!,Table4[[#This Row],[Commodity Title]],1),"")</f>
        <v/>
      </c>
      <c r="C2155" s="35">
        <v>42231612</v>
      </c>
      <c r="D2155" s="33" t="s">
        <v>1495</v>
      </c>
      <c r="E2155" s="33" t="s">
        <v>1496</v>
      </c>
      <c r="F2155" s="33" t="s">
        <v>1497</v>
      </c>
      <c r="G2155" s="33" t="s">
        <v>5858</v>
      </c>
      <c r="H2155" s="33" t="s">
        <v>5859</v>
      </c>
      <c r="I2155" s="33" t="s">
        <v>5860</v>
      </c>
      <c r="J2155" s="33">
        <v>202949</v>
      </c>
      <c r="K2155" s="33" t="s">
        <v>5884</v>
      </c>
      <c r="L2155" s="33" t="s">
        <v>5885</v>
      </c>
      <c r="M2155" s="33" t="s">
        <v>5886</v>
      </c>
      <c r="N2155" s="44">
        <v>42231612</v>
      </c>
      <c r="O2155" s="33" t="s">
        <v>5905</v>
      </c>
      <c r="P2155" s="33" t="s">
        <v>5906</v>
      </c>
      <c r="Q2155" s="34" t="s">
        <v>1494</v>
      </c>
      <c r="R2155" s="34" t="s">
        <v>1494</v>
      </c>
    </row>
    <row r="2156" spans="1:18" ht="15" customHeight="1" x14ac:dyDescent="0.25">
      <c r="A2156" t="str">
        <f>IFERROR(RANK(B2156,$B:$B,1)+COUNTIF($B$1:B2155,B2156),"")</f>
        <v/>
      </c>
      <c r="B2156" t="str">
        <f>IFERROR(SEARCH(#REF!,Table4[[#This Row],[Commodity Title]],1),"")</f>
        <v/>
      </c>
      <c r="C2156" s="35">
        <v>42231613</v>
      </c>
      <c r="D2156" s="33" t="s">
        <v>1495</v>
      </c>
      <c r="E2156" s="33" t="s">
        <v>1496</v>
      </c>
      <c r="F2156" s="33" t="s">
        <v>1497</v>
      </c>
      <c r="G2156" s="33" t="s">
        <v>5858</v>
      </c>
      <c r="H2156" s="33" t="s">
        <v>5859</v>
      </c>
      <c r="I2156" s="33" t="s">
        <v>5860</v>
      </c>
      <c r="J2156" s="33">
        <v>145861</v>
      </c>
      <c r="K2156" s="33" t="s">
        <v>5884</v>
      </c>
      <c r="L2156" s="33" t="s">
        <v>5885</v>
      </c>
      <c r="M2156" s="33" t="s">
        <v>5886</v>
      </c>
      <c r="N2156" s="44">
        <v>42231613</v>
      </c>
      <c r="O2156" s="33" t="s">
        <v>5907</v>
      </c>
      <c r="P2156" s="33" t="s">
        <v>5908</v>
      </c>
      <c r="Q2156" s="34" t="s">
        <v>1494</v>
      </c>
      <c r="R2156" s="34" t="s">
        <v>1494</v>
      </c>
    </row>
    <row r="2157" spans="1:18" ht="15" customHeight="1" x14ac:dyDescent="0.25">
      <c r="A2157" t="str">
        <f>IFERROR(RANK(B2157,$B:$B,1)+COUNTIF($B$1:B2156,B2157),"")</f>
        <v/>
      </c>
      <c r="B2157" t="str">
        <f>IFERROR(SEARCH(#REF!,Table4[[#This Row],[Commodity Title]],1),"")</f>
        <v/>
      </c>
      <c r="C2157" s="35">
        <v>42231614</v>
      </c>
      <c r="D2157" s="33" t="s">
        <v>1495</v>
      </c>
      <c r="E2157" s="33" t="s">
        <v>1496</v>
      </c>
      <c r="F2157" s="33" t="s">
        <v>1497</v>
      </c>
      <c r="G2157" s="33" t="s">
        <v>5858</v>
      </c>
      <c r="H2157" s="33" t="s">
        <v>5859</v>
      </c>
      <c r="I2157" s="33" t="s">
        <v>5860</v>
      </c>
      <c r="J2157" s="33">
        <v>202950</v>
      </c>
      <c r="K2157" s="33" t="s">
        <v>5884</v>
      </c>
      <c r="L2157" s="33" t="s">
        <v>5885</v>
      </c>
      <c r="M2157" s="33" t="s">
        <v>5886</v>
      </c>
      <c r="N2157" s="44">
        <v>42231614</v>
      </c>
      <c r="O2157" s="33" t="s">
        <v>5909</v>
      </c>
      <c r="P2157" s="33" t="s">
        <v>5910</v>
      </c>
      <c r="Q2157" s="34" t="s">
        <v>1494</v>
      </c>
      <c r="R2157" s="34" t="s">
        <v>1494</v>
      </c>
    </row>
    <row r="2158" spans="1:18" ht="15" customHeight="1" x14ac:dyDescent="0.25">
      <c r="A2158" t="str">
        <f>IFERROR(RANK(B2158,$B:$B,1)+COUNTIF($B$1:B2157,B2158),"")</f>
        <v/>
      </c>
      <c r="B2158" t="str">
        <f>IFERROR(SEARCH(#REF!,Table4[[#This Row],[Commodity Title]],1),"")</f>
        <v/>
      </c>
      <c r="C2158" s="35">
        <v>42231615</v>
      </c>
      <c r="D2158" s="33" t="s">
        <v>1495</v>
      </c>
      <c r="E2158" s="33" t="s">
        <v>1496</v>
      </c>
      <c r="F2158" s="33" t="s">
        <v>1497</v>
      </c>
      <c r="G2158" s="33" t="s">
        <v>5858</v>
      </c>
      <c r="H2158" s="33" t="s">
        <v>5859</v>
      </c>
      <c r="I2158" s="33" t="s">
        <v>5860</v>
      </c>
      <c r="J2158" s="33">
        <v>202951</v>
      </c>
      <c r="K2158" s="33" t="s">
        <v>5884</v>
      </c>
      <c r="L2158" s="33" t="s">
        <v>5885</v>
      </c>
      <c r="M2158" s="33" t="s">
        <v>5886</v>
      </c>
      <c r="N2158" s="44">
        <v>42231615</v>
      </c>
      <c r="O2158" s="33" t="s">
        <v>5911</v>
      </c>
      <c r="P2158" s="33" t="s">
        <v>5912</v>
      </c>
      <c r="Q2158" s="34" t="s">
        <v>1494</v>
      </c>
      <c r="R2158" s="34" t="s">
        <v>1494</v>
      </c>
    </row>
    <row r="2159" spans="1:18" ht="15" customHeight="1" x14ac:dyDescent="0.25">
      <c r="A2159" t="str">
        <f>IFERROR(RANK(B2159,$B:$B,1)+COUNTIF($B$1:B2158,B2159),"")</f>
        <v/>
      </c>
      <c r="B2159" t="str">
        <f>IFERROR(SEARCH(#REF!,Table4[[#This Row],[Commodity Title]],1),"")</f>
        <v/>
      </c>
      <c r="C2159" s="35">
        <v>42231616</v>
      </c>
      <c r="D2159" s="33" t="s">
        <v>1495</v>
      </c>
      <c r="E2159" s="33" t="s">
        <v>1496</v>
      </c>
      <c r="F2159" s="33" t="s">
        <v>1497</v>
      </c>
      <c r="G2159" s="33" t="s">
        <v>5858</v>
      </c>
      <c r="H2159" s="33" t="s">
        <v>5859</v>
      </c>
      <c r="I2159" s="33" t="s">
        <v>5860</v>
      </c>
      <c r="J2159" s="33">
        <v>202952</v>
      </c>
      <c r="K2159" s="33" t="s">
        <v>5884</v>
      </c>
      <c r="L2159" s="33" t="s">
        <v>5885</v>
      </c>
      <c r="M2159" s="33" t="s">
        <v>5886</v>
      </c>
      <c r="N2159" s="44">
        <v>42231616</v>
      </c>
      <c r="O2159" s="33" t="s">
        <v>5913</v>
      </c>
      <c r="P2159" s="33" t="s">
        <v>5914</v>
      </c>
      <c r="Q2159" s="34" t="s">
        <v>1494</v>
      </c>
      <c r="R2159" s="34" t="s">
        <v>1494</v>
      </c>
    </row>
    <row r="2160" spans="1:18" ht="15" customHeight="1" x14ac:dyDescent="0.25">
      <c r="A2160" t="str">
        <f>IFERROR(RANK(B2160,$B:$B,1)+COUNTIF($B$1:B2159,B2160),"")</f>
        <v/>
      </c>
      <c r="B2160" t="str">
        <f>IFERROR(SEARCH(#REF!,Table4[[#This Row],[Commodity Title]],1),"")</f>
        <v/>
      </c>
      <c r="C2160" s="35">
        <v>42231617</v>
      </c>
      <c r="D2160" s="33" t="s">
        <v>1495</v>
      </c>
      <c r="E2160" s="33" t="s">
        <v>1496</v>
      </c>
      <c r="F2160" s="33" t="s">
        <v>1497</v>
      </c>
      <c r="G2160" s="33" t="s">
        <v>5858</v>
      </c>
      <c r="H2160" s="33" t="s">
        <v>5859</v>
      </c>
      <c r="I2160" s="33" t="s">
        <v>5860</v>
      </c>
      <c r="J2160" s="33">
        <v>202953</v>
      </c>
      <c r="K2160" s="33" t="s">
        <v>5884</v>
      </c>
      <c r="L2160" s="33" t="s">
        <v>5885</v>
      </c>
      <c r="M2160" s="33" t="s">
        <v>5886</v>
      </c>
      <c r="N2160" s="44">
        <v>42231617</v>
      </c>
      <c r="O2160" s="33" t="s">
        <v>5915</v>
      </c>
      <c r="P2160" s="33" t="s">
        <v>5916</v>
      </c>
      <c r="Q2160" s="34" t="s">
        <v>1494</v>
      </c>
      <c r="R2160" s="34" t="s">
        <v>1494</v>
      </c>
    </row>
    <row r="2161" spans="1:18" ht="15" customHeight="1" x14ac:dyDescent="0.25">
      <c r="A2161" t="str">
        <f>IFERROR(RANK(B2161,$B:$B,1)+COUNTIF($B$1:B2160,B2161),"")</f>
        <v/>
      </c>
      <c r="B2161" t="str">
        <f>IFERROR(SEARCH(#REF!,Table4[[#This Row],[Commodity Title]],1),"")</f>
        <v/>
      </c>
      <c r="C2161" s="35">
        <v>42231618</v>
      </c>
      <c r="D2161" s="33" t="s">
        <v>1495</v>
      </c>
      <c r="E2161" s="33" t="s">
        <v>1496</v>
      </c>
      <c r="F2161" s="33" t="s">
        <v>1497</v>
      </c>
      <c r="G2161" s="33" t="s">
        <v>5858</v>
      </c>
      <c r="H2161" s="33" t="s">
        <v>5859</v>
      </c>
      <c r="I2161" s="33" t="s">
        <v>5860</v>
      </c>
      <c r="J2161" s="33">
        <v>202954</v>
      </c>
      <c r="K2161" s="33" t="s">
        <v>5884</v>
      </c>
      <c r="L2161" s="33" t="s">
        <v>5885</v>
      </c>
      <c r="M2161" s="33" t="s">
        <v>5886</v>
      </c>
      <c r="N2161" s="44">
        <v>42231618</v>
      </c>
      <c r="O2161" s="33" t="s">
        <v>5917</v>
      </c>
      <c r="P2161" s="33" t="s">
        <v>5918</v>
      </c>
      <c r="Q2161" s="34" t="s">
        <v>1494</v>
      </c>
      <c r="R2161" s="34" t="s">
        <v>1494</v>
      </c>
    </row>
    <row r="2162" spans="1:18" ht="15" customHeight="1" x14ac:dyDescent="0.25">
      <c r="A2162" t="str">
        <f>IFERROR(RANK(B2162,$B:$B,1)+COUNTIF($B$1:B2161,B2162),"")</f>
        <v/>
      </c>
      <c r="B2162" t="str">
        <f>IFERROR(SEARCH(#REF!,Table4[[#This Row],[Commodity Title]],1),"")</f>
        <v/>
      </c>
      <c r="C2162" s="33" t="s">
        <v>1494</v>
      </c>
      <c r="D2162" s="33" t="s">
        <v>1495</v>
      </c>
      <c r="E2162" s="33" t="s">
        <v>1496</v>
      </c>
      <c r="F2162" s="33" t="s">
        <v>1497</v>
      </c>
      <c r="G2162" s="33" t="s">
        <v>5858</v>
      </c>
      <c r="H2162" s="33" t="s">
        <v>5859</v>
      </c>
      <c r="I2162" s="33" t="s">
        <v>5860</v>
      </c>
      <c r="J2162" s="33">
        <v>115829</v>
      </c>
      <c r="K2162" s="33" t="s">
        <v>5919</v>
      </c>
      <c r="L2162" s="33" t="s">
        <v>5920</v>
      </c>
      <c r="M2162" s="33" t="s">
        <v>5921</v>
      </c>
      <c r="N2162" s="44" t="s">
        <v>1494</v>
      </c>
      <c r="O2162" s="33" t="s">
        <v>1494</v>
      </c>
      <c r="P2162" s="33" t="s">
        <v>1494</v>
      </c>
      <c r="Q2162" s="34" t="s">
        <v>1494</v>
      </c>
      <c r="R2162" s="34" t="s">
        <v>1494</v>
      </c>
    </row>
    <row r="2163" spans="1:18" ht="15" customHeight="1" x14ac:dyDescent="0.25">
      <c r="A2163" t="str">
        <f>IFERROR(RANK(B2163,$B:$B,1)+COUNTIF($B$1:B2162,B2163),"")</f>
        <v/>
      </c>
      <c r="B2163" t="str">
        <f>IFERROR(SEARCH(#REF!,Table4[[#This Row],[Commodity Title]],1),"")</f>
        <v/>
      </c>
      <c r="C2163" s="35">
        <v>42231701</v>
      </c>
      <c r="D2163" s="33" t="s">
        <v>1495</v>
      </c>
      <c r="E2163" s="33" t="s">
        <v>1496</v>
      </c>
      <c r="F2163" s="33" t="s">
        <v>1497</v>
      </c>
      <c r="G2163" s="33" t="s">
        <v>5858</v>
      </c>
      <c r="H2163" s="33" t="s">
        <v>5859</v>
      </c>
      <c r="I2163" s="33" t="s">
        <v>5860</v>
      </c>
      <c r="J2163" s="33">
        <v>104581</v>
      </c>
      <c r="K2163" s="33" t="s">
        <v>5919</v>
      </c>
      <c r="L2163" s="33" t="s">
        <v>5920</v>
      </c>
      <c r="M2163" s="33" t="s">
        <v>5921</v>
      </c>
      <c r="N2163" s="44">
        <v>42231701</v>
      </c>
      <c r="O2163" s="33" t="s">
        <v>5922</v>
      </c>
      <c r="P2163" s="33" t="s">
        <v>5923</v>
      </c>
      <c r="Q2163" s="34" t="s">
        <v>1494</v>
      </c>
      <c r="R2163" s="34" t="s">
        <v>1494</v>
      </c>
    </row>
    <row r="2164" spans="1:18" ht="15" customHeight="1" x14ac:dyDescent="0.25">
      <c r="A2164" t="str">
        <f>IFERROR(RANK(B2164,$B:$B,1)+COUNTIF($B$1:B2163,B2164),"")</f>
        <v/>
      </c>
      <c r="B2164" t="str">
        <f>IFERROR(SEARCH(#REF!,Table4[[#This Row],[Commodity Title]],1),"")</f>
        <v/>
      </c>
      <c r="C2164" s="35">
        <v>42231702</v>
      </c>
      <c r="D2164" s="33" t="s">
        <v>1495</v>
      </c>
      <c r="E2164" s="33" t="s">
        <v>1496</v>
      </c>
      <c r="F2164" s="33" t="s">
        <v>1497</v>
      </c>
      <c r="G2164" s="33" t="s">
        <v>5858</v>
      </c>
      <c r="H2164" s="33" t="s">
        <v>5859</v>
      </c>
      <c r="I2164" s="33" t="s">
        <v>5860</v>
      </c>
      <c r="J2164" s="33">
        <v>115831</v>
      </c>
      <c r="K2164" s="33" t="s">
        <v>5919</v>
      </c>
      <c r="L2164" s="33" t="s">
        <v>5920</v>
      </c>
      <c r="M2164" s="33" t="s">
        <v>5921</v>
      </c>
      <c r="N2164" s="44">
        <v>42231702</v>
      </c>
      <c r="O2164" s="33" t="s">
        <v>5924</v>
      </c>
      <c r="P2164" s="33" t="s">
        <v>5925</v>
      </c>
      <c r="Q2164" s="34" t="s">
        <v>1494</v>
      </c>
      <c r="R2164" s="34" t="s">
        <v>1494</v>
      </c>
    </row>
    <row r="2165" spans="1:18" ht="15" customHeight="1" x14ac:dyDescent="0.25">
      <c r="A2165" t="str">
        <f>IFERROR(RANK(B2165,$B:$B,1)+COUNTIF($B$1:B2164,B2165),"")</f>
        <v/>
      </c>
      <c r="B2165" t="str">
        <f>IFERROR(SEARCH(#REF!,Table4[[#This Row],[Commodity Title]],1),"")</f>
        <v/>
      </c>
      <c r="C2165" s="35">
        <v>42231703</v>
      </c>
      <c r="D2165" s="33" t="s">
        <v>1495</v>
      </c>
      <c r="E2165" s="33" t="s">
        <v>1496</v>
      </c>
      <c r="F2165" s="33" t="s">
        <v>1497</v>
      </c>
      <c r="G2165" s="33" t="s">
        <v>5858</v>
      </c>
      <c r="H2165" s="33" t="s">
        <v>5859</v>
      </c>
      <c r="I2165" s="33" t="s">
        <v>5860</v>
      </c>
      <c r="J2165" s="33">
        <v>115832</v>
      </c>
      <c r="K2165" s="33" t="s">
        <v>5919</v>
      </c>
      <c r="L2165" s="33" t="s">
        <v>5920</v>
      </c>
      <c r="M2165" s="33" t="s">
        <v>5921</v>
      </c>
      <c r="N2165" s="44">
        <v>42231703</v>
      </c>
      <c r="O2165" s="33" t="s">
        <v>5926</v>
      </c>
      <c r="P2165" s="33" t="s">
        <v>5927</v>
      </c>
      <c r="Q2165" s="34" t="s">
        <v>1494</v>
      </c>
      <c r="R2165" s="34" t="s">
        <v>1494</v>
      </c>
    </row>
    <row r="2166" spans="1:18" ht="15" customHeight="1" x14ac:dyDescent="0.25">
      <c r="A2166" t="str">
        <f>IFERROR(RANK(B2166,$B:$B,1)+COUNTIF($B$1:B2165,B2166),"")</f>
        <v/>
      </c>
      <c r="B2166" t="str">
        <f>IFERROR(SEARCH(#REF!,Table4[[#This Row],[Commodity Title]],1),"")</f>
        <v/>
      </c>
      <c r="C2166" s="35">
        <v>42231705</v>
      </c>
      <c r="D2166" s="33" t="s">
        <v>1495</v>
      </c>
      <c r="E2166" s="33" t="s">
        <v>1496</v>
      </c>
      <c r="F2166" s="33" t="s">
        <v>1497</v>
      </c>
      <c r="G2166" s="33" t="s">
        <v>5858</v>
      </c>
      <c r="H2166" s="33" t="s">
        <v>5859</v>
      </c>
      <c r="I2166" s="33" t="s">
        <v>5860</v>
      </c>
      <c r="J2166" s="33">
        <v>142642</v>
      </c>
      <c r="K2166" s="33" t="s">
        <v>5919</v>
      </c>
      <c r="L2166" s="33" t="s">
        <v>5920</v>
      </c>
      <c r="M2166" s="33" t="s">
        <v>5921</v>
      </c>
      <c r="N2166" s="44">
        <v>42231705</v>
      </c>
      <c r="O2166" s="33" t="s">
        <v>5928</v>
      </c>
      <c r="P2166" s="33" t="s">
        <v>5929</v>
      </c>
      <c r="Q2166" s="34" t="s">
        <v>1494</v>
      </c>
      <c r="R2166" s="34" t="s">
        <v>1494</v>
      </c>
    </row>
    <row r="2167" spans="1:18" ht="15" customHeight="1" x14ac:dyDescent="0.25">
      <c r="A2167" t="str">
        <f>IFERROR(RANK(B2167,$B:$B,1)+COUNTIF($B$1:B2166,B2167),"")</f>
        <v/>
      </c>
      <c r="B2167" t="str">
        <f>IFERROR(SEARCH(#REF!,Table4[[#This Row],[Commodity Title]],1),"")</f>
        <v/>
      </c>
      <c r="C2167" s="33" t="s">
        <v>1494</v>
      </c>
      <c r="D2167" s="33" t="s">
        <v>1495</v>
      </c>
      <c r="E2167" s="33" t="s">
        <v>1496</v>
      </c>
      <c r="F2167" s="33" t="s">
        <v>1497</v>
      </c>
      <c r="G2167" s="33" t="s">
        <v>5858</v>
      </c>
      <c r="H2167" s="33" t="s">
        <v>5859</v>
      </c>
      <c r="I2167" s="33" t="s">
        <v>5860</v>
      </c>
      <c r="J2167" s="33">
        <v>115834</v>
      </c>
      <c r="K2167" s="33" t="s">
        <v>5930</v>
      </c>
      <c r="L2167" s="33" t="s">
        <v>5931</v>
      </c>
      <c r="M2167" s="33" t="s">
        <v>5932</v>
      </c>
      <c r="N2167" s="44" t="s">
        <v>1494</v>
      </c>
      <c r="O2167" s="33" t="s">
        <v>1494</v>
      </c>
      <c r="P2167" s="33" t="s">
        <v>1494</v>
      </c>
      <c r="Q2167" s="34" t="s">
        <v>1494</v>
      </c>
      <c r="R2167" s="34" t="s">
        <v>1494</v>
      </c>
    </row>
    <row r="2168" spans="1:18" ht="15" customHeight="1" x14ac:dyDescent="0.25">
      <c r="A2168" t="str">
        <f>IFERROR(RANK(B2168,$B:$B,1)+COUNTIF($B$1:B2167,B2168),"")</f>
        <v/>
      </c>
      <c r="B2168" t="str">
        <f>IFERROR(SEARCH(#REF!,Table4[[#This Row],[Commodity Title]],1),"")</f>
        <v/>
      </c>
      <c r="C2168" s="35">
        <v>42231801</v>
      </c>
      <c r="D2168" s="33" t="s">
        <v>1495</v>
      </c>
      <c r="E2168" s="33" t="s">
        <v>1496</v>
      </c>
      <c r="F2168" s="33" t="s">
        <v>1497</v>
      </c>
      <c r="G2168" s="33" t="s">
        <v>5858</v>
      </c>
      <c r="H2168" s="33" t="s">
        <v>5859</v>
      </c>
      <c r="I2168" s="33" t="s">
        <v>5860</v>
      </c>
      <c r="J2168" s="33">
        <v>115835</v>
      </c>
      <c r="K2168" s="33" t="s">
        <v>5930</v>
      </c>
      <c r="L2168" s="33" t="s">
        <v>5931</v>
      </c>
      <c r="M2168" s="33" t="s">
        <v>5932</v>
      </c>
      <c r="N2168" s="44">
        <v>42231801</v>
      </c>
      <c r="O2168" s="33" t="s">
        <v>5933</v>
      </c>
      <c r="P2168" s="33" t="s">
        <v>5934</v>
      </c>
      <c r="Q2168" s="34" t="s">
        <v>1494</v>
      </c>
      <c r="R2168" s="34" t="s">
        <v>1494</v>
      </c>
    </row>
    <row r="2169" spans="1:18" ht="15" customHeight="1" x14ac:dyDescent="0.25">
      <c r="A2169" t="str">
        <f>IFERROR(RANK(B2169,$B:$B,1)+COUNTIF($B$1:B2168,B2169),"")</f>
        <v/>
      </c>
      <c r="B2169" t="str">
        <f>IFERROR(SEARCH(#REF!,Table4[[#This Row],[Commodity Title]],1),"")</f>
        <v/>
      </c>
      <c r="C2169" s="35">
        <v>42231802</v>
      </c>
      <c r="D2169" s="33" t="s">
        <v>1495</v>
      </c>
      <c r="E2169" s="33" t="s">
        <v>1496</v>
      </c>
      <c r="F2169" s="33" t="s">
        <v>1497</v>
      </c>
      <c r="G2169" s="33" t="s">
        <v>5858</v>
      </c>
      <c r="H2169" s="33" t="s">
        <v>5859</v>
      </c>
      <c r="I2169" s="33" t="s">
        <v>5860</v>
      </c>
      <c r="J2169" s="33">
        <v>115836</v>
      </c>
      <c r="K2169" s="33" t="s">
        <v>5930</v>
      </c>
      <c r="L2169" s="33" t="s">
        <v>5931</v>
      </c>
      <c r="M2169" s="33" t="s">
        <v>5932</v>
      </c>
      <c r="N2169" s="44">
        <v>42231802</v>
      </c>
      <c r="O2169" s="33" t="s">
        <v>5935</v>
      </c>
      <c r="P2169" s="33" t="s">
        <v>5936</v>
      </c>
      <c r="Q2169" s="34" t="s">
        <v>1494</v>
      </c>
      <c r="R2169" s="34" t="s">
        <v>1494</v>
      </c>
    </row>
    <row r="2170" spans="1:18" ht="15" customHeight="1" x14ac:dyDescent="0.25">
      <c r="A2170" t="str">
        <f>IFERROR(RANK(B2170,$B:$B,1)+COUNTIF($B$1:B2169,B2170),"")</f>
        <v/>
      </c>
      <c r="B2170" t="str">
        <f>IFERROR(SEARCH(#REF!,Table4[[#This Row],[Commodity Title]],1),"")</f>
        <v/>
      </c>
      <c r="C2170" s="35">
        <v>42231803</v>
      </c>
      <c r="D2170" s="33" t="s">
        <v>1495</v>
      </c>
      <c r="E2170" s="33" t="s">
        <v>1496</v>
      </c>
      <c r="F2170" s="33" t="s">
        <v>1497</v>
      </c>
      <c r="G2170" s="33" t="s">
        <v>5858</v>
      </c>
      <c r="H2170" s="33" t="s">
        <v>5859</v>
      </c>
      <c r="I2170" s="33" t="s">
        <v>5860</v>
      </c>
      <c r="J2170" s="33">
        <v>115837</v>
      </c>
      <c r="K2170" s="33" t="s">
        <v>5930</v>
      </c>
      <c r="L2170" s="33" t="s">
        <v>5931</v>
      </c>
      <c r="M2170" s="33" t="s">
        <v>5932</v>
      </c>
      <c r="N2170" s="44">
        <v>42231803</v>
      </c>
      <c r="O2170" s="33" t="s">
        <v>5937</v>
      </c>
      <c r="P2170" s="33" t="s">
        <v>5938</v>
      </c>
      <c r="Q2170" s="34" t="s">
        <v>1494</v>
      </c>
      <c r="R2170" s="34" t="s">
        <v>1494</v>
      </c>
    </row>
    <row r="2171" spans="1:18" ht="15" customHeight="1" x14ac:dyDescent="0.25">
      <c r="A2171" t="str">
        <f>IFERROR(RANK(B2171,$B:$B,1)+COUNTIF($B$1:B2170,B2171),"")</f>
        <v/>
      </c>
      <c r="B2171" t="str">
        <f>IFERROR(SEARCH(#REF!,Table4[[#This Row],[Commodity Title]],1),"")</f>
        <v/>
      </c>
      <c r="C2171" s="35">
        <v>42231804</v>
      </c>
      <c r="D2171" s="33" t="s">
        <v>1495</v>
      </c>
      <c r="E2171" s="33" t="s">
        <v>1496</v>
      </c>
      <c r="F2171" s="33" t="s">
        <v>1497</v>
      </c>
      <c r="G2171" s="33" t="s">
        <v>5858</v>
      </c>
      <c r="H2171" s="33" t="s">
        <v>5859</v>
      </c>
      <c r="I2171" s="33" t="s">
        <v>5860</v>
      </c>
      <c r="J2171" s="33">
        <v>115838</v>
      </c>
      <c r="K2171" s="33" t="s">
        <v>5930</v>
      </c>
      <c r="L2171" s="33" t="s">
        <v>5931</v>
      </c>
      <c r="M2171" s="33" t="s">
        <v>5932</v>
      </c>
      <c r="N2171" s="44">
        <v>42231804</v>
      </c>
      <c r="O2171" s="33" t="s">
        <v>5939</v>
      </c>
      <c r="P2171" s="33" t="s">
        <v>5940</v>
      </c>
      <c r="Q2171" s="34" t="s">
        <v>1494</v>
      </c>
      <c r="R2171" s="34" t="s">
        <v>1494</v>
      </c>
    </row>
    <row r="2172" spans="1:18" ht="15" customHeight="1" x14ac:dyDescent="0.25">
      <c r="A2172" t="str">
        <f>IFERROR(RANK(B2172,$B:$B,1)+COUNTIF($B$1:B2171,B2172),"")</f>
        <v/>
      </c>
      <c r="B2172" t="str">
        <f>IFERROR(SEARCH(#REF!,Table4[[#This Row],[Commodity Title]],1),"")</f>
        <v/>
      </c>
      <c r="C2172" s="35">
        <v>42231806</v>
      </c>
      <c r="D2172" s="33" t="s">
        <v>1495</v>
      </c>
      <c r="E2172" s="33" t="s">
        <v>1496</v>
      </c>
      <c r="F2172" s="33" t="s">
        <v>1497</v>
      </c>
      <c r="G2172" s="33" t="s">
        <v>5858</v>
      </c>
      <c r="H2172" s="33" t="s">
        <v>5859</v>
      </c>
      <c r="I2172" s="33" t="s">
        <v>5860</v>
      </c>
      <c r="J2172" s="33">
        <v>115840</v>
      </c>
      <c r="K2172" s="33" t="s">
        <v>5930</v>
      </c>
      <c r="L2172" s="33" t="s">
        <v>5931</v>
      </c>
      <c r="M2172" s="33" t="s">
        <v>5932</v>
      </c>
      <c r="N2172" s="44">
        <v>42231806</v>
      </c>
      <c r="O2172" s="33" t="s">
        <v>5941</v>
      </c>
      <c r="P2172" s="33" t="s">
        <v>5942</v>
      </c>
      <c r="Q2172" s="34" t="s">
        <v>1494</v>
      </c>
      <c r="R2172" s="34" t="s">
        <v>1494</v>
      </c>
    </row>
    <row r="2173" spans="1:18" ht="15" customHeight="1" x14ac:dyDescent="0.25">
      <c r="A2173" t="str">
        <f>IFERROR(RANK(B2173,$B:$B,1)+COUNTIF($B$1:B2172,B2173),"")</f>
        <v/>
      </c>
      <c r="B2173" t="str">
        <f>IFERROR(SEARCH(#REF!,Table4[[#This Row],[Commodity Title]],1),"")</f>
        <v/>
      </c>
      <c r="C2173" s="35">
        <v>42231807</v>
      </c>
      <c r="D2173" s="33" t="s">
        <v>1495</v>
      </c>
      <c r="E2173" s="33" t="s">
        <v>1496</v>
      </c>
      <c r="F2173" s="33" t="s">
        <v>1497</v>
      </c>
      <c r="G2173" s="33" t="s">
        <v>5858</v>
      </c>
      <c r="H2173" s="33" t="s">
        <v>5859</v>
      </c>
      <c r="I2173" s="33" t="s">
        <v>5860</v>
      </c>
      <c r="J2173" s="33">
        <v>142643</v>
      </c>
      <c r="K2173" s="33" t="s">
        <v>5930</v>
      </c>
      <c r="L2173" s="33" t="s">
        <v>5931</v>
      </c>
      <c r="M2173" s="33" t="s">
        <v>5932</v>
      </c>
      <c r="N2173" s="44">
        <v>42231807</v>
      </c>
      <c r="O2173" s="33" t="s">
        <v>5943</v>
      </c>
      <c r="P2173" s="33" t="s">
        <v>5944</v>
      </c>
      <c r="Q2173" s="34" t="s">
        <v>1494</v>
      </c>
      <c r="R2173" s="34" t="s">
        <v>1494</v>
      </c>
    </row>
    <row r="2174" spans="1:18" ht="15" customHeight="1" x14ac:dyDescent="0.25">
      <c r="A2174" t="str">
        <f>IFERROR(RANK(B2174,$B:$B,1)+COUNTIF($B$1:B2173,B2174),"")</f>
        <v/>
      </c>
      <c r="B2174" t="str">
        <f>IFERROR(SEARCH(#REF!,Table4[[#This Row],[Commodity Title]],1),"")</f>
        <v/>
      </c>
      <c r="C2174" s="35">
        <v>42231808</v>
      </c>
      <c r="D2174" s="33" t="s">
        <v>1495</v>
      </c>
      <c r="E2174" s="33" t="s">
        <v>1496</v>
      </c>
      <c r="F2174" s="33" t="s">
        <v>1497</v>
      </c>
      <c r="G2174" s="33" t="s">
        <v>5858</v>
      </c>
      <c r="H2174" s="33" t="s">
        <v>5859</v>
      </c>
      <c r="I2174" s="33" t="s">
        <v>5860</v>
      </c>
      <c r="J2174" s="33">
        <v>135824</v>
      </c>
      <c r="K2174" s="33" t="s">
        <v>5930</v>
      </c>
      <c r="L2174" s="33" t="s">
        <v>5931</v>
      </c>
      <c r="M2174" s="33" t="s">
        <v>5932</v>
      </c>
      <c r="N2174" s="44">
        <v>42231808</v>
      </c>
      <c r="O2174" s="33" t="s">
        <v>5945</v>
      </c>
      <c r="P2174" s="33" t="s">
        <v>5946</v>
      </c>
      <c r="Q2174" s="34" t="s">
        <v>1494</v>
      </c>
      <c r="R2174" s="34" t="s">
        <v>1494</v>
      </c>
    </row>
    <row r="2175" spans="1:18" ht="15" customHeight="1" x14ac:dyDescent="0.25">
      <c r="A2175" t="str">
        <f>IFERROR(RANK(B2175,$B:$B,1)+COUNTIF($B$1:B2174,B2175),"")</f>
        <v/>
      </c>
      <c r="B2175" t="str">
        <f>IFERROR(SEARCH(#REF!,Table4[[#This Row],[Commodity Title]],1),"")</f>
        <v/>
      </c>
      <c r="C2175" s="35">
        <v>42231809</v>
      </c>
      <c r="D2175" s="33" t="s">
        <v>1495</v>
      </c>
      <c r="E2175" s="33" t="s">
        <v>1496</v>
      </c>
      <c r="F2175" s="33" t="s">
        <v>1497</v>
      </c>
      <c r="G2175" s="33" t="s">
        <v>5858</v>
      </c>
      <c r="H2175" s="33" t="s">
        <v>5859</v>
      </c>
      <c r="I2175" s="33" t="s">
        <v>5860</v>
      </c>
      <c r="J2175" s="33">
        <v>208426</v>
      </c>
      <c r="K2175" s="33" t="s">
        <v>5930</v>
      </c>
      <c r="L2175" s="33" t="s">
        <v>5931</v>
      </c>
      <c r="M2175" s="33" t="s">
        <v>5932</v>
      </c>
      <c r="N2175" s="44">
        <v>42231809</v>
      </c>
      <c r="O2175" s="33" t="s">
        <v>5947</v>
      </c>
      <c r="P2175" s="33" t="s">
        <v>5948</v>
      </c>
      <c r="Q2175" s="34" t="s">
        <v>1494</v>
      </c>
      <c r="R2175" s="34" t="s">
        <v>1494</v>
      </c>
    </row>
    <row r="2176" spans="1:18" ht="15" customHeight="1" x14ac:dyDescent="0.25">
      <c r="A2176" t="str">
        <f>IFERROR(RANK(B2176,$B:$B,1)+COUNTIF($B$1:B2175,B2176),"")</f>
        <v/>
      </c>
      <c r="B2176" t="str">
        <f>IFERROR(SEARCH(#REF!,Table4[[#This Row],[Commodity Title]],1),"")</f>
        <v/>
      </c>
      <c r="C2176" s="33" t="s">
        <v>1494</v>
      </c>
      <c r="D2176" s="33" t="s">
        <v>1495</v>
      </c>
      <c r="E2176" s="33" t="s">
        <v>1496</v>
      </c>
      <c r="F2176" s="33" t="s">
        <v>1497</v>
      </c>
      <c r="G2176" s="33" t="s">
        <v>5858</v>
      </c>
      <c r="H2176" s="33" t="s">
        <v>5859</v>
      </c>
      <c r="I2176" s="33" t="s">
        <v>5860</v>
      </c>
      <c r="J2176" s="33">
        <v>142628</v>
      </c>
      <c r="K2176" s="33" t="s">
        <v>5949</v>
      </c>
      <c r="L2176" s="33" t="s">
        <v>5950</v>
      </c>
      <c r="M2176" s="33" t="s">
        <v>5951</v>
      </c>
      <c r="N2176" s="44" t="s">
        <v>1494</v>
      </c>
      <c r="O2176" s="33" t="s">
        <v>1494</v>
      </c>
      <c r="P2176" s="33" t="s">
        <v>1494</v>
      </c>
      <c r="Q2176" s="34" t="s">
        <v>1494</v>
      </c>
      <c r="R2176" s="34" t="s">
        <v>1494</v>
      </c>
    </row>
    <row r="2177" spans="1:18" ht="15" customHeight="1" x14ac:dyDescent="0.25">
      <c r="A2177" t="str">
        <f>IFERROR(RANK(B2177,$B:$B,1)+COUNTIF($B$1:B2176,B2177),"")</f>
        <v/>
      </c>
      <c r="B2177" t="str">
        <f>IFERROR(SEARCH(#REF!,Table4[[#This Row],[Commodity Title]],1),"")</f>
        <v/>
      </c>
      <c r="C2177" s="35">
        <v>42231901</v>
      </c>
      <c r="D2177" s="33" t="s">
        <v>1495</v>
      </c>
      <c r="E2177" s="33" t="s">
        <v>1496</v>
      </c>
      <c r="F2177" s="33" t="s">
        <v>1497</v>
      </c>
      <c r="G2177" s="33" t="s">
        <v>5858</v>
      </c>
      <c r="H2177" s="33" t="s">
        <v>5859</v>
      </c>
      <c r="I2177" s="33" t="s">
        <v>5860</v>
      </c>
      <c r="J2177" s="33">
        <v>142629</v>
      </c>
      <c r="K2177" s="33" t="s">
        <v>5949</v>
      </c>
      <c r="L2177" s="33" t="s">
        <v>5950</v>
      </c>
      <c r="M2177" s="33" t="s">
        <v>5951</v>
      </c>
      <c r="N2177" s="44">
        <v>42231901</v>
      </c>
      <c r="O2177" s="33" t="s">
        <v>5952</v>
      </c>
      <c r="P2177" s="33" t="s">
        <v>5953</v>
      </c>
      <c r="Q2177" s="34" t="s">
        <v>1494</v>
      </c>
      <c r="R2177" s="34" t="s">
        <v>1494</v>
      </c>
    </row>
    <row r="2178" spans="1:18" ht="15" customHeight="1" x14ac:dyDescent="0.25">
      <c r="A2178" t="str">
        <f>IFERROR(RANK(B2178,$B:$B,1)+COUNTIF($B$1:B2177,B2178),"")</f>
        <v/>
      </c>
      <c r="B2178" t="str">
        <f>IFERROR(SEARCH(#REF!,Table4[[#This Row],[Commodity Title]],1),"")</f>
        <v/>
      </c>
      <c r="C2178" s="35">
        <v>42231902</v>
      </c>
      <c r="D2178" s="33" t="s">
        <v>1495</v>
      </c>
      <c r="E2178" s="33" t="s">
        <v>1496</v>
      </c>
      <c r="F2178" s="33" t="s">
        <v>1497</v>
      </c>
      <c r="G2178" s="33" t="s">
        <v>5858</v>
      </c>
      <c r="H2178" s="33" t="s">
        <v>5859</v>
      </c>
      <c r="I2178" s="33" t="s">
        <v>5860</v>
      </c>
      <c r="J2178" s="33">
        <v>142630</v>
      </c>
      <c r="K2178" s="33" t="s">
        <v>5949</v>
      </c>
      <c r="L2178" s="33" t="s">
        <v>5950</v>
      </c>
      <c r="M2178" s="33" t="s">
        <v>5951</v>
      </c>
      <c r="N2178" s="44">
        <v>42231902</v>
      </c>
      <c r="O2178" s="33" t="s">
        <v>5954</v>
      </c>
      <c r="P2178" s="33" t="s">
        <v>5955</v>
      </c>
      <c r="Q2178" s="34" t="s">
        <v>1494</v>
      </c>
      <c r="R2178" s="34" t="s">
        <v>1494</v>
      </c>
    </row>
    <row r="2179" spans="1:18" ht="15" customHeight="1" x14ac:dyDescent="0.25">
      <c r="A2179" t="str">
        <f>IFERROR(RANK(B2179,$B:$B,1)+COUNTIF($B$1:B2178,B2179),"")</f>
        <v/>
      </c>
      <c r="B2179" t="str">
        <f>IFERROR(SEARCH(#REF!,Table4[[#This Row],[Commodity Title]],1),"")</f>
        <v/>
      </c>
      <c r="C2179" s="35">
        <v>42231903</v>
      </c>
      <c r="D2179" s="33" t="s">
        <v>1495</v>
      </c>
      <c r="E2179" s="33" t="s">
        <v>1496</v>
      </c>
      <c r="F2179" s="33" t="s">
        <v>1497</v>
      </c>
      <c r="G2179" s="33" t="s">
        <v>5858</v>
      </c>
      <c r="H2179" s="33" t="s">
        <v>5859</v>
      </c>
      <c r="I2179" s="33" t="s">
        <v>5860</v>
      </c>
      <c r="J2179" s="33">
        <v>142631</v>
      </c>
      <c r="K2179" s="33" t="s">
        <v>5949</v>
      </c>
      <c r="L2179" s="33" t="s">
        <v>5950</v>
      </c>
      <c r="M2179" s="33" t="s">
        <v>5951</v>
      </c>
      <c r="N2179" s="44">
        <v>42231903</v>
      </c>
      <c r="O2179" s="33" t="s">
        <v>5956</v>
      </c>
      <c r="P2179" s="33" t="s">
        <v>5957</v>
      </c>
      <c r="Q2179" s="34" t="s">
        <v>1494</v>
      </c>
      <c r="R2179" s="34" t="s">
        <v>1494</v>
      </c>
    </row>
    <row r="2180" spans="1:18" ht="15" customHeight="1" x14ac:dyDescent="0.25">
      <c r="A2180" t="str">
        <f>IFERROR(RANK(B2180,$B:$B,1)+COUNTIF($B$1:B2179,B2180),"")</f>
        <v/>
      </c>
      <c r="B2180" t="str">
        <f>IFERROR(SEARCH(#REF!,Table4[[#This Row],[Commodity Title]],1),"")</f>
        <v/>
      </c>
      <c r="C2180" s="35">
        <v>42231904</v>
      </c>
      <c r="D2180" s="33" t="s">
        <v>1495</v>
      </c>
      <c r="E2180" s="33" t="s">
        <v>1496</v>
      </c>
      <c r="F2180" s="33" t="s">
        <v>1497</v>
      </c>
      <c r="G2180" s="33" t="s">
        <v>5858</v>
      </c>
      <c r="H2180" s="33" t="s">
        <v>5859</v>
      </c>
      <c r="I2180" s="33" t="s">
        <v>5860</v>
      </c>
      <c r="J2180" s="33">
        <v>174400</v>
      </c>
      <c r="K2180" s="33" t="s">
        <v>5949</v>
      </c>
      <c r="L2180" s="33" t="s">
        <v>5950</v>
      </c>
      <c r="M2180" s="33" t="s">
        <v>5951</v>
      </c>
      <c r="N2180" s="44">
        <v>42231904</v>
      </c>
      <c r="O2180" s="33" t="s">
        <v>5958</v>
      </c>
      <c r="P2180" s="33" t="s">
        <v>5959</v>
      </c>
      <c r="Q2180" s="34" t="s">
        <v>1494</v>
      </c>
      <c r="R2180" s="34" t="s">
        <v>1494</v>
      </c>
    </row>
    <row r="2181" spans="1:18" ht="15" customHeight="1" x14ac:dyDescent="0.25">
      <c r="A2181" t="str">
        <f>IFERROR(RANK(B2181,$B:$B,1)+COUNTIF($B$1:B2180,B2181),"")</f>
        <v/>
      </c>
      <c r="B2181" t="str">
        <f>IFERROR(SEARCH(#REF!,Table4[[#This Row],[Commodity Title]],1),"")</f>
        <v/>
      </c>
      <c r="C2181" s="35">
        <v>42231905</v>
      </c>
      <c r="D2181" s="33" t="s">
        <v>1495</v>
      </c>
      <c r="E2181" s="33" t="s">
        <v>1496</v>
      </c>
      <c r="F2181" s="33" t="s">
        <v>1497</v>
      </c>
      <c r="G2181" s="33" t="s">
        <v>5858</v>
      </c>
      <c r="H2181" s="33" t="s">
        <v>5859</v>
      </c>
      <c r="I2181" s="33" t="s">
        <v>5860</v>
      </c>
      <c r="J2181" s="33">
        <v>202955</v>
      </c>
      <c r="K2181" s="33" t="s">
        <v>5949</v>
      </c>
      <c r="L2181" s="33" t="s">
        <v>5950</v>
      </c>
      <c r="M2181" s="33" t="s">
        <v>5951</v>
      </c>
      <c r="N2181" s="44">
        <v>42231905</v>
      </c>
      <c r="O2181" s="33" t="s">
        <v>5960</v>
      </c>
      <c r="P2181" s="33" t="s">
        <v>5961</v>
      </c>
      <c r="Q2181" s="34" t="s">
        <v>1494</v>
      </c>
      <c r="R2181" s="34" t="s">
        <v>1494</v>
      </c>
    </row>
    <row r="2182" spans="1:18" ht="15" customHeight="1" x14ac:dyDescent="0.25">
      <c r="A2182" t="str">
        <f>IFERROR(RANK(B2182,$B:$B,1)+COUNTIF($B$1:B2181,B2182),"")</f>
        <v/>
      </c>
      <c r="B2182" t="str">
        <f>IFERROR(SEARCH(#REF!,Table4[[#This Row],[Commodity Title]],1),"")</f>
        <v/>
      </c>
      <c r="C2182" s="35">
        <v>42231906</v>
      </c>
      <c r="D2182" s="33" t="s">
        <v>1495</v>
      </c>
      <c r="E2182" s="33" t="s">
        <v>1496</v>
      </c>
      <c r="F2182" s="33" t="s">
        <v>1497</v>
      </c>
      <c r="G2182" s="33" t="s">
        <v>5858</v>
      </c>
      <c r="H2182" s="33" t="s">
        <v>5859</v>
      </c>
      <c r="I2182" s="33" t="s">
        <v>5860</v>
      </c>
      <c r="J2182" s="33">
        <v>202956</v>
      </c>
      <c r="K2182" s="33" t="s">
        <v>5949</v>
      </c>
      <c r="L2182" s="33" t="s">
        <v>5950</v>
      </c>
      <c r="M2182" s="33" t="s">
        <v>5951</v>
      </c>
      <c r="N2182" s="44">
        <v>42231906</v>
      </c>
      <c r="O2182" s="33" t="s">
        <v>5962</v>
      </c>
      <c r="P2182" s="33" t="s">
        <v>5963</v>
      </c>
      <c r="Q2182" s="34" t="s">
        <v>1494</v>
      </c>
      <c r="R2182" s="34" t="s">
        <v>1494</v>
      </c>
    </row>
    <row r="2183" spans="1:18" ht="15" customHeight="1" x14ac:dyDescent="0.25">
      <c r="A2183" t="str">
        <f>IFERROR(RANK(B2183,$B:$B,1)+COUNTIF($B$1:B2182,B2183),"")</f>
        <v/>
      </c>
      <c r="B2183" t="str">
        <f>IFERROR(SEARCH(#REF!,Table4[[#This Row],[Commodity Title]],1),"")</f>
        <v/>
      </c>
      <c r="C2183" s="33" t="s">
        <v>1494</v>
      </c>
      <c r="D2183" s="33" t="s">
        <v>1495</v>
      </c>
      <c r="E2183" s="33" t="s">
        <v>1496</v>
      </c>
      <c r="F2183" s="33" t="s">
        <v>1497</v>
      </c>
      <c r="G2183" s="33" t="s">
        <v>5858</v>
      </c>
      <c r="H2183" s="33" t="s">
        <v>5859</v>
      </c>
      <c r="I2183" s="33" t="s">
        <v>5860</v>
      </c>
      <c r="J2183" s="33">
        <v>142632</v>
      </c>
      <c r="K2183" s="33" t="s">
        <v>5964</v>
      </c>
      <c r="L2183" s="33" t="s">
        <v>5965</v>
      </c>
      <c r="M2183" s="33" t="s">
        <v>5966</v>
      </c>
      <c r="N2183" s="44" t="s">
        <v>1494</v>
      </c>
      <c r="O2183" s="33" t="s">
        <v>1494</v>
      </c>
      <c r="P2183" s="33" t="s">
        <v>1494</v>
      </c>
      <c r="Q2183" s="34" t="s">
        <v>1494</v>
      </c>
      <c r="R2183" s="34" t="s">
        <v>1494</v>
      </c>
    </row>
    <row r="2184" spans="1:18" ht="15" customHeight="1" x14ac:dyDescent="0.25">
      <c r="A2184" t="str">
        <f>IFERROR(RANK(B2184,$B:$B,1)+COUNTIF($B$1:B2183,B2184),"")</f>
        <v/>
      </c>
      <c r="B2184" t="str">
        <f>IFERROR(SEARCH(#REF!,Table4[[#This Row],[Commodity Title]],1),"")</f>
        <v/>
      </c>
      <c r="C2184" s="35">
        <v>42232001</v>
      </c>
      <c r="D2184" s="33" t="s">
        <v>1495</v>
      </c>
      <c r="E2184" s="33" t="s">
        <v>1496</v>
      </c>
      <c r="F2184" s="33" t="s">
        <v>1497</v>
      </c>
      <c r="G2184" s="33" t="s">
        <v>5858</v>
      </c>
      <c r="H2184" s="33" t="s">
        <v>5859</v>
      </c>
      <c r="I2184" s="33" t="s">
        <v>5860</v>
      </c>
      <c r="J2184" s="33">
        <v>142633</v>
      </c>
      <c r="K2184" s="33" t="s">
        <v>5964</v>
      </c>
      <c r="L2184" s="33" t="s">
        <v>5965</v>
      </c>
      <c r="M2184" s="33" t="s">
        <v>5966</v>
      </c>
      <c r="N2184" s="44">
        <v>42232001</v>
      </c>
      <c r="O2184" s="33" t="s">
        <v>5967</v>
      </c>
      <c r="P2184" s="33" t="s">
        <v>5968</v>
      </c>
      <c r="Q2184" s="34" t="s">
        <v>1494</v>
      </c>
      <c r="R2184" s="34" t="s">
        <v>1494</v>
      </c>
    </row>
    <row r="2185" spans="1:18" ht="15" customHeight="1" x14ac:dyDescent="0.25">
      <c r="A2185" t="str">
        <f>IFERROR(RANK(B2185,$B:$B,1)+COUNTIF($B$1:B2184,B2185),"")</f>
        <v/>
      </c>
      <c r="B2185" t="str">
        <f>IFERROR(SEARCH(#REF!,Table4[[#This Row],[Commodity Title]],1),"")</f>
        <v/>
      </c>
      <c r="C2185" s="35">
        <v>42232002</v>
      </c>
      <c r="D2185" s="33" t="s">
        <v>1495</v>
      </c>
      <c r="E2185" s="33" t="s">
        <v>1496</v>
      </c>
      <c r="F2185" s="33" t="s">
        <v>1497</v>
      </c>
      <c r="G2185" s="33" t="s">
        <v>5858</v>
      </c>
      <c r="H2185" s="33" t="s">
        <v>5859</v>
      </c>
      <c r="I2185" s="33" t="s">
        <v>5860</v>
      </c>
      <c r="J2185" s="33">
        <v>142634</v>
      </c>
      <c r="K2185" s="33" t="s">
        <v>5964</v>
      </c>
      <c r="L2185" s="33" t="s">
        <v>5965</v>
      </c>
      <c r="M2185" s="33" t="s">
        <v>5966</v>
      </c>
      <c r="N2185" s="44">
        <v>42232002</v>
      </c>
      <c r="O2185" s="33" t="s">
        <v>5969</v>
      </c>
      <c r="P2185" s="33" t="s">
        <v>5970</v>
      </c>
      <c r="Q2185" s="34" t="s">
        <v>1494</v>
      </c>
      <c r="R2185" s="34" t="s">
        <v>1494</v>
      </c>
    </row>
    <row r="2186" spans="1:18" ht="15" customHeight="1" x14ac:dyDescent="0.25">
      <c r="A2186" t="str">
        <f>IFERROR(RANK(B2186,$B:$B,1)+COUNTIF($B$1:B2185,B2186),"")</f>
        <v/>
      </c>
      <c r="B2186" t="str">
        <f>IFERROR(SEARCH(#REF!,Table4[[#This Row],[Commodity Title]],1),"")</f>
        <v/>
      </c>
      <c r="C2186" s="35">
        <v>42232003</v>
      </c>
      <c r="D2186" s="33" t="s">
        <v>1495</v>
      </c>
      <c r="E2186" s="33" t="s">
        <v>1496</v>
      </c>
      <c r="F2186" s="33" t="s">
        <v>1497</v>
      </c>
      <c r="G2186" s="33" t="s">
        <v>5858</v>
      </c>
      <c r="H2186" s="33" t="s">
        <v>5859</v>
      </c>
      <c r="I2186" s="33" t="s">
        <v>5860</v>
      </c>
      <c r="J2186" s="33">
        <v>144103</v>
      </c>
      <c r="K2186" s="33" t="s">
        <v>5964</v>
      </c>
      <c r="L2186" s="33" t="s">
        <v>5965</v>
      </c>
      <c r="M2186" s="33" t="s">
        <v>5966</v>
      </c>
      <c r="N2186" s="44">
        <v>42232003</v>
      </c>
      <c r="O2186" s="33" t="s">
        <v>5971</v>
      </c>
      <c r="P2186" s="33" t="s">
        <v>5972</v>
      </c>
      <c r="Q2186" s="34" t="s">
        <v>1494</v>
      </c>
      <c r="R2186" s="34" t="s">
        <v>1494</v>
      </c>
    </row>
    <row r="2187" spans="1:18" ht="15" customHeight="1" x14ac:dyDescent="0.25">
      <c r="A2187" t="str">
        <f>IFERROR(RANK(B2187,$B:$B,1)+COUNTIF($B$1:B2186,B2187),"")</f>
        <v/>
      </c>
      <c r="B2187" t="str">
        <f>IFERROR(SEARCH(#REF!,Table4[[#This Row],[Commodity Title]],1),"")</f>
        <v/>
      </c>
      <c r="C2187" s="35">
        <v>42232004</v>
      </c>
      <c r="D2187" s="33" t="s">
        <v>1495</v>
      </c>
      <c r="E2187" s="33" t="s">
        <v>1496</v>
      </c>
      <c r="F2187" s="33" t="s">
        <v>1497</v>
      </c>
      <c r="G2187" s="33" t="s">
        <v>5858</v>
      </c>
      <c r="H2187" s="33" t="s">
        <v>5859</v>
      </c>
      <c r="I2187" s="33" t="s">
        <v>5860</v>
      </c>
      <c r="J2187" s="33">
        <v>208427</v>
      </c>
      <c r="K2187" s="33" t="s">
        <v>5964</v>
      </c>
      <c r="L2187" s="33" t="s">
        <v>5965</v>
      </c>
      <c r="M2187" s="33" t="s">
        <v>5966</v>
      </c>
      <c r="N2187" s="44">
        <v>42232004</v>
      </c>
      <c r="O2187" s="33" t="s">
        <v>5973</v>
      </c>
      <c r="P2187" s="33" t="s">
        <v>5974</v>
      </c>
      <c r="Q2187" s="34" t="s">
        <v>1494</v>
      </c>
      <c r="R2187" s="34" t="s">
        <v>1494</v>
      </c>
    </row>
    <row r="2188" spans="1:18" ht="15" customHeight="1" x14ac:dyDescent="0.25">
      <c r="A2188" t="str">
        <f>IFERROR(RANK(B2188,$B:$B,1)+COUNTIF($B$1:B2187,B2188),"")</f>
        <v/>
      </c>
      <c r="B2188" t="str">
        <f>IFERROR(SEARCH(#REF!,Table4[[#This Row],[Commodity Title]],1),"")</f>
        <v/>
      </c>
      <c r="C2188" s="35">
        <v>42232005</v>
      </c>
      <c r="D2188" s="33" t="s">
        <v>1495</v>
      </c>
      <c r="E2188" s="33" t="s">
        <v>1496</v>
      </c>
      <c r="F2188" s="33" t="s">
        <v>1497</v>
      </c>
      <c r="G2188" s="33" t="s">
        <v>5858</v>
      </c>
      <c r="H2188" s="33" t="s">
        <v>5859</v>
      </c>
      <c r="I2188" s="33" t="s">
        <v>5860</v>
      </c>
      <c r="J2188" s="33">
        <v>208428</v>
      </c>
      <c r="K2188" s="33" t="s">
        <v>5964</v>
      </c>
      <c r="L2188" s="33" t="s">
        <v>5965</v>
      </c>
      <c r="M2188" s="33" t="s">
        <v>5966</v>
      </c>
      <c r="N2188" s="44">
        <v>42232005</v>
      </c>
      <c r="O2188" s="33" t="s">
        <v>5975</v>
      </c>
      <c r="P2188" s="33" t="s">
        <v>5976</v>
      </c>
      <c r="Q2188" s="34" t="s">
        <v>1494</v>
      </c>
      <c r="R2188" s="34" t="s">
        <v>1494</v>
      </c>
    </row>
    <row r="2189" spans="1:18" ht="15" customHeight="1" x14ac:dyDescent="0.25">
      <c r="A2189" t="str">
        <f>IFERROR(RANK(B2189,$B:$B,1)+COUNTIF($B$1:B2188,B2189),"")</f>
        <v/>
      </c>
      <c r="B2189" t="str">
        <f>IFERROR(SEARCH(#REF!,Table4[[#This Row],[Commodity Title]],1),"")</f>
        <v/>
      </c>
      <c r="C2189" s="35">
        <v>42232006</v>
      </c>
      <c r="D2189" s="33" t="s">
        <v>1495</v>
      </c>
      <c r="E2189" s="33" t="s">
        <v>1496</v>
      </c>
      <c r="F2189" s="33" t="s">
        <v>1497</v>
      </c>
      <c r="G2189" s="33" t="s">
        <v>5858</v>
      </c>
      <c r="H2189" s="33" t="s">
        <v>5859</v>
      </c>
      <c r="I2189" s="33" t="s">
        <v>5860</v>
      </c>
      <c r="J2189" s="33">
        <v>208429</v>
      </c>
      <c r="K2189" s="33" t="s">
        <v>5964</v>
      </c>
      <c r="L2189" s="33" t="s">
        <v>5965</v>
      </c>
      <c r="M2189" s="33" t="s">
        <v>5966</v>
      </c>
      <c r="N2189" s="44">
        <v>42232006</v>
      </c>
      <c r="O2189" s="33" t="s">
        <v>5977</v>
      </c>
      <c r="P2189" s="33" t="s">
        <v>5978</v>
      </c>
      <c r="Q2189" s="34" t="s">
        <v>1494</v>
      </c>
      <c r="R2189" s="34" t="s">
        <v>1494</v>
      </c>
    </row>
    <row r="2190" spans="1:18" ht="15" customHeight="1" x14ac:dyDescent="0.25">
      <c r="A2190" t="str">
        <f>IFERROR(RANK(B2190,$B:$B,1)+COUNTIF($B$1:B2189,B2190),"")</f>
        <v/>
      </c>
      <c r="B2190" t="str">
        <f>IFERROR(SEARCH(#REF!,Table4[[#This Row],[Commodity Title]],1),"")</f>
        <v/>
      </c>
      <c r="C2190" s="33" t="s">
        <v>1494</v>
      </c>
      <c r="D2190" s="33" t="s">
        <v>1495</v>
      </c>
      <c r="E2190" s="33" t="s">
        <v>1496</v>
      </c>
      <c r="F2190" s="33" t="s">
        <v>1497</v>
      </c>
      <c r="G2190" s="33" t="s">
        <v>5979</v>
      </c>
      <c r="H2190" s="33" t="s">
        <v>5980</v>
      </c>
      <c r="I2190" s="33" t="s">
        <v>5981</v>
      </c>
      <c r="J2190" s="33">
        <v>115841</v>
      </c>
      <c r="K2190" s="33" t="s">
        <v>1494</v>
      </c>
      <c r="L2190" s="33" t="s">
        <v>1494</v>
      </c>
      <c r="M2190" s="33" t="s">
        <v>1494</v>
      </c>
      <c r="N2190" s="44" t="s">
        <v>1494</v>
      </c>
      <c r="O2190" s="33" t="s">
        <v>1494</v>
      </c>
      <c r="P2190" s="33" t="s">
        <v>1494</v>
      </c>
      <c r="Q2190" s="34" t="s">
        <v>1494</v>
      </c>
      <c r="R2190" s="34" t="s">
        <v>1494</v>
      </c>
    </row>
    <row r="2191" spans="1:18" ht="15" customHeight="1" x14ac:dyDescent="0.25">
      <c r="A2191" t="str">
        <f>IFERROR(RANK(B2191,$B:$B,1)+COUNTIF($B$1:B2190,B2191),"")</f>
        <v/>
      </c>
      <c r="B2191" t="str">
        <f>IFERROR(SEARCH(#REF!,Table4[[#This Row],[Commodity Title]],1),"")</f>
        <v/>
      </c>
      <c r="C2191" s="33" t="s">
        <v>1494</v>
      </c>
      <c r="D2191" s="33" t="s">
        <v>1495</v>
      </c>
      <c r="E2191" s="33" t="s">
        <v>1496</v>
      </c>
      <c r="F2191" s="33" t="s">
        <v>1497</v>
      </c>
      <c r="G2191" s="33" t="s">
        <v>5979</v>
      </c>
      <c r="H2191" s="33" t="s">
        <v>5980</v>
      </c>
      <c r="I2191" s="33" t="s">
        <v>5981</v>
      </c>
      <c r="J2191" s="33">
        <v>115842</v>
      </c>
      <c r="K2191" s="33" t="s">
        <v>5982</v>
      </c>
      <c r="L2191" s="33" t="s">
        <v>5983</v>
      </c>
      <c r="M2191" s="33" t="s">
        <v>5984</v>
      </c>
      <c r="N2191" s="44" t="s">
        <v>1494</v>
      </c>
      <c r="O2191" s="33" t="s">
        <v>1494</v>
      </c>
      <c r="P2191" s="33" t="s">
        <v>1494</v>
      </c>
      <c r="Q2191" s="34" t="s">
        <v>1494</v>
      </c>
      <c r="R2191" s="34" t="s">
        <v>1494</v>
      </c>
    </row>
    <row r="2192" spans="1:18" ht="15" customHeight="1" x14ac:dyDescent="0.25">
      <c r="A2192" t="str">
        <f>IFERROR(RANK(B2192,$B:$B,1)+COUNTIF($B$1:B2191,B2192),"")</f>
        <v/>
      </c>
      <c r="B2192" t="str">
        <f>IFERROR(SEARCH(#REF!,Table4[[#This Row],[Commodity Title]],1),"")</f>
        <v/>
      </c>
      <c r="C2192" s="35">
        <v>42241501</v>
      </c>
      <c r="D2192" s="33" t="s">
        <v>1495</v>
      </c>
      <c r="E2192" s="33" t="s">
        <v>1496</v>
      </c>
      <c r="F2192" s="33" t="s">
        <v>1497</v>
      </c>
      <c r="G2192" s="33" t="s">
        <v>5979</v>
      </c>
      <c r="H2192" s="33" t="s">
        <v>5980</v>
      </c>
      <c r="I2192" s="33" t="s">
        <v>5981</v>
      </c>
      <c r="J2192" s="33">
        <v>115843</v>
      </c>
      <c r="K2192" s="33" t="s">
        <v>5982</v>
      </c>
      <c r="L2192" s="33" t="s">
        <v>5983</v>
      </c>
      <c r="M2192" s="33" t="s">
        <v>5984</v>
      </c>
      <c r="N2192" s="44">
        <v>42241501</v>
      </c>
      <c r="O2192" s="33" t="s">
        <v>5985</v>
      </c>
      <c r="P2192" s="33" t="s">
        <v>5986</v>
      </c>
      <c r="Q2192" s="34" t="s">
        <v>1494</v>
      </c>
      <c r="R2192" s="34" t="s">
        <v>1494</v>
      </c>
    </row>
    <row r="2193" spans="1:18" ht="15" customHeight="1" x14ac:dyDescent="0.25">
      <c r="A2193" t="str">
        <f>IFERROR(RANK(B2193,$B:$B,1)+COUNTIF($B$1:B2192,B2193),"")</f>
        <v/>
      </c>
      <c r="B2193" t="str">
        <f>IFERROR(SEARCH(#REF!,Table4[[#This Row],[Commodity Title]],1),"")</f>
        <v/>
      </c>
      <c r="C2193" s="35">
        <v>42241502</v>
      </c>
      <c r="D2193" s="33" t="s">
        <v>1495</v>
      </c>
      <c r="E2193" s="33" t="s">
        <v>1496</v>
      </c>
      <c r="F2193" s="33" t="s">
        <v>1497</v>
      </c>
      <c r="G2193" s="33" t="s">
        <v>5979</v>
      </c>
      <c r="H2193" s="33" t="s">
        <v>5980</v>
      </c>
      <c r="I2193" s="33" t="s">
        <v>5981</v>
      </c>
      <c r="J2193" s="33">
        <v>115844</v>
      </c>
      <c r="K2193" s="33" t="s">
        <v>5982</v>
      </c>
      <c r="L2193" s="33" t="s">
        <v>5983</v>
      </c>
      <c r="M2193" s="33" t="s">
        <v>5984</v>
      </c>
      <c r="N2193" s="44">
        <v>42241502</v>
      </c>
      <c r="O2193" s="33" t="s">
        <v>5987</v>
      </c>
      <c r="P2193" s="33" t="s">
        <v>5988</v>
      </c>
      <c r="Q2193" s="34" t="s">
        <v>1494</v>
      </c>
      <c r="R2193" s="34" t="s">
        <v>1494</v>
      </c>
    </row>
    <row r="2194" spans="1:18" ht="15" customHeight="1" x14ac:dyDescent="0.25">
      <c r="A2194" t="str">
        <f>IFERROR(RANK(B2194,$B:$B,1)+COUNTIF($B$1:B2193,B2194),"")</f>
        <v/>
      </c>
      <c r="B2194" t="str">
        <f>IFERROR(SEARCH(#REF!,Table4[[#This Row],[Commodity Title]],1),"")</f>
        <v/>
      </c>
      <c r="C2194" s="35">
        <v>42241503</v>
      </c>
      <c r="D2194" s="33" t="s">
        <v>1495</v>
      </c>
      <c r="E2194" s="33" t="s">
        <v>1496</v>
      </c>
      <c r="F2194" s="33" t="s">
        <v>1497</v>
      </c>
      <c r="G2194" s="33" t="s">
        <v>5979</v>
      </c>
      <c r="H2194" s="33" t="s">
        <v>5980</v>
      </c>
      <c r="I2194" s="33" t="s">
        <v>5981</v>
      </c>
      <c r="J2194" s="33">
        <v>115845</v>
      </c>
      <c r="K2194" s="33" t="s">
        <v>5982</v>
      </c>
      <c r="L2194" s="33" t="s">
        <v>5983</v>
      </c>
      <c r="M2194" s="33" t="s">
        <v>5984</v>
      </c>
      <c r="N2194" s="44">
        <v>42241503</v>
      </c>
      <c r="O2194" s="33" t="s">
        <v>5989</v>
      </c>
      <c r="P2194" s="33" t="s">
        <v>5990</v>
      </c>
      <c r="Q2194" s="34" t="s">
        <v>1494</v>
      </c>
      <c r="R2194" s="34" t="s">
        <v>1494</v>
      </c>
    </row>
    <row r="2195" spans="1:18" ht="15" customHeight="1" x14ac:dyDescent="0.25">
      <c r="A2195" t="str">
        <f>IFERROR(RANK(B2195,$B:$B,1)+COUNTIF($B$1:B2194,B2195),"")</f>
        <v/>
      </c>
      <c r="B2195" t="str">
        <f>IFERROR(SEARCH(#REF!,Table4[[#This Row],[Commodity Title]],1),"")</f>
        <v/>
      </c>
      <c r="C2195" s="35">
        <v>42241504</v>
      </c>
      <c r="D2195" s="33" t="s">
        <v>1495</v>
      </c>
      <c r="E2195" s="33" t="s">
        <v>1496</v>
      </c>
      <c r="F2195" s="33" t="s">
        <v>1497</v>
      </c>
      <c r="G2195" s="33" t="s">
        <v>5979</v>
      </c>
      <c r="H2195" s="33" t="s">
        <v>5980</v>
      </c>
      <c r="I2195" s="33" t="s">
        <v>5981</v>
      </c>
      <c r="J2195" s="33">
        <v>115846</v>
      </c>
      <c r="K2195" s="33" t="s">
        <v>5982</v>
      </c>
      <c r="L2195" s="33" t="s">
        <v>5983</v>
      </c>
      <c r="M2195" s="33" t="s">
        <v>5984</v>
      </c>
      <c r="N2195" s="44">
        <v>42241504</v>
      </c>
      <c r="O2195" s="33" t="s">
        <v>5991</v>
      </c>
      <c r="P2195" s="33" t="s">
        <v>5992</v>
      </c>
      <c r="Q2195" s="34" t="s">
        <v>1494</v>
      </c>
      <c r="R2195" s="34" t="s">
        <v>1494</v>
      </c>
    </row>
    <row r="2196" spans="1:18" ht="15" customHeight="1" x14ac:dyDescent="0.25">
      <c r="A2196" t="str">
        <f>IFERROR(RANK(B2196,$B:$B,1)+COUNTIF($B$1:B2195,B2196),"")</f>
        <v/>
      </c>
      <c r="B2196" t="str">
        <f>IFERROR(SEARCH(#REF!,Table4[[#This Row],[Commodity Title]],1),"")</f>
        <v/>
      </c>
      <c r="C2196" s="35">
        <v>42241505</v>
      </c>
      <c r="D2196" s="33" t="s">
        <v>1495</v>
      </c>
      <c r="E2196" s="33" t="s">
        <v>1496</v>
      </c>
      <c r="F2196" s="33" t="s">
        <v>1497</v>
      </c>
      <c r="G2196" s="33" t="s">
        <v>5979</v>
      </c>
      <c r="H2196" s="33" t="s">
        <v>5980</v>
      </c>
      <c r="I2196" s="33" t="s">
        <v>5981</v>
      </c>
      <c r="J2196" s="33">
        <v>115847</v>
      </c>
      <c r="K2196" s="33" t="s">
        <v>5982</v>
      </c>
      <c r="L2196" s="33" t="s">
        <v>5983</v>
      </c>
      <c r="M2196" s="33" t="s">
        <v>5984</v>
      </c>
      <c r="N2196" s="44">
        <v>42241505</v>
      </c>
      <c r="O2196" s="33" t="s">
        <v>5993</v>
      </c>
      <c r="P2196" s="33" t="s">
        <v>5994</v>
      </c>
      <c r="Q2196" s="34" t="s">
        <v>1494</v>
      </c>
      <c r="R2196" s="34" t="s">
        <v>1494</v>
      </c>
    </row>
    <row r="2197" spans="1:18" ht="15" customHeight="1" x14ac:dyDescent="0.25">
      <c r="A2197" t="str">
        <f>IFERROR(RANK(B2197,$B:$B,1)+COUNTIF($B$1:B2196,B2197),"")</f>
        <v/>
      </c>
      <c r="B2197" t="str">
        <f>IFERROR(SEARCH(#REF!,Table4[[#This Row],[Commodity Title]],1),"")</f>
        <v/>
      </c>
      <c r="C2197" s="35">
        <v>42241506</v>
      </c>
      <c r="D2197" s="33" t="s">
        <v>1495</v>
      </c>
      <c r="E2197" s="33" t="s">
        <v>1496</v>
      </c>
      <c r="F2197" s="33" t="s">
        <v>1497</v>
      </c>
      <c r="G2197" s="33" t="s">
        <v>5979</v>
      </c>
      <c r="H2197" s="33" t="s">
        <v>5980</v>
      </c>
      <c r="I2197" s="33" t="s">
        <v>5981</v>
      </c>
      <c r="J2197" s="33">
        <v>115848</v>
      </c>
      <c r="K2197" s="33" t="s">
        <v>5982</v>
      </c>
      <c r="L2197" s="33" t="s">
        <v>5983</v>
      </c>
      <c r="M2197" s="33" t="s">
        <v>5984</v>
      </c>
      <c r="N2197" s="44">
        <v>42241506</v>
      </c>
      <c r="O2197" s="33" t="s">
        <v>5995</v>
      </c>
      <c r="P2197" s="33" t="s">
        <v>5996</v>
      </c>
      <c r="Q2197" s="34" t="s">
        <v>1494</v>
      </c>
      <c r="R2197" s="34" t="s">
        <v>1494</v>
      </c>
    </row>
    <row r="2198" spans="1:18" ht="15" customHeight="1" x14ac:dyDescent="0.25">
      <c r="A2198" t="str">
        <f>IFERROR(RANK(B2198,$B:$B,1)+COUNTIF($B$1:B2197,B2198),"")</f>
        <v/>
      </c>
      <c r="B2198" t="str">
        <f>IFERROR(SEARCH(#REF!,Table4[[#This Row],[Commodity Title]],1),"")</f>
        <v/>
      </c>
      <c r="C2198" s="35">
        <v>42241507</v>
      </c>
      <c r="D2198" s="33" t="s">
        <v>1495</v>
      </c>
      <c r="E2198" s="33" t="s">
        <v>1496</v>
      </c>
      <c r="F2198" s="33" t="s">
        <v>1497</v>
      </c>
      <c r="G2198" s="33" t="s">
        <v>5979</v>
      </c>
      <c r="H2198" s="33" t="s">
        <v>5980</v>
      </c>
      <c r="I2198" s="33" t="s">
        <v>5981</v>
      </c>
      <c r="J2198" s="33">
        <v>115849</v>
      </c>
      <c r="K2198" s="33" t="s">
        <v>5982</v>
      </c>
      <c r="L2198" s="33" t="s">
        <v>5983</v>
      </c>
      <c r="M2198" s="33" t="s">
        <v>5984</v>
      </c>
      <c r="N2198" s="44">
        <v>42241507</v>
      </c>
      <c r="O2198" s="33" t="s">
        <v>5997</v>
      </c>
      <c r="P2198" s="33" t="s">
        <v>5998</v>
      </c>
      <c r="Q2198" s="34" t="s">
        <v>1494</v>
      </c>
      <c r="R2198" s="34" t="s">
        <v>1494</v>
      </c>
    </row>
    <row r="2199" spans="1:18" ht="15" customHeight="1" x14ac:dyDescent="0.25">
      <c r="A2199" t="str">
        <f>IFERROR(RANK(B2199,$B:$B,1)+COUNTIF($B$1:B2198,B2199),"")</f>
        <v/>
      </c>
      <c r="B2199" t="str">
        <f>IFERROR(SEARCH(#REF!,Table4[[#This Row],[Commodity Title]],1),"")</f>
        <v/>
      </c>
      <c r="C2199" s="35">
        <v>42241509</v>
      </c>
      <c r="D2199" s="33" t="s">
        <v>1495</v>
      </c>
      <c r="E2199" s="33" t="s">
        <v>1496</v>
      </c>
      <c r="F2199" s="33" t="s">
        <v>1497</v>
      </c>
      <c r="G2199" s="33" t="s">
        <v>5979</v>
      </c>
      <c r="H2199" s="33" t="s">
        <v>5980</v>
      </c>
      <c r="I2199" s="33" t="s">
        <v>5981</v>
      </c>
      <c r="J2199" s="33">
        <v>115851</v>
      </c>
      <c r="K2199" s="33" t="s">
        <v>5982</v>
      </c>
      <c r="L2199" s="33" t="s">
        <v>5983</v>
      </c>
      <c r="M2199" s="33" t="s">
        <v>5984</v>
      </c>
      <c r="N2199" s="44">
        <v>42241509</v>
      </c>
      <c r="O2199" s="33" t="s">
        <v>5999</v>
      </c>
      <c r="P2199" s="33" t="s">
        <v>6000</v>
      </c>
      <c r="Q2199" s="34" t="s">
        <v>1494</v>
      </c>
      <c r="R2199" s="34" t="s">
        <v>1494</v>
      </c>
    </row>
    <row r="2200" spans="1:18" ht="15" customHeight="1" x14ac:dyDescent="0.25">
      <c r="A2200" t="str">
        <f>IFERROR(RANK(B2200,$B:$B,1)+COUNTIF($B$1:B2199,B2200),"")</f>
        <v/>
      </c>
      <c r="B2200" t="str">
        <f>IFERROR(SEARCH(#REF!,Table4[[#This Row],[Commodity Title]],1),"")</f>
        <v/>
      </c>
      <c r="C2200" s="35">
        <v>42241510</v>
      </c>
      <c r="D2200" s="33" t="s">
        <v>1495</v>
      </c>
      <c r="E2200" s="33" t="s">
        <v>1496</v>
      </c>
      <c r="F2200" s="33" t="s">
        <v>1497</v>
      </c>
      <c r="G2200" s="33" t="s">
        <v>5979</v>
      </c>
      <c r="H2200" s="33" t="s">
        <v>5980</v>
      </c>
      <c r="I2200" s="33" t="s">
        <v>5981</v>
      </c>
      <c r="J2200" s="33">
        <v>115852</v>
      </c>
      <c r="K2200" s="33" t="s">
        <v>5982</v>
      </c>
      <c r="L2200" s="33" t="s">
        <v>5983</v>
      </c>
      <c r="M2200" s="33" t="s">
        <v>5984</v>
      </c>
      <c r="N2200" s="44">
        <v>42241510</v>
      </c>
      <c r="O2200" s="33" t="s">
        <v>6001</v>
      </c>
      <c r="P2200" s="33" t="s">
        <v>6002</v>
      </c>
      <c r="Q2200" s="34" t="s">
        <v>1494</v>
      </c>
      <c r="R2200" s="34" t="s">
        <v>1494</v>
      </c>
    </row>
    <row r="2201" spans="1:18" ht="15" customHeight="1" x14ac:dyDescent="0.25">
      <c r="A2201" t="str">
        <f>IFERROR(RANK(B2201,$B:$B,1)+COUNTIF($B$1:B2200,B2201),"")</f>
        <v/>
      </c>
      <c r="B2201" t="str">
        <f>IFERROR(SEARCH(#REF!,Table4[[#This Row],[Commodity Title]],1),"")</f>
        <v/>
      </c>
      <c r="C2201" s="35">
        <v>42241511</v>
      </c>
      <c r="D2201" s="33" t="s">
        <v>1495</v>
      </c>
      <c r="E2201" s="33" t="s">
        <v>1496</v>
      </c>
      <c r="F2201" s="33" t="s">
        <v>1497</v>
      </c>
      <c r="G2201" s="33" t="s">
        <v>5979</v>
      </c>
      <c r="H2201" s="33" t="s">
        <v>5980</v>
      </c>
      <c r="I2201" s="33" t="s">
        <v>5981</v>
      </c>
      <c r="J2201" s="33">
        <v>142650</v>
      </c>
      <c r="K2201" s="33" t="s">
        <v>5982</v>
      </c>
      <c r="L2201" s="33" t="s">
        <v>5983</v>
      </c>
      <c r="M2201" s="33" t="s">
        <v>5984</v>
      </c>
      <c r="N2201" s="44">
        <v>42241511</v>
      </c>
      <c r="O2201" s="33" t="s">
        <v>6003</v>
      </c>
      <c r="P2201" s="33" t="s">
        <v>6004</v>
      </c>
      <c r="Q2201" s="34" t="s">
        <v>1494</v>
      </c>
      <c r="R2201" s="34" t="s">
        <v>1494</v>
      </c>
    </row>
    <row r="2202" spans="1:18" ht="15" customHeight="1" x14ac:dyDescent="0.25">
      <c r="A2202" t="str">
        <f>IFERROR(RANK(B2202,$B:$B,1)+COUNTIF($B$1:B2201,B2202),"")</f>
        <v/>
      </c>
      <c r="B2202" t="str">
        <f>IFERROR(SEARCH(#REF!,Table4[[#This Row],[Commodity Title]],1),"")</f>
        <v/>
      </c>
      <c r="C2202" s="35">
        <v>42241512</v>
      </c>
      <c r="D2202" s="33" t="s">
        <v>1495</v>
      </c>
      <c r="E2202" s="33" t="s">
        <v>1496</v>
      </c>
      <c r="F2202" s="33" t="s">
        <v>1497</v>
      </c>
      <c r="G2202" s="33" t="s">
        <v>5979</v>
      </c>
      <c r="H2202" s="33" t="s">
        <v>5980</v>
      </c>
      <c r="I2202" s="33" t="s">
        <v>5981</v>
      </c>
      <c r="J2202" s="33">
        <v>142651</v>
      </c>
      <c r="K2202" s="33" t="s">
        <v>5982</v>
      </c>
      <c r="L2202" s="33" t="s">
        <v>5983</v>
      </c>
      <c r="M2202" s="33" t="s">
        <v>5984</v>
      </c>
      <c r="N2202" s="44">
        <v>42241512</v>
      </c>
      <c r="O2202" s="33" t="s">
        <v>6005</v>
      </c>
      <c r="P2202" s="33" t="s">
        <v>6006</v>
      </c>
      <c r="Q2202" s="34" t="s">
        <v>1494</v>
      </c>
      <c r="R2202" s="34" t="s">
        <v>1494</v>
      </c>
    </row>
    <row r="2203" spans="1:18" ht="15" customHeight="1" x14ac:dyDescent="0.25">
      <c r="A2203" t="str">
        <f>IFERROR(RANK(B2203,$B:$B,1)+COUNTIF($B$1:B2202,B2203),"")</f>
        <v/>
      </c>
      <c r="B2203" t="str">
        <f>IFERROR(SEARCH(#REF!,Table4[[#This Row],[Commodity Title]],1),"")</f>
        <v/>
      </c>
      <c r="C2203" s="35">
        <v>42241513</v>
      </c>
      <c r="D2203" s="33" t="s">
        <v>1495</v>
      </c>
      <c r="E2203" s="33" t="s">
        <v>1496</v>
      </c>
      <c r="F2203" s="33" t="s">
        <v>1497</v>
      </c>
      <c r="G2203" s="33" t="s">
        <v>5979</v>
      </c>
      <c r="H2203" s="33" t="s">
        <v>5980</v>
      </c>
      <c r="I2203" s="33" t="s">
        <v>5981</v>
      </c>
      <c r="J2203" s="33">
        <v>142652</v>
      </c>
      <c r="K2203" s="33" t="s">
        <v>5982</v>
      </c>
      <c r="L2203" s="33" t="s">
        <v>5983</v>
      </c>
      <c r="M2203" s="33" t="s">
        <v>5984</v>
      </c>
      <c r="N2203" s="44">
        <v>42241513</v>
      </c>
      <c r="O2203" s="33" t="s">
        <v>6007</v>
      </c>
      <c r="P2203" s="33" t="s">
        <v>6008</v>
      </c>
      <c r="Q2203" s="34" t="s">
        <v>1494</v>
      </c>
      <c r="R2203" s="34" t="s">
        <v>1494</v>
      </c>
    </row>
    <row r="2204" spans="1:18" ht="15" customHeight="1" x14ac:dyDescent="0.25">
      <c r="A2204" t="str">
        <f>IFERROR(RANK(B2204,$B:$B,1)+COUNTIF($B$1:B2203,B2204),"")</f>
        <v/>
      </c>
      <c r="B2204" t="str">
        <f>IFERROR(SEARCH(#REF!,Table4[[#This Row],[Commodity Title]],1),"")</f>
        <v/>
      </c>
      <c r="C2204" s="35">
        <v>42241514</v>
      </c>
      <c r="D2204" s="33" t="s">
        <v>1495</v>
      </c>
      <c r="E2204" s="33" t="s">
        <v>1496</v>
      </c>
      <c r="F2204" s="33" t="s">
        <v>1497</v>
      </c>
      <c r="G2204" s="33" t="s">
        <v>5979</v>
      </c>
      <c r="H2204" s="33" t="s">
        <v>5980</v>
      </c>
      <c r="I2204" s="33" t="s">
        <v>5981</v>
      </c>
      <c r="J2204" s="33">
        <v>142653</v>
      </c>
      <c r="K2204" s="33" t="s">
        <v>5982</v>
      </c>
      <c r="L2204" s="33" t="s">
        <v>5983</v>
      </c>
      <c r="M2204" s="33" t="s">
        <v>5984</v>
      </c>
      <c r="N2204" s="44">
        <v>42241514</v>
      </c>
      <c r="O2204" s="33" t="s">
        <v>6009</v>
      </c>
      <c r="P2204" s="33" t="s">
        <v>6010</v>
      </c>
      <c r="Q2204" s="34" t="s">
        <v>1494</v>
      </c>
      <c r="R2204" s="34" t="s">
        <v>1494</v>
      </c>
    </row>
    <row r="2205" spans="1:18" ht="15" customHeight="1" x14ac:dyDescent="0.25">
      <c r="A2205" t="str">
        <f>IFERROR(RANK(B2205,$B:$B,1)+COUNTIF($B$1:B2204,B2205),"")</f>
        <v/>
      </c>
      <c r="B2205" t="str">
        <f>IFERROR(SEARCH(#REF!,Table4[[#This Row],[Commodity Title]],1),"")</f>
        <v/>
      </c>
      <c r="C2205" s="35">
        <v>42241516</v>
      </c>
      <c r="D2205" s="33" t="s">
        <v>1495</v>
      </c>
      <c r="E2205" s="33" t="s">
        <v>1496</v>
      </c>
      <c r="F2205" s="33" t="s">
        <v>1497</v>
      </c>
      <c r="G2205" s="33" t="s">
        <v>5979</v>
      </c>
      <c r="H2205" s="33" t="s">
        <v>5980</v>
      </c>
      <c r="I2205" s="33" t="s">
        <v>5981</v>
      </c>
      <c r="J2205" s="33">
        <v>146116</v>
      </c>
      <c r="K2205" s="33" t="s">
        <v>5982</v>
      </c>
      <c r="L2205" s="33" t="s">
        <v>5983</v>
      </c>
      <c r="M2205" s="33" t="s">
        <v>5984</v>
      </c>
      <c r="N2205" s="44">
        <v>42241516</v>
      </c>
      <c r="O2205" s="33" t="s">
        <v>6011</v>
      </c>
      <c r="P2205" s="33" t="s">
        <v>6012</v>
      </c>
      <c r="Q2205" s="34" t="s">
        <v>1494</v>
      </c>
      <c r="R2205" s="34" t="s">
        <v>1494</v>
      </c>
    </row>
    <row r="2206" spans="1:18" ht="15" customHeight="1" x14ac:dyDescent="0.25">
      <c r="A2206" t="str">
        <f>IFERROR(RANK(B2206,$B:$B,1)+COUNTIF($B$1:B2205,B2206),"")</f>
        <v/>
      </c>
      <c r="B2206" t="str">
        <f>IFERROR(SEARCH(#REF!,Table4[[#This Row],[Commodity Title]],1),"")</f>
        <v/>
      </c>
      <c r="C2206" s="35">
        <v>42241517</v>
      </c>
      <c r="D2206" s="33" t="s">
        <v>1495</v>
      </c>
      <c r="E2206" s="33" t="s">
        <v>1496</v>
      </c>
      <c r="F2206" s="33" t="s">
        <v>1497</v>
      </c>
      <c r="G2206" s="33" t="s">
        <v>5979</v>
      </c>
      <c r="H2206" s="33" t="s">
        <v>5980</v>
      </c>
      <c r="I2206" s="33" t="s">
        <v>5981</v>
      </c>
      <c r="J2206" s="33">
        <v>146129</v>
      </c>
      <c r="K2206" s="33" t="s">
        <v>5982</v>
      </c>
      <c r="L2206" s="33" t="s">
        <v>5983</v>
      </c>
      <c r="M2206" s="33" t="s">
        <v>5984</v>
      </c>
      <c r="N2206" s="44">
        <v>42241517</v>
      </c>
      <c r="O2206" s="33" t="s">
        <v>6013</v>
      </c>
      <c r="P2206" s="33" t="s">
        <v>6014</v>
      </c>
      <c r="Q2206" s="34" t="s">
        <v>1494</v>
      </c>
      <c r="R2206" s="34" t="s">
        <v>1494</v>
      </c>
    </row>
    <row r="2207" spans="1:18" ht="15" customHeight="1" x14ac:dyDescent="0.25">
      <c r="A2207" t="str">
        <f>IFERROR(RANK(B2207,$B:$B,1)+COUNTIF($B$1:B2206,B2207),"")</f>
        <v/>
      </c>
      <c r="B2207" t="str">
        <f>IFERROR(SEARCH(#REF!,Table4[[#This Row],[Commodity Title]],1),"")</f>
        <v/>
      </c>
      <c r="C2207" s="35">
        <v>42241518</v>
      </c>
      <c r="D2207" s="33" t="s">
        <v>1495</v>
      </c>
      <c r="E2207" s="33" t="s">
        <v>1496</v>
      </c>
      <c r="F2207" s="33" t="s">
        <v>1497</v>
      </c>
      <c r="G2207" s="33" t="s">
        <v>5979</v>
      </c>
      <c r="H2207" s="33" t="s">
        <v>5980</v>
      </c>
      <c r="I2207" s="33" t="s">
        <v>5981</v>
      </c>
      <c r="J2207" s="33">
        <v>202957</v>
      </c>
      <c r="K2207" s="33" t="s">
        <v>5982</v>
      </c>
      <c r="L2207" s="33" t="s">
        <v>5983</v>
      </c>
      <c r="M2207" s="33" t="s">
        <v>5984</v>
      </c>
      <c r="N2207" s="44">
        <v>42241518</v>
      </c>
      <c r="O2207" s="33" t="s">
        <v>6015</v>
      </c>
      <c r="P2207" s="33" t="s">
        <v>6016</v>
      </c>
      <c r="Q2207" s="34" t="s">
        <v>1494</v>
      </c>
      <c r="R2207" s="34" t="s">
        <v>1494</v>
      </c>
    </row>
    <row r="2208" spans="1:18" ht="15" customHeight="1" x14ac:dyDescent="0.25">
      <c r="A2208" t="str">
        <f>IFERROR(RANK(B2208,$B:$B,1)+COUNTIF($B$1:B2207,B2208),"")</f>
        <v/>
      </c>
      <c r="B2208" t="str">
        <f>IFERROR(SEARCH(#REF!,Table4[[#This Row],[Commodity Title]],1),"")</f>
        <v/>
      </c>
      <c r="C2208" s="35">
        <v>42241519</v>
      </c>
      <c r="D2208" s="33" t="s">
        <v>1495</v>
      </c>
      <c r="E2208" s="33" t="s">
        <v>1496</v>
      </c>
      <c r="F2208" s="33" t="s">
        <v>1497</v>
      </c>
      <c r="G2208" s="33" t="s">
        <v>5979</v>
      </c>
      <c r="H2208" s="33" t="s">
        <v>5980</v>
      </c>
      <c r="I2208" s="33" t="s">
        <v>5981</v>
      </c>
      <c r="J2208" s="33">
        <v>202958</v>
      </c>
      <c r="K2208" s="33" t="s">
        <v>5982</v>
      </c>
      <c r="L2208" s="33" t="s">
        <v>5983</v>
      </c>
      <c r="M2208" s="33" t="s">
        <v>5984</v>
      </c>
      <c r="N2208" s="44">
        <v>42241519</v>
      </c>
      <c r="O2208" s="33" t="s">
        <v>6017</v>
      </c>
      <c r="P2208" s="33" t="s">
        <v>6018</v>
      </c>
      <c r="Q2208" s="34" t="s">
        <v>1494</v>
      </c>
      <c r="R2208" s="34" t="s">
        <v>1494</v>
      </c>
    </row>
    <row r="2209" spans="1:18" ht="15" customHeight="1" x14ac:dyDescent="0.25">
      <c r="A2209" t="str">
        <f>IFERROR(RANK(B2209,$B:$B,1)+COUNTIF($B$1:B2208,B2209),"")</f>
        <v/>
      </c>
      <c r="B2209" t="str">
        <f>IFERROR(SEARCH(#REF!,Table4[[#This Row],[Commodity Title]],1),"")</f>
        <v/>
      </c>
      <c r="C2209" s="35">
        <v>42241520</v>
      </c>
      <c r="D2209" s="33" t="s">
        <v>1495</v>
      </c>
      <c r="E2209" s="33" t="s">
        <v>1496</v>
      </c>
      <c r="F2209" s="33" t="s">
        <v>1497</v>
      </c>
      <c r="G2209" s="33" t="s">
        <v>5979</v>
      </c>
      <c r="H2209" s="33" t="s">
        <v>5980</v>
      </c>
      <c r="I2209" s="33" t="s">
        <v>5981</v>
      </c>
      <c r="J2209" s="33">
        <v>202959</v>
      </c>
      <c r="K2209" s="33" t="s">
        <v>5982</v>
      </c>
      <c r="L2209" s="33" t="s">
        <v>5983</v>
      </c>
      <c r="M2209" s="33" t="s">
        <v>5984</v>
      </c>
      <c r="N2209" s="44">
        <v>42241520</v>
      </c>
      <c r="O2209" s="33" t="s">
        <v>6019</v>
      </c>
      <c r="P2209" s="33" t="s">
        <v>6020</v>
      </c>
      <c r="Q2209" s="34" t="s">
        <v>1494</v>
      </c>
      <c r="R2209" s="34" t="s">
        <v>1494</v>
      </c>
    </row>
    <row r="2210" spans="1:18" ht="15" customHeight="1" x14ac:dyDescent="0.25">
      <c r="A2210" t="str">
        <f>IFERROR(RANK(B2210,$B:$B,1)+COUNTIF($B$1:B2209,B2210),"")</f>
        <v/>
      </c>
      <c r="B2210" t="str">
        <f>IFERROR(SEARCH(#REF!,Table4[[#This Row],[Commodity Title]],1),"")</f>
        <v/>
      </c>
      <c r="C2210" s="33" t="s">
        <v>1494</v>
      </c>
      <c r="D2210" s="33" t="s">
        <v>1495</v>
      </c>
      <c r="E2210" s="33" t="s">
        <v>1496</v>
      </c>
      <c r="F2210" s="33" t="s">
        <v>1497</v>
      </c>
      <c r="G2210" s="33" t="s">
        <v>5979</v>
      </c>
      <c r="H2210" s="33" t="s">
        <v>5980</v>
      </c>
      <c r="I2210" s="33" t="s">
        <v>5981</v>
      </c>
      <c r="J2210" s="33">
        <v>115853</v>
      </c>
      <c r="K2210" s="33" t="s">
        <v>6021</v>
      </c>
      <c r="L2210" s="33" t="s">
        <v>6022</v>
      </c>
      <c r="M2210" s="33" t="s">
        <v>6023</v>
      </c>
      <c r="N2210" s="44" t="s">
        <v>1494</v>
      </c>
      <c r="O2210" s="33" t="s">
        <v>1494</v>
      </c>
      <c r="P2210" s="33" t="s">
        <v>1494</v>
      </c>
      <c r="Q2210" s="34" t="s">
        <v>1494</v>
      </c>
      <c r="R2210" s="34" t="s">
        <v>1494</v>
      </c>
    </row>
    <row r="2211" spans="1:18" ht="15" customHeight="1" x14ac:dyDescent="0.25">
      <c r="A2211" t="str">
        <f>IFERROR(RANK(B2211,$B:$B,1)+COUNTIF($B$1:B2210,B2211),"")</f>
        <v/>
      </c>
      <c r="B2211" t="str">
        <f>IFERROR(SEARCH(#REF!,Table4[[#This Row],[Commodity Title]],1),"")</f>
        <v/>
      </c>
      <c r="C2211" s="35">
        <v>42241602</v>
      </c>
      <c r="D2211" s="33" t="s">
        <v>1495</v>
      </c>
      <c r="E2211" s="33" t="s">
        <v>1496</v>
      </c>
      <c r="F2211" s="33" t="s">
        <v>1497</v>
      </c>
      <c r="G2211" s="33" t="s">
        <v>5979</v>
      </c>
      <c r="H2211" s="33" t="s">
        <v>5980</v>
      </c>
      <c r="I2211" s="33" t="s">
        <v>5981</v>
      </c>
      <c r="J2211" s="33">
        <v>115855</v>
      </c>
      <c r="K2211" s="33" t="s">
        <v>6021</v>
      </c>
      <c r="L2211" s="33" t="s">
        <v>6022</v>
      </c>
      <c r="M2211" s="33" t="s">
        <v>6023</v>
      </c>
      <c r="N2211" s="44">
        <v>42241602</v>
      </c>
      <c r="O2211" s="33" t="s">
        <v>6024</v>
      </c>
      <c r="P2211" s="33" t="s">
        <v>6025</v>
      </c>
      <c r="Q2211" s="34" t="s">
        <v>1494</v>
      </c>
      <c r="R2211" s="34" t="s">
        <v>1494</v>
      </c>
    </row>
    <row r="2212" spans="1:18" ht="15" customHeight="1" x14ac:dyDescent="0.25">
      <c r="A2212" t="str">
        <f>IFERROR(RANK(B2212,$B:$B,1)+COUNTIF($B$1:B2211,B2212),"")</f>
        <v/>
      </c>
      <c r="B2212" t="str">
        <f>IFERROR(SEARCH(#REF!,Table4[[#This Row],[Commodity Title]],1),"")</f>
        <v/>
      </c>
      <c r="C2212" s="35">
        <v>42241603</v>
      </c>
      <c r="D2212" s="33" t="s">
        <v>1495</v>
      </c>
      <c r="E2212" s="33" t="s">
        <v>1496</v>
      </c>
      <c r="F2212" s="33" t="s">
        <v>1497</v>
      </c>
      <c r="G2212" s="33" t="s">
        <v>5979</v>
      </c>
      <c r="H2212" s="33" t="s">
        <v>5980</v>
      </c>
      <c r="I2212" s="33" t="s">
        <v>5981</v>
      </c>
      <c r="J2212" s="33">
        <v>115856</v>
      </c>
      <c r="K2212" s="33" t="s">
        <v>6021</v>
      </c>
      <c r="L2212" s="33" t="s">
        <v>6022</v>
      </c>
      <c r="M2212" s="33" t="s">
        <v>6023</v>
      </c>
      <c r="N2212" s="44">
        <v>42241603</v>
      </c>
      <c r="O2212" s="33" t="s">
        <v>6026</v>
      </c>
      <c r="P2212" s="33" t="s">
        <v>6027</v>
      </c>
      <c r="Q2212" s="34" t="s">
        <v>1494</v>
      </c>
      <c r="R2212" s="34" t="s">
        <v>1494</v>
      </c>
    </row>
    <row r="2213" spans="1:18" ht="15" customHeight="1" x14ac:dyDescent="0.25">
      <c r="A2213" t="str">
        <f>IFERROR(RANK(B2213,$B:$B,1)+COUNTIF($B$1:B2212,B2213),"")</f>
        <v/>
      </c>
      <c r="B2213" t="str">
        <f>IFERROR(SEARCH(#REF!,Table4[[#This Row],[Commodity Title]],1),"")</f>
        <v/>
      </c>
      <c r="C2213" s="35">
        <v>42241604</v>
      </c>
      <c r="D2213" s="33" t="s">
        <v>1495</v>
      </c>
      <c r="E2213" s="33" t="s">
        <v>1496</v>
      </c>
      <c r="F2213" s="33" t="s">
        <v>1497</v>
      </c>
      <c r="G2213" s="33" t="s">
        <v>5979</v>
      </c>
      <c r="H2213" s="33" t="s">
        <v>5980</v>
      </c>
      <c r="I2213" s="33" t="s">
        <v>5981</v>
      </c>
      <c r="J2213" s="33">
        <v>115857</v>
      </c>
      <c r="K2213" s="33" t="s">
        <v>6021</v>
      </c>
      <c r="L2213" s="33" t="s">
        <v>6022</v>
      </c>
      <c r="M2213" s="33" t="s">
        <v>6023</v>
      </c>
      <c r="N2213" s="44">
        <v>42241604</v>
      </c>
      <c r="O2213" s="33" t="s">
        <v>6028</v>
      </c>
      <c r="P2213" s="33" t="s">
        <v>6029</v>
      </c>
      <c r="Q2213" s="34" t="s">
        <v>1494</v>
      </c>
      <c r="R2213" s="34" t="s">
        <v>1494</v>
      </c>
    </row>
    <row r="2214" spans="1:18" ht="15" customHeight="1" x14ac:dyDescent="0.25">
      <c r="A2214" t="str">
        <f>IFERROR(RANK(B2214,$B:$B,1)+COUNTIF($B$1:B2213,B2214),"")</f>
        <v/>
      </c>
      <c r="B2214" t="str">
        <f>IFERROR(SEARCH(#REF!,Table4[[#This Row],[Commodity Title]],1),"")</f>
        <v/>
      </c>
      <c r="C2214" s="35">
        <v>42241606</v>
      </c>
      <c r="D2214" s="33" t="s">
        <v>1495</v>
      </c>
      <c r="E2214" s="33" t="s">
        <v>1496</v>
      </c>
      <c r="F2214" s="33" t="s">
        <v>1497</v>
      </c>
      <c r="G2214" s="33" t="s">
        <v>5979</v>
      </c>
      <c r="H2214" s="33" t="s">
        <v>5980</v>
      </c>
      <c r="I2214" s="33" t="s">
        <v>5981</v>
      </c>
      <c r="J2214" s="33">
        <v>142655</v>
      </c>
      <c r="K2214" s="33" t="s">
        <v>6021</v>
      </c>
      <c r="L2214" s="33" t="s">
        <v>6022</v>
      </c>
      <c r="M2214" s="33" t="s">
        <v>6023</v>
      </c>
      <c r="N2214" s="44">
        <v>42241606</v>
      </c>
      <c r="O2214" s="33" t="s">
        <v>6030</v>
      </c>
      <c r="P2214" s="33" t="s">
        <v>6031</v>
      </c>
      <c r="Q2214" s="34" t="s">
        <v>1494</v>
      </c>
      <c r="R2214" s="34" t="s">
        <v>1494</v>
      </c>
    </row>
    <row r="2215" spans="1:18" ht="15" customHeight="1" x14ac:dyDescent="0.25">
      <c r="A2215" t="str">
        <f>IFERROR(RANK(B2215,$B:$B,1)+COUNTIF($B$1:B2214,B2215),"")</f>
        <v/>
      </c>
      <c r="B2215" t="str">
        <f>IFERROR(SEARCH(#REF!,Table4[[#This Row],[Commodity Title]],1),"")</f>
        <v/>
      </c>
      <c r="C2215" s="33" t="s">
        <v>1494</v>
      </c>
      <c r="D2215" s="33" t="s">
        <v>1495</v>
      </c>
      <c r="E2215" s="33" t="s">
        <v>1496</v>
      </c>
      <c r="F2215" s="33" t="s">
        <v>1497</v>
      </c>
      <c r="G2215" s="33" t="s">
        <v>5979</v>
      </c>
      <c r="H2215" s="33" t="s">
        <v>5980</v>
      </c>
      <c r="I2215" s="33" t="s">
        <v>5981</v>
      </c>
      <c r="J2215" s="33">
        <v>115859</v>
      </c>
      <c r="K2215" s="33" t="s">
        <v>6032</v>
      </c>
      <c r="L2215" s="33" t="s">
        <v>6033</v>
      </c>
      <c r="M2215" s="33" t="s">
        <v>6034</v>
      </c>
      <c r="N2215" s="44" t="s">
        <v>1494</v>
      </c>
      <c r="O2215" s="33" t="s">
        <v>1494</v>
      </c>
      <c r="P2215" s="33" t="s">
        <v>1494</v>
      </c>
      <c r="Q2215" s="34" t="s">
        <v>1494</v>
      </c>
      <c r="R2215" s="34" t="s">
        <v>1494</v>
      </c>
    </row>
    <row r="2216" spans="1:18" ht="15" customHeight="1" x14ac:dyDescent="0.25">
      <c r="A2216" t="str">
        <f>IFERROR(RANK(B2216,$B:$B,1)+COUNTIF($B$1:B2215,B2216),"")</f>
        <v/>
      </c>
      <c r="B2216" t="str">
        <f>IFERROR(SEARCH(#REF!,Table4[[#This Row],[Commodity Title]],1),"")</f>
        <v/>
      </c>
      <c r="C2216" s="35">
        <v>42241701</v>
      </c>
      <c r="D2216" s="33" t="s">
        <v>1495</v>
      </c>
      <c r="E2216" s="33" t="s">
        <v>1496</v>
      </c>
      <c r="F2216" s="33" t="s">
        <v>1497</v>
      </c>
      <c r="G2216" s="33" t="s">
        <v>5979</v>
      </c>
      <c r="H2216" s="33" t="s">
        <v>5980</v>
      </c>
      <c r="I2216" s="33" t="s">
        <v>5981</v>
      </c>
      <c r="J2216" s="33">
        <v>115860</v>
      </c>
      <c r="K2216" s="33" t="s">
        <v>6032</v>
      </c>
      <c r="L2216" s="33" t="s">
        <v>6033</v>
      </c>
      <c r="M2216" s="33" t="s">
        <v>6034</v>
      </c>
      <c r="N2216" s="44">
        <v>42241701</v>
      </c>
      <c r="O2216" s="33" t="s">
        <v>6035</v>
      </c>
      <c r="P2216" s="33" t="s">
        <v>6036</v>
      </c>
      <c r="Q2216" s="34" t="s">
        <v>1494</v>
      </c>
      <c r="R2216" s="34" t="s">
        <v>1494</v>
      </c>
    </row>
    <row r="2217" spans="1:18" ht="15" customHeight="1" x14ac:dyDescent="0.25">
      <c r="A2217" t="str">
        <f>IFERROR(RANK(B2217,$B:$B,1)+COUNTIF($B$1:B2216,B2217),"")</f>
        <v/>
      </c>
      <c r="B2217" t="str">
        <f>IFERROR(SEARCH(#REF!,Table4[[#This Row],[Commodity Title]],1),"")</f>
        <v/>
      </c>
      <c r="C2217" s="35">
        <v>42241702</v>
      </c>
      <c r="D2217" s="33" t="s">
        <v>1495</v>
      </c>
      <c r="E2217" s="33" t="s">
        <v>1496</v>
      </c>
      <c r="F2217" s="33" t="s">
        <v>1497</v>
      </c>
      <c r="G2217" s="33" t="s">
        <v>5979</v>
      </c>
      <c r="H2217" s="33" t="s">
        <v>5980</v>
      </c>
      <c r="I2217" s="33" t="s">
        <v>5981</v>
      </c>
      <c r="J2217" s="33">
        <v>115861</v>
      </c>
      <c r="K2217" s="33" t="s">
        <v>6032</v>
      </c>
      <c r="L2217" s="33" t="s">
        <v>6033</v>
      </c>
      <c r="M2217" s="33" t="s">
        <v>6034</v>
      </c>
      <c r="N2217" s="44">
        <v>42241702</v>
      </c>
      <c r="O2217" s="33" t="s">
        <v>6037</v>
      </c>
      <c r="P2217" s="33" t="s">
        <v>6038</v>
      </c>
      <c r="Q2217" s="34" t="s">
        <v>1494</v>
      </c>
      <c r="R2217" s="34" t="s">
        <v>1494</v>
      </c>
    </row>
    <row r="2218" spans="1:18" ht="15" customHeight="1" x14ac:dyDescent="0.25">
      <c r="A2218" t="str">
        <f>IFERROR(RANK(B2218,$B:$B,1)+COUNTIF($B$1:B2217,B2218),"")</f>
        <v/>
      </c>
      <c r="B2218" t="str">
        <f>IFERROR(SEARCH(#REF!,Table4[[#This Row],[Commodity Title]],1),"")</f>
        <v/>
      </c>
      <c r="C2218" s="35">
        <v>42241703</v>
      </c>
      <c r="D2218" s="33" t="s">
        <v>1495</v>
      </c>
      <c r="E2218" s="33" t="s">
        <v>1496</v>
      </c>
      <c r="F2218" s="33" t="s">
        <v>1497</v>
      </c>
      <c r="G2218" s="33" t="s">
        <v>5979</v>
      </c>
      <c r="H2218" s="33" t="s">
        <v>5980</v>
      </c>
      <c r="I2218" s="33" t="s">
        <v>5981</v>
      </c>
      <c r="J2218" s="33">
        <v>115862</v>
      </c>
      <c r="K2218" s="33" t="s">
        <v>6032</v>
      </c>
      <c r="L2218" s="33" t="s">
        <v>6033</v>
      </c>
      <c r="M2218" s="33" t="s">
        <v>6034</v>
      </c>
      <c r="N2218" s="44">
        <v>42241703</v>
      </c>
      <c r="O2218" s="33" t="s">
        <v>6039</v>
      </c>
      <c r="P2218" s="33" t="s">
        <v>6040</v>
      </c>
      <c r="Q2218" s="34" t="s">
        <v>1494</v>
      </c>
      <c r="R2218" s="34" t="s">
        <v>1494</v>
      </c>
    </row>
    <row r="2219" spans="1:18" ht="15" customHeight="1" x14ac:dyDescent="0.25">
      <c r="A2219" t="str">
        <f>IFERROR(RANK(B2219,$B:$B,1)+COUNTIF($B$1:B2218,B2219),"")</f>
        <v/>
      </c>
      <c r="B2219" t="str">
        <f>IFERROR(SEARCH(#REF!,Table4[[#This Row],[Commodity Title]],1),"")</f>
        <v/>
      </c>
      <c r="C2219" s="35">
        <v>42241705</v>
      </c>
      <c r="D2219" s="33" t="s">
        <v>1495</v>
      </c>
      <c r="E2219" s="33" t="s">
        <v>1496</v>
      </c>
      <c r="F2219" s="33" t="s">
        <v>1497</v>
      </c>
      <c r="G2219" s="33" t="s">
        <v>5979</v>
      </c>
      <c r="H2219" s="33" t="s">
        <v>5980</v>
      </c>
      <c r="I2219" s="33" t="s">
        <v>5981</v>
      </c>
      <c r="J2219" s="33">
        <v>115864</v>
      </c>
      <c r="K2219" s="33" t="s">
        <v>6032</v>
      </c>
      <c r="L2219" s="33" t="s">
        <v>6033</v>
      </c>
      <c r="M2219" s="33" t="s">
        <v>6034</v>
      </c>
      <c r="N2219" s="44">
        <v>42241705</v>
      </c>
      <c r="O2219" s="33" t="s">
        <v>6041</v>
      </c>
      <c r="P2219" s="33" t="s">
        <v>6042</v>
      </c>
      <c r="Q2219" s="34" t="s">
        <v>1494</v>
      </c>
      <c r="R2219" s="34" t="s">
        <v>1494</v>
      </c>
    </row>
    <row r="2220" spans="1:18" ht="15" customHeight="1" x14ac:dyDescent="0.25">
      <c r="A2220" t="str">
        <f>IFERROR(RANK(B2220,$B:$B,1)+COUNTIF($B$1:B2219,B2220),"")</f>
        <v/>
      </c>
      <c r="B2220" t="str">
        <f>IFERROR(SEARCH(#REF!,Table4[[#This Row],[Commodity Title]],1),"")</f>
        <v/>
      </c>
      <c r="C2220" s="35">
        <v>42241706</v>
      </c>
      <c r="D2220" s="33" t="s">
        <v>1495</v>
      </c>
      <c r="E2220" s="33" t="s">
        <v>1496</v>
      </c>
      <c r="F2220" s="33" t="s">
        <v>1497</v>
      </c>
      <c r="G2220" s="33" t="s">
        <v>5979</v>
      </c>
      <c r="H2220" s="33" t="s">
        <v>5980</v>
      </c>
      <c r="I2220" s="33" t="s">
        <v>5981</v>
      </c>
      <c r="J2220" s="33">
        <v>115865</v>
      </c>
      <c r="K2220" s="33" t="s">
        <v>6032</v>
      </c>
      <c r="L2220" s="33" t="s">
        <v>6033</v>
      </c>
      <c r="M2220" s="33" t="s">
        <v>6034</v>
      </c>
      <c r="N2220" s="44">
        <v>42241706</v>
      </c>
      <c r="O2220" s="33" t="s">
        <v>6043</v>
      </c>
      <c r="P2220" s="33" t="s">
        <v>6044</v>
      </c>
      <c r="Q2220" s="34" t="s">
        <v>1494</v>
      </c>
      <c r="R2220" s="34" t="s">
        <v>1494</v>
      </c>
    </row>
    <row r="2221" spans="1:18" ht="15" customHeight="1" x14ac:dyDescent="0.25">
      <c r="A2221" t="str">
        <f>IFERROR(RANK(B2221,$B:$B,1)+COUNTIF($B$1:B2220,B2221),"")</f>
        <v/>
      </c>
      <c r="B2221" t="str">
        <f>IFERROR(SEARCH(#REF!,Table4[[#This Row],[Commodity Title]],1),"")</f>
        <v/>
      </c>
      <c r="C2221" s="35">
        <v>42241707</v>
      </c>
      <c r="D2221" s="33" t="s">
        <v>1495</v>
      </c>
      <c r="E2221" s="33" t="s">
        <v>1496</v>
      </c>
      <c r="F2221" s="33" t="s">
        <v>1497</v>
      </c>
      <c r="G2221" s="33" t="s">
        <v>5979</v>
      </c>
      <c r="H2221" s="33" t="s">
        <v>5980</v>
      </c>
      <c r="I2221" s="33" t="s">
        <v>5981</v>
      </c>
      <c r="J2221" s="33">
        <v>115866</v>
      </c>
      <c r="K2221" s="33" t="s">
        <v>6032</v>
      </c>
      <c r="L2221" s="33" t="s">
        <v>6033</v>
      </c>
      <c r="M2221" s="33" t="s">
        <v>6034</v>
      </c>
      <c r="N2221" s="44">
        <v>42241707</v>
      </c>
      <c r="O2221" s="33" t="s">
        <v>6045</v>
      </c>
      <c r="P2221" s="33" t="s">
        <v>6046</v>
      </c>
      <c r="Q2221" s="34" t="s">
        <v>1494</v>
      </c>
      <c r="R2221" s="34" t="s">
        <v>1494</v>
      </c>
    </row>
    <row r="2222" spans="1:18" ht="15" customHeight="1" x14ac:dyDescent="0.25">
      <c r="A2222" t="str">
        <f>IFERROR(RANK(B2222,$B:$B,1)+COUNTIF($B$1:B2221,B2222),"")</f>
        <v/>
      </c>
      <c r="B2222" t="str">
        <f>IFERROR(SEARCH(#REF!,Table4[[#This Row],[Commodity Title]],1),"")</f>
        <v/>
      </c>
      <c r="C2222" s="35">
        <v>42241708</v>
      </c>
      <c r="D2222" s="33" t="s">
        <v>1495</v>
      </c>
      <c r="E2222" s="33" t="s">
        <v>1496</v>
      </c>
      <c r="F2222" s="33" t="s">
        <v>1497</v>
      </c>
      <c r="G2222" s="33" t="s">
        <v>5979</v>
      </c>
      <c r="H2222" s="33" t="s">
        <v>5980</v>
      </c>
      <c r="I2222" s="33" t="s">
        <v>5981</v>
      </c>
      <c r="J2222" s="33">
        <v>142657</v>
      </c>
      <c r="K2222" s="33" t="s">
        <v>6032</v>
      </c>
      <c r="L2222" s="33" t="s">
        <v>6033</v>
      </c>
      <c r="M2222" s="33" t="s">
        <v>6034</v>
      </c>
      <c r="N2222" s="44">
        <v>42241708</v>
      </c>
      <c r="O2222" s="33" t="s">
        <v>6047</v>
      </c>
      <c r="P2222" s="33" t="s">
        <v>6048</v>
      </c>
      <c r="Q2222" s="34" t="s">
        <v>1494</v>
      </c>
      <c r="R2222" s="34" t="s">
        <v>1494</v>
      </c>
    </row>
    <row r="2223" spans="1:18" ht="15" customHeight="1" x14ac:dyDescent="0.25">
      <c r="A2223" t="str">
        <f>IFERROR(RANK(B2223,$B:$B,1)+COUNTIF($B$1:B2222,B2223),"")</f>
        <v/>
      </c>
      <c r="B2223" t="str">
        <f>IFERROR(SEARCH(#REF!,Table4[[#This Row],[Commodity Title]],1),"")</f>
        <v/>
      </c>
      <c r="C2223" s="35">
        <v>42241709</v>
      </c>
      <c r="D2223" s="33" t="s">
        <v>1495</v>
      </c>
      <c r="E2223" s="33" t="s">
        <v>1496</v>
      </c>
      <c r="F2223" s="33" t="s">
        <v>1497</v>
      </c>
      <c r="G2223" s="33" t="s">
        <v>5979</v>
      </c>
      <c r="H2223" s="33" t="s">
        <v>5980</v>
      </c>
      <c r="I2223" s="33" t="s">
        <v>5981</v>
      </c>
      <c r="J2223" s="33">
        <v>142260</v>
      </c>
      <c r="K2223" s="33" t="s">
        <v>6032</v>
      </c>
      <c r="L2223" s="33" t="s">
        <v>6033</v>
      </c>
      <c r="M2223" s="33" t="s">
        <v>6034</v>
      </c>
      <c r="N2223" s="44">
        <v>42241709</v>
      </c>
      <c r="O2223" s="33" t="s">
        <v>6049</v>
      </c>
      <c r="P2223" s="33" t="s">
        <v>6050</v>
      </c>
      <c r="Q2223" s="34" t="s">
        <v>1494</v>
      </c>
      <c r="R2223" s="34" t="s">
        <v>1494</v>
      </c>
    </row>
    <row r="2224" spans="1:18" ht="15" customHeight="1" x14ac:dyDescent="0.25">
      <c r="A2224" t="str">
        <f>IFERROR(RANK(B2224,$B:$B,1)+COUNTIF($B$1:B2223,B2224),"")</f>
        <v/>
      </c>
      <c r="B2224" t="str">
        <f>IFERROR(SEARCH(#REF!,Table4[[#This Row],[Commodity Title]],1),"")</f>
        <v/>
      </c>
      <c r="C2224" s="35">
        <v>42241710</v>
      </c>
      <c r="D2224" s="33" t="s">
        <v>1495</v>
      </c>
      <c r="E2224" s="33" t="s">
        <v>1496</v>
      </c>
      <c r="F2224" s="33" t="s">
        <v>1497</v>
      </c>
      <c r="G2224" s="33" t="s">
        <v>5979</v>
      </c>
      <c r="H2224" s="33" t="s">
        <v>5980</v>
      </c>
      <c r="I2224" s="33" t="s">
        <v>5981</v>
      </c>
      <c r="J2224" s="33">
        <v>202960</v>
      </c>
      <c r="K2224" s="33" t="s">
        <v>6032</v>
      </c>
      <c r="L2224" s="33" t="s">
        <v>6033</v>
      </c>
      <c r="M2224" s="33" t="s">
        <v>6034</v>
      </c>
      <c r="N2224" s="44">
        <v>42241710</v>
      </c>
      <c r="O2224" s="33" t="s">
        <v>6051</v>
      </c>
      <c r="P2224" s="33" t="s">
        <v>6052</v>
      </c>
      <c r="Q2224" s="34" t="s">
        <v>1494</v>
      </c>
      <c r="R2224" s="34" t="s">
        <v>1494</v>
      </c>
    </row>
    <row r="2225" spans="1:18" ht="15" customHeight="1" x14ac:dyDescent="0.25">
      <c r="A2225" t="str">
        <f>IFERROR(RANK(B2225,$B:$B,1)+COUNTIF($B$1:B2224,B2225),"")</f>
        <v/>
      </c>
      <c r="B2225" t="str">
        <f>IFERROR(SEARCH(#REF!,Table4[[#This Row],[Commodity Title]],1),"")</f>
        <v/>
      </c>
      <c r="C2225" s="35">
        <v>42241711</v>
      </c>
      <c r="D2225" s="33" t="s">
        <v>1495</v>
      </c>
      <c r="E2225" s="33" t="s">
        <v>1496</v>
      </c>
      <c r="F2225" s="33" t="s">
        <v>1497</v>
      </c>
      <c r="G2225" s="33" t="s">
        <v>5979</v>
      </c>
      <c r="H2225" s="33" t="s">
        <v>5980</v>
      </c>
      <c r="I2225" s="33" t="s">
        <v>5981</v>
      </c>
      <c r="J2225" s="33">
        <v>202961</v>
      </c>
      <c r="K2225" s="33" t="s">
        <v>6032</v>
      </c>
      <c r="L2225" s="33" t="s">
        <v>6033</v>
      </c>
      <c r="M2225" s="33" t="s">
        <v>6034</v>
      </c>
      <c r="N2225" s="44">
        <v>42241711</v>
      </c>
      <c r="O2225" s="33" t="s">
        <v>6053</v>
      </c>
      <c r="P2225" s="33" t="s">
        <v>6054</v>
      </c>
      <c r="Q2225" s="34" t="s">
        <v>1494</v>
      </c>
      <c r="R2225" s="34" t="s">
        <v>1494</v>
      </c>
    </row>
    <row r="2226" spans="1:18" ht="15" customHeight="1" x14ac:dyDescent="0.25">
      <c r="A2226" t="str">
        <f>IFERROR(RANK(B2226,$B:$B,1)+COUNTIF($B$1:B2225,B2226),"")</f>
        <v/>
      </c>
      <c r="B2226" t="str">
        <f>IFERROR(SEARCH(#REF!,Table4[[#This Row],[Commodity Title]],1),"")</f>
        <v/>
      </c>
      <c r="C2226" s="35">
        <v>42241712</v>
      </c>
      <c r="D2226" s="33" t="s">
        <v>1495</v>
      </c>
      <c r="E2226" s="33" t="s">
        <v>1496</v>
      </c>
      <c r="F2226" s="33" t="s">
        <v>1497</v>
      </c>
      <c r="G2226" s="33" t="s">
        <v>5979</v>
      </c>
      <c r="H2226" s="33" t="s">
        <v>5980</v>
      </c>
      <c r="I2226" s="33" t="s">
        <v>5981</v>
      </c>
      <c r="J2226" s="33">
        <v>202962</v>
      </c>
      <c r="K2226" s="33" t="s">
        <v>6032</v>
      </c>
      <c r="L2226" s="33" t="s">
        <v>6033</v>
      </c>
      <c r="M2226" s="33" t="s">
        <v>6034</v>
      </c>
      <c r="N2226" s="44">
        <v>42241712</v>
      </c>
      <c r="O2226" s="33" t="s">
        <v>6055</v>
      </c>
      <c r="P2226" s="33" t="s">
        <v>6056</v>
      </c>
      <c r="Q2226" s="34" t="s">
        <v>1494</v>
      </c>
      <c r="R2226" s="34" t="s">
        <v>1494</v>
      </c>
    </row>
    <row r="2227" spans="1:18" ht="15" customHeight="1" x14ac:dyDescent="0.25">
      <c r="A2227" t="str">
        <f>IFERROR(RANK(B2227,$B:$B,1)+COUNTIF($B$1:B2226,B2227),"")</f>
        <v/>
      </c>
      <c r="B2227" t="str">
        <f>IFERROR(SEARCH(#REF!,Table4[[#This Row],[Commodity Title]],1),"")</f>
        <v/>
      </c>
      <c r="C2227" s="35">
        <v>42241713</v>
      </c>
      <c r="D2227" s="33" t="s">
        <v>1495</v>
      </c>
      <c r="E2227" s="33" t="s">
        <v>1496</v>
      </c>
      <c r="F2227" s="33" t="s">
        <v>1497</v>
      </c>
      <c r="G2227" s="33" t="s">
        <v>5979</v>
      </c>
      <c r="H2227" s="33" t="s">
        <v>5980</v>
      </c>
      <c r="I2227" s="33" t="s">
        <v>5981</v>
      </c>
      <c r="J2227" s="33">
        <v>202963</v>
      </c>
      <c r="K2227" s="33" t="s">
        <v>6032</v>
      </c>
      <c r="L2227" s="33" t="s">
        <v>6033</v>
      </c>
      <c r="M2227" s="33" t="s">
        <v>6034</v>
      </c>
      <c r="N2227" s="44">
        <v>42241713</v>
      </c>
      <c r="O2227" s="33" t="s">
        <v>6057</v>
      </c>
      <c r="P2227" s="33" t="s">
        <v>6058</v>
      </c>
      <c r="Q2227" s="34" t="s">
        <v>1494</v>
      </c>
      <c r="R2227" s="34" t="s">
        <v>1494</v>
      </c>
    </row>
    <row r="2228" spans="1:18" ht="15" customHeight="1" x14ac:dyDescent="0.25">
      <c r="A2228" t="str">
        <f>IFERROR(RANK(B2228,$B:$B,1)+COUNTIF($B$1:B2227,B2228),"")</f>
        <v/>
      </c>
      <c r="B2228" t="str">
        <f>IFERROR(SEARCH(#REF!,Table4[[#This Row],[Commodity Title]],1),"")</f>
        <v/>
      </c>
      <c r="C2228" s="35">
        <v>42241714</v>
      </c>
      <c r="D2228" s="33" t="s">
        <v>1495</v>
      </c>
      <c r="E2228" s="33" t="s">
        <v>1496</v>
      </c>
      <c r="F2228" s="33" t="s">
        <v>1497</v>
      </c>
      <c r="G2228" s="33" t="s">
        <v>5979</v>
      </c>
      <c r="H2228" s="33" t="s">
        <v>5980</v>
      </c>
      <c r="I2228" s="33" t="s">
        <v>5981</v>
      </c>
      <c r="J2228" s="33">
        <v>202964</v>
      </c>
      <c r="K2228" s="33" t="s">
        <v>6032</v>
      </c>
      <c r="L2228" s="33" t="s">
        <v>6033</v>
      </c>
      <c r="M2228" s="33" t="s">
        <v>6034</v>
      </c>
      <c r="N2228" s="44">
        <v>42241714</v>
      </c>
      <c r="O2228" s="33" t="s">
        <v>6059</v>
      </c>
      <c r="P2228" s="33" t="s">
        <v>6060</v>
      </c>
      <c r="Q2228" s="34" t="s">
        <v>1494</v>
      </c>
      <c r="R2228" s="34" t="s">
        <v>1494</v>
      </c>
    </row>
    <row r="2229" spans="1:18" ht="15" customHeight="1" x14ac:dyDescent="0.25">
      <c r="A2229" t="str">
        <f>IFERROR(RANK(B2229,$B:$B,1)+COUNTIF($B$1:B2228,B2229),"")</f>
        <v/>
      </c>
      <c r="B2229" t="str">
        <f>IFERROR(SEARCH(#REF!,Table4[[#This Row],[Commodity Title]],1),"")</f>
        <v/>
      </c>
      <c r="C2229" s="33" t="s">
        <v>1494</v>
      </c>
      <c r="D2229" s="33" t="s">
        <v>1495</v>
      </c>
      <c r="E2229" s="33" t="s">
        <v>1496</v>
      </c>
      <c r="F2229" s="33" t="s">
        <v>1497</v>
      </c>
      <c r="G2229" s="33" t="s">
        <v>5979</v>
      </c>
      <c r="H2229" s="33" t="s">
        <v>5980</v>
      </c>
      <c r="I2229" s="33" t="s">
        <v>5981</v>
      </c>
      <c r="J2229" s="33">
        <v>115867</v>
      </c>
      <c r="K2229" s="33" t="s">
        <v>6061</v>
      </c>
      <c r="L2229" s="33" t="s">
        <v>6062</v>
      </c>
      <c r="M2229" s="33" t="s">
        <v>6063</v>
      </c>
      <c r="N2229" s="44" t="s">
        <v>1494</v>
      </c>
      <c r="O2229" s="33" t="s">
        <v>1494</v>
      </c>
      <c r="P2229" s="33" t="s">
        <v>1494</v>
      </c>
      <c r="Q2229" s="34" t="s">
        <v>1494</v>
      </c>
      <c r="R2229" s="34" t="s">
        <v>1494</v>
      </c>
    </row>
    <row r="2230" spans="1:18" ht="15" customHeight="1" x14ac:dyDescent="0.25">
      <c r="A2230" t="str">
        <f>IFERROR(RANK(B2230,$B:$B,1)+COUNTIF($B$1:B2229,B2230),"")</f>
        <v/>
      </c>
      <c r="B2230" t="str">
        <f>IFERROR(SEARCH(#REF!,Table4[[#This Row],[Commodity Title]],1),"")</f>
        <v/>
      </c>
      <c r="C2230" s="35">
        <v>42241801</v>
      </c>
      <c r="D2230" s="33" t="s">
        <v>1495</v>
      </c>
      <c r="E2230" s="33" t="s">
        <v>1496</v>
      </c>
      <c r="F2230" s="33" t="s">
        <v>1497</v>
      </c>
      <c r="G2230" s="33" t="s">
        <v>5979</v>
      </c>
      <c r="H2230" s="33" t="s">
        <v>5980</v>
      </c>
      <c r="I2230" s="33" t="s">
        <v>5981</v>
      </c>
      <c r="J2230" s="33">
        <v>115868</v>
      </c>
      <c r="K2230" s="33" t="s">
        <v>6061</v>
      </c>
      <c r="L2230" s="33" t="s">
        <v>6062</v>
      </c>
      <c r="M2230" s="33" t="s">
        <v>6063</v>
      </c>
      <c r="N2230" s="44">
        <v>42241801</v>
      </c>
      <c r="O2230" s="33" t="s">
        <v>6064</v>
      </c>
      <c r="P2230" s="33" t="s">
        <v>6065</v>
      </c>
      <c r="Q2230" s="34" t="s">
        <v>1494</v>
      </c>
      <c r="R2230" s="34" t="s">
        <v>1494</v>
      </c>
    </row>
    <row r="2231" spans="1:18" ht="15" customHeight="1" x14ac:dyDescent="0.25">
      <c r="A2231" t="str">
        <f>IFERROR(RANK(B2231,$B:$B,1)+COUNTIF($B$1:B2230,B2231),"")</f>
        <v/>
      </c>
      <c r="B2231" t="str">
        <f>IFERROR(SEARCH(#REF!,Table4[[#This Row],[Commodity Title]],1),"")</f>
        <v/>
      </c>
      <c r="C2231" s="35">
        <v>42241802</v>
      </c>
      <c r="D2231" s="33" t="s">
        <v>1495</v>
      </c>
      <c r="E2231" s="33" t="s">
        <v>1496</v>
      </c>
      <c r="F2231" s="33" t="s">
        <v>1497</v>
      </c>
      <c r="G2231" s="33" t="s">
        <v>5979</v>
      </c>
      <c r="H2231" s="33" t="s">
        <v>5980</v>
      </c>
      <c r="I2231" s="33" t="s">
        <v>5981</v>
      </c>
      <c r="J2231" s="33">
        <v>115869</v>
      </c>
      <c r="K2231" s="33" t="s">
        <v>6061</v>
      </c>
      <c r="L2231" s="33" t="s">
        <v>6062</v>
      </c>
      <c r="M2231" s="33" t="s">
        <v>6063</v>
      </c>
      <c r="N2231" s="44">
        <v>42241802</v>
      </c>
      <c r="O2231" s="33" t="s">
        <v>6066</v>
      </c>
      <c r="P2231" s="33" t="s">
        <v>6067</v>
      </c>
      <c r="Q2231" s="34" t="s">
        <v>1494</v>
      </c>
      <c r="R2231" s="34" t="s">
        <v>1494</v>
      </c>
    </row>
    <row r="2232" spans="1:18" ht="15" customHeight="1" x14ac:dyDescent="0.25">
      <c r="A2232" t="str">
        <f>IFERROR(RANK(B2232,$B:$B,1)+COUNTIF($B$1:B2231,B2232),"")</f>
        <v/>
      </c>
      <c r="B2232" t="str">
        <f>IFERROR(SEARCH(#REF!,Table4[[#This Row],[Commodity Title]],1),"")</f>
        <v/>
      </c>
      <c r="C2232" s="35">
        <v>42241803</v>
      </c>
      <c r="D2232" s="33" t="s">
        <v>1495</v>
      </c>
      <c r="E2232" s="33" t="s">
        <v>1496</v>
      </c>
      <c r="F2232" s="33" t="s">
        <v>1497</v>
      </c>
      <c r="G2232" s="33" t="s">
        <v>5979</v>
      </c>
      <c r="H2232" s="33" t="s">
        <v>5980</v>
      </c>
      <c r="I2232" s="33" t="s">
        <v>5981</v>
      </c>
      <c r="J2232" s="33">
        <v>115870</v>
      </c>
      <c r="K2232" s="33" t="s">
        <v>6061</v>
      </c>
      <c r="L2232" s="33" t="s">
        <v>6062</v>
      </c>
      <c r="M2232" s="33" t="s">
        <v>6063</v>
      </c>
      <c r="N2232" s="44">
        <v>42241803</v>
      </c>
      <c r="O2232" s="33" t="s">
        <v>6068</v>
      </c>
      <c r="P2232" s="33" t="s">
        <v>6069</v>
      </c>
      <c r="Q2232" s="34" t="s">
        <v>1494</v>
      </c>
      <c r="R2232" s="34" t="s">
        <v>1494</v>
      </c>
    </row>
    <row r="2233" spans="1:18" ht="15" customHeight="1" x14ac:dyDescent="0.25">
      <c r="A2233" t="str">
        <f>IFERROR(RANK(B2233,$B:$B,1)+COUNTIF($B$1:B2232,B2233),"")</f>
        <v/>
      </c>
      <c r="B2233" t="str">
        <f>IFERROR(SEARCH(#REF!,Table4[[#This Row],[Commodity Title]],1),"")</f>
        <v/>
      </c>
      <c r="C2233" s="35">
        <v>42241804</v>
      </c>
      <c r="D2233" s="33" t="s">
        <v>1495</v>
      </c>
      <c r="E2233" s="33" t="s">
        <v>1496</v>
      </c>
      <c r="F2233" s="33" t="s">
        <v>1497</v>
      </c>
      <c r="G2233" s="33" t="s">
        <v>5979</v>
      </c>
      <c r="H2233" s="33" t="s">
        <v>5980</v>
      </c>
      <c r="I2233" s="33" t="s">
        <v>5981</v>
      </c>
      <c r="J2233" s="33">
        <v>115871</v>
      </c>
      <c r="K2233" s="33" t="s">
        <v>6061</v>
      </c>
      <c r="L2233" s="33" t="s">
        <v>6062</v>
      </c>
      <c r="M2233" s="33" t="s">
        <v>6063</v>
      </c>
      <c r="N2233" s="44">
        <v>42241804</v>
      </c>
      <c r="O2233" s="33" t="s">
        <v>6070</v>
      </c>
      <c r="P2233" s="33" t="s">
        <v>6071</v>
      </c>
      <c r="Q2233" s="34" t="s">
        <v>1494</v>
      </c>
      <c r="R2233" s="34" t="s">
        <v>1494</v>
      </c>
    </row>
    <row r="2234" spans="1:18" ht="15" customHeight="1" x14ac:dyDescent="0.25">
      <c r="A2234" t="str">
        <f>IFERROR(RANK(B2234,$B:$B,1)+COUNTIF($B$1:B2233,B2234),"")</f>
        <v/>
      </c>
      <c r="B2234" t="str">
        <f>IFERROR(SEARCH(#REF!,Table4[[#This Row],[Commodity Title]],1),"")</f>
        <v/>
      </c>
      <c r="C2234" s="35">
        <v>42241805</v>
      </c>
      <c r="D2234" s="33" t="s">
        <v>1495</v>
      </c>
      <c r="E2234" s="33" t="s">
        <v>1496</v>
      </c>
      <c r="F2234" s="33" t="s">
        <v>1497</v>
      </c>
      <c r="G2234" s="33" t="s">
        <v>5979</v>
      </c>
      <c r="H2234" s="33" t="s">
        <v>5980</v>
      </c>
      <c r="I2234" s="33" t="s">
        <v>5981</v>
      </c>
      <c r="J2234" s="33">
        <v>115872</v>
      </c>
      <c r="K2234" s="33" t="s">
        <v>6061</v>
      </c>
      <c r="L2234" s="33" t="s">
        <v>6062</v>
      </c>
      <c r="M2234" s="33" t="s">
        <v>6063</v>
      </c>
      <c r="N2234" s="44">
        <v>42241805</v>
      </c>
      <c r="O2234" s="33" t="s">
        <v>6072</v>
      </c>
      <c r="P2234" s="33" t="s">
        <v>6073</v>
      </c>
      <c r="Q2234" s="34" t="s">
        <v>1494</v>
      </c>
      <c r="R2234" s="34" t="s">
        <v>1494</v>
      </c>
    </row>
    <row r="2235" spans="1:18" ht="15" customHeight="1" x14ac:dyDescent="0.25">
      <c r="A2235" t="str">
        <f>IFERROR(RANK(B2235,$B:$B,1)+COUNTIF($B$1:B2234,B2235),"")</f>
        <v/>
      </c>
      <c r="B2235" t="str">
        <f>IFERROR(SEARCH(#REF!,Table4[[#This Row],[Commodity Title]],1),"")</f>
        <v/>
      </c>
      <c r="C2235" s="35">
        <v>42241806</v>
      </c>
      <c r="D2235" s="33" t="s">
        <v>1495</v>
      </c>
      <c r="E2235" s="33" t="s">
        <v>1496</v>
      </c>
      <c r="F2235" s="33" t="s">
        <v>1497</v>
      </c>
      <c r="G2235" s="33" t="s">
        <v>5979</v>
      </c>
      <c r="H2235" s="33" t="s">
        <v>5980</v>
      </c>
      <c r="I2235" s="33" t="s">
        <v>5981</v>
      </c>
      <c r="J2235" s="33">
        <v>115873</v>
      </c>
      <c r="K2235" s="33" t="s">
        <v>6061</v>
      </c>
      <c r="L2235" s="33" t="s">
        <v>6062</v>
      </c>
      <c r="M2235" s="33" t="s">
        <v>6063</v>
      </c>
      <c r="N2235" s="44">
        <v>42241806</v>
      </c>
      <c r="O2235" s="33" t="s">
        <v>6074</v>
      </c>
      <c r="P2235" s="33" t="s">
        <v>6075</v>
      </c>
      <c r="Q2235" s="34" t="s">
        <v>1494</v>
      </c>
      <c r="R2235" s="34" t="s">
        <v>1494</v>
      </c>
    </row>
    <row r="2236" spans="1:18" ht="15" customHeight="1" x14ac:dyDescent="0.25">
      <c r="A2236" t="str">
        <f>IFERROR(RANK(B2236,$B:$B,1)+COUNTIF($B$1:B2235,B2236),"")</f>
        <v/>
      </c>
      <c r="B2236" t="str">
        <f>IFERROR(SEARCH(#REF!,Table4[[#This Row],[Commodity Title]],1),"")</f>
        <v/>
      </c>
      <c r="C2236" s="35">
        <v>42241807</v>
      </c>
      <c r="D2236" s="33" t="s">
        <v>1495</v>
      </c>
      <c r="E2236" s="33" t="s">
        <v>1496</v>
      </c>
      <c r="F2236" s="33" t="s">
        <v>1497</v>
      </c>
      <c r="G2236" s="33" t="s">
        <v>5979</v>
      </c>
      <c r="H2236" s="33" t="s">
        <v>5980</v>
      </c>
      <c r="I2236" s="33" t="s">
        <v>5981</v>
      </c>
      <c r="J2236" s="33">
        <v>115874</v>
      </c>
      <c r="K2236" s="33" t="s">
        <v>6061</v>
      </c>
      <c r="L2236" s="33" t="s">
        <v>6062</v>
      </c>
      <c r="M2236" s="33" t="s">
        <v>6063</v>
      </c>
      <c r="N2236" s="44">
        <v>42241807</v>
      </c>
      <c r="O2236" s="33" t="s">
        <v>6076</v>
      </c>
      <c r="P2236" s="33" t="s">
        <v>6077</v>
      </c>
      <c r="Q2236" s="34" t="s">
        <v>1494</v>
      </c>
      <c r="R2236" s="34" t="s">
        <v>1494</v>
      </c>
    </row>
    <row r="2237" spans="1:18" ht="15" customHeight="1" x14ac:dyDescent="0.25">
      <c r="A2237" t="str">
        <f>IFERROR(RANK(B2237,$B:$B,1)+COUNTIF($B$1:B2236,B2237),"")</f>
        <v/>
      </c>
      <c r="B2237" t="str">
        <f>IFERROR(SEARCH(#REF!,Table4[[#This Row],[Commodity Title]],1),"")</f>
        <v/>
      </c>
      <c r="C2237" s="35">
        <v>42241808</v>
      </c>
      <c r="D2237" s="33" t="s">
        <v>1495</v>
      </c>
      <c r="E2237" s="33" t="s">
        <v>1496</v>
      </c>
      <c r="F2237" s="33" t="s">
        <v>1497</v>
      </c>
      <c r="G2237" s="33" t="s">
        <v>5979</v>
      </c>
      <c r="H2237" s="33" t="s">
        <v>5980</v>
      </c>
      <c r="I2237" s="33" t="s">
        <v>5981</v>
      </c>
      <c r="J2237" s="33">
        <v>115875</v>
      </c>
      <c r="K2237" s="33" t="s">
        <v>6061</v>
      </c>
      <c r="L2237" s="33" t="s">
        <v>6062</v>
      </c>
      <c r="M2237" s="33" t="s">
        <v>6063</v>
      </c>
      <c r="N2237" s="44">
        <v>42241808</v>
      </c>
      <c r="O2237" s="33" t="s">
        <v>6078</v>
      </c>
      <c r="P2237" s="33" t="s">
        <v>6079</v>
      </c>
      <c r="Q2237" s="34" t="s">
        <v>1494</v>
      </c>
      <c r="R2237" s="34" t="s">
        <v>1494</v>
      </c>
    </row>
    <row r="2238" spans="1:18" ht="15" customHeight="1" x14ac:dyDescent="0.25">
      <c r="A2238" t="str">
        <f>IFERROR(RANK(B2238,$B:$B,1)+COUNTIF($B$1:B2237,B2238),"")</f>
        <v/>
      </c>
      <c r="B2238" t="str">
        <f>IFERROR(SEARCH(#REF!,Table4[[#This Row],[Commodity Title]],1),"")</f>
        <v/>
      </c>
      <c r="C2238" s="35">
        <v>42241809</v>
      </c>
      <c r="D2238" s="33" t="s">
        <v>1495</v>
      </c>
      <c r="E2238" s="33" t="s">
        <v>1496</v>
      </c>
      <c r="F2238" s="33" t="s">
        <v>1497</v>
      </c>
      <c r="G2238" s="33" t="s">
        <v>5979</v>
      </c>
      <c r="H2238" s="33" t="s">
        <v>5980</v>
      </c>
      <c r="I2238" s="33" t="s">
        <v>5981</v>
      </c>
      <c r="J2238" s="33">
        <v>115876</v>
      </c>
      <c r="K2238" s="33" t="s">
        <v>6061</v>
      </c>
      <c r="L2238" s="33" t="s">
        <v>6062</v>
      </c>
      <c r="M2238" s="33" t="s">
        <v>6063</v>
      </c>
      <c r="N2238" s="44">
        <v>42241809</v>
      </c>
      <c r="O2238" s="33" t="s">
        <v>6080</v>
      </c>
      <c r="P2238" s="33" t="s">
        <v>6081</v>
      </c>
      <c r="Q2238" s="34" t="s">
        <v>1494</v>
      </c>
      <c r="R2238" s="34" t="s">
        <v>1494</v>
      </c>
    </row>
    <row r="2239" spans="1:18" ht="15" customHeight="1" x14ac:dyDescent="0.25">
      <c r="A2239" t="str">
        <f>IFERROR(RANK(B2239,$B:$B,1)+COUNTIF($B$1:B2238,B2239),"")</f>
        <v/>
      </c>
      <c r="B2239" t="str">
        <f>IFERROR(SEARCH(#REF!,Table4[[#This Row],[Commodity Title]],1),"")</f>
        <v/>
      </c>
      <c r="C2239" s="35">
        <v>42241811</v>
      </c>
      <c r="D2239" s="33" t="s">
        <v>1495</v>
      </c>
      <c r="E2239" s="33" t="s">
        <v>1496</v>
      </c>
      <c r="F2239" s="33" t="s">
        <v>1497</v>
      </c>
      <c r="G2239" s="33" t="s">
        <v>5979</v>
      </c>
      <c r="H2239" s="33" t="s">
        <v>5980</v>
      </c>
      <c r="I2239" s="33" t="s">
        <v>5981</v>
      </c>
      <c r="J2239" s="33">
        <v>143497</v>
      </c>
      <c r="K2239" s="33" t="s">
        <v>6061</v>
      </c>
      <c r="L2239" s="33" t="s">
        <v>6062</v>
      </c>
      <c r="M2239" s="33" t="s">
        <v>6063</v>
      </c>
      <c r="N2239" s="44">
        <v>42241811</v>
      </c>
      <c r="O2239" s="33" t="s">
        <v>6082</v>
      </c>
      <c r="P2239" s="33" t="s">
        <v>6083</v>
      </c>
      <c r="Q2239" s="34" t="s">
        <v>1494</v>
      </c>
      <c r="R2239" s="34" t="s">
        <v>1494</v>
      </c>
    </row>
    <row r="2240" spans="1:18" ht="15" customHeight="1" x14ac:dyDescent="0.25">
      <c r="A2240" t="str">
        <f>IFERROR(RANK(B2240,$B:$B,1)+COUNTIF($B$1:B2239,B2240),"")</f>
        <v/>
      </c>
      <c r="B2240" t="str">
        <f>IFERROR(SEARCH(#REF!,Table4[[#This Row],[Commodity Title]],1),"")</f>
        <v/>
      </c>
      <c r="C2240" s="33" t="s">
        <v>1494</v>
      </c>
      <c r="D2240" s="33" t="s">
        <v>1495</v>
      </c>
      <c r="E2240" s="33" t="s">
        <v>1496</v>
      </c>
      <c r="F2240" s="33" t="s">
        <v>1497</v>
      </c>
      <c r="G2240" s="33" t="s">
        <v>5979</v>
      </c>
      <c r="H2240" s="33" t="s">
        <v>5980</v>
      </c>
      <c r="I2240" s="33" t="s">
        <v>5981</v>
      </c>
      <c r="J2240" s="33">
        <v>115877</v>
      </c>
      <c r="K2240" s="33" t="s">
        <v>6084</v>
      </c>
      <c r="L2240" s="33" t="s">
        <v>6085</v>
      </c>
      <c r="M2240" s="33" t="s">
        <v>6086</v>
      </c>
      <c r="N2240" s="44" t="s">
        <v>1494</v>
      </c>
      <c r="O2240" s="33" t="s">
        <v>1494</v>
      </c>
      <c r="P2240" s="33" t="s">
        <v>1494</v>
      </c>
      <c r="Q2240" s="34" t="s">
        <v>1494</v>
      </c>
      <c r="R2240" s="34" t="s">
        <v>1494</v>
      </c>
    </row>
    <row r="2241" spans="1:18" ht="15" customHeight="1" x14ac:dyDescent="0.25">
      <c r="A2241" t="str">
        <f>IFERROR(RANK(B2241,$B:$B,1)+COUNTIF($B$1:B2240,B2241),"")</f>
        <v/>
      </c>
      <c r="B2241" t="str">
        <f>IFERROR(SEARCH(#REF!,Table4[[#This Row],[Commodity Title]],1),"")</f>
        <v/>
      </c>
      <c r="C2241" s="35">
        <v>42241901</v>
      </c>
      <c r="D2241" s="33" t="s">
        <v>1495</v>
      </c>
      <c r="E2241" s="33" t="s">
        <v>1496</v>
      </c>
      <c r="F2241" s="33" t="s">
        <v>1497</v>
      </c>
      <c r="G2241" s="33" t="s">
        <v>5979</v>
      </c>
      <c r="H2241" s="33" t="s">
        <v>5980</v>
      </c>
      <c r="I2241" s="33" t="s">
        <v>5981</v>
      </c>
      <c r="J2241" s="33">
        <v>115878</v>
      </c>
      <c r="K2241" s="33" t="s">
        <v>6084</v>
      </c>
      <c r="L2241" s="33" t="s">
        <v>6085</v>
      </c>
      <c r="M2241" s="33" t="s">
        <v>6086</v>
      </c>
      <c r="N2241" s="44">
        <v>42241901</v>
      </c>
      <c r="O2241" s="33" t="s">
        <v>6087</v>
      </c>
      <c r="P2241" s="33" t="s">
        <v>6088</v>
      </c>
      <c r="Q2241" s="34" t="s">
        <v>1494</v>
      </c>
      <c r="R2241" s="34" t="s">
        <v>1494</v>
      </c>
    </row>
    <row r="2242" spans="1:18" ht="15" customHeight="1" x14ac:dyDescent="0.25">
      <c r="A2242" t="str">
        <f>IFERROR(RANK(B2242,$B:$B,1)+COUNTIF($B$1:B2241,B2242),"")</f>
        <v/>
      </c>
      <c r="B2242" t="str">
        <f>IFERROR(SEARCH(#REF!,Table4[[#This Row],[Commodity Title]],1),"")</f>
        <v/>
      </c>
      <c r="C2242" s="35">
        <v>42241902</v>
      </c>
      <c r="D2242" s="33" t="s">
        <v>1495</v>
      </c>
      <c r="E2242" s="33" t="s">
        <v>1496</v>
      </c>
      <c r="F2242" s="33" t="s">
        <v>1497</v>
      </c>
      <c r="G2242" s="33" t="s">
        <v>5979</v>
      </c>
      <c r="H2242" s="33" t="s">
        <v>5980</v>
      </c>
      <c r="I2242" s="33" t="s">
        <v>5981</v>
      </c>
      <c r="J2242" s="33">
        <v>115879</v>
      </c>
      <c r="K2242" s="33" t="s">
        <v>6084</v>
      </c>
      <c r="L2242" s="33" t="s">
        <v>6085</v>
      </c>
      <c r="M2242" s="33" t="s">
        <v>6086</v>
      </c>
      <c r="N2242" s="44">
        <v>42241902</v>
      </c>
      <c r="O2242" s="33" t="s">
        <v>6089</v>
      </c>
      <c r="P2242" s="33" t="s">
        <v>6090</v>
      </c>
      <c r="Q2242" s="34" t="s">
        <v>1494</v>
      </c>
      <c r="R2242" s="34" t="s">
        <v>1494</v>
      </c>
    </row>
    <row r="2243" spans="1:18" ht="15" customHeight="1" x14ac:dyDescent="0.25">
      <c r="A2243" t="str">
        <f>IFERROR(RANK(B2243,$B:$B,1)+COUNTIF($B$1:B2242,B2243),"")</f>
        <v/>
      </c>
      <c r="B2243" t="str">
        <f>IFERROR(SEARCH(#REF!,Table4[[#This Row],[Commodity Title]],1),"")</f>
        <v/>
      </c>
      <c r="C2243" s="33" t="s">
        <v>1494</v>
      </c>
      <c r="D2243" s="33" t="s">
        <v>1495</v>
      </c>
      <c r="E2243" s="33" t="s">
        <v>1496</v>
      </c>
      <c r="F2243" s="33" t="s">
        <v>1497</v>
      </c>
      <c r="G2243" s="33" t="s">
        <v>5979</v>
      </c>
      <c r="H2243" s="33" t="s">
        <v>5980</v>
      </c>
      <c r="I2243" s="33" t="s">
        <v>5981</v>
      </c>
      <c r="J2243" s="33">
        <v>104593</v>
      </c>
      <c r="K2243" s="33" t="s">
        <v>6091</v>
      </c>
      <c r="L2243" s="33" t="s">
        <v>6092</v>
      </c>
      <c r="M2243" s="33" t="s">
        <v>6093</v>
      </c>
      <c r="N2243" s="44" t="s">
        <v>1494</v>
      </c>
      <c r="O2243" s="33" t="s">
        <v>1494</v>
      </c>
      <c r="P2243" s="33" t="s">
        <v>1494</v>
      </c>
      <c r="Q2243" s="34" t="s">
        <v>1494</v>
      </c>
      <c r="R2243" s="34" t="s">
        <v>1494</v>
      </c>
    </row>
    <row r="2244" spans="1:18" ht="15" customHeight="1" x14ac:dyDescent="0.25">
      <c r="A2244" t="str">
        <f>IFERROR(RANK(B2244,$B:$B,1)+COUNTIF($B$1:B2243,B2244),"")</f>
        <v/>
      </c>
      <c r="B2244" t="str">
        <f>IFERROR(SEARCH(#REF!,Table4[[#This Row],[Commodity Title]],1),"")</f>
        <v/>
      </c>
      <c r="C2244" s="35">
        <v>42242001</v>
      </c>
      <c r="D2244" s="33" t="s">
        <v>1495</v>
      </c>
      <c r="E2244" s="33" t="s">
        <v>1496</v>
      </c>
      <c r="F2244" s="33" t="s">
        <v>1497</v>
      </c>
      <c r="G2244" s="33" t="s">
        <v>5979</v>
      </c>
      <c r="H2244" s="33" t="s">
        <v>5980</v>
      </c>
      <c r="I2244" s="33" t="s">
        <v>5981</v>
      </c>
      <c r="J2244" s="33">
        <v>115881</v>
      </c>
      <c r="K2244" s="33" t="s">
        <v>6091</v>
      </c>
      <c r="L2244" s="33" t="s">
        <v>6092</v>
      </c>
      <c r="M2244" s="33" t="s">
        <v>6093</v>
      </c>
      <c r="N2244" s="44">
        <v>42242001</v>
      </c>
      <c r="O2244" s="33" t="s">
        <v>51</v>
      </c>
      <c r="P2244" s="33" t="s">
        <v>6094</v>
      </c>
      <c r="Q2244" s="34" t="s">
        <v>1494</v>
      </c>
      <c r="R2244" s="34" t="s">
        <v>1494</v>
      </c>
    </row>
    <row r="2245" spans="1:18" ht="15" customHeight="1" x14ac:dyDescent="0.25">
      <c r="A2245" t="str">
        <f>IFERROR(RANK(B2245,$B:$B,1)+COUNTIF($B$1:B2244,B2245),"")</f>
        <v/>
      </c>
      <c r="B2245" t="str">
        <f>IFERROR(SEARCH(#REF!,Table4[[#This Row],[Commodity Title]],1),"")</f>
        <v/>
      </c>
      <c r="C2245" s="35">
        <v>42242002</v>
      </c>
      <c r="D2245" s="33" t="s">
        <v>1495</v>
      </c>
      <c r="E2245" s="33" t="s">
        <v>1496</v>
      </c>
      <c r="F2245" s="33" t="s">
        <v>1497</v>
      </c>
      <c r="G2245" s="33" t="s">
        <v>5979</v>
      </c>
      <c r="H2245" s="33" t="s">
        <v>5980</v>
      </c>
      <c r="I2245" s="33" t="s">
        <v>5981</v>
      </c>
      <c r="J2245" s="33">
        <v>115882</v>
      </c>
      <c r="K2245" s="33" t="s">
        <v>6091</v>
      </c>
      <c r="L2245" s="33" t="s">
        <v>6092</v>
      </c>
      <c r="M2245" s="33" t="s">
        <v>6093</v>
      </c>
      <c r="N2245" s="44">
        <v>42242002</v>
      </c>
      <c r="O2245" s="33" t="s">
        <v>70</v>
      </c>
      <c r="P2245" s="33" t="s">
        <v>6095</v>
      </c>
      <c r="Q2245" s="34" t="s">
        <v>1494</v>
      </c>
      <c r="R2245" s="34" t="s">
        <v>1494</v>
      </c>
    </row>
    <row r="2246" spans="1:18" ht="15" customHeight="1" x14ac:dyDescent="0.25">
      <c r="A2246" t="str">
        <f>IFERROR(RANK(B2246,$B:$B,1)+COUNTIF($B$1:B2245,B2246),"")</f>
        <v/>
      </c>
      <c r="B2246" t="str">
        <f>IFERROR(SEARCH(#REF!,Table4[[#This Row],[Commodity Title]],1),"")</f>
        <v/>
      </c>
      <c r="C2246" s="35">
        <v>42242003</v>
      </c>
      <c r="D2246" s="33" t="s">
        <v>1495</v>
      </c>
      <c r="E2246" s="33" t="s">
        <v>1496</v>
      </c>
      <c r="F2246" s="33" t="s">
        <v>1497</v>
      </c>
      <c r="G2246" s="33" t="s">
        <v>5979</v>
      </c>
      <c r="H2246" s="33" t="s">
        <v>5980</v>
      </c>
      <c r="I2246" s="33" t="s">
        <v>5981</v>
      </c>
      <c r="J2246" s="33">
        <v>142659</v>
      </c>
      <c r="K2246" s="33" t="s">
        <v>6091</v>
      </c>
      <c r="L2246" s="33" t="s">
        <v>6092</v>
      </c>
      <c r="M2246" s="33" t="s">
        <v>6093</v>
      </c>
      <c r="N2246" s="44">
        <v>42242003</v>
      </c>
      <c r="O2246" s="33" t="s">
        <v>6096</v>
      </c>
      <c r="P2246" s="33" t="s">
        <v>6097</v>
      </c>
      <c r="Q2246" s="34" t="s">
        <v>1494</v>
      </c>
      <c r="R2246" s="34" t="s">
        <v>1494</v>
      </c>
    </row>
    <row r="2247" spans="1:18" ht="15" customHeight="1" x14ac:dyDescent="0.25">
      <c r="A2247" t="str">
        <f>IFERROR(RANK(B2247,$B:$B,1)+COUNTIF($B$1:B2246,B2247),"")</f>
        <v/>
      </c>
      <c r="B2247" t="str">
        <f>IFERROR(SEARCH(#REF!,Table4[[#This Row],[Commodity Title]],1),"")</f>
        <v/>
      </c>
      <c r="C2247" s="35">
        <v>42242004</v>
      </c>
      <c r="D2247" s="33" t="s">
        <v>1495</v>
      </c>
      <c r="E2247" s="33" t="s">
        <v>1496</v>
      </c>
      <c r="F2247" s="33" t="s">
        <v>1497</v>
      </c>
      <c r="G2247" s="33" t="s">
        <v>5979</v>
      </c>
      <c r="H2247" s="33" t="s">
        <v>5980</v>
      </c>
      <c r="I2247" s="33" t="s">
        <v>5981</v>
      </c>
      <c r="J2247" s="33">
        <v>176723</v>
      </c>
      <c r="K2247" s="33" t="s">
        <v>6091</v>
      </c>
      <c r="L2247" s="33" t="s">
        <v>6092</v>
      </c>
      <c r="M2247" s="33" t="s">
        <v>6093</v>
      </c>
      <c r="N2247" s="44">
        <v>42242004</v>
      </c>
      <c r="O2247" s="33" t="s">
        <v>66</v>
      </c>
      <c r="P2247" s="33" t="s">
        <v>6098</v>
      </c>
      <c r="Q2247" s="34" t="s">
        <v>1494</v>
      </c>
      <c r="R2247" s="34" t="s">
        <v>1494</v>
      </c>
    </row>
    <row r="2248" spans="1:18" ht="15" customHeight="1" x14ac:dyDescent="0.25">
      <c r="A2248" t="str">
        <f>IFERROR(RANK(B2248,$B:$B,1)+COUNTIF($B$1:B2247,B2248),"")</f>
        <v/>
      </c>
      <c r="B2248" t="str">
        <f>IFERROR(SEARCH(#REF!,Table4[[#This Row],[Commodity Title]],1),"")</f>
        <v/>
      </c>
      <c r="C2248" s="35">
        <v>42242005</v>
      </c>
      <c r="D2248" s="33" t="s">
        <v>1495</v>
      </c>
      <c r="E2248" s="33" t="s">
        <v>1496</v>
      </c>
      <c r="F2248" s="33" t="s">
        <v>1497</v>
      </c>
      <c r="G2248" s="33" t="s">
        <v>5979</v>
      </c>
      <c r="H2248" s="33" t="s">
        <v>5980</v>
      </c>
      <c r="I2248" s="33" t="s">
        <v>5981</v>
      </c>
      <c r="J2248" s="33">
        <v>202965</v>
      </c>
      <c r="K2248" s="33" t="s">
        <v>6091</v>
      </c>
      <c r="L2248" s="33" t="s">
        <v>6092</v>
      </c>
      <c r="M2248" s="33" t="s">
        <v>6093</v>
      </c>
      <c r="N2248" s="44">
        <v>42242005</v>
      </c>
      <c r="O2248" s="33" t="s">
        <v>255</v>
      </c>
      <c r="P2248" s="33" t="s">
        <v>6099</v>
      </c>
      <c r="Q2248" s="34" t="s">
        <v>1494</v>
      </c>
      <c r="R2248" s="34" t="s">
        <v>1494</v>
      </c>
    </row>
    <row r="2249" spans="1:18" ht="15" customHeight="1" x14ac:dyDescent="0.25">
      <c r="A2249" t="str">
        <f>IFERROR(RANK(B2249,$B:$B,1)+COUNTIF($B$1:B2248,B2249),"")</f>
        <v/>
      </c>
      <c r="B2249" t="str">
        <f>IFERROR(SEARCH(#REF!,Table4[[#This Row],[Commodity Title]],1),"")</f>
        <v/>
      </c>
      <c r="C2249" s="35">
        <v>42242006</v>
      </c>
      <c r="D2249" s="33" t="s">
        <v>1495</v>
      </c>
      <c r="E2249" s="33" t="s">
        <v>1496</v>
      </c>
      <c r="F2249" s="33" t="s">
        <v>1497</v>
      </c>
      <c r="G2249" s="33" t="s">
        <v>5979</v>
      </c>
      <c r="H2249" s="33" t="s">
        <v>5980</v>
      </c>
      <c r="I2249" s="33" t="s">
        <v>5981</v>
      </c>
      <c r="J2249" s="33">
        <v>143850</v>
      </c>
      <c r="K2249" s="33" t="s">
        <v>6091</v>
      </c>
      <c r="L2249" s="33" t="s">
        <v>6092</v>
      </c>
      <c r="M2249" s="33" t="s">
        <v>6093</v>
      </c>
      <c r="N2249" s="44">
        <v>42242006</v>
      </c>
      <c r="O2249" s="33" t="s">
        <v>6100</v>
      </c>
      <c r="P2249" s="33" t="s">
        <v>6101</v>
      </c>
      <c r="Q2249" s="34" t="s">
        <v>1494</v>
      </c>
      <c r="R2249" s="34" t="s">
        <v>1494</v>
      </c>
    </row>
    <row r="2250" spans="1:18" ht="15" customHeight="1" x14ac:dyDescent="0.25">
      <c r="A2250" t="str">
        <f>IFERROR(RANK(B2250,$B:$B,1)+COUNTIF($B$1:B2249,B2250),"")</f>
        <v/>
      </c>
      <c r="B2250" t="str">
        <f>IFERROR(SEARCH(#REF!,Table4[[#This Row],[Commodity Title]],1),"")</f>
        <v/>
      </c>
      <c r="C2250" s="33" t="s">
        <v>1494</v>
      </c>
      <c r="D2250" s="33" t="s">
        <v>1495</v>
      </c>
      <c r="E2250" s="33" t="s">
        <v>1496</v>
      </c>
      <c r="F2250" s="33" t="s">
        <v>1497</v>
      </c>
      <c r="G2250" s="33" t="s">
        <v>5979</v>
      </c>
      <c r="H2250" s="33" t="s">
        <v>5980</v>
      </c>
      <c r="I2250" s="33" t="s">
        <v>5981</v>
      </c>
      <c r="J2250" s="33">
        <v>115883</v>
      </c>
      <c r="K2250" s="33" t="s">
        <v>6102</v>
      </c>
      <c r="L2250" s="33" t="s">
        <v>6103</v>
      </c>
      <c r="M2250" s="33" t="s">
        <v>6104</v>
      </c>
      <c r="N2250" s="44" t="s">
        <v>1494</v>
      </c>
      <c r="O2250" s="33" t="s">
        <v>1494</v>
      </c>
      <c r="P2250" s="33" t="s">
        <v>1494</v>
      </c>
      <c r="Q2250" s="34" t="s">
        <v>1494</v>
      </c>
      <c r="R2250" s="34" t="s">
        <v>1494</v>
      </c>
    </row>
    <row r="2251" spans="1:18" ht="15" customHeight="1" x14ac:dyDescent="0.25">
      <c r="A2251" t="str">
        <f>IFERROR(RANK(B2251,$B:$B,1)+COUNTIF($B$1:B2250,B2251),"")</f>
        <v/>
      </c>
      <c r="B2251" t="str">
        <f>IFERROR(SEARCH(#REF!,Table4[[#This Row],[Commodity Title]],1),"")</f>
        <v/>
      </c>
      <c r="C2251" s="35">
        <v>42242101</v>
      </c>
      <c r="D2251" s="33" t="s">
        <v>1495</v>
      </c>
      <c r="E2251" s="33" t="s">
        <v>1496</v>
      </c>
      <c r="F2251" s="33" t="s">
        <v>1497</v>
      </c>
      <c r="G2251" s="33" t="s">
        <v>5979</v>
      </c>
      <c r="H2251" s="33" t="s">
        <v>5980</v>
      </c>
      <c r="I2251" s="33" t="s">
        <v>5981</v>
      </c>
      <c r="J2251" s="33">
        <v>115884</v>
      </c>
      <c r="K2251" s="33" t="s">
        <v>6102</v>
      </c>
      <c r="L2251" s="33" t="s">
        <v>6103</v>
      </c>
      <c r="M2251" s="33" t="s">
        <v>6104</v>
      </c>
      <c r="N2251" s="44">
        <v>42242101</v>
      </c>
      <c r="O2251" s="33" t="s">
        <v>6105</v>
      </c>
      <c r="P2251" s="33" t="s">
        <v>6106</v>
      </c>
      <c r="Q2251" s="34" t="s">
        <v>1494</v>
      </c>
      <c r="R2251" s="34" t="s">
        <v>1494</v>
      </c>
    </row>
    <row r="2252" spans="1:18" ht="15" customHeight="1" x14ac:dyDescent="0.25">
      <c r="A2252" t="str">
        <f>IFERROR(RANK(B2252,$B:$B,1)+COUNTIF($B$1:B2251,B2252),"")</f>
        <v/>
      </c>
      <c r="B2252" t="str">
        <f>IFERROR(SEARCH(#REF!,Table4[[#This Row],[Commodity Title]],1),"")</f>
        <v/>
      </c>
      <c r="C2252" s="35">
        <v>42242102</v>
      </c>
      <c r="D2252" s="33" t="s">
        <v>1495</v>
      </c>
      <c r="E2252" s="33" t="s">
        <v>1496</v>
      </c>
      <c r="F2252" s="33" t="s">
        <v>1497</v>
      </c>
      <c r="G2252" s="33" t="s">
        <v>5979</v>
      </c>
      <c r="H2252" s="33" t="s">
        <v>5980</v>
      </c>
      <c r="I2252" s="33" t="s">
        <v>5981</v>
      </c>
      <c r="J2252" s="33">
        <v>115885</v>
      </c>
      <c r="K2252" s="33" t="s">
        <v>6102</v>
      </c>
      <c r="L2252" s="33" t="s">
        <v>6103</v>
      </c>
      <c r="M2252" s="33" t="s">
        <v>6104</v>
      </c>
      <c r="N2252" s="44">
        <v>42242102</v>
      </c>
      <c r="O2252" s="33" t="s">
        <v>6107</v>
      </c>
      <c r="P2252" s="33" t="s">
        <v>6108</v>
      </c>
      <c r="Q2252" s="34" t="s">
        <v>1494</v>
      </c>
      <c r="R2252" s="34" t="s">
        <v>1494</v>
      </c>
    </row>
    <row r="2253" spans="1:18" ht="15" customHeight="1" x14ac:dyDescent="0.25">
      <c r="A2253" t="str">
        <f>IFERROR(RANK(B2253,$B:$B,1)+COUNTIF($B$1:B2252,B2253),"")</f>
        <v/>
      </c>
      <c r="B2253" t="str">
        <f>IFERROR(SEARCH(#REF!,Table4[[#This Row],[Commodity Title]],1),"")</f>
        <v/>
      </c>
      <c r="C2253" s="35">
        <v>42242103</v>
      </c>
      <c r="D2253" s="33" t="s">
        <v>1495</v>
      </c>
      <c r="E2253" s="33" t="s">
        <v>1496</v>
      </c>
      <c r="F2253" s="33" t="s">
        <v>1497</v>
      </c>
      <c r="G2253" s="33" t="s">
        <v>5979</v>
      </c>
      <c r="H2253" s="33" t="s">
        <v>5980</v>
      </c>
      <c r="I2253" s="33" t="s">
        <v>5981</v>
      </c>
      <c r="J2253" s="33">
        <v>115886</v>
      </c>
      <c r="K2253" s="33" t="s">
        <v>6102</v>
      </c>
      <c r="L2253" s="33" t="s">
        <v>6103</v>
      </c>
      <c r="M2253" s="33" t="s">
        <v>6104</v>
      </c>
      <c r="N2253" s="44">
        <v>42242103</v>
      </c>
      <c r="O2253" s="33" t="s">
        <v>6109</v>
      </c>
      <c r="P2253" s="33" t="s">
        <v>6110</v>
      </c>
      <c r="Q2253" s="34" t="s">
        <v>1494</v>
      </c>
      <c r="R2253" s="34" t="s">
        <v>1494</v>
      </c>
    </row>
    <row r="2254" spans="1:18" ht="15" customHeight="1" x14ac:dyDescent="0.25">
      <c r="A2254" t="str">
        <f>IFERROR(RANK(B2254,$B:$B,1)+COUNTIF($B$1:B2253,B2254),"")</f>
        <v/>
      </c>
      <c r="B2254" t="str">
        <f>IFERROR(SEARCH(#REF!,Table4[[#This Row],[Commodity Title]],1),"")</f>
        <v/>
      </c>
      <c r="C2254" s="35">
        <v>42242104</v>
      </c>
      <c r="D2254" s="33" t="s">
        <v>1495</v>
      </c>
      <c r="E2254" s="33" t="s">
        <v>1496</v>
      </c>
      <c r="F2254" s="33" t="s">
        <v>1497</v>
      </c>
      <c r="G2254" s="33" t="s">
        <v>5979</v>
      </c>
      <c r="H2254" s="33" t="s">
        <v>5980</v>
      </c>
      <c r="I2254" s="33" t="s">
        <v>5981</v>
      </c>
      <c r="J2254" s="33">
        <v>115887</v>
      </c>
      <c r="K2254" s="33" t="s">
        <v>6102</v>
      </c>
      <c r="L2254" s="33" t="s">
        <v>6103</v>
      </c>
      <c r="M2254" s="33" t="s">
        <v>6104</v>
      </c>
      <c r="N2254" s="44">
        <v>42242104</v>
      </c>
      <c r="O2254" s="33" t="s">
        <v>6111</v>
      </c>
      <c r="P2254" s="33" t="s">
        <v>6112</v>
      </c>
      <c r="Q2254" s="34" t="s">
        <v>1494</v>
      </c>
      <c r="R2254" s="34" t="s">
        <v>1494</v>
      </c>
    </row>
    <row r="2255" spans="1:18" ht="15" customHeight="1" x14ac:dyDescent="0.25">
      <c r="A2255" t="str">
        <f>IFERROR(RANK(B2255,$B:$B,1)+COUNTIF($B$1:B2254,B2255),"")</f>
        <v/>
      </c>
      <c r="B2255" t="str">
        <f>IFERROR(SEARCH(#REF!,Table4[[#This Row],[Commodity Title]],1),"")</f>
        <v/>
      </c>
      <c r="C2255" s="35">
        <v>42242106</v>
      </c>
      <c r="D2255" s="33" t="s">
        <v>1495</v>
      </c>
      <c r="E2255" s="33" t="s">
        <v>1496</v>
      </c>
      <c r="F2255" s="33" t="s">
        <v>1497</v>
      </c>
      <c r="G2255" s="33" t="s">
        <v>5979</v>
      </c>
      <c r="H2255" s="33" t="s">
        <v>5980</v>
      </c>
      <c r="I2255" s="33" t="s">
        <v>5981</v>
      </c>
      <c r="J2255" s="33">
        <v>115889</v>
      </c>
      <c r="K2255" s="33" t="s">
        <v>6102</v>
      </c>
      <c r="L2255" s="33" t="s">
        <v>6103</v>
      </c>
      <c r="M2255" s="33" t="s">
        <v>6104</v>
      </c>
      <c r="N2255" s="44">
        <v>42242106</v>
      </c>
      <c r="O2255" s="33" t="s">
        <v>6113</v>
      </c>
      <c r="P2255" s="33" t="s">
        <v>6114</v>
      </c>
      <c r="Q2255" s="34" t="s">
        <v>1494</v>
      </c>
      <c r="R2255" s="34" t="s">
        <v>1494</v>
      </c>
    </row>
    <row r="2256" spans="1:18" ht="15" customHeight="1" x14ac:dyDescent="0.25">
      <c r="A2256" t="str">
        <f>IFERROR(RANK(B2256,$B:$B,1)+COUNTIF($B$1:B2255,B2256),"")</f>
        <v/>
      </c>
      <c r="B2256" t="str">
        <f>IFERROR(SEARCH(#REF!,Table4[[#This Row],[Commodity Title]],1),"")</f>
        <v/>
      </c>
      <c r="C2256" s="35">
        <v>42242107</v>
      </c>
      <c r="D2256" s="33" t="s">
        <v>1495</v>
      </c>
      <c r="E2256" s="33" t="s">
        <v>1496</v>
      </c>
      <c r="F2256" s="33" t="s">
        <v>1497</v>
      </c>
      <c r="G2256" s="33" t="s">
        <v>5979</v>
      </c>
      <c r="H2256" s="33" t="s">
        <v>5980</v>
      </c>
      <c r="I2256" s="33" t="s">
        <v>5981</v>
      </c>
      <c r="J2256" s="33">
        <v>115890</v>
      </c>
      <c r="K2256" s="33" t="s">
        <v>6102</v>
      </c>
      <c r="L2256" s="33" t="s">
        <v>6103</v>
      </c>
      <c r="M2256" s="33" t="s">
        <v>6104</v>
      </c>
      <c r="N2256" s="44">
        <v>42242107</v>
      </c>
      <c r="O2256" s="33" t="s">
        <v>6115</v>
      </c>
      <c r="P2256" s="33" t="s">
        <v>6116</v>
      </c>
      <c r="Q2256" s="34" t="s">
        <v>1494</v>
      </c>
      <c r="R2256" s="34" t="s">
        <v>1494</v>
      </c>
    </row>
    <row r="2257" spans="1:18" ht="15" customHeight="1" x14ac:dyDescent="0.25">
      <c r="A2257" t="str">
        <f>IFERROR(RANK(B2257,$B:$B,1)+COUNTIF($B$1:B2256,B2257),"")</f>
        <v/>
      </c>
      <c r="B2257" t="str">
        <f>IFERROR(SEARCH(#REF!,Table4[[#This Row],[Commodity Title]],1),"")</f>
        <v/>
      </c>
      <c r="C2257" s="35">
        <v>42242108</v>
      </c>
      <c r="D2257" s="33" t="s">
        <v>1495</v>
      </c>
      <c r="E2257" s="33" t="s">
        <v>1496</v>
      </c>
      <c r="F2257" s="33" t="s">
        <v>1497</v>
      </c>
      <c r="G2257" s="33" t="s">
        <v>5979</v>
      </c>
      <c r="H2257" s="33" t="s">
        <v>5980</v>
      </c>
      <c r="I2257" s="33" t="s">
        <v>5981</v>
      </c>
      <c r="J2257" s="33">
        <v>115891</v>
      </c>
      <c r="K2257" s="33" t="s">
        <v>6102</v>
      </c>
      <c r="L2257" s="33" t="s">
        <v>6103</v>
      </c>
      <c r="M2257" s="33" t="s">
        <v>6104</v>
      </c>
      <c r="N2257" s="44">
        <v>42242108</v>
      </c>
      <c r="O2257" s="33" t="s">
        <v>6117</v>
      </c>
      <c r="P2257" s="33" t="s">
        <v>6118</v>
      </c>
      <c r="Q2257" s="34" t="s">
        <v>1494</v>
      </c>
      <c r="R2257" s="34" t="s">
        <v>1494</v>
      </c>
    </row>
    <row r="2258" spans="1:18" ht="15" customHeight="1" x14ac:dyDescent="0.25">
      <c r="A2258" t="str">
        <f>IFERROR(RANK(B2258,$B:$B,1)+COUNTIF($B$1:B2257,B2258),"")</f>
        <v/>
      </c>
      <c r="B2258" t="str">
        <f>IFERROR(SEARCH(#REF!,Table4[[#This Row],[Commodity Title]],1),"")</f>
        <v/>
      </c>
      <c r="C2258" s="35">
        <v>42242109</v>
      </c>
      <c r="D2258" s="33" t="s">
        <v>1495</v>
      </c>
      <c r="E2258" s="33" t="s">
        <v>1496</v>
      </c>
      <c r="F2258" s="33" t="s">
        <v>1497</v>
      </c>
      <c r="G2258" s="33" t="s">
        <v>5979</v>
      </c>
      <c r="H2258" s="33" t="s">
        <v>5980</v>
      </c>
      <c r="I2258" s="33" t="s">
        <v>5981</v>
      </c>
      <c r="J2258" s="33">
        <v>115892</v>
      </c>
      <c r="K2258" s="33" t="s">
        <v>6102</v>
      </c>
      <c r="L2258" s="33" t="s">
        <v>6103</v>
      </c>
      <c r="M2258" s="33" t="s">
        <v>6104</v>
      </c>
      <c r="N2258" s="44">
        <v>42242109</v>
      </c>
      <c r="O2258" s="33" t="s">
        <v>6119</v>
      </c>
      <c r="P2258" s="33" t="s">
        <v>6120</v>
      </c>
      <c r="Q2258" s="34" t="s">
        <v>1494</v>
      </c>
      <c r="R2258" s="34" t="s">
        <v>1494</v>
      </c>
    </row>
    <row r="2259" spans="1:18" ht="15" customHeight="1" x14ac:dyDescent="0.25">
      <c r="A2259" t="str">
        <f>IFERROR(RANK(B2259,$B:$B,1)+COUNTIF($B$1:B2258,B2259),"")</f>
        <v/>
      </c>
      <c r="B2259" t="str">
        <f>IFERROR(SEARCH(#REF!,Table4[[#This Row],[Commodity Title]],1),"")</f>
        <v/>
      </c>
      <c r="C2259" s="33" t="s">
        <v>1494</v>
      </c>
      <c r="D2259" s="33" t="s">
        <v>1495</v>
      </c>
      <c r="E2259" s="33" t="s">
        <v>1496</v>
      </c>
      <c r="F2259" s="33" t="s">
        <v>1497</v>
      </c>
      <c r="G2259" s="33" t="s">
        <v>6121</v>
      </c>
      <c r="H2259" s="33" t="s">
        <v>6122</v>
      </c>
      <c r="I2259" s="33" t="s">
        <v>6123</v>
      </c>
      <c r="J2259" s="33">
        <v>115893</v>
      </c>
      <c r="K2259" s="33" t="s">
        <v>1494</v>
      </c>
      <c r="L2259" s="33" t="s">
        <v>1494</v>
      </c>
      <c r="M2259" s="33" t="s">
        <v>1494</v>
      </c>
      <c r="N2259" s="44" t="s">
        <v>1494</v>
      </c>
      <c r="O2259" s="33" t="s">
        <v>1494</v>
      </c>
      <c r="P2259" s="33" t="s">
        <v>1494</v>
      </c>
      <c r="Q2259" s="34" t="s">
        <v>1494</v>
      </c>
      <c r="R2259" s="34" t="s">
        <v>1494</v>
      </c>
    </row>
    <row r="2260" spans="1:18" ht="15" customHeight="1" x14ac:dyDescent="0.25">
      <c r="A2260" t="str">
        <f>IFERROR(RANK(B2260,$B:$B,1)+COUNTIF($B$1:B2259,B2260),"")</f>
        <v/>
      </c>
      <c r="B2260" t="str">
        <f>IFERROR(SEARCH(#REF!,Table4[[#This Row],[Commodity Title]],1),"")</f>
        <v/>
      </c>
      <c r="C2260" s="33" t="s">
        <v>1494</v>
      </c>
      <c r="D2260" s="33" t="s">
        <v>1495</v>
      </c>
      <c r="E2260" s="33" t="s">
        <v>1496</v>
      </c>
      <c r="F2260" s="33" t="s">
        <v>1497</v>
      </c>
      <c r="G2260" s="33" t="s">
        <v>6121</v>
      </c>
      <c r="H2260" s="33" t="s">
        <v>6122</v>
      </c>
      <c r="I2260" s="33" t="s">
        <v>6123</v>
      </c>
      <c r="J2260" s="33">
        <v>115894</v>
      </c>
      <c r="K2260" s="33" t="s">
        <v>6124</v>
      </c>
      <c r="L2260" s="33" t="s">
        <v>6125</v>
      </c>
      <c r="M2260" s="33" t="s">
        <v>6126</v>
      </c>
      <c r="N2260" s="44" t="s">
        <v>1494</v>
      </c>
      <c r="O2260" s="33" t="s">
        <v>1494</v>
      </c>
      <c r="P2260" s="33" t="s">
        <v>1494</v>
      </c>
      <c r="Q2260" s="34" t="s">
        <v>1494</v>
      </c>
      <c r="R2260" s="34" t="s">
        <v>1494</v>
      </c>
    </row>
    <row r="2261" spans="1:18" ht="15" customHeight="1" x14ac:dyDescent="0.25">
      <c r="A2261" t="str">
        <f>IFERROR(RANK(B2261,$B:$B,1)+COUNTIF($B$1:B2260,B2261),"")</f>
        <v/>
      </c>
      <c r="B2261" t="str">
        <f>IFERROR(SEARCH(#REF!,Table4[[#This Row],[Commodity Title]],1),"")</f>
        <v/>
      </c>
      <c r="C2261" s="35">
        <v>42251501</v>
      </c>
      <c r="D2261" s="33" t="s">
        <v>1495</v>
      </c>
      <c r="E2261" s="33" t="s">
        <v>1496</v>
      </c>
      <c r="F2261" s="33" t="s">
        <v>1497</v>
      </c>
      <c r="G2261" s="33" t="s">
        <v>6121</v>
      </c>
      <c r="H2261" s="33" t="s">
        <v>6122</v>
      </c>
      <c r="I2261" s="33" t="s">
        <v>6123</v>
      </c>
      <c r="J2261" s="33">
        <v>115895</v>
      </c>
      <c r="K2261" s="33" t="s">
        <v>6124</v>
      </c>
      <c r="L2261" s="33" t="s">
        <v>6125</v>
      </c>
      <c r="M2261" s="33" t="s">
        <v>6126</v>
      </c>
      <c r="N2261" s="44">
        <v>42251501</v>
      </c>
      <c r="O2261" s="33" t="s">
        <v>6127</v>
      </c>
      <c r="P2261" s="33" t="s">
        <v>6128</v>
      </c>
      <c r="Q2261" s="34" t="s">
        <v>1494</v>
      </c>
      <c r="R2261" s="34" t="s">
        <v>1494</v>
      </c>
    </row>
    <row r="2262" spans="1:18" ht="15" customHeight="1" x14ac:dyDescent="0.25">
      <c r="A2262" t="str">
        <f>IFERROR(RANK(B2262,$B:$B,1)+COUNTIF($B$1:B2261,B2262),"")</f>
        <v/>
      </c>
      <c r="B2262" t="str">
        <f>IFERROR(SEARCH(#REF!,Table4[[#This Row],[Commodity Title]],1),"")</f>
        <v/>
      </c>
      <c r="C2262" s="35">
        <v>42251502</v>
      </c>
      <c r="D2262" s="33" t="s">
        <v>1495</v>
      </c>
      <c r="E2262" s="33" t="s">
        <v>1496</v>
      </c>
      <c r="F2262" s="33" t="s">
        <v>1497</v>
      </c>
      <c r="G2262" s="33" t="s">
        <v>6121</v>
      </c>
      <c r="H2262" s="33" t="s">
        <v>6122</v>
      </c>
      <c r="I2262" s="33" t="s">
        <v>6123</v>
      </c>
      <c r="J2262" s="33">
        <v>115896</v>
      </c>
      <c r="K2262" s="33" t="s">
        <v>6124</v>
      </c>
      <c r="L2262" s="33" t="s">
        <v>6125</v>
      </c>
      <c r="M2262" s="33" t="s">
        <v>6126</v>
      </c>
      <c r="N2262" s="44">
        <v>42251502</v>
      </c>
      <c r="O2262" s="33" t="s">
        <v>6129</v>
      </c>
      <c r="P2262" s="33" t="s">
        <v>6130</v>
      </c>
      <c r="Q2262" s="34" t="s">
        <v>1494</v>
      </c>
      <c r="R2262" s="34" t="s">
        <v>1494</v>
      </c>
    </row>
    <row r="2263" spans="1:18" ht="15" customHeight="1" x14ac:dyDescent="0.25">
      <c r="A2263" t="str">
        <f>IFERROR(RANK(B2263,$B:$B,1)+COUNTIF($B$1:B2262,B2263),"")</f>
        <v/>
      </c>
      <c r="B2263" t="str">
        <f>IFERROR(SEARCH(#REF!,Table4[[#This Row],[Commodity Title]],1),"")</f>
        <v/>
      </c>
      <c r="C2263" s="35">
        <v>42251503</v>
      </c>
      <c r="D2263" s="33" t="s">
        <v>1495</v>
      </c>
      <c r="E2263" s="33" t="s">
        <v>1496</v>
      </c>
      <c r="F2263" s="33" t="s">
        <v>1497</v>
      </c>
      <c r="G2263" s="33" t="s">
        <v>6121</v>
      </c>
      <c r="H2263" s="33" t="s">
        <v>6122</v>
      </c>
      <c r="I2263" s="33" t="s">
        <v>6123</v>
      </c>
      <c r="J2263" s="33">
        <v>115897</v>
      </c>
      <c r="K2263" s="33" t="s">
        <v>6124</v>
      </c>
      <c r="L2263" s="33" t="s">
        <v>6125</v>
      </c>
      <c r="M2263" s="33" t="s">
        <v>6126</v>
      </c>
      <c r="N2263" s="44">
        <v>42251503</v>
      </c>
      <c r="O2263" s="33" t="s">
        <v>6131</v>
      </c>
      <c r="P2263" s="33" t="s">
        <v>6132</v>
      </c>
      <c r="Q2263" s="34" t="s">
        <v>1494</v>
      </c>
      <c r="R2263" s="34" t="s">
        <v>1494</v>
      </c>
    </row>
    <row r="2264" spans="1:18" ht="15" customHeight="1" x14ac:dyDescent="0.25">
      <c r="A2264" t="str">
        <f>IFERROR(RANK(B2264,$B:$B,1)+COUNTIF($B$1:B2263,B2264),"")</f>
        <v/>
      </c>
      <c r="B2264" t="str">
        <f>IFERROR(SEARCH(#REF!,Table4[[#This Row],[Commodity Title]],1),"")</f>
        <v/>
      </c>
      <c r="C2264" s="35">
        <v>42251504</v>
      </c>
      <c r="D2264" s="33" t="s">
        <v>1495</v>
      </c>
      <c r="E2264" s="33" t="s">
        <v>1496</v>
      </c>
      <c r="F2264" s="33" t="s">
        <v>1497</v>
      </c>
      <c r="G2264" s="33" t="s">
        <v>6121</v>
      </c>
      <c r="H2264" s="33" t="s">
        <v>6122</v>
      </c>
      <c r="I2264" s="33" t="s">
        <v>6123</v>
      </c>
      <c r="J2264" s="33">
        <v>115898</v>
      </c>
      <c r="K2264" s="33" t="s">
        <v>6124</v>
      </c>
      <c r="L2264" s="33" t="s">
        <v>6125</v>
      </c>
      <c r="M2264" s="33" t="s">
        <v>6126</v>
      </c>
      <c r="N2264" s="44">
        <v>42251504</v>
      </c>
      <c r="O2264" s="33" t="s">
        <v>6133</v>
      </c>
      <c r="P2264" s="33" t="s">
        <v>6134</v>
      </c>
      <c r="Q2264" s="34" t="s">
        <v>1494</v>
      </c>
      <c r="R2264" s="34" t="s">
        <v>1494</v>
      </c>
    </row>
    <row r="2265" spans="1:18" ht="15" customHeight="1" x14ac:dyDescent="0.25">
      <c r="A2265" t="str">
        <f>IFERROR(RANK(B2265,$B:$B,1)+COUNTIF($B$1:B2264,B2265),"")</f>
        <v/>
      </c>
      <c r="B2265" t="str">
        <f>IFERROR(SEARCH(#REF!,Table4[[#This Row],[Commodity Title]],1),"")</f>
        <v/>
      </c>
      <c r="C2265" s="35">
        <v>42251505</v>
      </c>
      <c r="D2265" s="33" t="s">
        <v>1495</v>
      </c>
      <c r="E2265" s="33" t="s">
        <v>1496</v>
      </c>
      <c r="F2265" s="33" t="s">
        <v>1497</v>
      </c>
      <c r="G2265" s="33" t="s">
        <v>6121</v>
      </c>
      <c r="H2265" s="33" t="s">
        <v>6122</v>
      </c>
      <c r="I2265" s="33" t="s">
        <v>6123</v>
      </c>
      <c r="J2265" s="33">
        <v>115899</v>
      </c>
      <c r="K2265" s="33" t="s">
        <v>6124</v>
      </c>
      <c r="L2265" s="33" t="s">
        <v>6125</v>
      </c>
      <c r="M2265" s="33" t="s">
        <v>6126</v>
      </c>
      <c r="N2265" s="44">
        <v>42251505</v>
      </c>
      <c r="O2265" s="33" t="s">
        <v>6135</v>
      </c>
      <c r="P2265" s="33" t="s">
        <v>6136</v>
      </c>
      <c r="Q2265" s="34" t="s">
        <v>1494</v>
      </c>
      <c r="R2265" s="34" t="s">
        <v>1494</v>
      </c>
    </row>
    <row r="2266" spans="1:18" ht="15" customHeight="1" x14ac:dyDescent="0.25">
      <c r="A2266" t="str">
        <f>IFERROR(RANK(B2266,$B:$B,1)+COUNTIF($B$1:B2265,B2266),"")</f>
        <v/>
      </c>
      <c r="B2266" t="str">
        <f>IFERROR(SEARCH(#REF!,Table4[[#This Row],[Commodity Title]],1),"")</f>
        <v/>
      </c>
      <c r="C2266" s="35">
        <v>42251506</v>
      </c>
      <c r="D2266" s="33" t="s">
        <v>1495</v>
      </c>
      <c r="E2266" s="33" t="s">
        <v>1496</v>
      </c>
      <c r="F2266" s="33" t="s">
        <v>1497</v>
      </c>
      <c r="G2266" s="33" t="s">
        <v>6121</v>
      </c>
      <c r="H2266" s="33" t="s">
        <v>6122</v>
      </c>
      <c r="I2266" s="33" t="s">
        <v>6123</v>
      </c>
      <c r="J2266" s="33">
        <v>142661</v>
      </c>
      <c r="K2266" s="33" t="s">
        <v>6124</v>
      </c>
      <c r="L2266" s="33" t="s">
        <v>6125</v>
      </c>
      <c r="M2266" s="33" t="s">
        <v>6126</v>
      </c>
      <c r="N2266" s="44">
        <v>42251506</v>
      </c>
      <c r="O2266" s="33" t="s">
        <v>6137</v>
      </c>
      <c r="P2266" s="33" t="s">
        <v>6138</v>
      </c>
      <c r="Q2266" s="34" t="s">
        <v>1494</v>
      </c>
      <c r="R2266" s="34" t="s">
        <v>1494</v>
      </c>
    </row>
    <row r="2267" spans="1:18" ht="15" customHeight="1" x14ac:dyDescent="0.25">
      <c r="A2267" t="str">
        <f>IFERROR(RANK(B2267,$B:$B,1)+COUNTIF($B$1:B2266,B2267),"")</f>
        <v/>
      </c>
      <c r="B2267" t="str">
        <f>IFERROR(SEARCH(#REF!,Table4[[#This Row],[Commodity Title]],1),"")</f>
        <v/>
      </c>
      <c r="C2267" s="33" t="s">
        <v>1494</v>
      </c>
      <c r="D2267" s="33" t="s">
        <v>1495</v>
      </c>
      <c r="E2267" s="33" t="s">
        <v>1496</v>
      </c>
      <c r="F2267" s="33" t="s">
        <v>1497</v>
      </c>
      <c r="G2267" s="33" t="s">
        <v>6121</v>
      </c>
      <c r="H2267" s="33" t="s">
        <v>6122</v>
      </c>
      <c r="I2267" s="33" t="s">
        <v>6123</v>
      </c>
      <c r="J2267" s="33">
        <v>115900</v>
      </c>
      <c r="K2267" s="33" t="s">
        <v>6139</v>
      </c>
      <c r="L2267" s="33" t="s">
        <v>6140</v>
      </c>
      <c r="M2267" s="33" t="s">
        <v>6141</v>
      </c>
      <c r="N2267" s="44" t="s">
        <v>1494</v>
      </c>
      <c r="O2267" s="33" t="s">
        <v>1494</v>
      </c>
      <c r="P2267" s="33" t="s">
        <v>1494</v>
      </c>
      <c r="Q2267" s="34" t="s">
        <v>1494</v>
      </c>
      <c r="R2267" s="34" t="s">
        <v>1494</v>
      </c>
    </row>
    <row r="2268" spans="1:18" ht="15" customHeight="1" x14ac:dyDescent="0.25">
      <c r="A2268" t="str">
        <f>IFERROR(RANK(B2268,$B:$B,1)+COUNTIF($B$1:B2267,B2268),"")</f>
        <v/>
      </c>
      <c r="B2268" t="str">
        <f>IFERROR(SEARCH(#REF!,Table4[[#This Row],[Commodity Title]],1),"")</f>
        <v/>
      </c>
      <c r="C2268" s="35">
        <v>42251601</v>
      </c>
      <c r="D2268" s="33" t="s">
        <v>1495</v>
      </c>
      <c r="E2268" s="33" t="s">
        <v>1496</v>
      </c>
      <c r="F2268" s="33" t="s">
        <v>1497</v>
      </c>
      <c r="G2268" s="33" t="s">
        <v>6121</v>
      </c>
      <c r="H2268" s="33" t="s">
        <v>6122</v>
      </c>
      <c r="I2268" s="33" t="s">
        <v>6123</v>
      </c>
      <c r="J2268" s="33">
        <v>115901</v>
      </c>
      <c r="K2268" s="33" t="s">
        <v>6139</v>
      </c>
      <c r="L2268" s="33" t="s">
        <v>6140</v>
      </c>
      <c r="M2268" s="33" t="s">
        <v>6141</v>
      </c>
      <c r="N2268" s="44">
        <v>42251601</v>
      </c>
      <c r="O2268" s="33" t="s">
        <v>6142</v>
      </c>
      <c r="P2268" s="33" t="s">
        <v>6143</v>
      </c>
      <c r="Q2268" s="34" t="s">
        <v>1494</v>
      </c>
      <c r="R2268" s="34" t="s">
        <v>1494</v>
      </c>
    </row>
    <row r="2269" spans="1:18" ht="15" customHeight="1" x14ac:dyDescent="0.25">
      <c r="A2269" t="str">
        <f>IFERROR(RANK(B2269,$B:$B,1)+COUNTIF($B$1:B2268,B2269),"")</f>
        <v/>
      </c>
      <c r="B2269" t="str">
        <f>IFERROR(SEARCH(#REF!,Table4[[#This Row],[Commodity Title]],1),"")</f>
        <v/>
      </c>
      <c r="C2269" s="35">
        <v>42251602</v>
      </c>
      <c r="D2269" s="33" t="s">
        <v>1495</v>
      </c>
      <c r="E2269" s="33" t="s">
        <v>1496</v>
      </c>
      <c r="F2269" s="33" t="s">
        <v>1497</v>
      </c>
      <c r="G2269" s="33" t="s">
        <v>6121</v>
      </c>
      <c r="H2269" s="33" t="s">
        <v>6122</v>
      </c>
      <c r="I2269" s="33" t="s">
        <v>6123</v>
      </c>
      <c r="J2269" s="33">
        <v>115902</v>
      </c>
      <c r="K2269" s="33" t="s">
        <v>6139</v>
      </c>
      <c r="L2269" s="33" t="s">
        <v>6140</v>
      </c>
      <c r="M2269" s="33" t="s">
        <v>6141</v>
      </c>
      <c r="N2269" s="44">
        <v>42251602</v>
      </c>
      <c r="O2269" s="33" t="s">
        <v>6144</v>
      </c>
      <c r="P2269" s="33" t="s">
        <v>6145</v>
      </c>
      <c r="Q2269" s="34" t="s">
        <v>1494</v>
      </c>
      <c r="R2269" s="34" t="s">
        <v>1494</v>
      </c>
    </row>
    <row r="2270" spans="1:18" ht="15" customHeight="1" x14ac:dyDescent="0.25">
      <c r="A2270" t="str">
        <f>IFERROR(RANK(B2270,$B:$B,1)+COUNTIF($B$1:B2269,B2270),"")</f>
        <v/>
      </c>
      <c r="B2270" t="str">
        <f>IFERROR(SEARCH(#REF!,Table4[[#This Row],[Commodity Title]],1),"")</f>
        <v/>
      </c>
      <c r="C2270" s="35">
        <v>42251603</v>
      </c>
      <c r="D2270" s="33" t="s">
        <v>1495</v>
      </c>
      <c r="E2270" s="33" t="s">
        <v>1496</v>
      </c>
      <c r="F2270" s="33" t="s">
        <v>1497</v>
      </c>
      <c r="G2270" s="33" t="s">
        <v>6121</v>
      </c>
      <c r="H2270" s="33" t="s">
        <v>6122</v>
      </c>
      <c r="I2270" s="33" t="s">
        <v>6123</v>
      </c>
      <c r="J2270" s="33">
        <v>115903</v>
      </c>
      <c r="K2270" s="33" t="s">
        <v>6139</v>
      </c>
      <c r="L2270" s="33" t="s">
        <v>6140</v>
      </c>
      <c r="M2270" s="33" t="s">
        <v>6141</v>
      </c>
      <c r="N2270" s="44">
        <v>42251603</v>
      </c>
      <c r="O2270" s="33" t="s">
        <v>6146</v>
      </c>
      <c r="P2270" s="33" t="s">
        <v>6147</v>
      </c>
      <c r="Q2270" s="34" t="s">
        <v>1494</v>
      </c>
      <c r="R2270" s="34" t="s">
        <v>1494</v>
      </c>
    </row>
    <row r="2271" spans="1:18" ht="15" customHeight="1" x14ac:dyDescent="0.25">
      <c r="A2271" t="str">
        <f>IFERROR(RANK(B2271,$B:$B,1)+COUNTIF($B$1:B2270,B2271),"")</f>
        <v/>
      </c>
      <c r="B2271" t="str">
        <f>IFERROR(SEARCH(#REF!,Table4[[#This Row],[Commodity Title]],1),"")</f>
        <v/>
      </c>
      <c r="C2271" s="35">
        <v>42251604</v>
      </c>
      <c r="D2271" s="33" t="s">
        <v>1495</v>
      </c>
      <c r="E2271" s="33" t="s">
        <v>1496</v>
      </c>
      <c r="F2271" s="33" t="s">
        <v>1497</v>
      </c>
      <c r="G2271" s="33" t="s">
        <v>6121</v>
      </c>
      <c r="H2271" s="33" t="s">
        <v>6122</v>
      </c>
      <c r="I2271" s="33" t="s">
        <v>6123</v>
      </c>
      <c r="J2271" s="33">
        <v>115904</v>
      </c>
      <c r="K2271" s="33" t="s">
        <v>6139</v>
      </c>
      <c r="L2271" s="33" t="s">
        <v>6140</v>
      </c>
      <c r="M2271" s="33" t="s">
        <v>6141</v>
      </c>
      <c r="N2271" s="44">
        <v>42251604</v>
      </c>
      <c r="O2271" s="33" t="s">
        <v>6148</v>
      </c>
      <c r="P2271" s="33" t="s">
        <v>6149</v>
      </c>
      <c r="Q2271" s="34" t="s">
        <v>1494</v>
      </c>
      <c r="R2271" s="34" t="s">
        <v>1494</v>
      </c>
    </row>
    <row r="2272" spans="1:18" ht="15" customHeight="1" x14ac:dyDescent="0.25">
      <c r="A2272" t="str">
        <f>IFERROR(RANK(B2272,$B:$B,1)+COUNTIF($B$1:B2271,B2272),"")</f>
        <v/>
      </c>
      <c r="B2272" t="str">
        <f>IFERROR(SEARCH(#REF!,Table4[[#This Row],[Commodity Title]],1),"")</f>
        <v/>
      </c>
      <c r="C2272" s="35">
        <v>42251605</v>
      </c>
      <c r="D2272" s="33" t="s">
        <v>1495</v>
      </c>
      <c r="E2272" s="33" t="s">
        <v>1496</v>
      </c>
      <c r="F2272" s="33" t="s">
        <v>1497</v>
      </c>
      <c r="G2272" s="33" t="s">
        <v>6121</v>
      </c>
      <c r="H2272" s="33" t="s">
        <v>6122</v>
      </c>
      <c r="I2272" s="33" t="s">
        <v>6123</v>
      </c>
      <c r="J2272" s="33">
        <v>115905</v>
      </c>
      <c r="K2272" s="33" t="s">
        <v>6139</v>
      </c>
      <c r="L2272" s="33" t="s">
        <v>6140</v>
      </c>
      <c r="M2272" s="33" t="s">
        <v>6141</v>
      </c>
      <c r="N2272" s="44">
        <v>42251605</v>
      </c>
      <c r="O2272" s="33" t="s">
        <v>6150</v>
      </c>
      <c r="P2272" s="33" t="s">
        <v>6151</v>
      </c>
      <c r="Q2272" s="34" t="s">
        <v>1494</v>
      </c>
      <c r="R2272" s="34" t="s">
        <v>1494</v>
      </c>
    </row>
    <row r="2273" spans="1:18" ht="15" customHeight="1" x14ac:dyDescent="0.25">
      <c r="A2273" t="str">
        <f>IFERROR(RANK(B2273,$B:$B,1)+COUNTIF($B$1:B2272,B2273),"")</f>
        <v/>
      </c>
      <c r="B2273" t="str">
        <f>IFERROR(SEARCH(#REF!,Table4[[#This Row],[Commodity Title]],1),"")</f>
        <v/>
      </c>
      <c r="C2273" s="35">
        <v>42251606</v>
      </c>
      <c r="D2273" s="33" t="s">
        <v>1495</v>
      </c>
      <c r="E2273" s="33" t="s">
        <v>1496</v>
      </c>
      <c r="F2273" s="33" t="s">
        <v>1497</v>
      </c>
      <c r="G2273" s="33" t="s">
        <v>6121</v>
      </c>
      <c r="H2273" s="33" t="s">
        <v>6122</v>
      </c>
      <c r="I2273" s="33" t="s">
        <v>6123</v>
      </c>
      <c r="J2273" s="33">
        <v>115906</v>
      </c>
      <c r="K2273" s="33" t="s">
        <v>6139</v>
      </c>
      <c r="L2273" s="33" t="s">
        <v>6140</v>
      </c>
      <c r="M2273" s="33" t="s">
        <v>6141</v>
      </c>
      <c r="N2273" s="44">
        <v>42251606</v>
      </c>
      <c r="O2273" s="33" t="s">
        <v>6152</v>
      </c>
      <c r="P2273" s="33" t="s">
        <v>6153</v>
      </c>
      <c r="Q2273" s="34" t="s">
        <v>1494</v>
      </c>
      <c r="R2273" s="34" t="s">
        <v>1494</v>
      </c>
    </row>
    <row r="2274" spans="1:18" ht="15" customHeight="1" x14ac:dyDescent="0.25">
      <c r="A2274" t="str">
        <f>IFERROR(RANK(B2274,$B:$B,1)+COUNTIF($B$1:B2273,B2274),"")</f>
        <v/>
      </c>
      <c r="B2274" t="str">
        <f>IFERROR(SEARCH(#REF!,Table4[[#This Row],[Commodity Title]],1),"")</f>
        <v/>
      </c>
      <c r="C2274" s="35">
        <v>42251607</v>
      </c>
      <c r="D2274" s="33" t="s">
        <v>1495</v>
      </c>
      <c r="E2274" s="33" t="s">
        <v>1496</v>
      </c>
      <c r="F2274" s="33" t="s">
        <v>1497</v>
      </c>
      <c r="G2274" s="33" t="s">
        <v>6121</v>
      </c>
      <c r="H2274" s="33" t="s">
        <v>6122</v>
      </c>
      <c r="I2274" s="33" t="s">
        <v>6123</v>
      </c>
      <c r="J2274" s="33">
        <v>115907</v>
      </c>
      <c r="K2274" s="33" t="s">
        <v>6139</v>
      </c>
      <c r="L2274" s="33" t="s">
        <v>6140</v>
      </c>
      <c r="M2274" s="33" t="s">
        <v>6141</v>
      </c>
      <c r="N2274" s="44">
        <v>42251607</v>
      </c>
      <c r="O2274" s="33" t="s">
        <v>6154</v>
      </c>
      <c r="P2274" s="33" t="s">
        <v>6155</v>
      </c>
      <c r="Q2274" s="34" t="s">
        <v>1494</v>
      </c>
      <c r="R2274" s="34" t="s">
        <v>1494</v>
      </c>
    </row>
    <row r="2275" spans="1:18" ht="15" customHeight="1" x14ac:dyDescent="0.25">
      <c r="A2275" t="str">
        <f>IFERROR(RANK(B2275,$B:$B,1)+COUNTIF($B$1:B2274,B2275),"")</f>
        <v/>
      </c>
      <c r="B2275" t="str">
        <f>IFERROR(SEARCH(#REF!,Table4[[#This Row],[Commodity Title]],1),"")</f>
        <v/>
      </c>
      <c r="C2275" s="35">
        <v>42251608</v>
      </c>
      <c r="D2275" s="33" t="s">
        <v>1495</v>
      </c>
      <c r="E2275" s="33" t="s">
        <v>1496</v>
      </c>
      <c r="F2275" s="33" t="s">
        <v>1497</v>
      </c>
      <c r="G2275" s="33" t="s">
        <v>6121</v>
      </c>
      <c r="H2275" s="33" t="s">
        <v>6122</v>
      </c>
      <c r="I2275" s="33" t="s">
        <v>6123</v>
      </c>
      <c r="J2275" s="33">
        <v>115908</v>
      </c>
      <c r="K2275" s="33" t="s">
        <v>6139</v>
      </c>
      <c r="L2275" s="33" t="s">
        <v>6140</v>
      </c>
      <c r="M2275" s="33" t="s">
        <v>6141</v>
      </c>
      <c r="N2275" s="44">
        <v>42251608</v>
      </c>
      <c r="O2275" s="33" t="s">
        <v>6156</v>
      </c>
      <c r="P2275" s="33" t="s">
        <v>6157</v>
      </c>
      <c r="Q2275" s="34" t="s">
        <v>1494</v>
      </c>
      <c r="R2275" s="34" t="s">
        <v>1494</v>
      </c>
    </row>
    <row r="2276" spans="1:18" ht="15" customHeight="1" x14ac:dyDescent="0.25">
      <c r="A2276" t="str">
        <f>IFERROR(RANK(B2276,$B:$B,1)+COUNTIF($B$1:B2275,B2276),"")</f>
        <v/>
      </c>
      <c r="B2276" t="str">
        <f>IFERROR(SEARCH(#REF!,Table4[[#This Row],[Commodity Title]],1),"")</f>
        <v/>
      </c>
      <c r="C2276" s="35">
        <v>42251609</v>
      </c>
      <c r="D2276" s="33" t="s">
        <v>1495</v>
      </c>
      <c r="E2276" s="33" t="s">
        <v>1496</v>
      </c>
      <c r="F2276" s="33" t="s">
        <v>1497</v>
      </c>
      <c r="G2276" s="33" t="s">
        <v>6121</v>
      </c>
      <c r="H2276" s="33" t="s">
        <v>6122</v>
      </c>
      <c r="I2276" s="33" t="s">
        <v>6123</v>
      </c>
      <c r="J2276" s="33">
        <v>115909</v>
      </c>
      <c r="K2276" s="33" t="s">
        <v>6139</v>
      </c>
      <c r="L2276" s="33" t="s">
        <v>6140</v>
      </c>
      <c r="M2276" s="33" t="s">
        <v>6141</v>
      </c>
      <c r="N2276" s="44">
        <v>42251609</v>
      </c>
      <c r="O2276" s="33" t="s">
        <v>6158</v>
      </c>
      <c r="P2276" s="33" t="s">
        <v>6159</v>
      </c>
      <c r="Q2276" s="34" t="s">
        <v>1494</v>
      </c>
      <c r="R2276" s="34" t="s">
        <v>1494</v>
      </c>
    </row>
    <row r="2277" spans="1:18" ht="15" customHeight="1" x14ac:dyDescent="0.25">
      <c r="A2277" t="str">
        <f>IFERROR(RANK(B2277,$B:$B,1)+COUNTIF($B$1:B2276,B2277),"")</f>
        <v/>
      </c>
      <c r="B2277" t="str">
        <f>IFERROR(SEARCH(#REF!,Table4[[#This Row],[Commodity Title]],1),"")</f>
        <v/>
      </c>
      <c r="C2277" s="35">
        <v>42251610</v>
      </c>
      <c r="D2277" s="33" t="s">
        <v>1495</v>
      </c>
      <c r="E2277" s="33" t="s">
        <v>1496</v>
      </c>
      <c r="F2277" s="33" t="s">
        <v>1497</v>
      </c>
      <c r="G2277" s="33" t="s">
        <v>6121</v>
      </c>
      <c r="H2277" s="33" t="s">
        <v>6122</v>
      </c>
      <c r="I2277" s="33" t="s">
        <v>6123</v>
      </c>
      <c r="J2277" s="33">
        <v>115910</v>
      </c>
      <c r="K2277" s="33" t="s">
        <v>6139</v>
      </c>
      <c r="L2277" s="33" t="s">
        <v>6140</v>
      </c>
      <c r="M2277" s="33" t="s">
        <v>6141</v>
      </c>
      <c r="N2277" s="44">
        <v>42251610</v>
      </c>
      <c r="O2277" s="33" t="s">
        <v>6160</v>
      </c>
      <c r="P2277" s="33" t="s">
        <v>6161</v>
      </c>
      <c r="Q2277" s="34" t="s">
        <v>1494</v>
      </c>
      <c r="R2277" s="34" t="s">
        <v>1494</v>
      </c>
    </row>
    <row r="2278" spans="1:18" ht="15" customHeight="1" x14ac:dyDescent="0.25">
      <c r="A2278" t="str">
        <f>IFERROR(RANK(B2278,$B:$B,1)+COUNTIF($B$1:B2277,B2278),"")</f>
        <v/>
      </c>
      <c r="B2278" t="str">
        <f>IFERROR(SEARCH(#REF!,Table4[[#This Row],[Commodity Title]],1),"")</f>
        <v/>
      </c>
      <c r="C2278" s="35">
        <v>42251611</v>
      </c>
      <c r="D2278" s="33" t="s">
        <v>1495</v>
      </c>
      <c r="E2278" s="33" t="s">
        <v>1496</v>
      </c>
      <c r="F2278" s="33" t="s">
        <v>1497</v>
      </c>
      <c r="G2278" s="33" t="s">
        <v>6121</v>
      </c>
      <c r="H2278" s="33" t="s">
        <v>6122</v>
      </c>
      <c r="I2278" s="33" t="s">
        <v>6123</v>
      </c>
      <c r="J2278" s="33">
        <v>115911</v>
      </c>
      <c r="K2278" s="33" t="s">
        <v>6139</v>
      </c>
      <c r="L2278" s="33" t="s">
        <v>6140</v>
      </c>
      <c r="M2278" s="33" t="s">
        <v>6141</v>
      </c>
      <c r="N2278" s="44">
        <v>42251611</v>
      </c>
      <c r="O2278" s="33" t="s">
        <v>6162</v>
      </c>
      <c r="P2278" s="33" t="s">
        <v>6163</v>
      </c>
      <c r="Q2278" s="34" t="s">
        <v>1494</v>
      </c>
      <c r="R2278" s="34" t="s">
        <v>1494</v>
      </c>
    </row>
    <row r="2279" spans="1:18" ht="15" customHeight="1" x14ac:dyDescent="0.25">
      <c r="A2279" t="str">
        <f>IFERROR(RANK(B2279,$B:$B,1)+COUNTIF($B$1:B2278,B2279),"")</f>
        <v/>
      </c>
      <c r="B2279" t="str">
        <f>IFERROR(SEARCH(#REF!,Table4[[#This Row],[Commodity Title]],1),"")</f>
        <v/>
      </c>
      <c r="C2279" s="35">
        <v>42251612</v>
      </c>
      <c r="D2279" s="33" t="s">
        <v>1495</v>
      </c>
      <c r="E2279" s="33" t="s">
        <v>1496</v>
      </c>
      <c r="F2279" s="33" t="s">
        <v>1497</v>
      </c>
      <c r="G2279" s="33" t="s">
        <v>6121</v>
      </c>
      <c r="H2279" s="33" t="s">
        <v>6122</v>
      </c>
      <c r="I2279" s="33" t="s">
        <v>6123</v>
      </c>
      <c r="J2279" s="33">
        <v>142662</v>
      </c>
      <c r="K2279" s="33" t="s">
        <v>6139</v>
      </c>
      <c r="L2279" s="33" t="s">
        <v>6140</v>
      </c>
      <c r="M2279" s="33" t="s">
        <v>6141</v>
      </c>
      <c r="N2279" s="44">
        <v>42251612</v>
      </c>
      <c r="O2279" s="33" t="s">
        <v>6164</v>
      </c>
      <c r="P2279" s="33" t="s">
        <v>6165</v>
      </c>
      <c r="Q2279" s="34" t="s">
        <v>1494</v>
      </c>
      <c r="R2279" s="34" t="s">
        <v>1494</v>
      </c>
    </row>
    <row r="2280" spans="1:18" ht="15" customHeight="1" x14ac:dyDescent="0.25">
      <c r="A2280" t="str">
        <f>IFERROR(RANK(B2280,$B:$B,1)+COUNTIF($B$1:B2279,B2280),"")</f>
        <v/>
      </c>
      <c r="B2280" t="str">
        <f>IFERROR(SEARCH(#REF!,Table4[[#This Row],[Commodity Title]],1),"")</f>
        <v/>
      </c>
      <c r="C2280" s="35">
        <v>42251613</v>
      </c>
      <c r="D2280" s="33" t="s">
        <v>1495</v>
      </c>
      <c r="E2280" s="33" t="s">
        <v>1496</v>
      </c>
      <c r="F2280" s="33" t="s">
        <v>1497</v>
      </c>
      <c r="G2280" s="33" t="s">
        <v>6121</v>
      </c>
      <c r="H2280" s="33" t="s">
        <v>6122</v>
      </c>
      <c r="I2280" s="33" t="s">
        <v>6123</v>
      </c>
      <c r="J2280" s="33">
        <v>142663</v>
      </c>
      <c r="K2280" s="33" t="s">
        <v>6139</v>
      </c>
      <c r="L2280" s="33" t="s">
        <v>6140</v>
      </c>
      <c r="M2280" s="33" t="s">
        <v>6141</v>
      </c>
      <c r="N2280" s="44">
        <v>42251613</v>
      </c>
      <c r="O2280" s="33" t="s">
        <v>6166</v>
      </c>
      <c r="P2280" s="33" t="s">
        <v>6167</v>
      </c>
      <c r="Q2280" s="34" t="s">
        <v>1494</v>
      </c>
      <c r="R2280" s="34" t="s">
        <v>1494</v>
      </c>
    </row>
    <row r="2281" spans="1:18" ht="15" customHeight="1" x14ac:dyDescent="0.25">
      <c r="A2281" t="str">
        <f>IFERROR(RANK(B2281,$B:$B,1)+COUNTIF($B$1:B2280,B2281),"")</f>
        <v/>
      </c>
      <c r="B2281" t="str">
        <f>IFERROR(SEARCH(#REF!,Table4[[#This Row],[Commodity Title]],1),"")</f>
        <v/>
      </c>
      <c r="C2281" s="35">
        <v>42251614</v>
      </c>
      <c r="D2281" s="33" t="s">
        <v>1495</v>
      </c>
      <c r="E2281" s="33" t="s">
        <v>1496</v>
      </c>
      <c r="F2281" s="33" t="s">
        <v>1497</v>
      </c>
      <c r="G2281" s="33" t="s">
        <v>6121</v>
      </c>
      <c r="H2281" s="33" t="s">
        <v>6122</v>
      </c>
      <c r="I2281" s="33" t="s">
        <v>6123</v>
      </c>
      <c r="J2281" s="33">
        <v>142664</v>
      </c>
      <c r="K2281" s="33" t="s">
        <v>6139</v>
      </c>
      <c r="L2281" s="33" t="s">
        <v>6140</v>
      </c>
      <c r="M2281" s="33" t="s">
        <v>6141</v>
      </c>
      <c r="N2281" s="44">
        <v>42251614</v>
      </c>
      <c r="O2281" s="33" t="s">
        <v>6168</v>
      </c>
      <c r="P2281" s="33" t="s">
        <v>6169</v>
      </c>
      <c r="Q2281" s="34" t="s">
        <v>1494</v>
      </c>
      <c r="R2281" s="34" t="s">
        <v>1494</v>
      </c>
    </row>
    <row r="2282" spans="1:18" ht="15" customHeight="1" x14ac:dyDescent="0.25">
      <c r="A2282" t="str">
        <f>IFERROR(RANK(B2282,$B:$B,1)+COUNTIF($B$1:B2281,B2282),"")</f>
        <v/>
      </c>
      <c r="B2282" t="str">
        <f>IFERROR(SEARCH(#REF!,Table4[[#This Row],[Commodity Title]],1),"")</f>
        <v/>
      </c>
      <c r="C2282" s="35">
        <v>42251615</v>
      </c>
      <c r="D2282" s="33" t="s">
        <v>1495</v>
      </c>
      <c r="E2282" s="33" t="s">
        <v>1496</v>
      </c>
      <c r="F2282" s="33" t="s">
        <v>1497</v>
      </c>
      <c r="G2282" s="33" t="s">
        <v>6121</v>
      </c>
      <c r="H2282" s="33" t="s">
        <v>6122</v>
      </c>
      <c r="I2282" s="33" t="s">
        <v>6123</v>
      </c>
      <c r="J2282" s="33">
        <v>142665</v>
      </c>
      <c r="K2282" s="33" t="s">
        <v>6139</v>
      </c>
      <c r="L2282" s="33" t="s">
        <v>6140</v>
      </c>
      <c r="M2282" s="33" t="s">
        <v>6141</v>
      </c>
      <c r="N2282" s="44">
        <v>42251615</v>
      </c>
      <c r="O2282" s="33" t="s">
        <v>6170</v>
      </c>
      <c r="P2282" s="33" t="s">
        <v>6171</v>
      </c>
      <c r="Q2282" s="34" t="s">
        <v>1494</v>
      </c>
      <c r="R2282" s="34" t="s">
        <v>1494</v>
      </c>
    </row>
    <row r="2283" spans="1:18" ht="15" customHeight="1" x14ac:dyDescent="0.25">
      <c r="A2283" t="str">
        <f>IFERROR(RANK(B2283,$B:$B,1)+COUNTIF($B$1:B2282,B2283),"")</f>
        <v/>
      </c>
      <c r="B2283" t="str">
        <f>IFERROR(SEARCH(#REF!,Table4[[#This Row],[Commodity Title]],1),"")</f>
        <v/>
      </c>
      <c r="C2283" s="35">
        <v>42251616</v>
      </c>
      <c r="D2283" s="33" t="s">
        <v>1495</v>
      </c>
      <c r="E2283" s="33" t="s">
        <v>1496</v>
      </c>
      <c r="F2283" s="33" t="s">
        <v>1497</v>
      </c>
      <c r="G2283" s="33" t="s">
        <v>6121</v>
      </c>
      <c r="H2283" s="33" t="s">
        <v>6122</v>
      </c>
      <c r="I2283" s="33" t="s">
        <v>6123</v>
      </c>
      <c r="J2283" s="33">
        <v>142666</v>
      </c>
      <c r="K2283" s="33" t="s">
        <v>6139</v>
      </c>
      <c r="L2283" s="33" t="s">
        <v>6140</v>
      </c>
      <c r="M2283" s="33" t="s">
        <v>6141</v>
      </c>
      <c r="N2283" s="44">
        <v>42251616</v>
      </c>
      <c r="O2283" s="33" t="s">
        <v>6172</v>
      </c>
      <c r="P2283" s="33" t="s">
        <v>6173</v>
      </c>
      <c r="Q2283" s="34" t="s">
        <v>1494</v>
      </c>
      <c r="R2283" s="34" t="s">
        <v>1494</v>
      </c>
    </row>
    <row r="2284" spans="1:18" ht="15" customHeight="1" x14ac:dyDescent="0.25">
      <c r="A2284" t="str">
        <f>IFERROR(RANK(B2284,$B:$B,1)+COUNTIF($B$1:B2283,B2284),"")</f>
        <v/>
      </c>
      <c r="B2284" t="str">
        <f>IFERROR(SEARCH(#REF!,Table4[[#This Row],[Commodity Title]],1),"")</f>
        <v/>
      </c>
      <c r="C2284" s="35">
        <v>42251617</v>
      </c>
      <c r="D2284" s="33" t="s">
        <v>1495</v>
      </c>
      <c r="E2284" s="33" t="s">
        <v>1496</v>
      </c>
      <c r="F2284" s="33" t="s">
        <v>1497</v>
      </c>
      <c r="G2284" s="33" t="s">
        <v>6121</v>
      </c>
      <c r="H2284" s="33" t="s">
        <v>6122</v>
      </c>
      <c r="I2284" s="33" t="s">
        <v>6123</v>
      </c>
      <c r="J2284" s="33">
        <v>142667</v>
      </c>
      <c r="K2284" s="33" t="s">
        <v>6139</v>
      </c>
      <c r="L2284" s="33" t="s">
        <v>6140</v>
      </c>
      <c r="M2284" s="33" t="s">
        <v>6141</v>
      </c>
      <c r="N2284" s="44">
        <v>42251617</v>
      </c>
      <c r="O2284" s="33" t="s">
        <v>6174</v>
      </c>
      <c r="P2284" s="33" t="s">
        <v>6175</v>
      </c>
      <c r="Q2284" s="34" t="s">
        <v>1494</v>
      </c>
      <c r="R2284" s="34" t="s">
        <v>1494</v>
      </c>
    </row>
    <row r="2285" spans="1:18" ht="15" customHeight="1" x14ac:dyDescent="0.25">
      <c r="A2285" t="str">
        <f>IFERROR(RANK(B2285,$B:$B,1)+COUNTIF($B$1:B2284,B2285),"")</f>
        <v/>
      </c>
      <c r="B2285" t="str">
        <f>IFERROR(SEARCH(#REF!,Table4[[#This Row],[Commodity Title]],1),"")</f>
        <v/>
      </c>
      <c r="C2285" s="35">
        <v>42251618</v>
      </c>
      <c r="D2285" s="33" t="s">
        <v>1495</v>
      </c>
      <c r="E2285" s="33" t="s">
        <v>1496</v>
      </c>
      <c r="F2285" s="33" t="s">
        <v>1497</v>
      </c>
      <c r="G2285" s="33" t="s">
        <v>6121</v>
      </c>
      <c r="H2285" s="33" t="s">
        <v>6122</v>
      </c>
      <c r="I2285" s="33" t="s">
        <v>6123</v>
      </c>
      <c r="J2285" s="33">
        <v>142668</v>
      </c>
      <c r="K2285" s="33" t="s">
        <v>6139</v>
      </c>
      <c r="L2285" s="33" t="s">
        <v>6140</v>
      </c>
      <c r="M2285" s="33" t="s">
        <v>6141</v>
      </c>
      <c r="N2285" s="44">
        <v>42251618</v>
      </c>
      <c r="O2285" s="33" t="s">
        <v>6176</v>
      </c>
      <c r="P2285" s="33" t="s">
        <v>6177</v>
      </c>
      <c r="Q2285" s="34" t="s">
        <v>1494</v>
      </c>
      <c r="R2285" s="34" t="s">
        <v>1494</v>
      </c>
    </row>
    <row r="2286" spans="1:18" ht="15" customHeight="1" x14ac:dyDescent="0.25">
      <c r="A2286" t="str">
        <f>IFERROR(RANK(B2286,$B:$B,1)+COUNTIF($B$1:B2285,B2286),"")</f>
        <v/>
      </c>
      <c r="B2286" t="str">
        <f>IFERROR(SEARCH(#REF!,Table4[[#This Row],[Commodity Title]],1),"")</f>
        <v/>
      </c>
      <c r="C2286" s="35">
        <v>42251619</v>
      </c>
      <c r="D2286" s="33" t="s">
        <v>1495</v>
      </c>
      <c r="E2286" s="33" t="s">
        <v>1496</v>
      </c>
      <c r="F2286" s="33" t="s">
        <v>1497</v>
      </c>
      <c r="G2286" s="33" t="s">
        <v>6121</v>
      </c>
      <c r="H2286" s="33" t="s">
        <v>6122</v>
      </c>
      <c r="I2286" s="33" t="s">
        <v>6123</v>
      </c>
      <c r="J2286" s="33">
        <v>142669</v>
      </c>
      <c r="K2286" s="33" t="s">
        <v>6139</v>
      </c>
      <c r="L2286" s="33" t="s">
        <v>6140</v>
      </c>
      <c r="M2286" s="33" t="s">
        <v>6141</v>
      </c>
      <c r="N2286" s="44">
        <v>42251619</v>
      </c>
      <c r="O2286" s="33" t="s">
        <v>6178</v>
      </c>
      <c r="P2286" s="33" t="s">
        <v>6179</v>
      </c>
      <c r="Q2286" s="34" t="s">
        <v>1494</v>
      </c>
      <c r="R2286" s="34" t="s">
        <v>1494</v>
      </c>
    </row>
    <row r="2287" spans="1:18" ht="15" customHeight="1" x14ac:dyDescent="0.25">
      <c r="A2287" t="str">
        <f>IFERROR(RANK(B2287,$B:$B,1)+COUNTIF($B$1:B2286,B2287),"")</f>
        <v/>
      </c>
      <c r="B2287" t="str">
        <f>IFERROR(SEARCH(#REF!,Table4[[#This Row],[Commodity Title]],1),"")</f>
        <v/>
      </c>
      <c r="C2287" s="35">
        <v>42251620</v>
      </c>
      <c r="D2287" s="33" t="s">
        <v>1495</v>
      </c>
      <c r="E2287" s="33" t="s">
        <v>1496</v>
      </c>
      <c r="F2287" s="33" t="s">
        <v>1497</v>
      </c>
      <c r="G2287" s="33" t="s">
        <v>6121</v>
      </c>
      <c r="H2287" s="33" t="s">
        <v>6122</v>
      </c>
      <c r="I2287" s="33" t="s">
        <v>6123</v>
      </c>
      <c r="J2287" s="33">
        <v>142670</v>
      </c>
      <c r="K2287" s="33" t="s">
        <v>6139</v>
      </c>
      <c r="L2287" s="33" t="s">
        <v>6140</v>
      </c>
      <c r="M2287" s="33" t="s">
        <v>6141</v>
      </c>
      <c r="N2287" s="44">
        <v>42251620</v>
      </c>
      <c r="O2287" s="33" t="s">
        <v>6180</v>
      </c>
      <c r="P2287" s="33" t="s">
        <v>6181</v>
      </c>
      <c r="Q2287" s="34" t="s">
        <v>1494</v>
      </c>
      <c r="R2287" s="34" t="s">
        <v>1494</v>
      </c>
    </row>
    <row r="2288" spans="1:18" ht="15" customHeight="1" x14ac:dyDescent="0.25">
      <c r="A2288" t="str">
        <f>IFERROR(RANK(B2288,$B:$B,1)+COUNTIF($B$1:B2287,B2288),"")</f>
        <v/>
      </c>
      <c r="B2288" t="str">
        <f>IFERROR(SEARCH(#REF!,Table4[[#This Row],[Commodity Title]],1),"")</f>
        <v/>
      </c>
      <c r="C2288" s="35">
        <v>42251621</v>
      </c>
      <c r="D2288" s="33" t="s">
        <v>1495</v>
      </c>
      <c r="E2288" s="33" t="s">
        <v>1496</v>
      </c>
      <c r="F2288" s="33" t="s">
        <v>1497</v>
      </c>
      <c r="G2288" s="33" t="s">
        <v>6121</v>
      </c>
      <c r="H2288" s="33" t="s">
        <v>6122</v>
      </c>
      <c r="I2288" s="33" t="s">
        <v>6123</v>
      </c>
      <c r="J2288" s="33">
        <v>142671</v>
      </c>
      <c r="K2288" s="33" t="s">
        <v>6139</v>
      </c>
      <c r="L2288" s="33" t="s">
        <v>6140</v>
      </c>
      <c r="M2288" s="33" t="s">
        <v>6141</v>
      </c>
      <c r="N2288" s="44">
        <v>42251621</v>
      </c>
      <c r="O2288" s="33" t="s">
        <v>6182</v>
      </c>
      <c r="P2288" s="33" t="s">
        <v>6183</v>
      </c>
      <c r="Q2288" s="34" t="s">
        <v>1494</v>
      </c>
      <c r="R2288" s="34" t="s">
        <v>1494</v>
      </c>
    </row>
    <row r="2289" spans="1:18" ht="15" customHeight="1" x14ac:dyDescent="0.25">
      <c r="A2289" t="str">
        <f>IFERROR(RANK(B2289,$B:$B,1)+COUNTIF($B$1:B2288,B2289),"")</f>
        <v/>
      </c>
      <c r="B2289" t="str">
        <f>IFERROR(SEARCH(#REF!,Table4[[#This Row],[Commodity Title]],1),"")</f>
        <v/>
      </c>
      <c r="C2289" s="35">
        <v>42251622</v>
      </c>
      <c r="D2289" s="33" t="s">
        <v>1495</v>
      </c>
      <c r="E2289" s="33" t="s">
        <v>1496</v>
      </c>
      <c r="F2289" s="33" t="s">
        <v>1497</v>
      </c>
      <c r="G2289" s="33" t="s">
        <v>6121</v>
      </c>
      <c r="H2289" s="33" t="s">
        <v>6122</v>
      </c>
      <c r="I2289" s="33" t="s">
        <v>6123</v>
      </c>
      <c r="J2289" s="33">
        <v>142672</v>
      </c>
      <c r="K2289" s="33" t="s">
        <v>6139</v>
      </c>
      <c r="L2289" s="33" t="s">
        <v>6140</v>
      </c>
      <c r="M2289" s="33" t="s">
        <v>6141</v>
      </c>
      <c r="N2289" s="44">
        <v>42251622</v>
      </c>
      <c r="O2289" s="33" t="s">
        <v>6184</v>
      </c>
      <c r="P2289" s="33" t="s">
        <v>6185</v>
      </c>
      <c r="Q2289" s="34" t="s">
        <v>1494</v>
      </c>
      <c r="R2289" s="34" t="s">
        <v>1494</v>
      </c>
    </row>
    <row r="2290" spans="1:18" ht="15" customHeight="1" x14ac:dyDescent="0.25">
      <c r="A2290" t="str">
        <f>IFERROR(RANK(B2290,$B:$B,1)+COUNTIF($B$1:B2289,B2290),"")</f>
        <v/>
      </c>
      <c r="B2290" t="str">
        <f>IFERROR(SEARCH(#REF!,Table4[[#This Row],[Commodity Title]],1),"")</f>
        <v/>
      </c>
      <c r="C2290" s="35">
        <v>42251623</v>
      </c>
      <c r="D2290" s="33" t="s">
        <v>1495</v>
      </c>
      <c r="E2290" s="33" t="s">
        <v>1496</v>
      </c>
      <c r="F2290" s="33" t="s">
        <v>1497</v>
      </c>
      <c r="G2290" s="33" t="s">
        <v>6121</v>
      </c>
      <c r="H2290" s="33" t="s">
        <v>6122</v>
      </c>
      <c r="I2290" s="33" t="s">
        <v>6123</v>
      </c>
      <c r="J2290" s="33">
        <v>142267</v>
      </c>
      <c r="K2290" s="33" t="s">
        <v>6139</v>
      </c>
      <c r="L2290" s="33" t="s">
        <v>6140</v>
      </c>
      <c r="M2290" s="33" t="s">
        <v>6141</v>
      </c>
      <c r="N2290" s="44">
        <v>42251623</v>
      </c>
      <c r="O2290" s="33" t="s">
        <v>6186</v>
      </c>
      <c r="P2290" s="33" t="s">
        <v>6187</v>
      </c>
      <c r="Q2290" s="34" t="s">
        <v>1494</v>
      </c>
      <c r="R2290" s="34" t="s">
        <v>1494</v>
      </c>
    </row>
    <row r="2291" spans="1:18" ht="15" customHeight="1" x14ac:dyDescent="0.25">
      <c r="A2291" t="str">
        <f>IFERROR(RANK(B2291,$B:$B,1)+COUNTIF($B$1:B2290,B2291),"")</f>
        <v/>
      </c>
      <c r="B2291" t="str">
        <f>IFERROR(SEARCH(#REF!,Table4[[#This Row],[Commodity Title]],1),"")</f>
        <v/>
      </c>
      <c r="C2291" s="35">
        <v>42251624</v>
      </c>
      <c r="D2291" s="33" t="s">
        <v>1495</v>
      </c>
      <c r="E2291" s="33" t="s">
        <v>1496</v>
      </c>
      <c r="F2291" s="33" t="s">
        <v>1497</v>
      </c>
      <c r="G2291" s="33" t="s">
        <v>6121</v>
      </c>
      <c r="H2291" s="33" t="s">
        <v>6122</v>
      </c>
      <c r="I2291" s="33" t="s">
        <v>6123</v>
      </c>
      <c r="J2291" s="33">
        <v>143851</v>
      </c>
      <c r="K2291" s="33" t="s">
        <v>6139</v>
      </c>
      <c r="L2291" s="33" t="s">
        <v>6140</v>
      </c>
      <c r="M2291" s="33" t="s">
        <v>6141</v>
      </c>
      <c r="N2291" s="44">
        <v>42251624</v>
      </c>
      <c r="O2291" s="33" t="s">
        <v>6188</v>
      </c>
      <c r="P2291" s="33" t="s">
        <v>6189</v>
      </c>
      <c r="Q2291" s="34" t="s">
        <v>1494</v>
      </c>
      <c r="R2291" s="34" t="s">
        <v>1494</v>
      </c>
    </row>
    <row r="2292" spans="1:18" ht="15" customHeight="1" x14ac:dyDescent="0.25">
      <c r="A2292" t="str">
        <f>IFERROR(RANK(B2292,$B:$B,1)+COUNTIF($B$1:B2291,B2292),"")</f>
        <v/>
      </c>
      <c r="B2292" t="str">
        <f>IFERROR(SEARCH(#REF!,Table4[[#This Row],[Commodity Title]],1),"")</f>
        <v/>
      </c>
      <c r="C2292" s="35">
        <v>42251625</v>
      </c>
      <c r="D2292" s="33" t="s">
        <v>1495</v>
      </c>
      <c r="E2292" s="33" t="s">
        <v>1496</v>
      </c>
      <c r="F2292" s="33" t="s">
        <v>1497</v>
      </c>
      <c r="G2292" s="33" t="s">
        <v>6121</v>
      </c>
      <c r="H2292" s="33" t="s">
        <v>6122</v>
      </c>
      <c r="I2292" s="33" t="s">
        <v>6123</v>
      </c>
      <c r="J2292" s="33">
        <v>164871</v>
      </c>
      <c r="K2292" s="33" t="s">
        <v>6139</v>
      </c>
      <c r="L2292" s="33" t="s">
        <v>6140</v>
      </c>
      <c r="M2292" s="33" t="s">
        <v>6141</v>
      </c>
      <c r="N2292" s="44">
        <v>42251625</v>
      </c>
      <c r="O2292" s="33" t="s">
        <v>6190</v>
      </c>
      <c r="P2292" s="33" t="s">
        <v>6191</v>
      </c>
      <c r="Q2292" s="34" t="s">
        <v>1494</v>
      </c>
      <c r="R2292" s="34" t="s">
        <v>1494</v>
      </c>
    </row>
    <row r="2293" spans="1:18" ht="15" customHeight="1" x14ac:dyDescent="0.25">
      <c r="A2293" t="str">
        <f>IFERROR(RANK(B2293,$B:$B,1)+COUNTIF($B$1:B2292,B2293),"")</f>
        <v/>
      </c>
      <c r="B2293" t="str">
        <f>IFERROR(SEARCH(#REF!,Table4[[#This Row],[Commodity Title]],1),"")</f>
        <v/>
      </c>
      <c r="C2293" s="35">
        <v>42251626</v>
      </c>
      <c r="D2293" s="33" t="s">
        <v>1495</v>
      </c>
      <c r="E2293" s="33" t="s">
        <v>1496</v>
      </c>
      <c r="F2293" s="33" t="s">
        <v>1497</v>
      </c>
      <c r="G2293" s="33" t="s">
        <v>6121</v>
      </c>
      <c r="H2293" s="33" t="s">
        <v>6122</v>
      </c>
      <c r="I2293" s="33" t="s">
        <v>6123</v>
      </c>
      <c r="J2293" s="33">
        <v>202966</v>
      </c>
      <c r="K2293" s="33" t="s">
        <v>6139</v>
      </c>
      <c r="L2293" s="33" t="s">
        <v>6140</v>
      </c>
      <c r="M2293" s="33" t="s">
        <v>6141</v>
      </c>
      <c r="N2293" s="44">
        <v>42251626</v>
      </c>
      <c r="O2293" s="33" t="s">
        <v>6192</v>
      </c>
      <c r="P2293" s="33" t="s">
        <v>6193</v>
      </c>
      <c r="Q2293" s="34" t="s">
        <v>1494</v>
      </c>
      <c r="R2293" s="34" t="s">
        <v>1494</v>
      </c>
    </row>
    <row r="2294" spans="1:18" ht="15" customHeight="1" x14ac:dyDescent="0.25">
      <c r="A2294" t="str">
        <f>IFERROR(RANK(B2294,$B:$B,1)+COUNTIF($B$1:B2293,B2294),"")</f>
        <v/>
      </c>
      <c r="B2294" t="str">
        <f>IFERROR(SEARCH(#REF!,Table4[[#This Row],[Commodity Title]],1),"")</f>
        <v/>
      </c>
      <c r="C2294" s="35">
        <v>42251627</v>
      </c>
      <c r="D2294" s="33" t="s">
        <v>1495</v>
      </c>
      <c r="E2294" s="33" t="s">
        <v>1496</v>
      </c>
      <c r="F2294" s="33" t="s">
        <v>1497</v>
      </c>
      <c r="G2294" s="33" t="s">
        <v>6121</v>
      </c>
      <c r="H2294" s="33" t="s">
        <v>6122</v>
      </c>
      <c r="I2294" s="33" t="s">
        <v>6123</v>
      </c>
      <c r="J2294" s="33">
        <v>202967</v>
      </c>
      <c r="K2294" s="33" t="s">
        <v>6139</v>
      </c>
      <c r="L2294" s="33" t="s">
        <v>6140</v>
      </c>
      <c r="M2294" s="33" t="s">
        <v>6141</v>
      </c>
      <c r="N2294" s="44">
        <v>42251627</v>
      </c>
      <c r="O2294" s="33" t="s">
        <v>6194</v>
      </c>
      <c r="P2294" s="33" t="s">
        <v>6195</v>
      </c>
      <c r="Q2294" s="34" t="s">
        <v>1494</v>
      </c>
      <c r="R2294" s="34" t="s">
        <v>1494</v>
      </c>
    </row>
    <row r="2295" spans="1:18" ht="15" customHeight="1" x14ac:dyDescent="0.25">
      <c r="A2295" t="str">
        <f>IFERROR(RANK(B2295,$B:$B,1)+COUNTIF($B$1:B2294,B2295),"")</f>
        <v/>
      </c>
      <c r="B2295" t="str">
        <f>IFERROR(SEARCH(#REF!,Table4[[#This Row],[Commodity Title]],1),"")</f>
        <v/>
      </c>
      <c r="C2295" s="35">
        <v>42251628</v>
      </c>
      <c r="D2295" s="33" t="s">
        <v>1495</v>
      </c>
      <c r="E2295" s="33" t="s">
        <v>1496</v>
      </c>
      <c r="F2295" s="33" t="s">
        <v>1497</v>
      </c>
      <c r="G2295" s="33" t="s">
        <v>6121</v>
      </c>
      <c r="H2295" s="33" t="s">
        <v>6122</v>
      </c>
      <c r="I2295" s="33" t="s">
        <v>6123</v>
      </c>
      <c r="J2295" s="33">
        <v>202968</v>
      </c>
      <c r="K2295" s="33" t="s">
        <v>6139</v>
      </c>
      <c r="L2295" s="33" t="s">
        <v>6140</v>
      </c>
      <c r="M2295" s="33" t="s">
        <v>6141</v>
      </c>
      <c r="N2295" s="44">
        <v>42251628</v>
      </c>
      <c r="O2295" s="33" t="s">
        <v>6196</v>
      </c>
      <c r="P2295" s="33" t="s">
        <v>6197</v>
      </c>
      <c r="Q2295" s="34" t="s">
        <v>1494</v>
      </c>
      <c r="R2295" s="34" t="s">
        <v>1494</v>
      </c>
    </row>
    <row r="2296" spans="1:18" ht="15" customHeight="1" x14ac:dyDescent="0.25">
      <c r="A2296" t="str">
        <f>IFERROR(RANK(B2296,$B:$B,1)+COUNTIF($B$1:B2295,B2296),"")</f>
        <v/>
      </c>
      <c r="B2296" t="str">
        <f>IFERROR(SEARCH(#REF!,Table4[[#This Row],[Commodity Title]],1),"")</f>
        <v/>
      </c>
      <c r="C2296" s="35">
        <v>42251629</v>
      </c>
      <c r="D2296" s="33" t="s">
        <v>1495</v>
      </c>
      <c r="E2296" s="33" t="s">
        <v>1496</v>
      </c>
      <c r="F2296" s="33" t="s">
        <v>1497</v>
      </c>
      <c r="G2296" s="33" t="s">
        <v>6121</v>
      </c>
      <c r="H2296" s="33" t="s">
        <v>6122</v>
      </c>
      <c r="I2296" s="33" t="s">
        <v>6123</v>
      </c>
      <c r="J2296" s="33">
        <v>202969</v>
      </c>
      <c r="K2296" s="33" t="s">
        <v>6139</v>
      </c>
      <c r="L2296" s="33" t="s">
        <v>6140</v>
      </c>
      <c r="M2296" s="33" t="s">
        <v>6141</v>
      </c>
      <c r="N2296" s="44">
        <v>42251629</v>
      </c>
      <c r="O2296" s="33" t="s">
        <v>6198</v>
      </c>
      <c r="P2296" s="33" t="s">
        <v>6199</v>
      </c>
      <c r="Q2296" s="34" t="s">
        <v>1494</v>
      </c>
      <c r="R2296" s="34" t="s">
        <v>1494</v>
      </c>
    </row>
    <row r="2297" spans="1:18" ht="15" customHeight="1" x14ac:dyDescent="0.25">
      <c r="A2297" t="str">
        <f>IFERROR(RANK(B2297,$B:$B,1)+COUNTIF($B$1:B2296,B2297),"")</f>
        <v/>
      </c>
      <c r="B2297" t="str">
        <f>IFERROR(SEARCH(#REF!,Table4[[#This Row],[Commodity Title]],1),"")</f>
        <v/>
      </c>
      <c r="C2297" s="35">
        <v>42251630</v>
      </c>
      <c r="D2297" s="33" t="s">
        <v>1495</v>
      </c>
      <c r="E2297" s="33" t="s">
        <v>1496</v>
      </c>
      <c r="F2297" s="33" t="s">
        <v>1497</v>
      </c>
      <c r="G2297" s="33" t="s">
        <v>6121</v>
      </c>
      <c r="H2297" s="33" t="s">
        <v>6122</v>
      </c>
      <c r="I2297" s="33" t="s">
        <v>6123</v>
      </c>
      <c r="J2297" s="33">
        <v>202970</v>
      </c>
      <c r="K2297" s="33" t="s">
        <v>6139</v>
      </c>
      <c r="L2297" s="33" t="s">
        <v>6140</v>
      </c>
      <c r="M2297" s="33" t="s">
        <v>6141</v>
      </c>
      <c r="N2297" s="44">
        <v>42251630</v>
      </c>
      <c r="O2297" s="33" t="s">
        <v>6200</v>
      </c>
      <c r="P2297" s="33" t="s">
        <v>6201</v>
      </c>
      <c r="Q2297" s="34" t="s">
        <v>1494</v>
      </c>
      <c r="R2297" s="34" t="s">
        <v>1494</v>
      </c>
    </row>
    <row r="2298" spans="1:18" ht="15" customHeight="1" x14ac:dyDescent="0.25">
      <c r="A2298" t="str">
        <f>IFERROR(RANK(B2298,$B:$B,1)+COUNTIF($B$1:B2297,B2298),"")</f>
        <v/>
      </c>
      <c r="B2298" t="str">
        <f>IFERROR(SEARCH(#REF!,Table4[[#This Row],[Commodity Title]],1),"")</f>
        <v/>
      </c>
      <c r="C2298" s="35">
        <v>42251631</v>
      </c>
      <c r="D2298" s="33" t="s">
        <v>1495</v>
      </c>
      <c r="E2298" s="33" t="s">
        <v>1496</v>
      </c>
      <c r="F2298" s="33" t="s">
        <v>1497</v>
      </c>
      <c r="G2298" s="33" t="s">
        <v>6121</v>
      </c>
      <c r="H2298" s="33" t="s">
        <v>6122</v>
      </c>
      <c r="I2298" s="33" t="s">
        <v>6123</v>
      </c>
      <c r="J2298" s="33">
        <v>142649</v>
      </c>
      <c r="K2298" s="33" t="s">
        <v>6139</v>
      </c>
      <c r="L2298" s="33" t="s">
        <v>6140</v>
      </c>
      <c r="M2298" s="33" t="s">
        <v>6141</v>
      </c>
      <c r="N2298" s="44">
        <v>42251631</v>
      </c>
      <c r="O2298" s="33" t="s">
        <v>6202</v>
      </c>
      <c r="P2298" s="33" t="s">
        <v>6203</v>
      </c>
      <c r="Q2298" s="34" t="s">
        <v>1494</v>
      </c>
      <c r="R2298" s="34" t="s">
        <v>1494</v>
      </c>
    </row>
    <row r="2299" spans="1:18" ht="15" customHeight="1" x14ac:dyDescent="0.25">
      <c r="A2299" t="str">
        <f>IFERROR(RANK(B2299,$B:$B,1)+COUNTIF($B$1:B2298,B2299),"")</f>
        <v/>
      </c>
      <c r="B2299" t="str">
        <f>IFERROR(SEARCH(#REF!,Table4[[#This Row],[Commodity Title]],1),"")</f>
        <v/>
      </c>
      <c r="C2299" s="35">
        <v>42251632</v>
      </c>
      <c r="D2299" s="33" t="s">
        <v>1495</v>
      </c>
      <c r="E2299" s="33" t="s">
        <v>1496</v>
      </c>
      <c r="F2299" s="33" t="s">
        <v>1497</v>
      </c>
      <c r="G2299" s="33" t="s">
        <v>6121</v>
      </c>
      <c r="H2299" s="33" t="s">
        <v>6122</v>
      </c>
      <c r="I2299" s="33" t="s">
        <v>6123</v>
      </c>
      <c r="J2299" s="33">
        <v>208346</v>
      </c>
      <c r="K2299" s="33" t="s">
        <v>6139</v>
      </c>
      <c r="L2299" s="33" t="s">
        <v>6140</v>
      </c>
      <c r="M2299" s="33" t="s">
        <v>6141</v>
      </c>
      <c r="N2299" s="44">
        <v>42251632</v>
      </c>
      <c r="O2299" s="33" t="s">
        <v>6204</v>
      </c>
      <c r="P2299" s="33" t="s">
        <v>6205</v>
      </c>
      <c r="Q2299" s="34" t="s">
        <v>1494</v>
      </c>
      <c r="R2299" s="34" t="s">
        <v>1494</v>
      </c>
    </row>
    <row r="2300" spans="1:18" ht="15" customHeight="1" x14ac:dyDescent="0.25">
      <c r="A2300" t="str">
        <f>IFERROR(RANK(B2300,$B:$B,1)+COUNTIF($B$1:B2299,B2300),"")</f>
        <v/>
      </c>
      <c r="B2300" t="str">
        <f>IFERROR(SEARCH(#REF!,Table4[[#This Row],[Commodity Title]],1),"")</f>
        <v/>
      </c>
      <c r="C2300" s="33" t="s">
        <v>1494</v>
      </c>
      <c r="D2300" s="33" t="s">
        <v>1495</v>
      </c>
      <c r="E2300" s="33" t="s">
        <v>1496</v>
      </c>
      <c r="F2300" s="33" t="s">
        <v>1497</v>
      </c>
      <c r="G2300" s="33" t="s">
        <v>6121</v>
      </c>
      <c r="H2300" s="33" t="s">
        <v>6122</v>
      </c>
      <c r="I2300" s="33" t="s">
        <v>6123</v>
      </c>
      <c r="J2300" s="33">
        <v>115912</v>
      </c>
      <c r="K2300" s="33" t="s">
        <v>6206</v>
      </c>
      <c r="L2300" s="33" t="s">
        <v>6207</v>
      </c>
      <c r="M2300" s="33" t="s">
        <v>6208</v>
      </c>
      <c r="N2300" s="44" t="s">
        <v>1494</v>
      </c>
      <c r="O2300" s="33" t="s">
        <v>1494</v>
      </c>
      <c r="P2300" s="33" t="s">
        <v>1494</v>
      </c>
      <c r="Q2300" s="34" t="s">
        <v>1494</v>
      </c>
      <c r="R2300" s="34" t="s">
        <v>1494</v>
      </c>
    </row>
    <row r="2301" spans="1:18" ht="15" customHeight="1" x14ac:dyDescent="0.25">
      <c r="A2301" t="str">
        <f>IFERROR(RANK(B2301,$B:$B,1)+COUNTIF($B$1:B2300,B2301),"")</f>
        <v/>
      </c>
      <c r="B2301" t="str">
        <f>IFERROR(SEARCH(#REF!,Table4[[#This Row],[Commodity Title]],1),"")</f>
        <v/>
      </c>
      <c r="C2301" s="35">
        <v>42251701</v>
      </c>
      <c r="D2301" s="33" t="s">
        <v>1495</v>
      </c>
      <c r="E2301" s="33" t="s">
        <v>1496</v>
      </c>
      <c r="F2301" s="33" t="s">
        <v>1497</v>
      </c>
      <c r="G2301" s="33" t="s">
        <v>6121</v>
      </c>
      <c r="H2301" s="33" t="s">
        <v>6122</v>
      </c>
      <c r="I2301" s="33" t="s">
        <v>6123</v>
      </c>
      <c r="J2301" s="33">
        <v>115913</v>
      </c>
      <c r="K2301" s="33" t="s">
        <v>6206</v>
      </c>
      <c r="L2301" s="33" t="s">
        <v>6207</v>
      </c>
      <c r="M2301" s="33" t="s">
        <v>6208</v>
      </c>
      <c r="N2301" s="44">
        <v>42251701</v>
      </c>
      <c r="O2301" s="33" t="s">
        <v>6209</v>
      </c>
      <c r="P2301" s="33" t="s">
        <v>6210</v>
      </c>
      <c r="Q2301" s="34" t="s">
        <v>1494</v>
      </c>
      <c r="R2301" s="34" t="s">
        <v>1494</v>
      </c>
    </row>
    <row r="2302" spans="1:18" ht="15" customHeight="1" x14ac:dyDescent="0.25">
      <c r="A2302" t="str">
        <f>IFERROR(RANK(B2302,$B:$B,1)+COUNTIF($B$1:B2301,B2302),"")</f>
        <v/>
      </c>
      <c r="B2302" t="str">
        <f>IFERROR(SEARCH(#REF!,Table4[[#This Row],[Commodity Title]],1),"")</f>
        <v/>
      </c>
      <c r="C2302" s="35">
        <v>42251702</v>
      </c>
      <c r="D2302" s="33" t="s">
        <v>1495</v>
      </c>
      <c r="E2302" s="33" t="s">
        <v>1496</v>
      </c>
      <c r="F2302" s="33" t="s">
        <v>1497</v>
      </c>
      <c r="G2302" s="33" t="s">
        <v>6121</v>
      </c>
      <c r="H2302" s="33" t="s">
        <v>6122</v>
      </c>
      <c r="I2302" s="33" t="s">
        <v>6123</v>
      </c>
      <c r="J2302" s="33">
        <v>115914</v>
      </c>
      <c r="K2302" s="33" t="s">
        <v>6206</v>
      </c>
      <c r="L2302" s="33" t="s">
        <v>6207</v>
      </c>
      <c r="M2302" s="33" t="s">
        <v>6208</v>
      </c>
      <c r="N2302" s="44">
        <v>42251702</v>
      </c>
      <c r="O2302" s="33" t="s">
        <v>6211</v>
      </c>
      <c r="P2302" s="33" t="s">
        <v>6212</v>
      </c>
      <c r="Q2302" s="34" t="s">
        <v>1494</v>
      </c>
      <c r="R2302" s="34" t="s">
        <v>1494</v>
      </c>
    </row>
    <row r="2303" spans="1:18" ht="15" customHeight="1" x14ac:dyDescent="0.25">
      <c r="A2303" t="str">
        <f>IFERROR(RANK(B2303,$B:$B,1)+COUNTIF($B$1:B2302,B2303),"")</f>
        <v/>
      </c>
      <c r="B2303" t="str">
        <f>IFERROR(SEARCH(#REF!,Table4[[#This Row],[Commodity Title]],1),"")</f>
        <v/>
      </c>
      <c r="C2303" s="35">
        <v>42251703</v>
      </c>
      <c r="D2303" s="33" t="s">
        <v>1495</v>
      </c>
      <c r="E2303" s="33" t="s">
        <v>1496</v>
      </c>
      <c r="F2303" s="33" t="s">
        <v>1497</v>
      </c>
      <c r="G2303" s="33" t="s">
        <v>6121</v>
      </c>
      <c r="H2303" s="33" t="s">
        <v>6122</v>
      </c>
      <c r="I2303" s="33" t="s">
        <v>6123</v>
      </c>
      <c r="J2303" s="33">
        <v>115915</v>
      </c>
      <c r="K2303" s="33" t="s">
        <v>6206</v>
      </c>
      <c r="L2303" s="33" t="s">
        <v>6207</v>
      </c>
      <c r="M2303" s="33" t="s">
        <v>6208</v>
      </c>
      <c r="N2303" s="44">
        <v>42251703</v>
      </c>
      <c r="O2303" s="33" t="s">
        <v>6213</v>
      </c>
      <c r="P2303" s="33" t="s">
        <v>6214</v>
      </c>
      <c r="Q2303" s="34" t="s">
        <v>1494</v>
      </c>
      <c r="R2303" s="34" t="s">
        <v>1494</v>
      </c>
    </row>
    <row r="2304" spans="1:18" ht="15" customHeight="1" x14ac:dyDescent="0.25">
      <c r="A2304" t="str">
        <f>IFERROR(RANK(B2304,$B:$B,1)+COUNTIF($B$1:B2303,B2304),"")</f>
        <v/>
      </c>
      <c r="B2304" t="str">
        <f>IFERROR(SEARCH(#REF!,Table4[[#This Row],[Commodity Title]],1),"")</f>
        <v/>
      </c>
      <c r="C2304" s="35">
        <v>42251704</v>
      </c>
      <c r="D2304" s="33" t="s">
        <v>1495</v>
      </c>
      <c r="E2304" s="33" t="s">
        <v>1496</v>
      </c>
      <c r="F2304" s="33" t="s">
        <v>1497</v>
      </c>
      <c r="G2304" s="33" t="s">
        <v>6121</v>
      </c>
      <c r="H2304" s="33" t="s">
        <v>6122</v>
      </c>
      <c r="I2304" s="33" t="s">
        <v>6123</v>
      </c>
      <c r="J2304" s="33">
        <v>142673</v>
      </c>
      <c r="K2304" s="33" t="s">
        <v>6206</v>
      </c>
      <c r="L2304" s="33" t="s">
        <v>6207</v>
      </c>
      <c r="M2304" s="33" t="s">
        <v>6208</v>
      </c>
      <c r="N2304" s="44">
        <v>42251704</v>
      </c>
      <c r="O2304" s="33" t="s">
        <v>6215</v>
      </c>
      <c r="P2304" s="33" t="s">
        <v>6216</v>
      </c>
      <c r="Q2304" s="34" t="s">
        <v>1494</v>
      </c>
      <c r="R2304" s="34" t="s">
        <v>1494</v>
      </c>
    </row>
    <row r="2305" spans="1:18" ht="15" customHeight="1" x14ac:dyDescent="0.25">
      <c r="A2305" t="str">
        <f>IFERROR(RANK(B2305,$B:$B,1)+COUNTIF($B$1:B2304,B2305),"")</f>
        <v/>
      </c>
      <c r="B2305" t="str">
        <f>IFERROR(SEARCH(#REF!,Table4[[#This Row],[Commodity Title]],1),"")</f>
        <v/>
      </c>
      <c r="C2305" s="35">
        <v>42251705</v>
      </c>
      <c r="D2305" s="33" t="s">
        <v>1495</v>
      </c>
      <c r="E2305" s="33" t="s">
        <v>1496</v>
      </c>
      <c r="F2305" s="33" t="s">
        <v>1497</v>
      </c>
      <c r="G2305" s="33" t="s">
        <v>6121</v>
      </c>
      <c r="H2305" s="33" t="s">
        <v>6122</v>
      </c>
      <c r="I2305" s="33" t="s">
        <v>6123</v>
      </c>
      <c r="J2305" s="33">
        <v>143498</v>
      </c>
      <c r="K2305" s="33" t="s">
        <v>6206</v>
      </c>
      <c r="L2305" s="33" t="s">
        <v>6207</v>
      </c>
      <c r="M2305" s="33" t="s">
        <v>6208</v>
      </c>
      <c r="N2305" s="44">
        <v>42251705</v>
      </c>
      <c r="O2305" s="33" t="s">
        <v>6217</v>
      </c>
      <c r="P2305" s="33" t="s">
        <v>6218</v>
      </c>
      <c r="Q2305" s="34" t="s">
        <v>1494</v>
      </c>
      <c r="R2305" s="34" t="s">
        <v>1494</v>
      </c>
    </row>
    <row r="2306" spans="1:18" ht="15" customHeight="1" x14ac:dyDescent="0.25">
      <c r="A2306" t="str">
        <f>IFERROR(RANK(B2306,$B:$B,1)+COUNTIF($B$1:B2305,B2306),"")</f>
        <v/>
      </c>
      <c r="B2306" t="str">
        <f>IFERROR(SEARCH(#REF!,Table4[[#This Row],[Commodity Title]],1),"")</f>
        <v/>
      </c>
      <c r="C2306" s="35">
        <v>42251706</v>
      </c>
      <c r="D2306" s="33" t="s">
        <v>1495</v>
      </c>
      <c r="E2306" s="33" t="s">
        <v>1496</v>
      </c>
      <c r="F2306" s="33" t="s">
        <v>1497</v>
      </c>
      <c r="G2306" s="33" t="s">
        <v>6121</v>
      </c>
      <c r="H2306" s="33" t="s">
        <v>6122</v>
      </c>
      <c r="I2306" s="33" t="s">
        <v>6123</v>
      </c>
      <c r="J2306" s="33">
        <v>143852</v>
      </c>
      <c r="K2306" s="33" t="s">
        <v>6206</v>
      </c>
      <c r="L2306" s="33" t="s">
        <v>6207</v>
      </c>
      <c r="M2306" s="33" t="s">
        <v>6208</v>
      </c>
      <c r="N2306" s="44">
        <v>42251706</v>
      </c>
      <c r="O2306" s="33" t="s">
        <v>6219</v>
      </c>
      <c r="P2306" s="33" t="s">
        <v>6220</v>
      </c>
      <c r="Q2306" s="34" t="s">
        <v>1494</v>
      </c>
      <c r="R2306" s="34" t="s">
        <v>1494</v>
      </c>
    </row>
    <row r="2307" spans="1:18" ht="15" customHeight="1" x14ac:dyDescent="0.25">
      <c r="A2307" t="str">
        <f>IFERROR(RANK(B2307,$B:$B,1)+COUNTIF($B$1:B2306,B2307),"")</f>
        <v/>
      </c>
      <c r="B2307" t="str">
        <f>IFERROR(SEARCH(#REF!,Table4[[#This Row],[Commodity Title]],1),"")</f>
        <v/>
      </c>
      <c r="C2307" s="35">
        <v>42251707</v>
      </c>
      <c r="D2307" s="33" t="s">
        <v>1495</v>
      </c>
      <c r="E2307" s="33" t="s">
        <v>1496</v>
      </c>
      <c r="F2307" s="33" t="s">
        <v>1497</v>
      </c>
      <c r="G2307" s="33" t="s">
        <v>6121</v>
      </c>
      <c r="H2307" s="33" t="s">
        <v>6122</v>
      </c>
      <c r="I2307" s="33" t="s">
        <v>6123</v>
      </c>
      <c r="J2307" s="33">
        <v>208347</v>
      </c>
      <c r="K2307" s="33" t="s">
        <v>6206</v>
      </c>
      <c r="L2307" s="33" t="s">
        <v>6207</v>
      </c>
      <c r="M2307" s="33" t="s">
        <v>6208</v>
      </c>
      <c r="N2307" s="44">
        <v>42251707</v>
      </c>
      <c r="O2307" s="33" t="s">
        <v>6221</v>
      </c>
      <c r="P2307" s="33" t="s">
        <v>6222</v>
      </c>
      <c r="Q2307" s="34" t="s">
        <v>1494</v>
      </c>
      <c r="R2307" s="34" t="s">
        <v>1494</v>
      </c>
    </row>
    <row r="2308" spans="1:18" ht="15" customHeight="1" x14ac:dyDescent="0.25">
      <c r="A2308" t="str">
        <f>IFERROR(RANK(B2308,$B:$B,1)+COUNTIF($B$1:B2307,B2308),"")</f>
        <v/>
      </c>
      <c r="B2308" t="str">
        <f>IFERROR(SEARCH(#REF!,Table4[[#This Row],[Commodity Title]],1),"")</f>
        <v/>
      </c>
      <c r="C2308" s="33" t="s">
        <v>1494</v>
      </c>
      <c r="D2308" s="33" t="s">
        <v>1495</v>
      </c>
      <c r="E2308" s="33" t="s">
        <v>1496</v>
      </c>
      <c r="F2308" s="33" t="s">
        <v>1497</v>
      </c>
      <c r="G2308" s="33" t="s">
        <v>6121</v>
      </c>
      <c r="H2308" s="33" t="s">
        <v>6122</v>
      </c>
      <c r="I2308" s="33" t="s">
        <v>6123</v>
      </c>
      <c r="J2308" s="33">
        <v>115916</v>
      </c>
      <c r="K2308" s="33" t="s">
        <v>6223</v>
      </c>
      <c r="L2308" s="33" t="s">
        <v>6224</v>
      </c>
      <c r="M2308" s="33" t="s">
        <v>6225</v>
      </c>
      <c r="N2308" s="44" t="s">
        <v>1494</v>
      </c>
      <c r="O2308" s="33" t="s">
        <v>1494</v>
      </c>
      <c r="P2308" s="33" t="s">
        <v>1494</v>
      </c>
      <c r="Q2308" s="34" t="s">
        <v>1494</v>
      </c>
      <c r="R2308" s="34" t="s">
        <v>1494</v>
      </c>
    </row>
    <row r="2309" spans="1:18" ht="15" customHeight="1" x14ac:dyDescent="0.25">
      <c r="A2309" t="str">
        <f>IFERROR(RANK(B2309,$B:$B,1)+COUNTIF($B$1:B2308,B2309),"")</f>
        <v/>
      </c>
      <c r="B2309" t="str">
        <f>IFERROR(SEARCH(#REF!,Table4[[#This Row],[Commodity Title]],1),"")</f>
        <v/>
      </c>
      <c r="C2309" s="35">
        <v>42251801</v>
      </c>
      <c r="D2309" s="33" t="s">
        <v>1495</v>
      </c>
      <c r="E2309" s="33" t="s">
        <v>1496</v>
      </c>
      <c r="F2309" s="33" t="s">
        <v>1497</v>
      </c>
      <c r="G2309" s="33" t="s">
        <v>6121</v>
      </c>
      <c r="H2309" s="33" t="s">
        <v>6122</v>
      </c>
      <c r="I2309" s="33" t="s">
        <v>6123</v>
      </c>
      <c r="J2309" s="33">
        <v>115917</v>
      </c>
      <c r="K2309" s="33" t="s">
        <v>6223</v>
      </c>
      <c r="L2309" s="33" t="s">
        <v>6224</v>
      </c>
      <c r="M2309" s="33" t="s">
        <v>6225</v>
      </c>
      <c r="N2309" s="44">
        <v>42251801</v>
      </c>
      <c r="O2309" s="33" t="s">
        <v>6226</v>
      </c>
      <c r="P2309" s="33" t="s">
        <v>6227</v>
      </c>
      <c r="Q2309" s="34" t="s">
        <v>1494</v>
      </c>
      <c r="R2309" s="34" t="s">
        <v>1494</v>
      </c>
    </row>
    <row r="2310" spans="1:18" ht="15" customHeight="1" x14ac:dyDescent="0.25">
      <c r="A2310" t="str">
        <f>IFERROR(RANK(B2310,$B:$B,1)+COUNTIF($B$1:B2309,B2310),"")</f>
        <v/>
      </c>
      <c r="B2310" t="str">
        <f>IFERROR(SEARCH(#REF!,Table4[[#This Row],[Commodity Title]],1),"")</f>
        <v/>
      </c>
      <c r="C2310" s="35">
        <v>42251802</v>
      </c>
      <c r="D2310" s="33" t="s">
        <v>1495</v>
      </c>
      <c r="E2310" s="33" t="s">
        <v>1496</v>
      </c>
      <c r="F2310" s="33" t="s">
        <v>1497</v>
      </c>
      <c r="G2310" s="33" t="s">
        <v>6121</v>
      </c>
      <c r="H2310" s="33" t="s">
        <v>6122</v>
      </c>
      <c r="I2310" s="33" t="s">
        <v>6123</v>
      </c>
      <c r="J2310" s="33">
        <v>115918</v>
      </c>
      <c r="K2310" s="33" t="s">
        <v>6223</v>
      </c>
      <c r="L2310" s="33" t="s">
        <v>6224</v>
      </c>
      <c r="M2310" s="33" t="s">
        <v>6225</v>
      </c>
      <c r="N2310" s="44">
        <v>42251802</v>
      </c>
      <c r="O2310" s="33" t="s">
        <v>6228</v>
      </c>
      <c r="P2310" s="33" t="s">
        <v>6229</v>
      </c>
      <c r="Q2310" s="34" t="s">
        <v>1494</v>
      </c>
      <c r="R2310" s="34" t="s">
        <v>1494</v>
      </c>
    </row>
    <row r="2311" spans="1:18" ht="15" customHeight="1" x14ac:dyDescent="0.25">
      <c r="A2311" t="str">
        <f>IFERROR(RANK(B2311,$B:$B,1)+COUNTIF($B$1:B2310,B2311),"")</f>
        <v/>
      </c>
      <c r="B2311" t="str">
        <f>IFERROR(SEARCH(#REF!,Table4[[#This Row],[Commodity Title]],1),"")</f>
        <v/>
      </c>
      <c r="C2311" s="35">
        <v>42251803</v>
      </c>
      <c r="D2311" s="33" t="s">
        <v>1495</v>
      </c>
      <c r="E2311" s="33" t="s">
        <v>1496</v>
      </c>
      <c r="F2311" s="33" t="s">
        <v>1497</v>
      </c>
      <c r="G2311" s="33" t="s">
        <v>6121</v>
      </c>
      <c r="H2311" s="33" t="s">
        <v>6122</v>
      </c>
      <c r="I2311" s="33" t="s">
        <v>6123</v>
      </c>
      <c r="J2311" s="33">
        <v>115919</v>
      </c>
      <c r="K2311" s="33" t="s">
        <v>6223</v>
      </c>
      <c r="L2311" s="33" t="s">
        <v>6224</v>
      </c>
      <c r="M2311" s="33" t="s">
        <v>6225</v>
      </c>
      <c r="N2311" s="44">
        <v>42251803</v>
      </c>
      <c r="O2311" s="33" t="s">
        <v>6230</v>
      </c>
      <c r="P2311" s="33" t="s">
        <v>6231</v>
      </c>
      <c r="Q2311" s="34" t="s">
        <v>1494</v>
      </c>
      <c r="R2311" s="34" t="s">
        <v>1494</v>
      </c>
    </row>
    <row r="2312" spans="1:18" ht="15" customHeight="1" x14ac:dyDescent="0.25">
      <c r="A2312" t="str">
        <f>IFERROR(RANK(B2312,$B:$B,1)+COUNTIF($B$1:B2311,B2312),"")</f>
        <v/>
      </c>
      <c r="B2312" t="str">
        <f>IFERROR(SEARCH(#REF!,Table4[[#This Row],[Commodity Title]],1),"")</f>
        <v/>
      </c>
      <c r="C2312" s="35">
        <v>42251804</v>
      </c>
      <c r="D2312" s="33" t="s">
        <v>1495</v>
      </c>
      <c r="E2312" s="33" t="s">
        <v>1496</v>
      </c>
      <c r="F2312" s="33" t="s">
        <v>1497</v>
      </c>
      <c r="G2312" s="33" t="s">
        <v>6121</v>
      </c>
      <c r="H2312" s="33" t="s">
        <v>6122</v>
      </c>
      <c r="I2312" s="33" t="s">
        <v>6123</v>
      </c>
      <c r="J2312" s="33">
        <v>115920</v>
      </c>
      <c r="K2312" s="33" t="s">
        <v>6223</v>
      </c>
      <c r="L2312" s="33" t="s">
        <v>6224</v>
      </c>
      <c r="M2312" s="33" t="s">
        <v>6225</v>
      </c>
      <c r="N2312" s="44">
        <v>42251804</v>
      </c>
      <c r="O2312" s="33" t="s">
        <v>6232</v>
      </c>
      <c r="P2312" s="33" t="s">
        <v>6233</v>
      </c>
      <c r="Q2312" s="34" t="s">
        <v>1494</v>
      </c>
      <c r="R2312" s="34" t="s">
        <v>1494</v>
      </c>
    </row>
    <row r="2313" spans="1:18" ht="15" customHeight="1" x14ac:dyDescent="0.25">
      <c r="A2313" t="str">
        <f>IFERROR(RANK(B2313,$B:$B,1)+COUNTIF($B$1:B2312,B2313),"")</f>
        <v/>
      </c>
      <c r="B2313" t="str">
        <f>IFERROR(SEARCH(#REF!,Table4[[#This Row],[Commodity Title]],1),"")</f>
        <v/>
      </c>
      <c r="C2313" s="35">
        <v>42251805</v>
      </c>
      <c r="D2313" s="33" t="s">
        <v>1495</v>
      </c>
      <c r="E2313" s="33" t="s">
        <v>1496</v>
      </c>
      <c r="F2313" s="33" t="s">
        <v>1497</v>
      </c>
      <c r="G2313" s="33" t="s">
        <v>6121</v>
      </c>
      <c r="H2313" s="33" t="s">
        <v>6122</v>
      </c>
      <c r="I2313" s="33" t="s">
        <v>6123</v>
      </c>
      <c r="J2313" s="33">
        <v>115921</v>
      </c>
      <c r="K2313" s="33" t="s">
        <v>6223</v>
      </c>
      <c r="L2313" s="33" t="s">
        <v>6224</v>
      </c>
      <c r="M2313" s="33" t="s">
        <v>6225</v>
      </c>
      <c r="N2313" s="44">
        <v>42251805</v>
      </c>
      <c r="O2313" s="33" t="s">
        <v>6234</v>
      </c>
      <c r="P2313" s="33" t="s">
        <v>6235</v>
      </c>
      <c r="Q2313" s="34" t="s">
        <v>1494</v>
      </c>
      <c r="R2313" s="34" t="s">
        <v>1494</v>
      </c>
    </row>
    <row r="2314" spans="1:18" ht="15" customHeight="1" x14ac:dyDescent="0.25">
      <c r="A2314" t="str">
        <f>IFERROR(RANK(B2314,$B:$B,1)+COUNTIF($B$1:B2313,B2314),"")</f>
        <v/>
      </c>
      <c r="B2314" t="str">
        <f>IFERROR(SEARCH(#REF!,Table4[[#This Row],[Commodity Title]],1),"")</f>
        <v/>
      </c>
      <c r="C2314" s="35">
        <v>42251806</v>
      </c>
      <c r="D2314" s="33" t="s">
        <v>1495</v>
      </c>
      <c r="E2314" s="33" t="s">
        <v>1496</v>
      </c>
      <c r="F2314" s="33" t="s">
        <v>1497</v>
      </c>
      <c r="G2314" s="33" t="s">
        <v>6121</v>
      </c>
      <c r="H2314" s="33" t="s">
        <v>6122</v>
      </c>
      <c r="I2314" s="33" t="s">
        <v>6123</v>
      </c>
      <c r="J2314" s="33">
        <v>202971</v>
      </c>
      <c r="K2314" s="33" t="s">
        <v>6223</v>
      </c>
      <c r="L2314" s="33" t="s">
        <v>6224</v>
      </c>
      <c r="M2314" s="33" t="s">
        <v>6225</v>
      </c>
      <c r="N2314" s="44">
        <v>42251806</v>
      </c>
      <c r="O2314" s="33" t="s">
        <v>6236</v>
      </c>
      <c r="P2314" s="33" t="s">
        <v>6237</v>
      </c>
      <c r="Q2314" s="34" t="s">
        <v>1494</v>
      </c>
      <c r="R2314" s="34" t="s">
        <v>1494</v>
      </c>
    </row>
    <row r="2315" spans="1:18" ht="15" customHeight="1" x14ac:dyDescent="0.25">
      <c r="A2315" t="str">
        <f>IFERROR(RANK(B2315,$B:$B,1)+COUNTIF($B$1:B2314,B2315),"")</f>
        <v/>
      </c>
      <c r="B2315" t="str">
        <f>IFERROR(SEARCH(#REF!,Table4[[#This Row],[Commodity Title]],1),"")</f>
        <v/>
      </c>
      <c r="C2315" s="35">
        <v>42251807</v>
      </c>
      <c r="D2315" s="33" t="s">
        <v>1495</v>
      </c>
      <c r="E2315" s="33" t="s">
        <v>1496</v>
      </c>
      <c r="F2315" s="33" t="s">
        <v>1497</v>
      </c>
      <c r="G2315" s="33" t="s">
        <v>6121</v>
      </c>
      <c r="H2315" s="33" t="s">
        <v>6122</v>
      </c>
      <c r="I2315" s="33" t="s">
        <v>6123</v>
      </c>
      <c r="J2315" s="33">
        <v>202972</v>
      </c>
      <c r="K2315" s="33" t="s">
        <v>6223</v>
      </c>
      <c r="L2315" s="33" t="s">
        <v>6224</v>
      </c>
      <c r="M2315" s="33" t="s">
        <v>6225</v>
      </c>
      <c r="N2315" s="44">
        <v>42251807</v>
      </c>
      <c r="O2315" s="33" t="s">
        <v>6238</v>
      </c>
      <c r="P2315" s="33" t="s">
        <v>6239</v>
      </c>
      <c r="Q2315" s="34" t="s">
        <v>1494</v>
      </c>
      <c r="R2315" s="34" t="s">
        <v>1494</v>
      </c>
    </row>
    <row r="2316" spans="1:18" ht="15" customHeight="1" x14ac:dyDescent="0.25">
      <c r="A2316" t="str">
        <f>IFERROR(RANK(B2316,$B:$B,1)+COUNTIF($B$1:B2315,B2316),"")</f>
        <v/>
      </c>
      <c r="B2316" t="str">
        <f>IFERROR(SEARCH(#REF!,Table4[[#This Row],[Commodity Title]],1),"")</f>
        <v/>
      </c>
      <c r="C2316" s="35">
        <v>42251808</v>
      </c>
      <c r="D2316" s="33" t="s">
        <v>1495</v>
      </c>
      <c r="E2316" s="33" t="s">
        <v>1496</v>
      </c>
      <c r="F2316" s="33" t="s">
        <v>1497</v>
      </c>
      <c r="G2316" s="33" t="s">
        <v>6121</v>
      </c>
      <c r="H2316" s="33" t="s">
        <v>6122</v>
      </c>
      <c r="I2316" s="33" t="s">
        <v>6123</v>
      </c>
      <c r="J2316" s="33">
        <v>202973</v>
      </c>
      <c r="K2316" s="33" t="s">
        <v>6223</v>
      </c>
      <c r="L2316" s="33" t="s">
        <v>6224</v>
      </c>
      <c r="M2316" s="33" t="s">
        <v>6225</v>
      </c>
      <c r="N2316" s="44">
        <v>42251808</v>
      </c>
      <c r="O2316" s="33" t="s">
        <v>6240</v>
      </c>
      <c r="P2316" s="33" t="s">
        <v>6241</v>
      </c>
      <c r="Q2316" s="34" t="s">
        <v>1494</v>
      </c>
      <c r="R2316" s="34" t="s">
        <v>1494</v>
      </c>
    </row>
    <row r="2317" spans="1:18" ht="15" customHeight="1" x14ac:dyDescent="0.25">
      <c r="A2317" t="str">
        <f>IFERROR(RANK(B2317,$B:$B,1)+COUNTIF($B$1:B2316,B2317),"")</f>
        <v/>
      </c>
      <c r="B2317" t="str">
        <f>IFERROR(SEARCH(#REF!,Table4[[#This Row],[Commodity Title]],1),"")</f>
        <v/>
      </c>
      <c r="C2317" s="35">
        <v>42251809</v>
      </c>
      <c r="D2317" s="33" t="s">
        <v>1495</v>
      </c>
      <c r="E2317" s="33" t="s">
        <v>1496</v>
      </c>
      <c r="F2317" s="33" t="s">
        <v>1497</v>
      </c>
      <c r="G2317" s="33" t="s">
        <v>6121</v>
      </c>
      <c r="H2317" s="33" t="s">
        <v>6122</v>
      </c>
      <c r="I2317" s="33" t="s">
        <v>6123</v>
      </c>
      <c r="J2317" s="33">
        <v>202974</v>
      </c>
      <c r="K2317" s="33" t="s">
        <v>6223</v>
      </c>
      <c r="L2317" s="33" t="s">
        <v>6224</v>
      </c>
      <c r="M2317" s="33" t="s">
        <v>6225</v>
      </c>
      <c r="N2317" s="44">
        <v>42251809</v>
      </c>
      <c r="O2317" s="33" t="s">
        <v>6242</v>
      </c>
      <c r="P2317" s="33" t="s">
        <v>6243</v>
      </c>
      <c r="Q2317" s="34" t="s">
        <v>1494</v>
      </c>
      <c r="R2317" s="34" t="s">
        <v>1494</v>
      </c>
    </row>
    <row r="2318" spans="1:18" ht="15" customHeight="1" x14ac:dyDescent="0.25">
      <c r="A2318" t="str">
        <f>IFERROR(RANK(B2318,$B:$B,1)+COUNTIF($B$1:B2317,B2318),"")</f>
        <v/>
      </c>
      <c r="B2318" t="str">
        <f>IFERROR(SEARCH(#REF!,Table4[[#This Row],[Commodity Title]],1),"")</f>
        <v/>
      </c>
      <c r="C2318" s="35">
        <v>42251810</v>
      </c>
      <c r="D2318" s="33" t="s">
        <v>1495</v>
      </c>
      <c r="E2318" s="33" t="s">
        <v>1496</v>
      </c>
      <c r="F2318" s="33" t="s">
        <v>1497</v>
      </c>
      <c r="G2318" s="33" t="s">
        <v>6121</v>
      </c>
      <c r="H2318" s="33" t="s">
        <v>6122</v>
      </c>
      <c r="I2318" s="33" t="s">
        <v>6123</v>
      </c>
      <c r="J2318" s="33">
        <v>202975</v>
      </c>
      <c r="K2318" s="33" t="s">
        <v>6223</v>
      </c>
      <c r="L2318" s="33" t="s">
        <v>6224</v>
      </c>
      <c r="M2318" s="33" t="s">
        <v>6225</v>
      </c>
      <c r="N2318" s="44">
        <v>42251810</v>
      </c>
      <c r="O2318" s="33" t="s">
        <v>6244</v>
      </c>
      <c r="P2318" s="33" t="s">
        <v>6245</v>
      </c>
      <c r="Q2318" s="34" t="s">
        <v>1494</v>
      </c>
      <c r="R2318" s="34" t="s">
        <v>1494</v>
      </c>
    </row>
    <row r="2319" spans="1:18" ht="15" customHeight="1" x14ac:dyDescent="0.25">
      <c r="A2319" t="str">
        <f>IFERROR(RANK(B2319,$B:$B,1)+COUNTIF($B$1:B2318,B2319),"")</f>
        <v/>
      </c>
      <c r="B2319" t="str">
        <f>IFERROR(SEARCH(#REF!,Table4[[#This Row],[Commodity Title]],1),"")</f>
        <v/>
      </c>
      <c r="C2319" s="33" t="s">
        <v>1494</v>
      </c>
      <c r="D2319" s="33" t="s">
        <v>1495</v>
      </c>
      <c r="E2319" s="33" t="s">
        <v>1496</v>
      </c>
      <c r="F2319" s="33" t="s">
        <v>1497</v>
      </c>
      <c r="G2319" s="33" t="s">
        <v>6246</v>
      </c>
      <c r="H2319" s="33" t="s">
        <v>6247</v>
      </c>
      <c r="I2319" s="33" t="s">
        <v>6248</v>
      </c>
      <c r="J2319" s="33">
        <v>104365</v>
      </c>
      <c r="K2319" s="33" t="s">
        <v>1494</v>
      </c>
      <c r="L2319" s="33" t="s">
        <v>1494</v>
      </c>
      <c r="M2319" s="33" t="s">
        <v>1494</v>
      </c>
      <c r="N2319" s="44" t="s">
        <v>1494</v>
      </c>
      <c r="O2319" s="33" t="s">
        <v>1494</v>
      </c>
      <c r="P2319" s="33" t="s">
        <v>1494</v>
      </c>
      <c r="Q2319" s="34" t="s">
        <v>1494</v>
      </c>
      <c r="R2319" s="34" t="s">
        <v>1494</v>
      </c>
    </row>
    <row r="2320" spans="1:18" ht="15" customHeight="1" x14ac:dyDescent="0.25">
      <c r="A2320" t="str">
        <f>IFERROR(RANK(B2320,$B:$B,1)+COUNTIF($B$1:B2319,B2320),"")</f>
        <v/>
      </c>
      <c r="B2320" t="str">
        <f>IFERROR(SEARCH(#REF!,Table4[[#This Row],[Commodity Title]],1),"")</f>
        <v/>
      </c>
      <c r="C2320" s="33" t="s">
        <v>1494</v>
      </c>
      <c r="D2320" s="33" t="s">
        <v>1495</v>
      </c>
      <c r="E2320" s="33" t="s">
        <v>1496</v>
      </c>
      <c r="F2320" s="33" t="s">
        <v>1497</v>
      </c>
      <c r="G2320" s="33" t="s">
        <v>6246</v>
      </c>
      <c r="H2320" s="33" t="s">
        <v>6247</v>
      </c>
      <c r="I2320" s="33" t="s">
        <v>6248</v>
      </c>
      <c r="J2320" s="33">
        <v>115923</v>
      </c>
      <c r="K2320" s="33" t="s">
        <v>6249</v>
      </c>
      <c r="L2320" s="33" t="s">
        <v>6250</v>
      </c>
      <c r="M2320" s="33" t="s">
        <v>6251</v>
      </c>
      <c r="N2320" s="44" t="s">
        <v>1494</v>
      </c>
      <c r="O2320" s="33" t="s">
        <v>1494</v>
      </c>
      <c r="P2320" s="33" t="s">
        <v>1494</v>
      </c>
      <c r="Q2320" s="34" t="s">
        <v>1494</v>
      </c>
      <c r="R2320" s="34" t="s">
        <v>1494</v>
      </c>
    </row>
    <row r="2321" spans="1:18" ht="15" customHeight="1" x14ac:dyDescent="0.25">
      <c r="A2321" t="str">
        <f>IFERROR(RANK(B2321,$B:$B,1)+COUNTIF($B$1:B2320,B2321),"")</f>
        <v/>
      </c>
      <c r="B2321" t="str">
        <f>IFERROR(SEARCH(#REF!,Table4[[#This Row],[Commodity Title]],1),"")</f>
        <v/>
      </c>
      <c r="C2321" s="35">
        <v>42261501</v>
      </c>
      <c r="D2321" s="33" t="s">
        <v>1495</v>
      </c>
      <c r="E2321" s="33" t="s">
        <v>1496</v>
      </c>
      <c r="F2321" s="33" t="s">
        <v>1497</v>
      </c>
      <c r="G2321" s="33" t="s">
        <v>6246</v>
      </c>
      <c r="H2321" s="33" t="s">
        <v>6247</v>
      </c>
      <c r="I2321" s="33" t="s">
        <v>6248</v>
      </c>
      <c r="J2321" s="33">
        <v>115924</v>
      </c>
      <c r="K2321" s="33" t="s">
        <v>6249</v>
      </c>
      <c r="L2321" s="33" t="s">
        <v>6250</v>
      </c>
      <c r="M2321" s="33" t="s">
        <v>6251</v>
      </c>
      <c r="N2321" s="44">
        <v>42261501</v>
      </c>
      <c r="O2321" s="33" t="s">
        <v>6252</v>
      </c>
      <c r="P2321" s="33" t="s">
        <v>6253</v>
      </c>
      <c r="Q2321" s="34" t="s">
        <v>1494</v>
      </c>
      <c r="R2321" s="34" t="s">
        <v>1494</v>
      </c>
    </row>
    <row r="2322" spans="1:18" ht="15" customHeight="1" x14ac:dyDescent="0.25">
      <c r="A2322" t="str">
        <f>IFERROR(RANK(B2322,$B:$B,1)+COUNTIF($B$1:B2321,B2322),"")</f>
        <v/>
      </c>
      <c r="B2322" t="str">
        <f>IFERROR(SEARCH(#REF!,Table4[[#This Row],[Commodity Title]],1),"")</f>
        <v/>
      </c>
      <c r="C2322" s="35">
        <v>42261502</v>
      </c>
      <c r="D2322" s="33" t="s">
        <v>1495</v>
      </c>
      <c r="E2322" s="33" t="s">
        <v>1496</v>
      </c>
      <c r="F2322" s="33" t="s">
        <v>1497</v>
      </c>
      <c r="G2322" s="33" t="s">
        <v>6246</v>
      </c>
      <c r="H2322" s="33" t="s">
        <v>6247</v>
      </c>
      <c r="I2322" s="33" t="s">
        <v>6248</v>
      </c>
      <c r="J2322" s="33">
        <v>115925</v>
      </c>
      <c r="K2322" s="33" t="s">
        <v>6249</v>
      </c>
      <c r="L2322" s="33" t="s">
        <v>6250</v>
      </c>
      <c r="M2322" s="33" t="s">
        <v>6251</v>
      </c>
      <c r="N2322" s="44">
        <v>42261502</v>
      </c>
      <c r="O2322" s="33" t="s">
        <v>6254</v>
      </c>
      <c r="P2322" s="33" t="s">
        <v>6255</v>
      </c>
      <c r="Q2322" s="34" t="s">
        <v>1494</v>
      </c>
      <c r="R2322" s="34" t="s">
        <v>1494</v>
      </c>
    </row>
    <row r="2323" spans="1:18" ht="15" customHeight="1" x14ac:dyDescent="0.25">
      <c r="A2323" t="str">
        <f>IFERROR(RANK(B2323,$B:$B,1)+COUNTIF($B$1:B2322,B2323),"")</f>
        <v/>
      </c>
      <c r="B2323" t="str">
        <f>IFERROR(SEARCH(#REF!,Table4[[#This Row],[Commodity Title]],1),"")</f>
        <v/>
      </c>
      <c r="C2323" s="35">
        <v>42261503</v>
      </c>
      <c r="D2323" s="33" t="s">
        <v>1495</v>
      </c>
      <c r="E2323" s="33" t="s">
        <v>1496</v>
      </c>
      <c r="F2323" s="33" t="s">
        <v>1497</v>
      </c>
      <c r="G2323" s="33" t="s">
        <v>6246</v>
      </c>
      <c r="H2323" s="33" t="s">
        <v>6247</v>
      </c>
      <c r="I2323" s="33" t="s">
        <v>6248</v>
      </c>
      <c r="J2323" s="33">
        <v>115926</v>
      </c>
      <c r="K2323" s="33" t="s">
        <v>6249</v>
      </c>
      <c r="L2323" s="33" t="s">
        <v>6250</v>
      </c>
      <c r="M2323" s="33" t="s">
        <v>6251</v>
      </c>
      <c r="N2323" s="44">
        <v>42261503</v>
      </c>
      <c r="O2323" s="33" t="s">
        <v>6256</v>
      </c>
      <c r="P2323" s="33" t="s">
        <v>6257</v>
      </c>
      <c r="Q2323" s="34" t="s">
        <v>1494</v>
      </c>
      <c r="R2323" s="34" t="s">
        <v>1494</v>
      </c>
    </row>
    <row r="2324" spans="1:18" ht="15" customHeight="1" x14ac:dyDescent="0.25">
      <c r="A2324" t="str">
        <f>IFERROR(RANK(B2324,$B:$B,1)+COUNTIF($B$1:B2323,B2324),"")</f>
        <v/>
      </c>
      <c r="B2324" t="str">
        <f>IFERROR(SEARCH(#REF!,Table4[[#This Row],[Commodity Title]],1),"")</f>
        <v/>
      </c>
      <c r="C2324" s="35">
        <v>42261504</v>
      </c>
      <c r="D2324" s="33" t="s">
        <v>1495</v>
      </c>
      <c r="E2324" s="33" t="s">
        <v>1496</v>
      </c>
      <c r="F2324" s="33" t="s">
        <v>1497</v>
      </c>
      <c r="G2324" s="33" t="s">
        <v>6246</v>
      </c>
      <c r="H2324" s="33" t="s">
        <v>6247</v>
      </c>
      <c r="I2324" s="33" t="s">
        <v>6248</v>
      </c>
      <c r="J2324" s="33">
        <v>115927</v>
      </c>
      <c r="K2324" s="33" t="s">
        <v>6249</v>
      </c>
      <c r="L2324" s="33" t="s">
        <v>6250</v>
      </c>
      <c r="M2324" s="33" t="s">
        <v>6251</v>
      </c>
      <c r="N2324" s="44">
        <v>42261504</v>
      </c>
      <c r="O2324" s="33" t="s">
        <v>6258</v>
      </c>
      <c r="P2324" s="33" t="s">
        <v>6259</v>
      </c>
      <c r="Q2324" s="34" t="s">
        <v>1494</v>
      </c>
      <c r="R2324" s="34" t="s">
        <v>1494</v>
      </c>
    </row>
    <row r="2325" spans="1:18" ht="15" customHeight="1" x14ac:dyDescent="0.25">
      <c r="A2325" t="str">
        <f>IFERROR(RANK(B2325,$B:$B,1)+COUNTIF($B$1:B2324,B2325),"")</f>
        <v/>
      </c>
      <c r="B2325" t="str">
        <f>IFERROR(SEARCH(#REF!,Table4[[#This Row],[Commodity Title]],1),"")</f>
        <v/>
      </c>
      <c r="C2325" s="35">
        <v>42261505</v>
      </c>
      <c r="D2325" s="33" t="s">
        <v>1495</v>
      </c>
      <c r="E2325" s="33" t="s">
        <v>1496</v>
      </c>
      <c r="F2325" s="33" t="s">
        <v>1497</v>
      </c>
      <c r="G2325" s="33" t="s">
        <v>6246</v>
      </c>
      <c r="H2325" s="33" t="s">
        <v>6247</v>
      </c>
      <c r="I2325" s="33" t="s">
        <v>6248</v>
      </c>
      <c r="J2325" s="33">
        <v>115928</v>
      </c>
      <c r="K2325" s="33" t="s">
        <v>6249</v>
      </c>
      <c r="L2325" s="33" t="s">
        <v>6250</v>
      </c>
      <c r="M2325" s="33" t="s">
        <v>6251</v>
      </c>
      <c r="N2325" s="44">
        <v>42261505</v>
      </c>
      <c r="O2325" s="33" t="s">
        <v>6260</v>
      </c>
      <c r="P2325" s="33" t="s">
        <v>6261</v>
      </c>
      <c r="Q2325" s="34" t="s">
        <v>1494</v>
      </c>
      <c r="R2325" s="34" t="s">
        <v>1494</v>
      </c>
    </row>
    <row r="2326" spans="1:18" ht="15" customHeight="1" x14ac:dyDescent="0.25">
      <c r="A2326" t="str">
        <f>IFERROR(RANK(B2326,$B:$B,1)+COUNTIF($B$1:B2325,B2326),"")</f>
        <v/>
      </c>
      <c r="B2326" t="str">
        <f>IFERROR(SEARCH(#REF!,Table4[[#This Row],[Commodity Title]],1),"")</f>
        <v/>
      </c>
      <c r="C2326" s="35">
        <v>42261506</v>
      </c>
      <c r="D2326" s="33" t="s">
        <v>1495</v>
      </c>
      <c r="E2326" s="33" t="s">
        <v>1496</v>
      </c>
      <c r="F2326" s="33" t="s">
        <v>1497</v>
      </c>
      <c r="G2326" s="33" t="s">
        <v>6246</v>
      </c>
      <c r="H2326" s="33" t="s">
        <v>6247</v>
      </c>
      <c r="I2326" s="33" t="s">
        <v>6248</v>
      </c>
      <c r="J2326" s="33">
        <v>115929</v>
      </c>
      <c r="K2326" s="33" t="s">
        <v>6249</v>
      </c>
      <c r="L2326" s="33" t="s">
        <v>6250</v>
      </c>
      <c r="M2326" s="33" t="s">
        <v>6251</v>
      </c>
      <c r="N2326" s="44">
        <v>42261506</v>
      </c>
      <c r="O2326" s="33" t="s">
        <v>6262</v>
      </c>
      <c r="P2326" s="33" t="s">
        <v>6263</v>
      </c>
      <c r="Q2326" s="34" t="s">
        <v>1494</v>
      </c>
      <c r="R2326" s="34" t="s">
        <v>1494</v>
      </c>
    </row>
    <row r="2327" spans="1:18" ht="15" customHeight="1" x14ac:dyDescent="0.25">
      <c r="A2327" t="str">
        <f>IFERROR(RANK(B2327,$B:$B,1)+COUNTIF($B$1:B2326,B2327),"")</f>
        <v/>
      </c>
      <c r="B2327" t="str">
        <f>IFERROR(SEARCH(#REF!,Table4[[#This Row],[Commodity Title]],1),"")</f>
        <v/>
      </c>
      <c r="C2327" s="35">
        <v>42261507</v>
      </c>
      <c r="D2327" s="33" t="s">
        <v>1495</v>
      </c>
      <c r="E2327" s="33" t="s">
        <v>1496</v>
      </c>
      <c r="F2327" s="33" t="s">
        <v>1497</v>
      </c>
      <c r="G2327" s="33" t="s">
        <v>6246</v>
      </c>
      <c r="H2327" s="33" t="s">
        <v>6247</v>
      </c>
      <c r="I2327" s="33" t="s">
        <v>6248</v>
      </c>
      <c r="J2327" s="33">
        <v>115930</v>
      </c>
      <c r="K2327" s="33" t="s">
        <v>6249</v>
      </c>
      <c r="L2327" s="33" t="s">
        <v>6250</v>
      </c>
      <c r="M2327" s="33" t="s">
        <v>6251</v>
      </c>
      <c r="N2327" s="44">
        <v>42261507</v>
      </c>
      <c r="O2327" s="33" t="s">
        <v>6264</v>
      </c>
      <c r="P2327" s="33" t="s">
        <v>6265</v>
      </c>
      <c r="Q2327" s="34" t="s">
        <v>1494</v>
      </c>
      <c r="R2327" s="34" t="s">
        <v>1494</v>
      </c>
    </row>
    <row r="2328" spans="1:18" ht="15" customHeight="1" x14ac:dyDescent="0.25">
      <c r="A2328" t="str">
        <f>IFERROR(RANK(B2328,$B:$B,1)+COUNTIF($B$1:B2327,B2328),"")</f>
        <v/>
      </c>
      <c r="B2328" t="str">
        <f>IFERROR(SEARCH(#REF!,Table4[[#This Row],[Commodity Title]],1),"")</f>
        <v/>
      </c>
      <c r="C2328" s="35">
        <v>42261508</v>
      </c>
      <c r="D2328" s="33" t="s">
        <v>1495</v>
      </c>
      <c r="E2328" s="33" t="s">
        <v>1496</v>
      </c>
      <c r="F2328" s="33" t="s">
        <v>1497</v>
      </c>
      <c r="G2328" s="33" t="s">
        <v>6246</v>
      </c>
      <c r="H2328" s="33" t="s">
        <v>6247</v>
      </c>
      <c r="I2328" s="33" t="s">
        <v>6248</v>
      </c>
      <c r="J2328" s="33">
        <v>115931</v>
      </c>
      <c r="K2328" s="33" t="s">
        <v>6249</v>
      </c>
      <c r="L2328" s="33" t="s">
        <v>6250</v>
      </c>
      <c r="M2328" s="33" t="s">
        <v>6251</v>
      </c>
      <c r="N2328" s="44">
        <v>42261508</v>
      </c>
      <c r="O2328" s="33" t="s">
        <v>6266</v>
      </c>
      <c r="P2328" s="33" t="s">
        <v>2308</v>
      </c>
      <c r="Q2328" s="34" t="s">
        <v>1494</v>
      </c>
      <c r="R2328" s="34" t="s">
        <v>1494</v>
      </c>
    </row>
    <row r="2329" spans="1:18" ht="15" customHeight="1" x14ac:dyDescent="0.25">
      <c r="A2329" t="str">
        <f>IFERROR(RANK(B2329,$B:$B,1)+COUNTIF($B$1:B2328,B2329),"")</f>
        <v/>
      </c>
      <c r="B2329" t="str">
        <f>IFERROR(SEARCH(#REF!,Table4[[#This Row],[Commodity Title]],1),"")</f>
        <v/>
      </c>
      <c r="C2329" s="35">
        <v>42261509</v>
      </c>
      <c r="D2329" s="33" t="s">
        <v>1495</v>
      </c>
      <c r="E2329" s="33" t="s">
        <v>1496</v>
      </c>
      <c r="F2329" s="33" t="s">
        <v>1497</v>
      </c>
      <c r="G2329" s="33" t="s">
        <v>6246</v>
      </c>
      <c r="H2329" s="33" t="s">
        <v>6247</v>
      </c>
      <c r="I2329" s="33" t="s">
        <v>6248</v>
      </c>
      <c r="J2329" s="33">
        <v>115932</v>
      </c>
      <c r="K2329" s="33" t="s">
        <v>6249</v>
      </c>
      <c r="L2329" s="33" t="s">
        <v>6250</v>
      </c>
      <c r="M2329" s="33" t="s">
        <v>6251</v>
      </c>
      <c r="N2329" s="44">
        <v>42261509</v>
      </c>
      <c r="O2329" s="33" t="s">
        <v>6267</v>
      </c>
      <c r="P2329" s="33" t="s">
        <v>6268</v>
      </c>
      <c r="Q2329" s="34" t="s">
        <v>1494</v>
      </c>
      <c r="R2329" s="34" t="s">
        <v>1494</v>
      </c>
    </row>
    <row r="2330" spans="1:18" ht="15" customHeight="1" x14ac:dyDescent="0.25">
      <c r="A2330" t="str">
        <f>IFERROR(RANK(B2330,$B:$B,1)+COUNTIF($B$1:B2329,B2330),"")</f>
        <v/>
      </c>
      <c r="B2330" t="str">
        <f>IFERROR(SEARCH(#REF!,Table4[[#This Row],[Commodity Title]],1),"")</f>
        <v/>
      </c>
      <c r="C2330" s="35">
        <v>42261510</v>
      </c>
      <c r="D2330" s="33" t="s">
        <v>1495</v>
      </c>
      <c r="E2330" s="33" t="s">
        <v>1496</v>
      </c>
      <c r="F2330" s="33" t="s">
        <v>1497</v>
      </c>
      <c r="G2330" s="33" t="s">
        <v>6246</v>
      </c>
      <c r="H2330" s="33" t="s">
        <v>6247</v>
      </c>
      <c r="I2330" s="33" t="s">
        <v>6248</v>
      </c>
      <c r="J2330" s="33">
        <v>115933</v>
      </c>
      <c r="K2330" s="33" t="s">
        <v>6249</v>
      </c>
      <c r="L2330" s="33" t="s">
        <v>6250</v>
      </c>
      <c r="M2330" s="33" t="s">
        <v>6251</v>
      </c>
      <c r="N2330" s="44">
        <v>42261510</v>
      </c>
      <c r="O2330" s="33" t="s">
        <v>6269</v>
      </c>
      <c r="P2330" s="33" t="s">
        <v>6270</v>
      </c>
      <c r="Q2330" s="34" t="s">
        <v>1494</v>
      </c>
      <c r="R2330" s="34" t="s">
        <v>1494</v>
      </c>
    </row>
    <row r="2331" spans="1:18" ht="15" customHeight="1" x14ac:dyDescent="0.25">
      <c r="A2331" t="str">
        <f>IFERROR(RANK(B2331,$B:$B,1)+COUNTIF($B$1:B2330,B2331),"")</f>
        <v/>
      </c>
      <c r="B2331" t="str">
        <f>IFERROR(SEARCH(#REF!,Table4[[#This Row],[Commodity Title]],1),"")</f>
        <v/>
      </c>
      <c r="C2331" s="35">
        <v>42261511</v>
      </c>
      <c r="D2331" s="33" t="s">
        <v>1495</v>
      </c>
      <c r="E2331" s="33" t="s">
        <v>1496</v>
      </c>
      <c r="F2331" s="33" t="s">
        <v>1497</v>
      </c>
      <c r="G2331" s="33" t="s">
        <v>6246</v>
      </c>
      <c r="H2331" s="33" t="s">
        <v>6247</v>
      </c>
      <c r="I2331" s="33" t="s">
        <v>6248</v>
      </c>
      <c r="J2331" s="33">
        <v>115934</v>
      </c>
      <c r="K2331" s="33" t="s">
        <v>6249</v>
      </c>
      <c r="L2331" s="33" t="s">
        <v>6250</v>
      </c>
      <c r="M2331" s="33" t="s">
        <v>6251</v>
      </c>
      <c r="N2331" s="44">
        <v>42261511</v>
      </c>
      <c r="O2331" s="33" t="s">
        <v>6271</v>
      </c>
      <c r="P2331" s="33" t="s">
        <v>6272</v>
      </c>
      <c r="Q2331" s="34" t="s">
        <v>1494</v>
      </c>
      <c r="R2331" s="34" t="s">
        <v>1494</v>
      </c>
    </row>
    <row r="2332" spans="1:18" ht="15" customHeight="1" x14ac:dyDescent="0.25">
      <c r="A2332" t="str">
        <f>IFERROR(RANK(B2332,$B:$B,1)+COUNTIF($B$1:B2331,B2332),"")</f>
        <v/>
      </c>
      <c r="B2332" t="str">
        <f>IFERROR(SEARCH(#REF!,Table4[[#This Row],[Commodity Title]],1),"")</f>
        <v/>
      </c>
      <c r="C2332" s="35">
        <v>42261512</v>
      </c>
      <c r="D2332" s="33" t="s">
        <v>1495</v>
      </c>
      <c r="E2332" s="33" t="s">
        <v>1496</v>
      </c>
      <c r="F2332" s="33" t="s">
        <v>1497</v>
      </c>
      <c r="G2332" s="33" t="s">
        <v>6246</v>
      </c>
      <c r="H2332" s="33" t="s">
        <v>6247</v>
      </c>
      <c r="I2332" s="33" t="s">
        <v>6248</v>
      </c>
      <c r="J2332" s="33">
        <v>115935</v>
      </c>
      <c r="K2332" s="33" t="s">
        <v>6249</v>
      </c>
      <c r="L2332" s="33" t="s">
        <v>6250</v>
      </c>
      <c r="M2332" s="33" t="s">
        <v>6251</v>
      </c>
      <c r="N2332" s="44">
        <v>42261512</v>
      </c>
      <c r="O2332" s="33" t="s">
        <v>6273</v>
      </c>
      <c r="P2332" s="33" t="s">
        <v>6274</v>
      </c>
      <c r="Q2332" s="34" t="s">
        <v>1494</v>
      </c>
      <c r="R2332" s="34" t="s">
        <v>1494</v>
      </c>
    </row>
    <row r="2333" spans="1:18" ht="15" customHeight="1" x14ac:dyDescent="0.25">
      <c r="A2333" t="str">
        <f>IFERROR(RANK(B2333,$B:$B,1)+COUNTIF($B$1:B2332,B2333),"")</f>
        <v/>
      </c>
      <c r="B2333" t="str">
        <f>IFERROR(SEARCH(#REF!,Table4[[#This Row],[Commodity Title]],1),"")</f>
        <v/>
      </c>
      <c r="C2333" s="35">
        <v>42261513</v>
      </c>
      <c r="D2333" s="33" t="s">
        <v>1495</v>
      </c>
      <c r="E2333" s="33" t="s">
        <v>1496</v>
      </c>
      <c r="F2333" s="33" t="s">
        <v>1497</v>
      </c>
      <c r="G2333" s="33" t="s">
        <v>6246</v>
      </c>
      <c r="H2333" s="33" t="s">
        <v>6247</v>
      </c>
      <c r="I2333" s="33" t="s">
        <v>6248</v>
      </c>
      <c r="J2333" s="33">
        <v>115936</v>
      </c>
      <c r="K2333" s="33" t="s">
        <v>6249</v>
      </c>
      <c r="L2333" s="33" t="s">
        <v>6250</v>
      </c>
      <c r="M2333" s="33" t="s">
        <v>6251</v>
      </c>
      <c r="N2333" s="44">
        <v>42261513</v>
      </c>
      <c r="O2333" s="33" t="s">
        <v>6275</v>
      </c>
      <c r="P2333" s="33" t="s">
        <v>6276</v>
      </c>
      <c r="Q2333" s="34" t="s">
        <v>1494</v>
      </c>
      <c r="R2333" s="34" t="s">
        <v>1494</v>
      </c>
    </row>
    <row r="2334" spans="1:18" ht="15" customHeight="1" x14ac:dyDescent="0.25">
      <c r="A2334" t="str">
        <f>IFERROR(RANK(B2334,$B:$B,1)+COUNTIF($B$1:B2333,B2334),"")</f>
        <v/>
      </c>
      <c r="B2334" t="str">
        <f>IFERROR(SEARCH(#REF!,Table4[[#This Row],[Commodity Title]],1),"")</f>
        <v/>
      </c>
      <c r="C2334" s="35">
        <v>42261514</v>
      </c>
      <c r="D2334" s="33" t="s">
        <v>1495</v>
      </c>
      <c r="E2334" s="33" t="s">
        <v>1496</v>
      </c>
      <c r="F2334" s="33" t="s">
        <v>1497</v>
      </c>
      <c r="G2334" s="33" t="s">
        <v>6246</v>
      </c>
      <c r="H2334" s="33" t="s">
        <v>6247</v>
      </c>
      <c r="I2334" s="33" t="s">
        <v>6248</v>
      </c>
      <c r="J2334" s="33">
        <v>115937</v>
      </c>
      <c r="K2334" s="33" t="s">
        <v>6249</v>
      </c>
      <c r="L2334" s="33" t="s">
        <v>6250</v>
      </c>
      <c r="M2334" s="33" t="s">
        <v>6251</v>
      </c>
      <c r="N2334" s="44">
        <v>42261514</v>
      </c>
      <c r="O2334" s="33" t="s">
        <v>6277</v>
      </c>
      <c r="P2334" s="33" t="s">
        <v>6278</v>
      </c>
      <c r="Q2334" s="34" t="s">
        <v>1494</v>
      </c>
      <c r="R2334" s="34" t="s">
        <v>1494</v>
      </c>
    </row>
    <row r="2335" spans="1:18" ht="15" customHeight="1" x14ac:dyDescent="0.25">
      <c r="A2335" t="str">
        <f>IFERROR(RANK(B2335,$B:$B,1)+COUNTIF($B$1:B2334,B2335),"")</f>
        <v/>
      </c>
      <c r="B2335" t="str">
        <f>IFERROR(SEARCH(#REF!,Table4[[#This Row],[Commodity Title]],1),"")</f>
        <v/>
      </c>
      <c r="C2335" s="35">
        <v>42261516</v>
      </c>
      <c r="D2335" s="33" t="s">
        <v>1495</v>
      </c>
      <c r="E2335" s="33" t="s">
        <v>1496</v>
      </c>
      <c r="F2335" s="33" t="s">
        <v>1497</v>
      </c>
      <c r="G2335" s="33" t="s">
        <v>6246</v>
      </c>
      <c r="H2335" s="33" t="s">
        <v>6247</v>
      </c>
      <c r="I2335" s="33" t="s">
        <v>6248</v>
      </c>
      <c r="J2335" s="33">
        <v>142681</v>
      </c>
      <c r="K2335" s="33" t="s">
        <v>6249</v>
      </c>
      <c r="L2335" s="33" t="s">
        <v>6250</v>
      </c>
      <c r="M2335" s="33" t="s">
        <v>6251</v>
      </c>
      <c r="N2335" s="44">
        <v>42261516</v>
      </c>
      <c r="O2335" s="33" t="s">
        <v>6279</v>
      </c>
      <c r="P2335" s="33" t="s">
        <v>6280</v>
      </c>
      <c r="Q2335" s="34" t="s">
        <v>1494</v>
      </c>
      <c r="R2335" s="34" t="s">
        <v>1494</v>
      </c>
    </row>
    <row r="2336" spans="1:18" ht="15" customHeight="1" x14ac:dyDescent="0.25">
      <c r="A2336" t="str">
        <f>IFERROR(RANK(B2336,$B:$B,1)+COUNTIF($B$1:B2335,B2336),"")</f>
        <v/>
      </c>
      <c r="B2336" t="str">
        <f>IFERROR(SEARCH(#REF!,Table4[[#This Row],[Commodity Title]],1),"")</f>
        <v/>
      </c>
      <c r="C2336" s="33" t="s">
        <v>1494</v>
      </c>
      <c r="D2336" s="33" t="s">
        <v>1495</v>
      </c>
      <c r="E2336" s="33" t="s">
        <v>1496</v>
      </c>
      <c r="F2336" s="33" t="s">
        <v>1497</v>
      </c>
      <c r="G2336" s="33" t="s">
        <v>6246</v>
      </c>
      <c r="H2336" s="33" t="s">
        <v>6247</v>
      </c>
      <c r="I2336" s="33" t="s">
        <v>6248</v>
      </c>
      <c r="J2336" s="33">
        <v>115938</v>
      </c>
      <c r="K2336" s="33" t="s">
        <v>6281</v>
      </c>
      <c r="L2336" s="33" t="s">
        <v>6282</v>
      </c>
      <c r="M2336" s="33" t="s">
        <v>6283</v>
      </c>
      <c r="N2336" s="44" t="s">
        <v>1494</v>
      </c>
      <c r="O2336" s="33" t="s">
        <v>1494</v>
      </c>
      <c r="P2336" s="33" t="s">
        <v>1494</v>
      </c>
      <c r="Q2336" s="34" t="s">
        <v>1494</v>
      </c>
      <c r="R2336" s="34" t="s">
        <v>1494</v>
      </c>
    </row>
    <row r="2337" spans="1:18" ht="15" customHeight="1" x14ac:dyDescent="0.25">
      <c r="A2337" t="str">
        <f>IFERROR(RANK(B2337,$B:$B,1)+COUNTIF($B$1:B2336,B2337),"")</f>
        <v/>
      </c>
      <c r="B2337" t="str">
        <f>IFERROR(SEARCH(#REF!,Table4[[#This Row],[Commodity Title]],1),"")</f>
        <v/>
      </c>
      <c r="C2337" s="35">
        <v>42261601</v>
      </c>
      <c r="D2337" s="33" t="s">
        <v>1495</v>
      </c>
      <c r="E2337" s="33" t="s">
        <v>1496</v>
      </c>
      <c r="F2337" s="33" t="s">
        <v>1497</v>
      </c>
      <c r="G2337" s="33" t="s">
        <v>6246</v>
      </c>
      <c r="H2337" s="33" t="s">
        <v>6247</v>
      </c>
      <c r="I2337" s="33" t="s">
        <v>6248</v>
      </c>
      <c r="J2337" s="33">
        <v>115939</v>
      </c>
      <c r="K2337" s="33" t="s">
        <v>6281</v>
      </c>
      <c r="L2337" s="33" t="s">
        <v>6282</v>
      </c>
      <c r="M2337" s="33" t="s">
        <v>6283</v>
      </c>
      <c r="N2337" s="44">
        <v>42261601</v>
      </c>
      <c r="O2337" s="33" t="s">
        <v>6284</v>
      </c>
      <c r="P2337" s="33" t="s">
        <v>6285</v>
      </c>
      <c r="Q2337" s="34" t="s">
        <v>1494</v>
      </c>
      <c r="R2337" s="34" t="s">
        <v>1494</v>
      </c>
    </row>
    <row r="2338" spans="1:18" ht="15" customHeight="1" x14ac:dyDescent="0.25">
      <c r="A2338" t="str">
        <f>IFERROR(RANK(B2338,$B:$B,1)+COUNTIF($B$1:B2337,B2338),"")</f>
        <v/>
      </c>
      <c r="B2338" t="str">
        <f>IFERROR(SEARCH(#REF!,Table4[[#This Row],[Commodity Title]],1),"")</f>
        <v/>
      </c>
      <c r="C2338" s="35">
        <v>42261602</v>
      </c>
      <c r="D2338" s="33" t="s">
        <v>1495</v>
      </c>
      <c r="E2338" s="33" t="s">
        <v>1496</v>
      </c>
      <c r="F2338" s="33" t="s">
        <v>1497</v>
      </c>
      <c r="G2338" s="33" t="s">
        <v>6246</v>
      </c>
      <c r="H2338" s="33" t="s">
        <v>6247</v>
      </c>
      <c r="I2338" s="33" t="s">
        <v>6248</v>
      </c>
      <c r="J2338" s="33">
        <v>115940</v>
      </c>
      <c r="K2338" s="33" t="s">
        <v>6281</v>
      </c>
      <c r="L2338" s="33" t="s">
        <v>6282</v>
      </c>
      <c r="M2338" s="33" t="s">
        <v>6283</v>
      </c>
      <c r="N2338" s="44">
        <v>42261602</v>
      </c>
      <c r="O2338" s="33" t="s">
        <v>6286</v>
      </c>
      <c r="P2338" s="33" t="s">
        <v>6287</v>
      </c>
      <c r="Q2338" s="34" t="s">
        <v>1494</v>
      </c>
      <c r="R2338" s="34" t="s">
        <v>1494</v>
      </c>
    </row>
    <row r="2339" spans="1:18" ht="15" customHeight="1" x14ac:dyDescent="0.25">
      <c r="A2339" t="str">
        <f>IFERROR(RANK(B2339,$B:$B,1)+COUNTIF($B$1:B2338,B2339),"")</f>
        <v/>
      </c>
      <c r="B2339" t="str">
        <f>IFERROR(SEARCH(#REF!,Table4[[#This Row],[Commodity Title]],1),"")</f>
        <v/>
      </c>
      <c r="C2339" s="35">
        <v>42261604</v>
      </c>
      <c r="D2339" s="33" t="s">
        <v>1495</v>
      </c>
      <c r="E2339" s="33" t="s">
        <v>1496</v>
      </c>
      <c r="F2339" s="33" t="s">
        <v>1497</v>
      </c>
      <c r="G2339" s="33" t="s">
        <v>6246</v>
      </c>
      <c r="H2339" s="33" t="s">
        <v>6247</v>
      </c>
      <c r="I2339" s="33" t="s">
        <v>6248</v>
      </c>
      <c r="J2339" s="33">
        <v>115942</v>
      </c>
      <c r="K2339" s="33" t="s">
        <v>6281</v>
      </c>
      <c r="L2339" s="33" t="s">
        <v>6282</v>
      </c>
      <c r="M2339" s="33" t="s">
        <v>6283</v>
      </c>
      <c r="N2339" s="44">
        <v>42261604</v>
      </c>
      <c r="O2339" s="33" t="s">
        <v>6288</v>
      </c>
      <c r="P2339" s="33" t="s">
        <v>6289</v>
      </c>
      <c r="Q2339" s="34" t="s">
        <v>1494</v>
      </c>
      <c r="R2339" s="34" t="s">
        <v>1494</v>
      </c>
    </row>
    <row r="2340" spans="1:18" ht="15" customHeight="1" x14ac:dyDescent="0.25">
      <c r="A2340" t="str">
        <f>IFERROR(RANK(B2340,$B:$B,1)+COUNTIF($B$1:B2339,B2340),"")</f>
        <v/>
      </c>
      <c r="B2340" t="str">
        <f>IFERROR(SEARCH(#REF!,Table4[[#This Row],[Commodity Title]],1),"")</f>
        <v/>
      </c>
      <c r="C2340" s="35">
        <v>42261605</v>
      </c>
      <c r="D2340" s="33" t="s">
        <v>1495</v>
      </c>
      <c r="E2340" s="33" t="s">
        <v>1496</v>
      </c>
      <c r="F2340" s="33" t="s">
        <v>1497</v>
      </c>
      <c r="G2340" s="33" t="s">
        <v>6246</v>
      </c>
      <c r="H2340" s="33" t="s">
        <v>6247</v>
      </c>
      <c r="I2340" s="33" t="s">
        <v>6248</v>
      </c>
      <c r="J2340" s="33">
        <v>115943</v>
      </c>
      <c r="K2340" s="33" t="s">
        <v>6281</v>
      </c>
      <c r="L2340" s="33" t="s">
        <v>6282</v>
      </c>
      <c r="M2340" s="33" t="s">
        <v>6283</v>
      </c>
      <c r="N2340" s="44">
        <v>42261605</v>
      </c>
      <c r="O2340" s="33" t="s">
        <v>6290</v>
      </c>
      <c r="P2340" s="33" t="s">
        <v>6291</v>
      </c>
      <c r="Q2340" s="34" t="s">
        <v>1494</v>
      </c>
      <c r="R2340" s="34" t="s">
        <v>1494</v>
      </c>
    </row>
    <row r="2341" spans="1:18" ht="15" customHeight="1" x14ac:dyDescent="0.25">
      <c r="A2341" t="str">
        <f>IFERROR(RANK(B2341,$B:$B,1)+COUNTIF($B$1:B2340,B2341),"")</f>
        <v/>
      </c>
      <c r="B2341" t="str">
        <f>IFERROR(SEARCH(#REF!,Table4[[#This Row],[Commodity Title]],1),"")</f>
        <v/>
      </c>
      <c r="C2341" s="35">
        <v>42261606</v>
      </c>
      <c r="D2341" s="33" t="s">
        <v>1495</v>
      </c>
      <c r="E2341" s="33" t="s">
        <v>1496</v>
      </c>
      <c r="F2341" s="33" t="s">
        <v>1497</v>
      </c>
      <c r="G2341" s="33" t="s">
        <v>6246</v>
      </c>
      <c r="H2341" s="33" t="s">
        <v>6247</v>
      </c>
      <c r="I2341" s="33" t="s">
        <v>6248</v>
      </c>
      <c r="J2341" s="33">
        <v>115944</v>
      </c>
      <c r="K2341" s="33" t="s">
        <v>6281</v>
      </c>
      <c r="L2341" s="33" t="s">
        <v>6282</v>
      </c>
      <c r="M2341" s="33" t="s">
        <v>6283</v>
      </c>
      <c r="N2341" s="44">
        <v>42261606</v>
      </c>
      <c r="O2341" s="33" t="s">
        <v>6292</v>
      </c>
      <c r="P2341" s="33" t="s">
        <v>6293</v>
      </c>
      <c r="Q2341" s="34" t="s">
        <v>1494</v>
      </c>
      <c r="R2341" s="34" t="s">
        <v>1494</v>
      </c>
    </row>
    <row r="2342" spans="1:18" ht="15" customHeight="1" x14ac:dyDescent="0.25">
      <c r="A2342" t="str">
        <f>IFERROR(RANK(B2342,$B:$B,1)+COUNTIF($B$1:B2341,B2342),"")</f>
        <v/>
      </c>
      <c r="B2342" t="str">
        <f>IFERROR(SEARCH(#REF!,Table4[[#This Row],[Commodity Title]],1),"")</f>
        <v/>
      </c>
      <c r="C2342" s="35">
        <v>42261607</v>
      </c>
      <c r="D2342" s="33" t="s">
        <v>1495</v>
      </c>
      <c r="E2342" s="33" t="s">
        <v>1496</v>
      </c>
      <c r="F2342" s="33" t="s">
        <v>1497</v>
      </c>
      <c r="G2342" s="33" t="s">
        <v>6246</v>
      </c>
      <c r="H2342" s="33" t="s">
        <v>6247</v>
      </c>
      <c r="I2342" s="33" t="s">
        <v>6248</v>
      </c>
      <c r="J2342" s="33">
        <v>115945</v>
      </c>
      <c r="K2342" s="33" t="s">
        <v>6281</v>
      </c>
      <c r="L2342" s="33" t="s">
        <v>6282</v>
      </c>
      <c r="M2342" s="33" t="s">
        <v>6283</v>
      </c>
      <c r="N2342" s="44">
        <v>42261607</v>
      </c>
      <c r="O2342" s="33" t="s">
        <v>6294</v>
      </c>
      <c r="P2342" s="33" t="s">
        <v>6295</v>
      </c>
      <c r="Q2342" s="34" t="s">
        <v>1494</v>
      </c>
      <c r="R2342" s="34" t="s">
        <v>1494</v>
      </c>
    </row>
    <row r="2343" spans="1:18" ht="15" customHeight="1" x14ac:dyDescent="0.25">
      <c r="A2343" t="str">
        <f>IFERROR(RANK(B2343,$B:$B,1)+COUNTIF($B$1:B2342,B2343),"")</f>
        <v/>
      </c>
      <c r="B2343" t="str">
        <f>IFERROR(SEARCH(#REF!,Table4[[#This Row],[Commodity Title]],1),"")</f>
        <v/>
      </c>
      <c r="C2343" s="35">
        <v>42261608</v>
      </c>
      <c r="D2343" s="33" t="s">
        <v>1495</v>
      </c>
      <c r="E2343" s="33" t="s">
        <v>1496</v>
      </c>
      <c r="F2343" s="33" t="s">
        <v>1497</v>
      </c>
      <c r="G2343" s="33" t="s">
        <v>6246</v>
      </c>
      <c r="H2343" s="33" t="s">
        <v>6247</v>
      </c>
      <c r="I2343" s="33" t="s">
        <v>6248</v>
      </c>
      <c r="J2343" s="33">
        <v>115946</v>
      </c>
      <c r="K2343" s="33" t="s">
        <v>6281</v>
      </c>
      <c r="L2343" s="33" t="s">
        <v>6282</v>
      </c>
      <c r="M2343" s="33" t="s">
        <v>6283</v>
      </c>
      <c r="N2343" s="44">
        <v>42261608</v>
      </c>
      <c r="O2343" s="33" t="s">
        <v>6296</v>
      </c>
      <c r="P2343" s="33" t="s">
        <v>6297</v>
      </c>
      <c r="Q2343" s="34" t="s">
        <v>1494</v>
      </c>
      <c r="R2343" s="34" t="s">
        <v>1494</v>
      </c>
    </row>
    <row r="2344" spans="1:18" ht="15" customHeight="1" x14ac:dyDescent="0.25">
      <c r="A2344" t="str">
        <f>IFERROR(RANK(B2344,$B:$B,1)+COUNTIF($B$1:B2343,B2344),"")</f>
        <v/>
      </c>
      <c r="B2344" t="str">
        <f>IFERROR(SEARCH(#REF!,Table4[[#This Row],[Commodity Title]],1),"")</f>
        <v/>
      </c>
      <c r="C2344" s="35">
        <v>42261609</v>
      </c>
      <c r="D2344" s="33" t="s">
        <v>1495</v>
      </c>
      <c r="E2344" s="33" t="s">
        <v>1496</v>
      </c>
      <c r="F2344" s="33" t="s">
        <v>1497</v>
      </c>
      <c r="G2344" s="33" t="s">
        <v>6246</v>
      </c>
      <c r="H2344" s="33" t="s">
        <v>6247</v>
      </c>
      <c r="I2344" s="33" t="s">
        <v>6248</v>
      </c>
      <c r="J2344" s="33">
        <v>115947</v>
      </c>
      <c r="K2344" s="33" t="s">
        <v>6281</v>
      </c>
      <c r="L2344" s="33" t="s">
        <v>6282</v>
      </c>
      <c r="M2344" s="33" t="s">
        <v>6283</v>
      </c>
      <c r="N2344" s="44">
        <v>42261609</v>
      </c>
      <c r="O2344" s="33" t="s">
        <v>6298</v>
      </c>
      <c r="P2344" s="33" t="s">
        <v>6299</v>
      </c>
      <c r="Q2344" s="34" t="s">
        <v>1494</v>
      </c>
      <c r="R2344" s="34" t="s">
        <v>1494</v>
      </c>
    </row>
    <row r="2345" spans="1:18" ht="15" customHeight="1" x14ac:dyDescent="0.25">
      <c r="A2345" t="str">
        <f>IFERROR(RANK(B2345,$B:$B,1)+COUNTIF($B$1:B2344,B2345),"")</f>
        <v/>
      </c>
      <c r="B2345" t="str">
        <f>IFERROR(SEARCH(#REF!,Table4[[#This Row],[Commodity Title]],1),"")</f>
        <v/>
      </c>
      <c r="C2345" s="35">
        <v>42261610</v>
      </c>
      <c r="D2345" s="33" t="s">
        <v>1495</v>
      </c>
      <c r="E2345" s="33" t="s">
        <v>1496</v>
      </c>
      <c r="F2345" s="33" t="s">
        <v>1497</v>
      </c>
      <c r="G2345" s="33" t="s">
        <v>6246</v>
      </c>
      <c r="H2345" s="33" t="s">
        <v>6247</v>
      </c>
      <c r="I2345" s="33" t="s">
        <v>6248</v>
      </c>
      <c r="J2345" s="33">
        <v>115948</v>
      </c>
      <c r="K2345" s="33" t="s">
        <v>6281</v>
      </c>
      <c r="L2345" s="33" t="s">
        <v>6282</v>
      </c>
      <c r="M2345" s="33" t="s">
        <v>6283</v>
      </c>
      <c r="N2345" s="44">
        <v>42261610</v>
      </c>
      <c r="O2345" s="33" t="s">
        <v>6300</v>
      </c>
      <c r="P2345" s="33" t="s">
        <v>6301</v>
      </c>
      <c r="Q2345" s="34" t="s">
        <v>1494</v>
      </c>
      <c r="R2345" s="34" t="s">
        <v>1494</v>
      </c>
    </row>
    <row r="2346" spans="1:18" ht="15" customHeight="1" x14ac:dyDescent="0.25">
      <c r="A2346" t="str">
        <f>IFERROR(RANK(B2346,$B:$B,1)+COUNTIF($B$1:B2345,B2346),"")</f>
        <v/>
      </c>
      <c r="B2346" t="str">
        <f>IFERROR(SEARCH(#REF!,Table4[[#This Row],[Commodity Title]],1),"")</f>
        <v/>
      </c>
      <c r="C2346" s="35">
        <v>42261611</v>
      </c>
      <c r="D2346" s="33" t="s">
        <v>1495</v>
      </c>
      <c r="E2346" s="33" t="s">
        <v>1496</v>
      </c>
      <c r="F2346" s="33" t="s">
        <v>1497</v>
      </c>
      <c r="G2346" s="33" t="s">
        <v>6246</v>
      </c>
      <c r="H2346" s="33" t="s">
        <v>6247</v>
      </c>
      <c r="I2346" s="33" t="s">
        <v>6248</v>
      </c>
      <c r="J2346" s="33">
        <v>115949</v>
      </c>
      <c r="K2346" s="33" t="s">
        <v>6281</v>
      </c>
      <c r="L2346" s="33" t="s">
        <v>6282</v>
      </c>
      <c r="M2346" s="33" t="s">
        <v>6283</v>
      </c>
      <c r="N2346" s="44">
        <v>42261611</v>
      </c>
      <c r="O2346" s="33" t="s">
        <v>6302</v>
      </c>
      <c r="P2346" s="33" t="s">
        <v>6303</v>
      </c>
      <c r="Q2346" s="34" t="s">
        <v>1494</v>
      </c>
      <c r="R2346" s="34" t="s">
        <v>1494</v>
      </c>
    </row>
    <row r="2347" spans="1:18" ht="15" customHeight="1" x14ac:dyDescent="0.25">
      <c r="A2347" t="str">
        <f>IFERROR(RANK(B2347,$B:$B,1)+COUNTIF($B$1:B2346,B2347),"")</f>
        <v/>
      </c>
      <c r="B2347" t="str">
        <f>IFERROR(SEARCH(#REF!,Table4[[#This Row],[Commodity Title]],1),"")</f>
        <v/>
      </c>
      <c r="C2347" s="35">
        <v>42261612</v>
      </c>
      <c r="D2347" s="33" t="s">
        <v>1495</v>
      </c>
      <c r="E2347" s="33" t="s">
        <v>1496</v>
      </c>
      <c r="F2347" s="33" t="s">
        <v>1497</v>
      </c>
      <c r="G2347" s="33" t="s">
        <v>6246</v>
      </c>
      <c r="H2347" s="33" t="s">
        <v>6247</v>
      </c>
      <c r="I2347" s="33" t="s">
        <v>6248</v>
      </c>
      <c r="J2347" s="33">
        <v>115950</v>
      </c>
      <c r="K2347" s="33" t="s">
        <v>6281</v>
      </c>
      <c r="L2347" s="33" t="s">
        <v>6282</v>
      </c>
      <c r="M2347" s="33" t="s">
        <v>6283</v>
      </c>
      <c r="N2347" s="44">
        <v>42261612</v>
      </c>
      <c r="O2347" s="33" t="s">
        <v>6304</v>
      </c>
      <c r="P2347" s="33" t="s">
        <v>6305</v>
      </c>
      <c r="Q2347" s="34" t="s">
        <v>1494</v>
      </c>
      <c r="R2347" s="34" t="s">
        <v>1494</v>
      </c>
    </row>
    <row r="2348" spans="1:18" ht="15" customHeight="1" x14ac:dyDescent="0.25">
      <c r="A2348" t="str">
        <f>IFERROR(RANK(B2348,$B:$B,1)+COUNTIF($B$1:B2347,B2348),"")</f>
        <v/>
      </c>
      <c r="B2348" t="str">
        <f>IFERROR(SEARCH(#REF!,Table4[[#This Row],[Commodity Title]],1),"")</f>
        <v/>
      </c>
      <c r="C2348" s="35">
        <v>42261613</v>
      </c>
      <c r="D2348" s="33" t="s">
        <v>1495</v>
      </c>
      <c r="E2348" s="33" t="s">
        <v>1496</v>
      </c>
      <c r="F2348" s="33" t="s">
        <v>1497</v>
      </c>
      <c r="G2348" s="33" t="s">
        <v>6246</v>
      </c>
      <c r="H2348" s="33" t="s">
        <v>6247</v>
      </c>
      <c r="I2348" s="33" t="s">
        <v>6248</v>
      </c>
      <c r="J2348" s="33">
        <v>115951</v>
      </c>
      <c r="K2348" s="33" t="s">
        <v>6281</v>
      </c>
      <c r="L2348" s="33" t="s">
        <v>6282</v>
      </c>
      <c r="M2348" s="33" t="s">
        <v>6283</v>
      </c>
      <c r="N2348" s="44">
        <v>42261613</v>
      </c>
      <c r="O2348" s="33" t="s">
        <v>6306</v>
      </c>
      <c r="P2348" s="33" t="s">
        <v>6307</v>
      </c>
      <c r="Q2348" s="34" t="s">
        <v>1494</v>
      </c>
      <c r="R2348" s="34" t="s">
        <v>1494</v>
      </c>
    </row>
    <row r="2349" spans="1:18" ht="15" customHeight="1" x14ac:dyDescent="0.25">
      <c r="A2349" t="str">
        <f>IFERROR(RANK(B2349,$B:$B,1)+COUNTIF($B$1:B2348,B2349),"")</f>
        <v/>
      </c>
      <c r="B2349" t="str">
        <f>IFERROR(SEARCH(#REF!,Table4[[#This Row],[Commodity Title]],1),"")</f>
        <v/>
      </c>
      <c r="C2349" s="33" t="s">
        <v>1494</v>
      </c>
      <c r="D2349" s="33" t="s">
        <v>1495</v>
      </c>
      <c r="E2349" s="33" t="s">
        <v>1496</v>
      </c>
      <c r="F2349" s="33" t="s">
        <v>1497</v>
      </c>
      <c r="G2349" s="33" t="s">
        <v>6246</v>
      </c>
      <c r="H2349" s="33" t="s">
        <v>6247</v>
      </c>
      <c r="I2349" s="33" t="s">
        <v>6248</v>
      </c>
      <c r="J2349" s="33">
        <v>115952</v>
      </c>
      <c r="K2349" s="33" t="s">
        <v>6308</v>
      </c>
      <c r="L2349" s="33" t="s">
        <v>6309</v>
      </c>
      <c r="M2349" s="33" t="s">
        <v>6310</v>
      </c>
      <c r="N2349" s="44" t="s">
        <v>1494</v>
      </c>
      <c r="O2349" s="33" t="s">
        <v>1494</v>
      </c>
      <c r="P2349" s="33" t="s">
        <v>1494</v>
      </c>
      <c r="Q2349" s="34" t="s">
        <v>1494</v>
      </c>
      <c r="R2349" s="34" t="s">
        <v>1494</v>
      </c>
    </row>
    <row r="2350" spans="1:18" ht="15" customHeight="1" x14ac:dyDescent="0.25">
      <c r="A2350" t="str">
        <f>IFERROR(RANK(B2350,$B:$B,1)+COUNTIF($B$1:B2349,B2350),"")</f>
        <v/>
      </c>
      <c r="B2350" t="str">
        <f>IFERROR(SEARCH(#REF!,Table4[[#This Row],[Commodity Title]],1),"")</f>
        <v/>
      </c>
      <c r="C2350" s="35">
        <v>42261701</v>
      </c>
      <c r="D2350" s="33" t="s">
        <v>1495</v>
      </c>
      <c r="E2350" s="33" t="s">
        <v>1496</v>
      </c>
      <c r="F2350" s="33" t="s">
        <v>1497</v>
      </c>
      <c r="G2350" s="33" t="s">
        <v>6246</v>
      </c>
      <c r="H2350" s="33" t="s">
        <v>6247</v>
      </c>
      <c r="I2350" s="33" t="s">
        <v>6248</v>
      </c>
      <c r="J2350" s="33">
        <v>115953</v>
      </c>
      <c r="K2350" s="33" t="s">
        <v>6308</v>
      </c>
      <c r="L2350" s="33" t="s">
        <v>6309</v>
      </c>
      <c r="M2350" s="33" t="s">
        <v>6310</v>
      </c>
      <c r="N2350" s="44">
        <v>42261701</v>
      </c>
      <c r="O2350" s="33" t="s">
        <v>6311</v>
      </c>
      <c r="P2350" s="33" t="s">
        <v>6312</v>
      </c>
      <c r="Q2350" s="34" t="s">
        <v>1494</v>
      </c>
      <c r="R2350" s="34" t="s">
        <v>1494</v>
      </c>
    </row>
    <row r="2351" spans="1:18" ht="15" customHeight="1" x14ac:dyDescent="0.25">
      <c r="A2351" t="str">
        <f>IFERROR(RANK(B2351,$B:$B,1)+COUNTIF($B$1:B2350,B2351),"")</f>
        <v/>
      </c>
      <c r="B2351" t="str">
        <f>IFERROR(SEARCH(#REF!,Table4[[#This Row],[Commodity Title]],1),"")</f>
        <v/>
      </c>
      <c r="C2351" s="35">
        <v>42261702</v>
      </c>
      <c r="D2351" s="33" t="s">
        <v>1495</v>
      </c>
      <c r="E2351" s="33" t="s">
        <v>1496</v>
      </c>
      <c r="F2351" s="33" t="s">
        <v>1497</v>
      </c>
      <c r="G2351" s="33" t="s">
        <v>6246</v>
      </c>
      <c r="H2351" s="33" t="s">
        <v>6247</v>
      </c>
      <c r="I2351" s="33" t="s">
        <v>6248</v>
      </c>
      <c r="J2351" s="33">
        <v>115954</v>
      </c>
      <c r="K2351" s="33" t="s">
        <v>6308</v>
      </c>
      <c r="L2351" s="33" t="s">
        <v>6309</v>
      </c>
      <c r="M2351" s="33" t="s">
        <v>6310</v>
      </c>
      <c r="N2351" s="44">
        <v>42261702</v>
      </c>
      <c r="O2351" s="33" t="s">
        <v>6313</v>
      </c>
      <c r="P2351" s="33" t="s">
        <v>6314</v>
      </c>
      <c r="Q2351" s="34" t="s">
        <v>1494</v>
      </c>
      <c r="R2351" s="34" t="s">
        <v>1494</v>
      </c>
    </row>
    <row r="2352" spans="1:18" ht="15" customHeight="1" x14ac:dyDescent="0.25">
      <c r="A2352" t="str">
        <f>IFERROR(RANK(B2352,$B:$B,1)+COUNTIF($B$1:B2351,B2352),"")</f>
        <v/>
      </c>
      <c r="B2352" t="str">
        <f>IFERROR(SEARCH(#REF!,Table4[[#This Row],[Commodity Title]],1),"")</f>
        <v/>
      </c>
      <c r="C2352" s="35">
        <v>42261703</v>
      </c>
      <c r="D2352" s="33" t="s">
        <v>1495</v>
      </c>
      <c r="E2352" s="33" t="s">
        <v>1496</v>
      </c>
      <c r="F2352" s="33" t="s">
        <v>1497</v>
      </c>
      <c r="G2352" s="33" t="s">
        <v>6246</v>
      </c>
      <c r="H2352" s="33" t="s">
        <v>6247</v>
      </c>
      <c r="I2352" s="33" t="s">
        <v>6248</v>
      </c>
      <c r="J2352" s="33">
        <v>115955</v>
      </c>
      <c r="K2352" s="33" t="s">
        <v>6308</v>
      </c>
      <c r="L2352" s="33" t="s">
        <v>6309</v>
      </c>
      <c r="M2352" s="33" t="s">
        <v>6310</v>
      </c>
      <c r="N2352" s="44">
        <v>42261703</v>
      </c>
      <c r="O2352" s="33" t="s">
        <v>6315</v>
      </c>
      <c r="P2352" s="33" t="s">
        <v>6316</v>
      </c>
      <c r="Q2352" s="34" t="s">
        <v>1494</v>
      </c>
      <c r="R2352" s="34" t="s">
        <v>1494</v>
      </c>
    </row>
    <row r="2353" spans="1:18" ht="15" customHeight="1" x14ac:dyDescent="0.25">
      <c r="A2353" t="str">
        <f>IFERROR(RANK(B2353,$B:$B,1)+COUNTIF($B$1:B2352,B2353),"")</f>
        <v/>
      </c>
      <c r="B2353" t="str">
        <f>IFERROR(SEARCH(#REF!,Table4[[#This Row],[Commodity Title]],1),"")</f>
        <v/>
      </c>
      <c r="C2353" s="35">
        <v>42261704</v>
      </c>
      <c r="D2353" s="33" t="s">
        <v>1495</v>
      </c>
      <c r="E2353" s="33" t="s">
        <v>1496</v>
      </c>
      <c r="F2353" s="33" t="s">
        <v>1497</v>
      </c>
      <c r="G2353" s="33" t="s">
        <v>6246</v>
      </c>
      <c r="H2353" s="33" t="s">
        <v>6247</v>
      </c>
      <c r="I2353" s="33" t="s">
        <v>6248</v>
      </c>
      <c r="J2353" s="33">
        <v>115956</v>
      </c>
      <c r="K2353" s="33" t="s">
        <v>6308</v>
      </c>
      <c r="L2353" s="33" t="s">
        <v>6309</v>
      </c>
      <c r="M2353" s="33" t="s">
        <v>6310</v>
      </c>
      <c r="N2353" s="44">
        <v>42261704</v>
      </c>
      <c r="O2353" s="33" t="s">
        <v>6317</v>
      </c>
      <c r="P2353" s="33" t="s">
        <v>6318</v>
      </c>
      <c r="Q2353" s="34" t="s">
        <v>1494</v>
      </c>
      <c r="R2353" s="34" t="s">
        <v>1494</v>
      </c>
    </row>
    <row r="2354" spans="1:18" ht="15" customHeight="1" x14ac:dyDescent="0.25">
      <c r="A2354" t="str">
        <f>IFERROR(RANK(B2354,$B:$B,1)+COUNTIF($B$1:B2353,B2354),"")</f>
        <v/>
      </c>
      <c r="B2354" t="str">
        <f>IFERROR(SEARCH(#REF!,Table4[[#This Row],[Commodity Title]],1),"")</f>
        <v/>
      </c>
      <c r="C2354" s="35">
        <v>42261705</v>
      </c>
      <c r="D2354" s="33" t="s">
        <v>1495</v>
      </c>
      <c r="E2354" s="33" t="s">
        <v>1496</v>
      </c>
      <c r="F2354" s="33" t="s">
        <v>1497</v>
      </c>
      <c r="G2354" s="33" t="s">
        <v>6246</v>
      </c>
      <c r="H2354" s="33" t="s">
        <v>6247</v>
      </c>
      <c r="I2354" s="33" t="s">
        <v>6248</v>
      </c>
      <c r="J2354" s="33">
        <v>115957</v>
      </c>
      <c r="K2354" s="33" t="s">
        <v>6308</v>
      </c>
      <c r="L2354" s="33" t="s">
        <v>6309</v>
      </c>
      <c r="M2354" s="33" t="s">
        <v>6310</v>
      </c>
      <c r="N2354" s="44">
        <v>42261705</v>
      </c>
      <c r="O2354" s="33" t="s">
        <v>6319</v>
      </c>
      <c r="P2354" s="33" t="s">
        <v>6320</v>
      </c>
      <c r="Q2354" s="34" t="s">
        <v>1494</v>
      </c>
      <c r="R2354" s="34" t="s">
        <v>1494</v>
      </c>
    </row>
    <row r="2355" spans="1:18" ht="15" customHeight="1" x14ac:dyDescent="0.25">
      <c r="A2355" t="str">
        <f>IFERROR(RANK(B2355,$B:$B,1)+COUNTIF($B$1:B2354,B2355),"")</f>
        <v/>
      </c>
      <c r="B2355" t="str">
        <f>IFERROR(SEARCH(#REF!,Table4[[#This Row],[Commodity Title]],1),"")</f>
        <v/>
      </c>
      <c r="C2355" s="35">
        <v>42261706</v>
      </c>
      <c r="D2355" s="33" t="s">
        <v>1495</v>
      </c>
      <c r="E2355" s="33" t="s">
        <v>1496</v>
      </c>
      <c r="F2355" s="33" t="s">
        <v>1497</v>
      </c>
      <c r="G2355" s="33" t="s">
        <v>6246</v>
      </c>
      <c r="H2355" s="33" t="s">
        <v>6247</v>
      </c>
      <c r="I2355" s="33" t="s">
        <v>6248</v>
      </c>
      <c r="J2355" s="33">
        <v>115958</v>
      </c>
      <c r="K2355" s="33" t="s">
        <v>6308</v>
      </c>
      <c r="L2355" s="33" t="s">
        <v>6309</v>
      </c>
      <c r="M2355" s="33" t="s">
        <v>6310</v>
      </c>
      <c r="N2355" s="44">
        <v>42261706</v>
      </c>
      <c r="O2355" s="33" t="s">
        <v>6321</v>
      </c>
      <c r="P2355" s="33" t="s">
        <v>6322</v>
      </c>
      <c r="Q2355" s="34" t="s">
        <v>1494</v>
      </c>
      <c r="R2355" s="34" t="s">
        <v>1494</v>
      </c>
    </row>
    <row r="2356" spans="1:18" ht="15" customHeight="1" x14ac:dyDescent="0.25">
      <c r="A2356" t="str">
        <f>IFERROR(RANK(B2356,$B:$B,1)+COUNTIF($B$1:B2355,B2356),"")</f>
        <v/>
      </c>
      <c r="B2356" t="str">
        <f>IFERROR(SEARCH(#REF!,Table4[[#This Row],[Commodity Title]],1),"")</f>
        <v/>
      </c>
      <c r="C2356" s="35">
        <v>42261707</v>
      </c>
      <c r="D2356" s="33" t="s">
        <v>1495</v>
      </c>
      <c r="E2356" s="33" t="s">
        <v>1496</v>
      </c>
      <c r="F2356" s="33" t="s">
        <v>1497</v>
      </c>
      <c r="G2356" s="33" t="s">
        <v>6246</v>
      </c>
      <c r="H2356" s="33" t="s">
        <v>6247</v>
      </c>
      <c r="I2356" s="33" t="s">
        <v>6248</v>
      </c>
      <c r="J2356" s="33">
        <v>115959</v>
      </c>
      <c r="K2356" s="33" t="s">
        <v>6308</v>
      </c>
      <c r="L2356" s="33" t="s">
        <v>6309</v>
      </c>
      <c r="M2356" s="33" t="s">
        <v>6310</v>
      </c>
      <c r="N2356" s="44">
        <v>42261707</v>
      </c>
      <c r="O2356" s="33" t="s">
        <v>6323</v>
      </c>
      <c r="P2356" s="33" t="s">
        <v>6324</v>
      </c>
      <c r="Q2356" s="34" t="s">
        <v>1494</v>
      </c>
      <c r="R2356" s="34" t="s">
        <v>1494</v>
      </c>
    </row>
    <row r="2357" spans="1:18" ht="15" customHeight="1" x14ac:dyDescent="0.25">
      <c r="A2357" t="str">
        <f>IFERROR(RANK(B2357,$B:$B,1)+COUNTIF($B$1:B2356,B2357),"")</f>
        <v/>
      </c>
      <c r="B2357" t="str">
        <f>IFERROR(SEARCH(#REF!,Table4[[#This Row],[Commodity Title]],1),"")</f>
        <v/>
      </c>
      <c r="C2357" s="35">
        <v>42261708</v>
      </c>
      <c r="D2357" s="33" t="s">
        <v>1495</v>
      </c>
      <c r="E2357" s="33" t="s">
        <v>1496</v>
      </c>
      <c r="F2357" s="33" t="s">
        <v>1497</v>
      </c>
      <c r="G2357" s="33" t="s">
        <v>6246</v>
      </c>
      <c r="H2357" s="33" t="s">
        <v>6247</v>
      </c>
      <c r="I2357" s="33" t="s">
        <v>6248</v>
      </c>
      <c r="J2357" s="33">
        <v>208348</v>
      </c>
      <c r="K2357" s="33" t="s">
        <v>6308</v>
      </c>
      <c r="L2357" s="33" t="s">
        <v>6309</v>
      </c>
      <c r="M2357" s="33" t="s">
        <v>6310</v>
      </c>
      <c r="N2357" s="44">
        <v>42261708</v>
      </c>
      <c r="O2357" s="33" t="s">
        <v>6325</v>
      </c>
      <c r="P2357" s="33" t="s">
        <v>6326</v>
      </c>
      <c r="Q2357" s="34" t="s">
        <v>1494</v>
      </c>
      <c r="R2357" s="34" t="s">
        <v>1494</v>
      </c>
    </row>
    <row r="2358" spans="1:18" ht="15" customHeight="1" x14ac:dyDescent="0.25">
      <c r="A2358" t="str">
        <f>IFERROR(RANK(B2358,$B:$B,1)+COUNTIF($B$1:B2357,B2358),"")</f>
        <v/>
      </c>
      <c r="B2358" t="str">
        <f>IFERROR(SEARCH(#REF!,Table4[[#This Row],[Commodity Title]],1),"")</f>
        <v/>
      </c>
      <c r="C2358" s="33" t="s">
        <v>1494</v>
      </c>
      <c r="D2358" s="33" t="s">
        <v>1495</v>
      </c>
      <c r="E2358" s="33" t="s">
        <v>1496</v>
      </c>
      <c r="F2358" s="33" t="s">
        <v>1497</v>
      </c>
      <c r="G2358" s="33" t="s">
        <v>6246</v>
      </c>
      <c r="H2358" s="33" t="s">
        <v>6247</v>
      </c>
      <c r="I2358" s="33" t="s">
        <v>6248</v>
      </c>
      <c r="J2358" s="33">
        <v>115960</v>
      </c>
      <c r="K2358" s="33" t="s">
        <v>6327</v>
      </c>
      <c r="L2358" s="33" t="s">
        <v>6328</v>
      </c>
      <c r="M2358" s="33" t="s">
        <v>6329</v>
      </c>
      <c r="N2358" s="44" t="s">
        <v>1494</v>
      </c>
      <c r="O2358" s="33" t="s">
        <v>1494</v>
      </c>
      <c r="P2358" s="33" t="s">
        <v>1494</v>
      </c>
      <c r="Q2358" s="34" t="s">
        <v>1494</v>
      </c>
      <c r="R2358" s="34" t="s">
        <v>1494</v>
      </c>
    </row>
    <row r="2359" spans="1:18" ht="15" customHeight="1" x14ac:dyDescent="0.25">
      <c r="A2359" t="str">
        <f>IFERROR(RANK(B2359,$B:$B,1)+COUNTIF($B$1:B2358,B2359),"")</f>
        <v/>
      </c>
      <c r="B2359" t="str">
        <f>IFERROR(SEARCH(#REF!,Table4[[#This Row],[Commodity Title]],1),"")</f>
        <v/>
      </c>
      <c r="C2359" s="35">
        <v>42261801</v>
      </c>
      <c r="D2359" s="33" t="s">
        <v>1495</v>
      </c>
      <c r="E2359" s="33" t="s">
        <v>1496</v>
      </c>
      <c r="F2359" s="33" t="s">
        <v>1497</v>
      </c>
      <c r="G2359" s="33" t="s">
        <v>6246</v>
      </c>
      <c r="H2359" s="33" t="s">
        <v>6247</v>
      </c>
      <c r="I2359" s="33" t="s">
        <v>6248</v>
      </c>
      <c r="J2359" s="33">
        <v>115961</v>
      </c>
      <c r="K2359" s="33" t="s">
        <v>6327</v>
      </c>
      <c r="L2359" s="33" t="s">
        <v>6328</v>
      </c>
      <c r="M2359" s="33" t="s">
        <v>6329</v>
      </c>
      <c r="N2359" s="44">
        <v>42261801</v>
      </c>
      <c r="O2359" s="33" t="s">
        <v>6330</v>
      </c>
      <c r="P2359" s="33" t="s">
        <v>6331</v>
      </c>
      <c r="Q2359" s="34" t="s">
        <v>1494</v>
      </c>
      <c r="R2359" s="34" t="s">
        <v>1494</v>
      </c>
    </row>
    <row r="2360" spans="1:18" ht="15" customHeight="1" x14ac:dyDescent="0.25">
      <c r="A2360" t="str">
        <f>IFERROR(RANK(B2360,$B:$B,1)+COUNTIF($B$1:B2359,B2360),"")</f>
        <v/>
      </c>
      <c r="B2360" t="str">
        <f>IFERROR(SEARCH(#REF!,Table4[[#This Row],[Commodity Title]],1),"")</f>
        <v/>
      </c>
      <c r="C2360" s="35">
        <v>42261802</v>
      </c>
      <c r="D2360" s="33" t="s">
        <v>1495</v>
      </c>
      <c r="E2360" s="33" t="s">
        <v>1496</v>
      </c>
      <c r="F2360" s="33" t="s">
        <v>1497</v>
      </c>
      <c r="G2360" s="33" t="s">
        <v>6246</v>
      </c>
      <c r="H2360" s="33" t="s">
        <v>6247</v>
      </c>
      <c r="I2360" s="33" t="s">
        <v>6248</v>
      </c>
      <c r="J2360" s="33">
        <v>115962</v>
      </c>
      <c r="K2360" s="33" t="s">
        <v>6327</v>
      </c>
      <c r="L2360" s="33" t="s">
        <v>6328</v>
      </c>
      <c r="M2360" s="33" t="s">
        <v>6329</v>
      </c>
      <c r="N2360" s="44">
        <v>42261802</v>
      </c>
      <c r="O2360" s="33" t="s">
        <v>6332</v>
      </c>
      <c r="P2360" s="33" t="s">
        <v>6333</v>
      </c>
      <c r="Q2360" s="34" t="s">
        <v>1494</v>
      </c>
      <c r="R2360" s="34" t="s">
        <v>1494</v>
      </c>
    </row>
    <row r="2361" spans="1:18" ht="15" customHeight="1" x14ac:dyDescent="0.25">
      <c r="A2361" t="str">
        <f>IFERROR(RANK(B2361,$B:$B,1)+COUNTIF($B$1:B2360,B2361),"")</f>
        <v/>
      </c>
      <c r="B2361" t="str">
        <f>IFERROR(SEARCH(#REF!,Table4[[#This Row],[Commodity Title]],1),"")</f>
        <v/>
      </c>
      <c r="C2361" s="35">
        <v>42261803</v>
      </c>
      <c r="D2361" s="33" t="s">
        <v>1495</v>
      </c>
      <c r="E2361" s="33" t="s">
        <v>1496</v>
      </c>
      <c r="F2361" s="33" t="s">
        <v>1497</v>
      </c>
      <c r="G2361" s="33" t="s">
        <v>6246</v>
      </c>
      <c r="H2361" s="33" t="s">
        <v>6247</v>
      </c>
      <c r="I2361" s="33" t="s">
        <v>6248</v>
      </c>
      <c r="J2361" s="33">
        <v>115963</v>
      </c>
      <c r="K2361" s="33" t="s">
        <v>6327</v>
      </c>
      <c r="L2361" s="33" t="s">
        <v>6328</v>
      </c>
      <c r="M2361" s="33" t="s">
        <v>6329</v>
      </c>
      <c r="N2361" s="44">
        <v>42261803</v>
      </c>
      <c r="O2361" s="33" t="s">
        <v>6334</v>
      </c>
      <c r="P2361" s="33" t="s">
        <v>6335</v>
      </c>
      <c r="Q2361" s="34" t="s">
        <v>1494</v>
      </c>
      <c r="R2361" s="34" t="s">
        <v>1494</v>
      </c>
    </row>
    <row r="2362" spans="1:18" ht="15" customHeight="1" x14ac:dyDescent="0.25">
      <c r="A2362" t="str">
        <f>IFERROR(RANK(B2362,$B:$B,1)+COUNTIF($B$1:B2361,B2362),"")</f>
        <v/>
      </c>
      <c r="B2362" t="str">
        <f>IFERROR(SEARCH(#REF!,Table4[[#This Row],[Commodity Title]],1),"")</f>
        <v/>
      </c>
      <c r="C2362" s="35">
        <v>42261804</v>
      </c>
      <c r="D2362" s="33" t="s">
        <v>1495</v>
      </c>
      <c r="E2362" s="33" t="s">
        <v>1496</v>
      </c>
      <c r="F2362" s="33" t="s">
        <v>1497</v>
      </c>
      <c r="G2362" s="33" t="s">
        <v>6246</v>
      </c>
      <c r="H2362" s="33" t="s">
        <v>6247</v>
      </c>
      <c r="I2362" s="33" t="s">
        <v>6248</v>
      </c>
      <c r="J2362" s="33">
        <v>115964</v>
      </c>
      <c r="K2362" s="33" t="s">
        <v>6327</v>
      </c>
      <c r="L2362" s="33" t="s">
        <v>6328</v>
      </c>
      <c r="M2362" s="33" t="s">
        <v>6329</v>
      </c>
      <c r="N2362" s="44">
        <v>42261804</v>
      </c>
      <c r="O2362" s="33" t="s">
        <v>6336</v>
      </c>
      <c r="P2362" s="33" t="s">
        <v>6337</v>
      </c>
      <c r="Q2362" s="34" t="s">
        <v>1494</v>
      </c>
      <c r="R2362" s="34" t="s">
        <v>1494</v>
      </c>
    </row>
    <row r="2363" spans="1:18" ht="15" customHeight="1" x14ac:dyDescent="0.25">
      <c r="A2363" t="str">
        <f>IFERROR(RANK(B2363,$B:$B,1)+COUNTIF($B$1:B2362,B2363),"")</f>
        <v/>
      </c>
      <c r="B2363" t="str">
        <f>IFERROR(SEARCH(#REF!,Table4[[#This Row],[Commodity Title]],1),"")</f>
        <v/>
      </c>
      <c r="C2363" s="35">
        <v>42261805</v>
      </c>
      <c r="D2363" s="33" t="s">
        <v>1495</v>
      </c>
      <c r="E2363" s="33" t="s">
        <v>1496</v>
      </c>
      <c r="F2363" s="33" t="s">
        <v>1497</v>
      </c>
      <c r="G2363" s="33" t="s">
        <v>6246</v>
      </c>
      <c r="H2363" s="33" t="s">
        <v>6247</v>
      </c>
      <c r="I2363" s="33" t="s">
        <v>6248</v>
      </c>
      <c r="J2363" s="33">
        <v>115965</v>
      </c>
      <c r="K2363" s="33" t="s">
        <v>6327</v>
      </c>
      <c r="L2363" s="33" t="s">
        <v>6328</v>
      </c>
      <c r="M2363" s="33" t="s">
        <v>6329</v>
      </c>
      <c r="N2363" s="44">
        <v>42261805</v>
      </c>
      <c r="O2363" s="33" t="s">
        <v>6338</v>
      </c>
      <c r="P2363" s="33" t="s">
        <v>6339</v>
      </c>
      <c r="Q2363" s="34" t="s">
        <v>1494</v>
      </c>
      <c r="R2363" s="34" t="s">
        <v>1494</v>
      </c>
    </row>
    <row r="2364" spans="1:18" ht="15" customHeight="1" x14ac:dyDescent="0.25">
      <c r="A2364" t="str">
        <f>IFERROR(RANK(B2364,$B:$B,1)+COUNTIF($B$1:B2363,B2364),"")</f>
        <v/>
      </c>
      <c r="B2364" t="str">
        <f>IFERROR(SEARCH(#REF!,Table4[[#This Row],[Commodity Title]],1),"")</f>
        <v/>
      </c>
      <c r="C2364" s="35">
        <v>42261806</v>
      </c>
      <c r="D2364" s="33" t="s">
        <v>1495</v>
      </c>
      <c r="E2364" s="33" t="s">
        <v>1496</v>
      </c>
      <c r="F2364" s="33" t="s">
        <v>1497</v>
      </c>
      <c r="G2364" s="33" t="s">
        <v>6246</v>
      </c>
      <c r="H2364" s="33" t="s">
        <v>6247</v>
      </c>
      <c r="I2364" s="33" t="s">
        <v>6248</v>
      </c>
      <c r="J2364" s="33">
        <v>115966</v>
      </c>
      <c r="K2364" s="33" t="s">
        <v>6327</v>
      </c>
      <c r="L2364" s="33" t="s">
        <v>6328</v>
      </c>
      <c r="M2364" s="33" t="s">
        <v>6329</v>
      </c>
      <c r="N2364" s="44">
        <v>42261806</v>
      </c>
      <c r="O2364" s="33" t="s">
        <v>6340</v>
      </c>
      <c r="P2364" s="33" t="s">
        <v>6341</v>
      </c>
      <c r="Q2364" s="34" t="s">
        <v>1494</v>
      </c>
      <c r="R2364" s="34" t="s">
        <v>1494</v>
      </c>
    </row>
    <row r="2365" spans="1:18" ht="15" customHeight="1" x14ac:dyDescent="0.25">
      <c r="A2365" t="str">
        <f>IFERROR(RANK(B2365,$B:$B,1)+COUNTIF($B$1:B2364,B2365),"")</f>
        <v/>
      </c>
      <c r="B2365" t="str">
        <f>IFERROR(SEARCH(#REF!,Table4[[#This Row],[Commodity Title]],1),"")</f>
        <v/>
      </c>
      <c r="C2365" s="35">
        <v>42261807</v>
      </c>
      <c r="D2365" s="33" t="s">
        <v>1495</v>
      </c>
      <c r="E2365" s="33" t="s">
        <v>1496</v>
      </c>
      <c r="F2365" s="33" t="s">
        <v>1497</v>
      </c>
      <c r="G2365" s="33" t="s">
        <v>6246</v>
      </c>
      <c r="H2365" s="33" t="s">
        <v>6247</v>
      </c>
      <c r="I2365" s="33" t="s">
        <v>6248</v>
      </c>
      <c r="J2365" s="33">
        <v>115967</v>
      </c>
      <c r="K2365" s="33" t="s">
        <v>6327</v>
      </c>
      <c r="L2365" s="33" t="s">
        <v>6328</v>
      </c>
      <c r="M2365" s="33" t="s">
        <v>6329</v>
      </c>
      <c r="N2365" s="44">
        <v>42261807</v>
      </c>
      <c r="O2365" s="33" t="s">
        <v>6342</v>
      </c>
      <c r="P2365" s="33" t="s">
        <v>6343</v>
      </c>
      <c r="Q2365" s="34" t="s">
        <v>1494</v>
      </c>
      <c r="R2365" s="34" t="s">
        <v>1494</v>
      </c>
    </row>
    <row r="2366" spans="1:18" ht="15" customHeight="1" x14ac:dyDescent="0.25">
      <c r="A2366" t="str">
        <f>IFERROR(RANK(B2366,$B:$B,1)+COUNTIF($B$1:B2365,B2366),"")</f>
        <v/>
      </c>
      <c r="B2366" t="str">
        <f>IFERROR(SEARCH(#REF!,Table4[[#This Row],[Commodity Title]],1),"")</f>
        <v/>
      </c>
      <c r="C2366" s="35">
        <v>42261808</v>
      </c>
      <c r="D2366" s="33" t="s">
        <v>1495</v>
      </c>
      <c r="E2366" s="33" t="s">
        <v>1496</v>
      </c>
      <c r="F2366" s="33" t="s">
        <v>1497</v>
      </c>
      <c r="G2366" s="33" t="s">
        <v>6246</v>
      </c>
      <c r="H2366" s="33" t="s">
        <v>6247</v>
      </c>
      <c r="I2366" s="33" t="s">
        <v>6248</v>
      </c>
      <c r="J2366" s="33">
        <v>115968</v>
      </c>
      <c r="K2366" s="33" t="s">
        <v>6327</v>
      </c>
      <c r="L2366" s="33" t="s">
        <v>6328</v>
      </c>
      <c r="M2366" s="33" t="s">
        <v>6329</v>
      </c>
      <c r="N2366" s="44">
        <v>42261808</v>
      </c>
      <c r="O2366" s="33" t="s">
        <v>6344</v>
      </c>
      <c r="P2366" s="33" t="s">
        <v>6345</v>
      </c>
      <c r="Q2366" s="34" t="s">
        <v>1494</v>
      </c>
      <c r="R2366" s="34" t="s">
        <v>1494</v>
      </c>
    </row>
    <row r="2367" spans="1:18" ht="15" customHeight="1" x14ac:dyDescent="0.25">
      <c r="A2367" t="str">
        <f>IFERROR(RANK(B2367,$B:$B,1)+COUNTIF($B$1:B2366,B2367),"")</f>
        <v/>
      </c>
      <c r="B2367" t="str">
        <f>IFERROR(SEARCH(#REF!,Table4[[#This Row],[Commodity Title]],1),"")</f>
        <v/>
      </c>
      <c r="C2367" s="35">
        <v>42261809</v>
      </c>
      <c r="D2367" s="33" t="s">
        <v>1495</v>
      </c>
      <c r="E2367" s="33" t="s">
        <v>1496</v>
      </c>
      <c r="F2367" s="33" t="s">
        <v>1497</v>
      </c>
      <c r="G2367" s="33" t="s">
        <v>6246</v>
      </c>
      <c r="H2367" s="33" t="s">
        <v>6247</v>
      </c>
      <c r="I2367" s="33" t="s">
        <v>6248</v>
      </c>
      <c r="J2367" s="33">
        <v>115969</v>
      </c>
      <c r="K2367" s="33" t="s">
        <v>6327</v>
      </c>
      <c r="L2367" s="33" t="s">
        <v>6328</v>
      </c>
      <c r="M2367" s="33" t="s">
        <v>6329</v>
      </c>
      <c r="N2367" s="44">
        <v>42261809</v>
      </c>
      <c r="O2367" s="33" t="s">
        <v>6346</v>
      </c>
      <c r="P2367" s="33" t="s">
        <v>6347</v>
      </c>
      <c r="Q2367" s="34" t="s">
        <v>1494</v>
      </c>
      <c r="R2367" s="34" t="s">
        <v>1494</v>
      </c>
    </row>
    <row r="2368" spans="1:18" ht="15" customHeight="1" x14ac:dyDescent="0.25">
      <c r="A2368" t="str">
        <f>IFERROR(RANK(B2368,$B:$B,1)+COUNTIF($B$1:B2367,B2368),"")</f>
        <v/>
      </c>
      <c r="B2368" t="str">
        <f>IFERROR(SEARCH(#REF!,Table4[[#This Row],[Commodity Title]],1),"")</f>
        <v/>
      </c>
      <c r="C2368" s="35">
        <v>42261810</v>
      </c>
      <c r="D2368" s="33" t="s">
        <v>1495</v>
      </c>
      <c r="E2368" s="33" t="s">
        <v>1496</v>
      </c>
      <c r="F2368" s="33" t="s">
        <v>1497</v>
      </c>
      <c r="G2368" s="33" t="s">
        <v>6246</v>
      </c>
      <c r="H2368" s="33" t="s">
        <v>6247</v>
      </c>
      <c r="I2368" s="33" t="s">
        <v>6248</v>
      </c>
      <c r="J2368" s="33">
        <v>115970</v>
      </c>
      <c r="K2368" s="33" t="s">
        <v>6327</v>
      </c>
      <c r="L2368" s="33" t="s">
        <v>6328</v>
      </c>
      <c r="M2368" s="33" t="s">
        <v>6329</v>
      </c>
      <c r="N2368" s="44">
        <v>42261810</v>
      </c>
      <c r="O2368" s="33" t="s">
        <v>6348</v>
      </c>
      <c r="P2368" s="33" t="s">
        <v>6349</v>
      </c>
      <c r="Q2368" s="34" t="s">
        <v>1494</v>
      </c>
      <c r="R2368" s="34" t="s">
        <v>1494</v>
      </c>
    </row>
    <row r="2369" spans="1:18" ht="15" customHeight="1" x14ac:dyDescent="0.25">
      <c r="A2369" t="str">
        <f>IFERROR(RANK(B2369,$B:$B,1)+COUNTIF($B$1:B2368,B2369),"")</f>
        <v/>
      </c>
      <c r="B2369" t="str">
        <f>IFERROR(SEARCH(#REF!,Table4[[#This Row],[Commodity Title]],1),"")</f>
        <v/>
      </c>
      <c r="C2369" s="33" t="s">
        <v>1494</v>
      </c>
      <c r="D2369" s="33" t="s">
        <v>1495</v>
      </c>
      <c r="E2369" s="33" t="s">
        <v>1496</v>
      </c>
      <c r="F2369" s="33" t="s">
        <v>1497</v>
      </c>
      <c r="G2369" s="33" t="s">
        <v>6246</v>
      </c>
      <c r="H2369" s="33" t="s">
        <v>6247</v>
      </c>
      <c r="I2369" s="33" t="s">
        <v>6248</v>
      </c>
      <c r="J2369" s="33">
        <v>115971</v>
      </c>
      <c r="K2369" s="33" t="s">
        <v>6350</v>
      </c>
      <c r="L2369" s="33" t="s">
        <v>6351</v>
      </c>
      <c r="M2369" s="33" t="s">
        <v>6352</v>
      </c>
      <c r="N2369" s="44" t="s">
        <v>1494</v>
      </c>
      <c r="O2369" s="33" t="s">
        <v>1494</v>
      </c>
      <c r="P2369" s="33" t="s">
        <v>1494</v>
      </c>
      <c r="Q2369" s="34" t="s">
        <v>1494</v>
      </c>
      <c r="R2369" s="34" t="s">
        <v>1494</v>
      </c>
    </row>
    <row r="2370" spans="1:18" ht="15" customHeight="1" x14ac:dyDescent="0.25">
      <c r="A2370" t="str">
        <f>IFERROR(RANK(B2370,$B:$B,1)+COUNTIF($B$1:B2369,B2370),"")</f>
        <v/>
      </c>
      <c r="B2370" t="str">
        <f>IFERROR(SEARCH(#REF!,Table4[[#This Row],[Commodity Title]],1),"")</f>
        <v/>
      </c>
      <c r="C2370" s="35">
        <v>42261901</v>
      </c>
      <c r="D2370" s="33" t="s">
        <v>1495</v>
      </c>
      <c r="E2370" s="33" t="s">
        <v>1496</v>
      </c>
      <c r="F2370" s="33" t="s">
        <v>1497</v>
      </c>
      <c r="G2370" s="33" t="s">
        <v>6246</v>
      </c>
      <c r="H2370" s="33" t="s">
        <v>6247</v>
      </c>
      <c r="I2370" s="33" t="s">
        <v>6248</v>
      </c>
      <c r="J2370" s="33">
        <v>115972</v>
      </c>
      <c r="K2370" s="33" t="s">
        <v>6350</v>
      </c>
      <c r="L2370" s="33" t="s">
        <v>6351</v>
      </c>
      <c r="M2370" s="33" t="s">
        <v>6352</v>
      </c>
      <c r="N2370" s="44">
        <v>42261901</v>
      </c>
      <c r="O2370" s="33" t="s">
        <v>6353</v>
      </c>
      <c r="P2370" s="33" t="s">
        <v>6354</v>
      </c>
      <c r="Q2370" s="34" t="s">
        <v>1494</v>
      </c>
      <c r="R2370" s="34" t="s">
        <v>1494</v>
      </c>
    </row>
    <row r="2371" spans="1:18" ht="15" customHeight="1" x14ac:dyDescent="0.25">
      <c r="A2371" t="str">
        <f>IFERROR(RANK(B2371,$B:$B,1)+COUNTIF($B$1:B2370,B2371),"")</f>
        <v/>
      </c>
      <c r="B2371" t="str">
        <f>IFERROR(SEARCH(#REF!,Table4[[#This Row],[Commodity Title]],1),"")</f>
        <v/>
      </c>
      <c r="C2371" s="35">
        <v>42261902</v>
      </c>
      <c r="D2371" s="33" t="s">
        <v>1495</v>
      </c>
      <c r="E2371" s="33" t="s">
        <v>1496</v>
      </c>
      <c r="F2371" s="33" t="s">
        <v>1497</v>
      </c>
      <c r="G2371" s="33" t="s">
        <v>6246</v>
      </c>
      <c r="H2371" s="33" t="s">
        <v>6247</v>
      </c>
      <c r="I2371" s="33" t="s">
        <v>6248</v>
      </c>
      <c r="J2371" s="33">
        <v>115973</v>
      </c>
      <c r="K2371" s="33" t="s">
        <v>6350</v>
      </c>
      <c r="L2371" s="33" t="s">
        <v>6351</v>
      </c>
      <c r="M2371" s="33" t="s">
        <v>6352</v>
      </c>
      <c r="N2371" s="44">
        <v>42261902</v>
      </c>
      <c r="O2371" s="33" t="s">
        <v>6355</v>
      </c>
      <c r="P2371" s="33" t="s">
        <v>6356</v>
      </c>
      <c r="Q2371" s="34" t="s">
        <v>1494</v>
      </c>
      <c r="R2371" s="34" t="s">
        <v>1494</v>
      </c>
    </row>
    <row r="2372" spans="1:18" ht="15" customHeight="1" x14ac:dyDescent="0.25">
      <c r="A2372" t="str">
        <f>IFERROR(RANK(B2372,$B:$B,1)+COUNTIF($B$1:B2371,B2372),"")</f>
        <v/>
      </c>
      <c r="B2372" t="str">
        <f>IFERROR(SEARCH(#REF!,Table4[[#This Row],[Commodity Title]],1),"")</f>
        <v/>
      </c>
      <c r="C2372" s="35">
        <v>42261903</v>
      </c>
      <c r="D2372" s="33" t="s">
        <v>1495</v>
      </c>
      <c r="E2372" s="33" t="s">
        <v>1496</v>
      </c>
      <c r="F2372" s="33" t="s">
        <v>1497</v>
      </c>
      <c r="G2372" s="33" t="s">
        <v>6246</v>
      </c>
      <c r="H2372" s="33" t="s">
        <v>6247</v>
      </c>
      <c r="I2372" s="33" t="s">
        <v>6248</v>
      </c>
      <c r="J2372" s="33">
        <v>115974</v>
      </c>
      <c r="K2372" s="33" t="s">
        <v>6350</v>
      </c>
      <c r="L2372" s="33" t="s">
        <v>6351</v>
      </c>
      <c r="M2372" s="33" t="s">
        <v>6352</v>
      </c>
      <c r="N2372" s="44">
        <v>42261903</v>
      </c>
      <c r="O2372" s="33" t="s">
        <v>6357</v>
      </c>
      <c r="P2372" s="33" t="s">
        <v>6358</v>
      </c>
      <c r="Q2372" s="34" t="s">
        <v>1494</v>
      </c>
      <c r="R2372" s="34" t="s">
        <v>1494</v>
      </c>
    </row>
    <row r="2373" spans="1:18" ht="15" customHeight="1" x14ac:dyDescent="0.25">
      <c r="A2373" t="str">
        <f>IFERROR(RANK(B2373,$B:$B,1)+COUNTIF($B$1:B2372,B2373),"")</f>
        <v/>
      </c>
      <c r="B2373" t="str">
        <f>IFERROR(SEARCH(#REF!,Table4[[#This Row],[Commodity Title]],1),"")</f>
        <v/>
      </c>
      <c r="C2373" s="35">
        <v>42261904</v>
      </c>
      <c r="D2373" s="33" t="s">
        <v>1495</v>
      </c>
      <c r="E2373" s="33" t="s">
        <v>1496</v>
      </c>
      <c r="F2373" s="33" t="s">
        <v>1497</v>
      </c>
      <c r="G2373" s="33" t="s">
        <v>6246</v>
      </c>
      <c r="H2373" s="33" t="s">
        <v>6247</v>
      </c>
      <c r="I2373" s="33" t="s">
        <v>6248</v>
      </c>
      <c r="J2373" s="33">
        <v>115975</v>
      </c>
      <c r="K2373" s="33" t="s">
        <v>6350</v>
      </c>
      <c r="L2373" s="33" t="s">
        <v>6351</v>
      </c>
      <c r="M2373" s="33" t="s">
        <v>6352</v>
      </c>
      <c r="N2373" s="44">
        <v>42261904</v>
      </c>
      <c r="O2373" s="33" t="s">
        <v>6359</v>
      </c>
      <c r="P2373" s="33" t="s">
        <v>6360</v>
      </c>
      <c r="Q2373" s="34" t="s">
        <v>1494</v>
      </c>
      <c r="R2373" s="34" t="s">
        <v>1494</v>
      </c>
    </row>
    <row r="2374" spans="1:18" ht="15" customHeight="1" x14ac:dyDescent="0.25">
      <c r="A2374" t="str">
        <f>IFERROR(RANK(B2374,$B:$B,1)+COUNTIF($B$1:B2373,B2374),"")</f>
        <v/>
      </c>
      <c r="B2374" t="str">
        <f>IFERROR(SEARCH(#REF!,Table4[[#This Row],[Commodity Title]],1),"")</f>
        <v/>
      </c>
      <c r="C2374" s="33" t="s">
        <v>1494</v>
      </c>
      <c r="D2374" s="33" t="s">
        <v>1495</v>
      </c>
      <c r="E2374" s="33" t="s">
        <v>1496</v>
      </c>
      <c r="F2374" s="33" t="s">
        <v>1497</v>
      </c>
      <c r="G2374" s="33" t="s">
        <v>6246</v>
      </c>
      <c r="H2374" s="33" t="s">
        <v>6247</v>
      </c>
      <c r="I2374" s="33" t="s">
        <v>6248</v>
      </c>
      <c r="J2374" s="33">
        <v>115976</v>
      </c>
      <c r="K2374" s="33" t="s">
        <v>6361</v>
      </c>
      <c r="L2374" s="33" t="s">
        <v>6362</v>
      </c>
      <c r="M2374" s="33" t="s">
        <v>6363</v>
      </c>
      <c r="N2374" s="44" t="s">
        <v>1494</v>
      </c>
      <c r="O2374" s="33" t="s">
        <v>1494</v>
      </c>
      <c r="P2374" s="33" t="s">
        <v>1494</v>
      </c>
      <c r="Q2374" s="34" t="s">
        <v>1494</v>
      </c>
      <c r="R2374" s="34" t="s">
        <v>1494</v>
      </c>
    </row>
    <row r="2375" spans="1:18" ht="15" customHeight="1" x14ac:dyDescent="0.25">
      <c r="A2375" t="str">
        <f>IFERROR(RANK(B2375,$B:$B,1)+COUNTIF($B$1:B2374,B2375),"")</f>
        <v/>
      </c>
      <c r="B2375" t="str">
        <f>IFERROR(SEARCH(#REF!,Table4[[#This Row],[Commodity Title]],1),"")</f>
        <v/>
      </c>
      <c r="C2375" s="35">
        <v>42262001</v>
      </c>
      <c r="D2375" s="33" t="s">
        <v>1495</v>
      </c>
      <c r="E2375" s="33" t="s">
        <v>1496</v>
      </c>
      <c r="F2375" s="33" t="s">
        <v>1497</v>
      </c>
      <c r="G2375" s="33" t="s">
        <v>6246</v>
      </c>
      <c r="H2375" s="33" t="s">
        <v>6247</v>
      </c>
      <c r="I2375" s="33" t="s">
        <v>6248</v>
      </c>
      <c r="J2375" s="33">
        <v>115977</v>
      </c>
      <c r="K2375" s="33" t="s">
        <v>6361</v>
      </c>
      <c r="L2375" s="33" t="s">
        <v>6362</v>
      </c>
      <c r="M2375" s="33" t="s">
        <v>6363</v>
      </c>
      <c r="N2375" s="44">
        <v>42262001</v>
      </c>
      <c r="O2375" s="33" t="s">
        <v>6364</v>
      </c>
      <c r="P2375" s="33" t="s">
        <v>6365</v>
      </c>
      <c r="Q2375" s="34" t="s">
        <v>1494</v>
      </c>
      <c r="R2375" s="34" t="s">
        <v>1494</v>
      </c>
    </row>
    <row r="2376" spans="1:18" ht="15" customHeight="1" x14ac:dyDescent="0.25">
      <c r="A2376" t="str">
        <f>IFERROR(RANK(B2376,$B:$B,1)+COUNTIF($B$1:B2375,B2376),"")</f>
        <v/>
      </c>
      <c r="B2376" t="str">
        <f>IFERROR(SEARCH(#REF!,Table4[[#This Row],[Commodity Title]],1),"")</f>
        <v/>
      </c>
      <c r="C2376" s="35">
        <v>42262002</v>
      </c>
      <c r="D2376" s="33" t="s">
        <v>1495</v>
      </c>
      <c r="E2376" s="33" t="s">
        <v>1496</v>
      </c>
      <c r="F2376" s="33" t="s">
        <v>1497</v>
      </c>
      <c r="G2376" s="33" t="s">
        <v>6246</v>
      </c>
      <c r="H2376" s="33" t="s">
        <v>6247</v>
      </c>
      <c r="I2376" s="33" t="s">
        <v>6248</v>
      </c>
      <c r="J2376" s="33">
        <v>115978</v>
      </c>
      <c r="K2376" s="33" t="s">
        <v>6361</v>
      </c>
      <c r="L2376" s="33" t="s">
        <v>6362</v>
      </c>
      <c r="M2376" s="33" t="s">
        <v>6363</v>
      </c>
      <c r="N2376" s="44">
        <v>42262002</v>
      </c>
      <c r="O2376" s="33" t="s">
        <v>6366</v>
      </c>
      <c r="P2376" s="33" t="s">
        <v>6367</v>
      </c>
      <c r="Q2376" s="34" t="s">
        <v>1494</v>
      </c>
      <c r="R2376" s="34" t="s">
        <v>1494</v>
      </c>
    </row>
    <row r="2377" spans="1:18" ht="15" customHeight="1" x14ac:dyDescent="0.25">
      <c r="A2377" t="str">
        <f>IFERROR(RANK(B2377,$B:$B,1)+COUNTIF($B$1:B2376,B2377),"")</f>
        <v/>
      </c>
      <c r="B2377" t="str">
        <f>IFERROR(SEARCH(#REF!,Table4[[#This Row],[Commodity Title]],1),"")</f>
        <v/>
      </c>
      <c r="C2377" s="35">
        <v>42262003</v>
      </c>
      <c r="D2377" s="33" t="s">
        <v>1495</v>
      </c>
      <c r="E2377" s="33" t="s">
        <v>1496</v>
      </c>
      <c r="F2377" s="33" t="s">
        <v>1497</v>
      </c>
      <c r="G2377" s="33" t="s">
        <v>6246</v>
      </c>
      <c r="H2377" s="33" t="s">
        <v>6247</v>
      </c>
      <c r="I2377" s="33" t="s">
        <v>6248</v>
      </c>
      <c r="J2377" s="33">
        <v>115979</v>
      </c>
      <c r="K2377" s="33" t="s">
        <v>6361</v>
      </c>
      <c r="L2377" s="33" t="s">
        <v>6362</v>
      </c>
      <c r="M2377" s="33" t="s">
        <v>6363</v>
      </c>
      <c r="N2377" s="44">
        <v>42262003</v>
      </c>
      <c r="O2377" s="33" t="s">
        <v>6368</v>
      </c>
      <c r="P2377" s="33" t="s">
        <v>6369</v>
      </c>
      <c r="Q2377" s="34" t="s">
        <v>1494</v>
      </c>
      <c r="R2377" s="34" t="s">
        <v>1494</v>
      </c>
    </row>
    <row r="2378" spans="1:18" ht="15" customHeight="1" x14ac:dyDescent="0.25">
      <c r="A2378" t="str">
        <f>IFERROR(RANK(B2378,$B:$B,1)+COUNTIF($B$1:B2377,B2378),"")</f>
        <v/>
      </c>
      <c r="B2378" t="str">
        <f>IFERROR(SEARCH(#REF!,Table4[[#This Row],[Commodity Title]],1),"")</f>
        <v/>
      </c>
      <c r="C2378" s="35">
        <v>42262004</v>
      </c>
      <c r="D2378" s="33" t="s">
        <v>1495</v>
      </c>
      <c r="E2378" s="33" t="s">
        <v>1496</v>
      </c>
      <c r="F2378" s="33" t="s">
        <v>1497</v>
      </c>
      <c r="G2378" s="33" t="s">
        <v>6246</v>
      </c>
      <c r="H2378" s="33" t="s">
        <v>6247</v>
      </c>
      <c r="I2378" s="33" t="s">
        <v>6248</v>
      </c>
      <c r="J2378" s="33">
        <v>142682</v>
      </c>
      <c r="K2378" s="33" t="s">
        <v>6361</v>
      </c>
      <c r="L2378" s="33" t="s">
        <v>6362</v>
      </c>
      <c r="M2378" s="33" t="s">
        <v>6363</v>
      </c>
      <c r="N2378" s="44">
        <v>42262004</v>
      </c>
      <c r="O2378" s="33" t="s">
        <v>6370</v>
      </c>
      <c r="P2378" s="33" t="s">
        <v>6371</v>
      </c>
      <c r="Q2378" s="34" t="s">
        <v>1494</v>
      </c>
      <c r="R2378" s="34" t="s">
        <v>1494</v>
      </c>
    </row>
    <row r="2379" spans="1:18" ht="15" customHeight="1" x14ac:dyDescent="0.25">
      <c r="A2379" t="str">
        <f>IFERROR(RANK(B2379,$B:$B,1)+COUNTIF($B$1:B2378,B2379),"")</f>
        <v/>
      </c>
      <c r="B2379" t="str">
        <f>IFERROR(SEARCH(#REF!,Table4[[#This Row],[Commodity Title]],1),"")</f>
        <v/>
      </c>
      <c r="C2379" s="35">
        <v>42262005</v>
      </c>
      <c r="D2379" s="33" t="s">
        <v>1495</v>
      </c>
      <c r="E2379" s="33" t="s">
        <v>1496</v>
      </c>
      <c r="F2379" s="33" t="s">
        <v>1497</v>
      </c>
      <c r="G2379" s="33" t="s">
        <v>6246</v>
      </c>
      <c r="H2379" s="33" t="s">
        <v>6247</v>
      </c>
      <c r="I2379" s="33" t="s">
        <v>6248</v>
      </c>
      <c r="J2379" s="33">
        <v>142683</v>
      </c>
      <c r="K2379" s="33" t="s">
        <v>6361</v>
      </c>
      <c r="L2379" s="33" t="s">
        <v>6362</v>
      </c>
      <c r="M2379" s="33" t="s">
        <v>6363</v>
      </c>
      <c r="N2379" s="44">
        <v>42262005</v>
      </c>
      <c r="O2379" s="33" t="s">
        <v>6372</v>
      </c>
      <c r="P2379" s="33" t="s">
        <v>6373</v>
      </c>
      <c r="Q2379" s="34" t="s">
        <v>1494</v>
      </c>
      <c r="R2379" s="34" t="s">
        <v>1494</v>
      </c>
    </row>
    <row r="2380" spans="1:18" ht="15" customHeight="1" x14ac:dyDescent="0.25">
      <c r="A2380" t="str">
        <f>IFERROR(RANK(B2380,$B:$B,1)+COUNTIF($B$1:B2379,B2380),"")</f>
        <v/>
      </c>
      <c r="B2380" t="str">
        <f>IFERROR(SEARCH(#REF!,Table4[[#This Row],[Commodity Title]],1),"")</f>
        <v/>
      </c>
      <c r="C2380" s="35">
        <v>42262006</v>
      </c>
      <c r="D2380" s="33" t="s">
        <v>1495</v>
      </c>
      <c r="E2380" s="33" t="s">
        <v>1496</v>
      </c>
      <c r="F2380" s="33" t="s">
        <v>1497</v>
      </c>
      <c r="G2380" s="33" t="s">
        <v>6246</v>
      </c>
      <c r="H2380" s="33" t="s">
        <v>6247</v>
      </c>
      <c r="I2380" s="33" t="s">
        <v>6248</v>
      </c>
      <c r="J2380" s="33">
        <v>142684</v>
      </c>
      <c r="K2380" s="33" t="s">
        <v>6361</v>
      </c>
      <c r="L2380" s="33" t="s">
        <v>6362</v>
      </c>
      <c r="M2380" s="33" t="s">
        <v>6363</v>
      </c>
      <c r="N2380" s="44">
        <v>42262006</v>
      </c>
      <c r="O2380" s="33" t="s">
        <v>6374</v>
      </c>
      <c r="P2380" s="33" t="s">
        <v>6375</v>
      </c>
      <c r="Q2380" s="34" t="s">
        <v>1494</v>
      </c>
      <c r="R2380" s="34" t="s">
        <v>1494</v>
      </c>
    </row>
    <row r="2381" spans="1:18" ht="15" customHeight="1" x14ac:dyDescent="0.25">
      <c r="A2381" t="str">
        <f>IFERROR(RANK(B2381,$B:$B,1)+COUNTIF($B$1:B2380,B2381),"")</f>
        <v/>
      </c>
      <c r="B2381" t="str">
        <f>IFERROR(SEARCH(#REF!,Table4[[#This Row],[Commodity Title]],1),"")</f>
        <v/>
      </c>
      <c r="C2381" s="35">
        <v>42262007</v>
      </c>
      <c r="D2381" s="33" t="s">
        <v>1495</v>
      </c>
      <c r="E2381" s="33" t="s">
        <v>1496</v>
      </c>
      <c r="F2381" s="33" t="s">
        <v>1497</v>
      </c>
      <c r="G2381" s="33" t="s">
        <v>6246</v>
      </c>
      <c r="H2381" s="33" t="s">
        <v>6247</v>
      </c>
      <c r="I2381" s="33" t="s">
        <v>6248</v>
      </c>
      <c r="J2381" s="33">
        <v>142685</v>
      </c>
      <c r="K2381" s="33" t="s">
        <v>6361</v>
      </c>
      <c r="L2381" s="33" t="s">
        <v>6362</v>
      </c>
      <c r="M2381" s="33" t="s">
        <v>6363</v>
      </c>
      <c r="N2381" s="44">
        <v>42262007</v>
      </c>
      <c r="O2381" s="33" t="s">
        <v>6376</v>
      </c>
      <c r="P2381" s="33" t="s">
        <v>2308</v>
      </c>
      <c r="Q2381" s="34" t="s">
        <v>1494</v>
      </c>
      <c r="R2381" s="34" t="s">
        <v>1494</v>
      </c>
    </row>
    <row r="2382" spans="1:18" ht="15" customHeight="1" x14ac:dyDescent="0.25">
      <c r="A2382" t="str">
        <f>IFERROR(RANK(B2382,$B:$B,1)+COUNTIF($B$1:B2381,B2382),"")</f>
        <v/>
      </c>
      <c r="B2382" t="str">
        <f>IFERROR(SEARCH(#REF!,Table4[[#This Row],[Commodity Title]],1),"")</f>
        <v/>
      </c>
      <c r="C2382" s="35">
        <v>42262008</v>
      </c>
      <c r="D2382" s="33" t="s">
        <v>1495</v>
      </c>
      <c r="E2382" s="33" t="s">
        <v>1496</v>
      </c>
      <c r="F2382" s="33" t="s">
        <v>1497</v>
      </c>
      <c r="G2382" s="33" t="s">
        <v>6246</v>
      </c>
      <c r="H2382" s="33" t="s">
        <v>6247</v>
      </c>
      <c r="I2382" s="33" t="s">
        <v>6248</v>
      </c>
      <c r="J2382" s="33">
        <v>142686</v>
      </c>
      <c r="K2382" s="33" t="s">
        <v>6361</v>
      </c>
      <c r="L2382" s="33" t="s">
        <v>6362</v>
      </c>
      <c r="M2382" s="33" t="s">
        <v>6363</v>
      </c>
      <c r="N2382" s="44">
        <v>42262008</v>
      </c>
      <c r="O2382" s="33" t="s">
        <v>6377</v>
      </c>
      <c r="P2382" s="33" t="s">
        <v>6378</v>
      </c>
      <c r="Q2382" s="34" t="s">
        <v>1494</v>
      </c>
      <c r="R2382" s="34" t="s">
        <v>1494</v>
      </c>
    </row>
    <row r="2383" spans="1:18" ht="15" customHeight="1" x14ac:dyDescent="0.25">
      <c r="A2383" t="str">
        <f>IFERROR(RANK(B2383,$B:$B,1)+COUNTIF($B$1:B2382,B2383),"")</f>
        <v/>
      </c>
      <c r="B2383" t="str">
        <f>IFERROR(SEARCH(#REF!,Table4[[#This Row],[Commodity Title]],1),"")</f>
        <v/>
      </c>
      <c r="C2383" s="35">
        <v>42262009</v>
      </c>
      <c r="D2383" s="33" t="s">
        <v>1495</v>
      </c>
      <c r="E2383" s="33" t="s">
        <v>1496</v>
      </c>
      <c r="F2383" s="33" t="s">
        <v>1497</v>
      </c>
      <c r="G2383" s="33" t="s">
        <v>6246</v>
      </c>
      <c r="H2383" s="33" t="s">
        <v>6247</v>
      </c>
      <c r="I2383" s="33" t="s">
        <v>6248</v>
      </c>
      <c r="J2383" s="33">
        <v>208349</v>
      </c>
      <c r="K2383" s="33" t="s">
        <v>6361</v>
      </c>
      <c r="L2383" s="33" t="s">
        <v>6362</v>
      </c>
      <c r="M2383" s="33" t="s">
        <v>6363</v>
      </c>
      <c r="N2383" s="44">
        <v>42262009</v>
      </c>
      <c r="O2383" s="33" t="s">
        <v>6379</v>
      </c>
      <c r="P2383" s="33" t="s">
        <v>6380</v>
      </c>
      <c r="Q2383" s="34" t="s">
        <v>1494</v>
      </c>
      <c r="R2383" s="34" t="s">
        <v>1494</v>
      </c>
    </row>
    <row r="2384" spans="1:18" ht="15" customHeight="1" x14ac:dyDescent="0.25">
      <c r="A2384" t="str">
        <f>IFERROR(RANK(B2384,$B:$B,1)+COUNTIF($B$1:B2383,B2384),"")</f>
        <v/>
      </c>
      <c r="B2384" t="str">
        <f>IFERROR(SEARCH(#REF!,Table4[[#This Row],[Commodity Title]],1),"")</f>
        <v/>
      </c>
      <c r="C2384" s="33" t="s">
        <v>1494</v>
      </c>
      <c r="D2384" s="33" t="s">
        <v>1495</v>
      </c>
      <c r="E2384" s="33" t="s">
        <v>1496</v>
      </c>
      <c r="F2384" s="33" t="s">
        <v>1497</v>
      </c>
      <c r="G2384" s="33" t="s">
        <v>6246</v>
      </c>
      <c r="H2384" s="33" t="s">
        <v>6247</v>
      </c>
      <c r="I2384" s="33" t="s">
        <v>6248</v>
      </c>
      <c r="J2384" s="33">
        <v>142674</v>
      </c>
      <c r="K2384" s="33" t="s">
        <v>6381</v>
      </c>
      <c r="L2384" s="33" t="s">
        <v>6382</v>
      </c>
      <c r="M2384" s="33" t="s">
        <v>6383</v>
      </c>
      <c r="N2384" s="44" t="s">
        <v>1494</v>
      </c>
      <c r="O2384" s="33" t="s">
        <v>1494</v>
      </c>
      <c r="P2384" s="33" t="s">
        <v>1494</v>
      </c>
      <c r="Q2384" s="34" t="s">
        <v>1494</v>
      </c>
      <c r="R2384" s="34" t="s">
        <v>1494</v>
      </c>
    </row>
    <row r="2385" spans="1:18" ht="15" customHeight="1" x14ac:dyDescent="0.25">
      <c r="A2385" t="str">
        <f>IFERROR(RANK(B2385,$B:$B,1)+COUNTIF($B$1:B2384,B2385),"")</f>
        <v/>
      </c>
      <c r="B2385" t="str">
        <f>IFERROR(SEARCH(#REF!,Table4[[#This Row],[Commodity Title]],1),"")</f>
        <v/>
      </c>
      <c r="C2385" s="35">
        <v>42262101</v>
      </c>
      <c r="D2385" s="33" t="s">
        <v>1495</v>
      </c>
      <c r="E2385" s="33" t="s">
        <v>1496</v>
      </c>
      <c r="F2385" s="33" t="s">
        <v>1497</v>
      </c>
      <c r="G2385" s="33" t="s">
        <v>6246</v>
      </c>
      <c r="H2385" s="33" t="s">
        <v>6247</v>
      </c>
      <c r="I2385" s="33" t="s">
        <v>6248</v>
      </c>
      <c r="J2385" s="33">
        <v>142675</v>
      </c>
      <c r="K2385" s="33" t="s">
        <v>6381</v>
      </c>
      <c r="L2385" s="33" t="s">
        <v>6382</v>
      </c>
      <c r="M2385" s="33" t="s">
        <v>6383</v>
      </c>
      <c r="N2385" s="44">
        <v>42262101</v>
      </c>
      <c r="O2385" s="33" t="s">
        <v>6384</v>
      </c>
      <c r="P2385" s="33" t="s">
        <v>6385</v>
      </c>
      <c r="Q2385" s="34" t="s">
        <v>1494</v>
      </c>
      <c r="R2385" s="34" t="s">
        <v>1494</v>
      </c>
    </row>
    <row r="2386" spans="1:18" ht="15" customHeight="1" x14ac:dyDescent="0.25">
      <c r="A2386" t="str">
        <f>IFERROR(RANK(B2386,$B:$B,1)+COUNTIF($B$1:B2385,B2386),"")</f>
        <v/>
      </c>
      <c r="B2386" t="str">
        <f>IFERROR(SEARCH(#REF!,Table4[[#This Row],[Commodity Title]],1),"")</f>
        <v/>
      </c>
      <c r="C2386" s="35">
        <v>42262102</v>
      </c>
      <c r="D2386" s="33" t="s">
        <v>1495</v>
      </c>
      <c r="E2386" s="33" t="s">
        <v>1496</v>
      </c>
      <c r="F2386" s="33" t="s">
        <v>1497</v>
      </c>
      <c r="G2386" s="33" t="s">
        <v>6246</v>
      </c>
      <c r="H2386" s="33" t="s">
        <v>6247</v>
      </c>
      <c r="I2386" s="33" t="s">
        <v>6248</v>
      </c>
      <c r="J2386" s="33">
        <v>142676</v>
      </c>
      <c r="K2386" s="33" t="s">
        <v>6381</v>
      </c>
      <c r="L2386" s="33" t="s">
        <v>6382</v>
      </c>
      <c r="M2386" s="33" t="s">
        <v>6383</v>
      </c>
      <c r="N2386" s="44">
        <v>42262102</v>
      </c>
      <c r="O2386" s="33" t="s">
        <v>6386</v>
      </c>
      <c r="P2386" s="33" t="s">
        <v>6387</v>
      </c>
      <c r="Q2386" s="34" t="s">
        <v>1494</v>
      </c>
      <c r="R2386" s="34" t="s">
        <v>1494</v>
      </c>
    </row>
    <row r="2387" spans="1:18" ht="15" customHeight="1" x14ac:dyDescent="0.25">
      <c r="A2387" t="str">
        <f>IFERROR(RANK(B2387,$B:$B,1)+COUNTIF($B$1:B2386,B2387),"")</f>
        <v/>
      </c>
      <c r="B2387" t="str">
        <f>IFERROR(SEARCH(#REF!,Table4[[#This Row],[Commodity Title]],1),"")</f>
        <v/>
      </c>
      <c r="C2387" s="35">
        <v>42262103</v>
      </c>
      <c r="D2387" s="33" t="s">
        <v>1495</v>
      </c>
      <c r="E2387" s="33" t="s">
        <v>1496</v>
      </c>
      <c r="F2387" s="33" t="s">
        <v>1497</v>
      </c>
      <c r="G2387" s="33" t="s">
        <v>6246</v>
      </c>
      <c r="H2387" s="33" t="s">
        <v>6247</v>
      </c>
      <c r="I2387" s="33" t="s">
        <v>6248</v>
      </c>
      <c r="J2387" s="33">
        <v>142677</v>
      </c>
      <c r="K2387" s="33" t="s">
        <v>6381</v>
      </c>
      <c r="L2387" s="33" t="s">
        <v>6382</v>
      </c>
      <c r="M2387" s="33" t="s">
        <v>6383</v>
      </c>
      <c r="N2387" s="44">
        <v>42262103</v>
      </c>
      <c r="O2387" s="33" t="s">
        <v>6388</v>
      </c>
      <c r="P2387" s="33" t="s">
        <v>6389</v>
      </c>
      <c r="Q2387" s="34" t="s">
        <v>1494</v>
      </c>
      <c r="R2387" s="34" t="s">
        <v>1494</v>
      </c>
    </row>
    <row r="2388" spans="1:18" ht="15" customHeight="1" x14ac:dyDescent="0.25">
      <c r="A2388" t="str">
        <f>IFERROR(RANK(B2388,$B:$B,1)+COUNTIF($B$1:B2387,B2388),"")</f>
        <v/>
      </c>
      <c r="B2388" t="str">
        <f>IFERROR(SEARCH(#REF!,Table4[[#This Row],[Commodity Title]],1),"")</f>
        <v/>
      </c>
      <c r="C2388" s="35">
        <v>42262104</v>
      </c>
      <c r="D2388" s="33" t="s">
        <v>1495</v>
      </c>
      <c r="E2388" s="33" t="s">
        <v>1496</v>
      </c>
      <c r="F2388" s="33" t="s">
        <v>1497</v>
      </c>
      <c r="G2388" s="33" t="s">
        <v>6246</v>
      </c>
      <c r="H2388" s="33" t="s">
        <v>6247</v>
      </c>
      <c r="I2388" s="33" t="s">
        <v>6248</v>
      </c>
      <c r="J2388" s="33">
        <v>142678</v>
      </c>
      <c r="K2388" s="33" t="s">
        <v>6381</v>
      </c>
      <c r="L2388" s="33" t="s">
        <v>6382</v>
      </c>
      <c r="M2388" s="33" t="s">
        <v>6383</v>
      </c>
      <c r="N2388" s="44">
        <v>42262104</v>
      </c>
      <c r="O2388" s="33" t="s">
        <v>6390</v>
      </c>
      <c r="P2388" s="33" t="s">
        <v>6391</v>
      </c>
      <c r="Q2388" s="34" t="s">
        <v>1494</v>
      </c>
      <c r="R2388" s="34" t="s">
        <v>1494</v>
      </c>
    </row>
    <row r="2389" spans="1:18" ht="15" customHeight="1" x14ac:dyDescent="0.25">
      <c r="A2389" t="str">
        <f>IFERROR(RANK(B2389,$B:$B,1)+COUNTIF($B$1:B2388,B2389),"")</f>
        <v/>
      </c>
      <c r="B2389" t="str">
        <f>IFERROR(SEARCH(#REF!,Table4[[#This Row],[Commodity Title]],1),"")</f>
        <v/>
      </c>
      <c r="C2389" s="35">
        <v>42262105</v>
      </c>
      <c r="D2389" s="33" t="s">
        <v>1495</v>
      </c>
      <c r="E2389" s="33" t="s">
        <v>1496</v>
      </c>
      <c r="F2389" s="33" t="s">
        <v>1497</v>
      </c>
      <c r="G2389" s="33" t="s">
        <v>6246</v>
      </c>
      <c r="H2389" s="33" t="s">
        <v>6247</v>
      </c>
      <c r="I2389" s="33" t="s">
        <v>6248</v>
      </c>
      <c r="J2389" s="33">
        <v>142679</v>
      </c>
      <c r="K2389" s="33" t="s">
        <v>6381</v>
      </c>
      <c r="L2389" s="33" t="s">
        <v>6382</v>
      </c>
      <c r="M2389" s="33" t="s">
        <v>6383</v>
      </c>
      <c r="N2389" s="44">
        <v>42262105</v>
      </c>
      <c r="O2389" s="33" t="s">
        <v>6392</v>
      </c>
      <c r="P2389" s="33" t="s">
        <v>6393</v>
      </c>
      <c r="Q2389" s="34" t="s">
        <v>1494</v>
      </c>
      <c r="R2389" s="34" t="s">
        <v>1494</v>
      </c>
    </row>
    <row r="2390" spans="1:18" ht="15" customHeight="1" x14ac:dyDescent="0.25">
      <c r="A2390" t="str">
        <f>IFERROR(RANK(B2390,$B:$B,1)+COUNTIF($B$1:B2389,B2390),"")</f>
        <v/>
      </c>
      <c r="B2390" t="str">
        <f>IFERROR(SEARCH(#REF!,Table4[[#This Row],[Commodity Title]],1),"")</f>
        <v/>
      </c>
      <c r="C2390" s="33" t="s">
        <v>1494</v>
      </c>
      <c r="D2390" s="33" t="s">
        <v>1495</v>
      </c>
      <c r="E2390" s="33" t="s">
        <v>1496</v>
      </c>
      <c r="F2390" s="33" t="s">
        <v>1497</v>
      </c>
      <c r="G2390" s="33" t="s">
        <v>6394</v>
      </c>
      <c r="H2390" s="33" t="s">
        <v>6395</v>
      </c>
      <c r="I2390" s="33" t="s">
        <v>6396</v>
      </c>
      <c r="J2390" s="33">
        <v>115980</v>
      </c>
      <c r="K2390" s="33" t="s">
        <v>1494</v>
      </c>
      <c r="L2390" s="33" t="s">
        <v>1494</v>
      </c>
      <c r="M2390" s="33" t="s">
        <v>1494</v>
      </c>
      <c r="N2390" s="44" t="s">
        <v>1494</v>
      </c>
      <c r="O2390" s="33" t="s">
        <v>1494</v>
      </c>
      <c r="P2390" s="33" t="s">
        <v>1494</v>
      </c>
      <c r="Q2390" s="34" t="s">
        <v>1494</v>
      </c>
      <c r="R2390" s="34" t="s">
        <v>1494</v>
      </c>
    </row>
    <row r="2391" spans="1:18" ht="15" customHeight="1" x14ac:dyDescent="0.25">
      <c r="A2391" t="str">
        <f>IFERROR(RANK(B2391,$B:$B,1)+COUNTIF($B$1:B2390,B2391),"")</f>
        <v/>
      </c>
      <c r="B2391" t="str">
        <f>IFERROR(SEARCH(#REF!,Table4[[#This Row],[Commodity Title]],1),"")</f>
        <v/>
      </c>
      <c r="C2391" s="33" t="s">
        <v>1494</v>
      </c>
      <c r="D2391" s="33" t="s">
        <v>1495</v>
      </c>
      <c r="E2391" s="33" t="s">
        <v>1496</v>
      </c>
      <c r="F2391" s="33" t="s">
        <v>1497</v>
      </c>
      <c r="G2391" s="33" t="s">
        <v>6394</v>
      </c>
      <c r="H2391" s="33" t="s">
        <v>6395</v>
      </c>
      <c r="I2391" s="33" t="s">
        <v>6396</v>
      </c>
      <c r="J2391" s="33">
        <v>115981</v>
      </c>
      <c r="K2391" s="33" t="s">
        <v>6397</v>
      </c>
      <c r="L2391" s="33" t="s">
        <v>6398</v>
      </c>
      <c r="M2391" s="33" t="s">
        <v>6399</v>
      </c>
      <c r="N2391" s="44" t="s">
        <v>1494</v>
      </c>
      <c r="O2391" s="33" t="s">
        <v>1494</v>
      </c>
      <c r="P2391" s="33" t="s">
        <v>1494</v>
      </c>
      <c r="Q2391" s="34" t="s">
        <v>1494</v>
      </c>
      <c r="R2391" s="34" t="s">
        <v>1494</v>
      </c>
    </row>
    <row r="2392" spans="1:18" ht="15" customHeight="1" x14ac:dyDescent="0.25">
      <c r="A2392" t="str">
        <f>IFERROR(RANK(B2392,$B:$B,1)+COUNTIF($B$1:B2391,B2392),"")</f>
        <v/>
      </c>
      <c r="B2392" t="str">
        <f>IFERROR(SEARCH(#REF!,Table4[[#This Row],[Commodity Title]],1),"")</f>
        <v/>
      </c>
      <c r="C2392" s="35">
        <v>42271501</v>
      </c>
      <c r="D2392" s="33" t="s">
        <v>1495</v>
      </c>
      <c r="E2392" s="33" t="s">
        <v>1496</v>
      </c>
      <c r="F2392" s="33" t="s">
        <v>1497</v>
      </c>
      <c r="G2392" s="33" t="s">
        <v>6394</v>
      </c>
      <c r="H2392" s="33" t="s">
        <v>6395</v>
      </c>
      <c r="I2392" s="33" t="s">
        <v>6396</v>
      </c>
      <c r="J2392" s="33">
        <v>115982</v>
      </c>
      <c r="K2392" s="33" t="s">
        <v>6397</v>
      </c>
      <c r="L2392" s="33" t="s">
        <v>6398</v>
      </c>
      <c r="M2392" s="33" t="s">
        <v>6399</v>
      </c>
      <c r="N2392" s="44">
        <v>42271501</v>
      </c>
      <c r="O2392" s="33" t="s">
        <v>6400</v>
      </c>
      <c r="P2392" s="33" t="s">
        <v>6401</v>
      </c>
      <c r="Q2392" s="34" t="s">
        <v>1494</v>
      </c>
      <c r="R2392" s="34" t="s">
        <v>1494</v>
      </c>
    </row>
    <row r="2393" spans="1:18" ht="15" customHeight="1" x14ac:dyDescent="0.25">
      <c r="A2393" t="str">
        <f>IFERROR(RANK(B2393,$B:$B,1)+COUNTIF($B$1:B2392,B2393),"")</f>
        <v/>
      </c>
      <c r="B2393" t="str">
        <f>IFERROR(SEARCH(#REF!,Table4[[#This Row],[Commodity Title]],1),"")</f>
        <v/>
      </c>
      <c r="C2393" s="35">
        <v>42271502</v>
      </c>
      <c r="D2393" s="33" t="s">
        <v>1495</v>
      </c>
      <c r="E2393" s="33" t="s">
        <v>1496</v>
      </c>
      <c r="F2393" s="33" t="s">
        <v>1497</v>
      </c>
      <c r="G2393" s="33" t="s">
        <v>6394</v>
      </c>
      <c r="H2393" s="33" t="s">
        <v>6395</v>
      </c>
      <c r="I2393" s="33" t="s">
        <v>6396</v>
      </c>
      <c r="J2393" s="33">
        <v>115983</v>
      </c>
      <c r="K2393" s="33" t="s">
        <v>6397</v>
      </c>
      <c r="L2393" s="33" t="s">
        <v>6398</v>
      </c>
      <c r="M2393" s="33" t="s">
        <v>6399</v>
      </c>
      <c r="N2393" s="44">
        <v>42271502</v>
      </c>
      <c r="O2393" s="33" t="s">
        <v>6402</v>
      </c>
      <c r="P2393" s="33" t="s">
        <v>6403</v>
      </c>
      <c r="Q2393" s="34" t="s">
        <v>1494</v>
      </c>
      <c r="R2393" s="34" t="s">
        <v>1494</v>
      </c>
    </row>
    <row r="2394" spans="1:18" ht="15" customHeight="1" x14ac:dyDescent="0.25">
      <c r="A2394" t="str">
        <f>IFERROR(RANK(B2394,$B:$B,1)+COUNTIF($B$1:B2393,B2394),"")</f>
        <v/>
      </c>
      <c r="B2394" t="str">
        <f>IFERROR(SEARCH(#REF!,Table4[[#This Row],[Commodity Title]],1),"")</f>
        <v/>
      </c>
      <c r="C2394" s="35">
        <v>42271503</v>
      </c>
      <c r="D2394" s="33" t="s">
        <v>1495</v>
      </c>
      <c r="E2394" s="33" t="s">
        <v>1496</v>
      </c>
      <c r="F2394" s="33" t="s">
        <v>1497</v>
      </c>
      <c r="G2394" s="33" t="s">
        <v>6394</v>
      </c>
      <c r="H2394" s="33" t="s">
        <v>6395</v>
      </c>
      <c r="I2394" s="33" t="s">
        <v>6396</v>
      </c>
      <c r="J2394" s="33">
        <v>115984</v>
      </c>
      <c r="K2394" s="33" t="s">
        <v>6397</v>
      </c>
      <c r="L2394" s="33" t="s">
        <v>6398</v>
      </c>
      <c r="M2394" s="33" t="s">
        <v>6399</v>
      </c>
      <c r="N2394" s="44">
        <v>42271503</v>
      </c>
      <c r="O2394" s="33" t="s">
        <v>6404</v>
      </c>
      <c r="P2394" s="33" t="s">
        <v>6405</v>
      </c>
      <c r="Q2394" s="34" t="s">
        <v>1494</v>
      </c>
      <c r="R2394" s="34" t="s">
        <v>1494</v>
      </c>
    </row>
    <row r="2395" spans="1:18" ht="15" customHeight="1" x14ac:dyDescent="0.25">
      <c r="A2395" t="str">
        <f>IFERROR(RANK(B2395,$B:$B,1)+COUNTIF($B$1:B2394,B2395),"")</f>
        <v/>
      </c>
      <c r="B2395" t="str">
        <f>IFERROR(SEARCH(#REF!,Table4[[#This Row],[Commodity Title]],1),"")</f>
        <v/>
      </c>
      <c r="C2395" s="35">
        <v>42271504</v>
      </c>
      <c r="D2395" s="33" t="s">
        <v>1495</v>
      </c>
      <c r="E2395" s="33" t="s">
        <v>1496</v>
      </c>
      <c r="F2395" s="33" t="s">
        <v>1497</v>
      </c>
      <c r="G2395" s="33" t="s">
        <v>6394</v>
      </c>
      <c r="H2395" s="33" t="s">
        <v>6395</v>
      </c>
      <c r="I2395" s="33" t="s">
        <v>6396</v>
      </c>
      <c r="J2395" s="33">
        <v>115985</v>
      </c>
      <c r="K2395" s="33" t="s">
        <v>6397</v>
      </c>
      <c r="L2395" s="33" t="s">
        <v>6398</v>
      </c>
      <c r="M2395" s="33" t="s">
        <v>6399</v>
      </c>
      <c r="N2395" s="44">
        <v>42271504</v>
      </c>
      <c r="O2395" s="33" t="s">
        <v>6406</v>
      </c>
      <c r="P2395" s="33" t="s">
        <v>6407</v>
      </c>
      <c r="Q2395" s="34" t="s">
        <v>1494</v>
      </c>
      <c r="R2395" s="34" t="s">
        <v>1494</v>
      </c>
    </row>
    <row r="2396" spans="1:18" ht="15" customHeight="1" x14ac:dyDescent="0.25">
      <c r="A2396" t="str">
        <f>IFERROR(RANK(B2396,$B:$B,1)+COUNTIF($B$1:B2395,B2396),"")</f>
        <v/>
      </c>
      <c r="B2396" t="str">
        <f>IFERROR(SEARCH(#REF!,Table4[[#This Row],[Commodity Title]],1),"")</f>
        <v/>
      </c>
      <c r="C2396" s="35">
        <v>42271505</v>
      </c>
      <c r="D2396" s="33" t="s">
        <v>1495</v>
      </c>
      <c r="E2396" s="33" t="s">
        <v>1496</v>
      </c>
      <c r="F2396" s="33" t="s">
        <v>1497</v>
      </c>
      <c r="G2396" s="33" t="s">
        <v>6394</v>
      </c>
      <c r="H2396" s="33" t="s">
        <v>6395</v>
      </c>
      <c r="I2396" s="33" t="s">
        <v>6396</v>
      </c>
      <c r="J2396" s="33">
        <v>142694</v>
      </c>
      <c r="K2396" s="33" t="s">
        <v>6397</v>
      </c>
      <c r="L2396" s="33" t="s">
        <v>6398</v>
      </c>
      <c r="M2396" s="33" t="s">
        <v>6399</v>
      </c>
      <c r="N2396" s="44">
        <v>42271505</v>
      </c>
      <c r="O2396" s="33" t="s">
        <v>6408</v>
      </c>
      <c r="P2396" s="33" t="s">
        <v>6409</v>
      </c>
      <c r="Q2396" s="34" t="s">
        <v>1494</v>
      </c>
      <c r="R2396" s="34" t="s">
        <v>1494</v>
      </c>
    </row>
    <row r="2397" spans="1:18" ht="15" customHeight="1" x14ac:dyDescent="0.25">
      <c r="A2397" t="str">
        <f>IFERROR(RANK(B2397,$B:$B,1)+COUNTIF($B$1:B2396,B2397),"")</f>
        <v/>
      </c>
      <c r="B2397" t="str">
        <f>IFERROR(SEARCH(#REF!,Table4[[#This Row],[Commodity Title]],1),"")</f>
        <v/>
      </c>
      <c r="C2397" s="35">
        <v>42271507</v>
      </c>
      <c r="D2397" s="33" t="s">
        <v>1495</v>
      </c>
      <c r="E2397" s="33" t="s">
        <v>1496</v>
      </c>
      <c r="F2397" s="33" t="s">
        <v>1497</v>
      </c>
      <c r="G2397" s="33" t="s">
        <v>6394</v>
      </c>
      <c r="H2397" s="33" t="s">
        <v>6395</v>
      </c>
      <c r="I2397" s="33" t="s">
        <v>6396</v>
      </c>
      <c r="J2397" s="33">
        <v>202976</v>
      </c>
      <c r="K2397" s="33" t="s">
        <v>6397</v>
      </c>
      <c r="L2397" s="33" t="s">
        <v>6398</v>
      </c>
      <c r="M2397" s="33" t="s">
        <v>6399</v>
      </c>
      <c r="N2397" s="44">
        <v>42271507</v>
      </c>
      <c r="O2397" s="33" t="s">
        <v>6410</v>
      </c>
      <c r="P2397" s="33" t="s">
        <v>6411</v>
      </c>
      <c r="Q2397" s="34" t="s">
        <v>1494</v>
      </c>
      <c r="R2397" s="34" t="s">
        <v>1494</v>
      </c>
    </row>
    <row r="2398" spans="1:18" ht="15" customHeight="1" x14ac:dyDescent="0.25">
      <c r="A2398" t="str">
        <f>IFERROR(RANK(B2398,$B:$B,1)+COUNTIF($B$1:B2397,B2398),"")</f>
        <v/>
      </c>
      <c r="B2398" t="str">
        <f>IFERROR(SEARCH(#REF!,Table4[[#This Row],[Commodity Title]],1),"")</f>
        <v/>
      </c>
      <c r="C2398" s="35">
        <v>42271508</v>
      </c>
      <c r="D2398" s="33" t="s">
        <v>1495</v>
      </c>
      <c r="E2398" s="33" t="s">
        <v>1496</v>
      </c>
      <c r="F2398" s="33" t="s">
        <v>1497</v>
      </c>
      <c r="G2398" s="33" t="s">
        <v>6394</v>
      </c>
      <c r="H2398" s="33" t="s">
        <v>6395</v>
      </c>
      <c r="I2398" s="33" t="s">
        <v>6396</v>
      </c>
      <c r="J2398" s="33">
        <v>202977</v>
      </c>
      <c r="K2398" s="33" t="s">
        <v>6397</v>
      </c>
      <c r="L2398" s="33" t="s">
        <v>6398</v>
      </c>
      <c r="M2398" s="33" t="s">
        <v>6399</v>
      </c>
      <c r="N2398" s="44">
        <v>42271508</v>
      </c>
      <c r="O2398" s="33" t="s">
        <v>6412</v>
      </c>
      <c r="P2398" s="33" t="s">
        <v>6413</v>
      </c>
      <c r="Q2398" s="34" t="s">
        <v>1494</v>
      </c>
      <c r="R2398" s="34" t="s">
        <v>1494</v>
      </c>
    </row>
    <row r="2399" spans="1:18" ht="15" customHeight="1" x14ac:dyDescent="0.25">
      <c r="A2399" t="str">
        <f>IFERROR(RANK(B2399,$B:$B,1)+COUNTIF($B$1:B2398,B2399),"")</f>
        <v/>
      </c>
      <c r="B2399" t="str">
        <f>IFERROR(SEARCH(#REF!,Table4[[#This Row],[Commodity Title]],1),"")</f>
        <v/>
      </c>
      <c r="C2399" s="35">
        <v>42271509</v>
      </c>
      <c r="D2399" s="33" t="s">
        <v>1495</v>
      </c>
      <c r="E2399" s="33" t="s">
        <v>1496</v>
      </c>
      <c r="F2399" s="33" t="s">
        <v>1497</v>
      </c>
      <c r="G2399" s="33" t="s">
        <v>6394</v>
      </c>
      <c r="H2399" s="33" t="s">
        <v>6395</v>
      </c>
      <c r="I2399" s="33" t="s">
        <v>6396</v>
      </c>
      <c r="J2399" s="33">
        <v>202978</v>
      </c>
      <c r="K2399" s="33" t="s">
        <v>6397</v>
      </c>
      <c r="L2399" s="33" t="s">
        <v>6398</v>
      </c>
      <c r="M2399" s="33" t="s">
        <v>6399</v>
      </c>
      <c r="N2399" s="44">
        <v>42271509</v>
      </c>
      <c r="O2399" s="33" t="s">
        <v>6414</v>
      </c>
      <c r="P2399" s="33" t="s">
        <v>6415</v>
      </c>
      <c r="Q2399" s="34" t="s">
        <v>1494</v>
      </c>
      <c r="R2399" s="34" t="s">
        <v>1494</v>
      </c>
    </row>
    <row r="2400" spans="1:18" ht="15" customHeight="1" x14ac:dyDescent="0.25">
      <c r="A2400" t="str">
        <f>IFERROR(RANK(B2400,$B:$B,1)+COUNTIF($B$1:B2399,B2400),"")</f>
        <v/>
      </c>
      <c r="B2400" t="str">
        <f>IFERROR(SEARCH(#REF!,Table4[[#This Row],[Commodity Title]],1),"")</f>
        <v/>
      </c>
      <c r="C2400" s="35">
        <v>42271510</v>
      </c>
      <c r="D2400" s="33" t="s">
        <v>1495</v>
      </c>
      <c r="E2400" s="33" t="s">
        <v>1496</v>
      </c>
      <c r="F2400" s="33" t="s">
        <v>1497</v>
      </c>
      <c r="G2400" s="33" t="s">
        <v>6394</v>
      </c>
      <c r="H2400" s="33" t="s">
        <v>6395</v>
      </c>
      <c r="I2400" s="33" t="s">
        <v>6396</v>
      </c>
      <c r="J2400" s="33">
        <v>202979</v>
      </c>
      <c r="K2400" s="33" t="s">
        <v>6397</v>
      </c>
      <c r="L2400" s="33" t="s">
        <v>6398</v>
      </c>
      <c r="M2400" s="33" t="s">
        <v>6399</v>
      </c>
      <c r="N2400" s="44">
        <v>42271510</v>
      </c>
      <c r="O2400" s="33" t="s">
        <v>6416</v>
      </c>
      <c r="P2400" s="33" t="s">
        <v>6417</v>
      </c>
      <c r="Q2400" s="34" t="s">
        <v>1494</v>
      </c>
      <c r="R2400" s="34" t="s">
        <v>1494</v>
      </c>
    </row>
    <row r="2401" spans="1:18" ht="15" customHeight="1" x14ac:dyDescent="0.25">
      <c r="A2401" t="str">
        <f>IFERROR(RANK(B2401,$B:$B,1)+COUNTIF($B$1:B2400,B2401),"")</f>
        <v/>
      </c>
      <c r="B2401" t="str">
        <f>IFERROR(SEARCH(#REF!,Table4[[#This Row],[Commodity Title]],1),"")</f>
        <v/>
      </c>
      <c r="C2401" s="35">
        <v>42271511</v>
      </c>
      <c r="D2401" s="33" t="s">
        <v>1495</v>
      </c>
      <c r="E2401" s="33" t="s">
        <v>1496</v>
      </c>
      <c r="F2401" s="33" t="s">
        <v>1497</v>
      </c>
      <c r="G2401" s="33" t="s">
        <v>6394</v>
      </c>
      <c r="H2401" s="33" t="s">
        <v>6395</v>
      </c>
      <c r="I2401" s="33" t="s">
        <v>6396</v>
      </c>
      <c r="J2401" s="33">
        <v>202980</v>
      </c>
      <c r="K2401" s="33" t="s">
        <v>6397</v>
      </c>
      <c r="L2401" s="33" t="s">
        <v>6398</v>
      </c>
      <c r="M2401" s="33" t="s">
        <v>6399</v>
      </c>
      <c r="N2401" s="44">
        <v>42271511</v>
      </c>
      <c r="O2401" s="33" t="s">
        <v>6418</v>
      </c>
      <c r="P2401" s="33" t="s">
        <v>6419</v>
      </c>
      <c r="Q2401" s="34" t="s">
        <v>1494</v>
      </c>
      <c r="R2401" s="34" t="s">
        <v>1494</v>
      </c>
    </row>
    <row r="2402" spans="1:18" ht="15" customHeight="1" x14ac:dyDescent="0.25">
      <c r="A2402" t="str">
        <f>IFERROR(RANK(B2402,$B:$B,1)+COUNTIF($B$1:B2401,B2402),"")</f>
        <v/>
      </c>
      <c r="B2402" t="str">
        <f>IFERROR(SEARCH(#REF!,Table4[[#This Row],[Commodity Title]],1),"")</f>
        <v/>
      </c>
      <c r="C2402" s="35">
        <v>42271512</v>
      </c>
      <c r="D2402" s="33" t="s">
        <v>1495</v>
      </c>
      <c r="E2402" s="33" t="s">
        <v>1496</v>
      </c>
      <c r="F2402" s="33" t="s">
        <v>1497</v>
      </c>
      <c r="G2402" s="33" t="s">
        <v>6394</v>
      </c>
      <c r="H2402" s="33" t="s">
        <v>6395</v>
      </c>
      <c r="I2402" s="33" t="s">
        <v>6396</v>
      </c>
      <c r="J2402" s="33">
        <v>202981</v>
      </c>
      <c r="K2402" s="33" t="s">
        <v>6397</v>
      </c>
      <c r="L2402" s="33" t="s">
        <v>6398</v>
      </c>
      <c r="M2402" s="33" t="s">
        <v>6399</v>
      </c>
      <c r="N2402" s="44">
        <v>42271512</v>
      </c>
      <c r="O2402" s="33" t="s">
        <v>6420</v>
      </c>
      <c r="P2402" s="33" t="s">
        <v>6421</v>
      </c>
      <c r="Q2402" s="34" t="s">
        <v>1494</v>
      </c>
      <c r="R2402" s="34" t="s">
        <v>1494</v>
      </c>
    </row>
    <row r="2403" spans="1:18" ht="15" customHeight="1" x14ac:dyDescent="0.25">
      <c r="A2403" t="str">
        <f>IFERROR(RANK(B2403,$B:$B,1)+COUNTIF($B$1:B2402,B2403),"")</f>
        <v/>
      </c>
      <c r="B2403" t="str">
        <f>IFERROR(SEARCH(#REF!,Table4[[#This Row],[Commodity Title]],1),"")</f>
        <v/>
      </c>
      <c r="C2403" s="35">
        <v>42271513</v>
      </c>
      <c r="D2403" s="33" t="s">
        <v>1495</v>
      </c>
      <c r="E2403" s="33" t="s">
        <v>1496</v>
      </c>
      <c r="F2403" s="33" t="s">
        <v>1497</v>
      </c>
      <c r="G2403" s="33" t="s">
        <v>6394</v>
      </c>
      <c r="H2403" s="33" t="s">
        <v>6395</v>
      </c>
      <c r="I2403" s="33" t="s">
        <v>6396</v>
      </c>
      <c r="J2403" s="33">
        <v>202982</v>
      </c>
      <c r="K2403" s="33" t="s">
        <v>6397</v>
      </c>
      <c r="L2403" s="33" t="s">
        <v>6398</v>
      </c>
      <c r="M2403" s="33" t="s">
        <v>6399</v>
      </c>
      <c r="N2403" s="44">
        <v>42271513</v>
      </c>
      <c r="O2403" s="33" t="s">
        <v>6422</v>
      </c>
      <c r="P2403" s="33" t="s">
        <v>6423</v>
      </c>
      <c r="Q2403" s="34" t="s">
        <v>1494</v>
      </c>
      <c r="R2403" s="34" t="s">
        <v>1494</v>
      </c>
    </row>
    <row r="2404" spans="1:18" ht="15" customHeight="1" x14ac:dyDescent="0.25">
      <c r="A2404" t="str">
        <f>IFERROR(RANK(B2404,$B:$B,1)+COUNTIF($B$1:B2403,B2404),"")</f>
        <v/>
      </c>
      <c r="B2404" t="str">
        <f>IFERROR(SEARCH(#REF!,Table4[[#This Row],[Commodity Title]],1),"")</f>
        <v/>
      </c>
      <c r="C2404" s="35">
        <v>42271514</v>
      </c>
      <c r="D2404" s="33" t="s">
        <v>1495</v>
      </c>
      <c r="E2404" s="33" t="s">
        <v>1496</v>
      </c>
      <c r="F2404" s="33" t="s">
        <v>1497</v>
      </c>
      <c r="G2404" s="33" t="s">
        <v>6394</v>
      </c>
      <c r="H2404" s="33" t="s">
        <v>6395</v>
      </c>
      <c r="I2404" s="33" t="s">
        <v>6396</v>
      </c>
      <c r="J2404" s="33">
        <v>202983</v>
      </c>
      <c r="K2404" s="33" t="s">
        <v>6397</v>
      </c>
      <c r="L2404" s="33" t="s">
        <v>6398</v>
      </c>
      <c r="M2404" s="33" t="s">
        <v>6399</v>
      </c>
      <c r="N2404" s="44">
        <v>42271514</v>
      </c>
      <c r="O2404" s="33" t="s">
        <v>6424</v>
      </c>
      <c r="P2404" s="33" t="s">
        <v>6425</v>
      </c>
      <c r="Q2404" s="34" t="s">
        <v>1494</v>
      </c>
      <c r="R2404" s="34" t="s">
        <v>1494</v>
      </c>
    </row>
    <row r="2405" spans="1:18" ht="15" customHeight="1" x14ac:dyDescent="0.25">
      <c r="A2405" t="str">
        <f>IFERROR(RANK(B2405,$B:$B,1)+COUNTIF($B$1:B2404,B2405),"")</f>
        <v/>
      </c>
      <c r="B2405" t="str">
        <f>IFERROR(SEARCH(#REF!,Table4[[#This Row],[Commodity Title]],1),"")</f>
        <v/>
      </c>
      <c r="C2405" s="35">
        <v>42271515</v>
      </c>
      <c r="D2405" s="33" t="s">
        <v>1495</v>
      </c>
      <c r="E2405" s="33" t="s">
        <v>1496</v>
      </c>
      <c r="F2405" s="33" t="s">
        <v>1497</v>
      </c>
      <c r="G2405" s="33" t="s">
        <v>6394</v>
      </c>
      <c r="H2405" s="33" t="s">
        <v>6395</v>
      </c>
      <c r="I2405" s="33" t="s">
        <v>6396</v>
      </c>
      <c r="J2405" s="33">
        <v>202984</v>
      </c>
      <c r="K2405" s="33" t="s">
        <v>6397</v>
      </c>
      <c r="L2405" s="33" t="s">
        <v>6398</v>
      </c>
      <c r="M2405" s="33" t="s">
        <v>6399</v>
      </c>
      <c r="N2405" s="44">
        <v>42271515</v>
      </c>
      <c r="O2405" s="33" t="s">
        <v>6426</v>
      </c>
      <c r="P2405" s="33" t="s">
        <v>6427</v>
      </c>
      <c r="Q2405" s="34" t="s">
        <v>1494</v>
      </c>
      <c r="R2405" s="34" t="s">
        <v>1494</v>
      </c>
    </row>
    <row r="2406" spans="1:18" ht="15" customHeight="1" x14ac:dyDescent="0.25">
      <c r="A2406" t="str">
        <f>IFERROR(RANK(B2406,$B:$B,1)+COUNTIF($B$1:B2405,B2406),"")</f>
        <v/>
      </c>
      <c r="B2406" t="str">
        <f>IFERROR(SEARCH(#REF!,Table4[[#This Row],[Commodity Title]],1),"")</f>
        <v/>
      </c>
      <c r="C2406" s="33" t="s">
        <v>1494</v>
      </c>
      <c r="D2406" s="33" t="s">
        <v>1495</v>
      </c>
      <c r="E2406" s="33" t="s">
        <v>1496</v>
      </c>
      <c r="F2406" s="33" t="s">
        <v>1497</v>
      </c>
      <c r="G2406" s="33" t="s">
        <v>6394</v>
      </c>
      <c r="H2406" s="33" t="s">
        <v>6395</v>
      </c>
      <c r="I2406" s="33" t="s">
        <v>6396</v>
      </c>
      <c r="J2406" s="33">
        <v>115986</v>
      </c>
      <c r="K2406" s="33" t="s">
        <v>6428</v>
      </c>
      <c r="L2406" s="33" t="s">
        <v>6429</v>
      </c>
      <c r="M2406" s="33" t="s">
        <v>6430</v>
      </c>
      <c r="N2406" s="44" t="s">
        <v>1494</v>
      </c>
      <c r="O2406" s="33" t="s">
        <v>1494</v>
      </c>
      <c r="P2406" s="33" t="s">
        <v>1494</v>
      </c>
      <c r="Q2406" s="34" t="s">
        <v>1494</v>
      </c>
      <c r="R2406" s="34" t="s">
        <v>1494</v>
      </c>
    </row>
    <row r="2407" spans="1:18" ht="15" customHeight="1" x14ac:dyDescent="0.25">
      <c r="A2407" t="str">
        <f>IFERROR(RANK(B2407,$B:$B,1)+COUNTIF($B$1:B2406,B2407),"")</f>
        <v/>
      </c>
      <c r="B2407" t="str">
        <f>IFERROR(SEARCH(#REF!,Table4[[#This Row],[Commodity Title]],1),"")</f>
        <v/>
      </c>
      <c r="C2407" s="35">
        <v>42271602</v>
      </c>
      <c r="D2407" s="33" t="s">
        <v>1495</v>
      </c>
      <c r="E2407" s="33" t="s">
        <v>1496</v>
      </c>
      <c r="F2407" s="33" t="s">
        <v>1497</v>
      </c>
      <c r="G2407" s="33" t="s">
        <v>6394</v>
      </c>
      <c r="H2407" s="33" t="s">
        <v>6395</v>
      </c>
      <c r="I2407" s="33" t="s">
        <v>6396</v>
      </c>
      <c r="J2407" s="33">
        <v>104491</v>
      </c>
      <c r="K2407" s="33" t="s">
        <v>6428</v>
      </c>
      <c r="L2407" s="33" t="s">
        <v>6429</v>
      </c>
      <c r="M2407" s="33" t="s">
        <v>6430</v>
      </c>
      <c r="N2407" s="44">
        <v>42271602</v>
      </c>
      <c r="O2407" s="33" t="s">
        <v>6431</v>
      </c>
      <c r="P2407" s="33" t="s">
        <v>6432</v>
      </c>
      <c r="Q2407" s="34" t="s">
        <v>1494</v>
      </c>
      <c r="R2407" s="34" t="s">
        <v>1494</v>
      </c>
    </row>
    <row r="2408" spans="1:18" ht="15" customHeight="1" x14ac:dyDescent="0.25">
      <c r="A2408" t="str">
        <f>IFERROR(RANK(B2408,$B:$B,1)+COUNTIF($B$1:B2407,B2408),"")</f>
        <v/>
      </c>
      <c r="B2408" t="str">
        <f>IFERROR(SEARCH(#REF!,Table4[[#This Row],[Commodity Title]],1),"")</f>
        <v/>
      </c>
      <c r="C2408" s="35">
        <v>42271603</v>
      </c>
      <c r="D2408" s="33" t="s">
        <v>1495</v>
      </c>
      <c r="E2408" s="33" t="s">
        <v>1496</v>
      </c>
      <c r="F2408" s="33" t="s">
        <v>1497</v>
      </c>
      <c r="G2408" s="33" t="s">
        <v>6394</v>
      </c>
      <c r="H2408" s="33" t="s">
        <v>6395</v>
      </c>
      <c r="I2408" s="33" t="s">
        <v>6396</v>
      </c>
      <c r="J2408" s="33">
        <v>115989</v>
      </c>
      <c r="K2408" s="33" t="s">
        <v>6428</v>
      </c>
      <c r="L2408" s="33" t="s">
        <v>6429</v>
      </c>
      <c r="M2408" s="33" t="s">
        <v>6430</v>
      </c>
      <c r="N2408" s="44">
        <v>42271603</v>
      </c>
      <c r="O2408" s="33" t="s">
        <v>6433</v>
      </c>
      <c r="P2408" s="33" t="s">
        <v>6434</v>
      </c>
      <c r="Q2408" s="34" t="s">
        <v>1494</v>
      </c>
      <c r="R2408" s="34" t="s">
        <v>1494</v>
      </c>
    </row>
    <row r="2409" spans="1:18" ht="15" customHeight="1" x14ac:dyDescent="0.25">
      <c r="A2409" t="str">
        <f>IFERROR(RANK(B2409,$B:$B,1)+COUNTIF($B$1:B2408,B2409),"")</f>
        <v/>
      </c>
      <c r="B2409" t="str">
        <f>IFERROR(SEARCH(#REF!,Table4[[#This Row],[Commodity Title]],1),"")</f>
        <v/>
      </c>
      <c r="C2409" s="35">
        <v>42271604</v>
      </c>
      <c r="D2409" s="33" t="s">
        <v>1495</v>
      </c>
      <c r="E2409" s="33" t="s">
        <v>1496</v>
      </c>
      <c r="F2409" s="33" t="s">
        <v>1497</v>
      </c>
      <c r="G2409" s="33" t="s">
        <v>6394</v>
      </c>
      <c r="H2409" s="33" t="s">
        <v>6395</v>
      </c>
      <c r="I2409" s="33" t="s">
        <v>6396</v>
      </c>
      <c r="J2409" s="33">
        <v>115990</v>
      </c>
      <c r="K2409" s="33" t="s">
        <v>6428</v>
      </c>
      <c r="L2409" s="33" t="s">
        <v>6429</v>
      </c>
      <c r="M2409" s="33" t="s">
        <v>6430</v>
      </c>
      <c r="N2409" s="44">
        <v>42271604</v>
      </c>
      <c r="O2409" s="33" t="s">
        <v>6435</v>
      </c>
      <c r="P2409" s="33" t="s">
        <v>6436</v>
      </c>
      <c r="Q2409" s="34" t="s">
        <v>1494</v>
      </c>
      <c r="R2409" s="34" t="s">
        <v>1494</v>
      </c>
    </row>
    <row r="2410" spans="1:18" ht="15" customHeight="1" x14ac:dyDescent="0.25">
      <c r="A2410" t="str">
        <f>IFERROR(RANK(B2410,$B:$B,1)+COUNTIF($B$1:B2409,B2410),"")</f>
        <v/>
      </c>
      <c r="B2410" t="str">
        <f>IFERROR(SEARCH(#REF!,Table4[[#This Row],[Commodity Title]],1),"")</f>
        <v/>
      </c>
      <c r="C2410" s="35">
        <v>42271605</v>
      </c>
      <c r="D2410" s="33" t="s">
        <v>1495</v>
      </c>
      <c r="E2410" s="33" t="s">
        <v>1496</v>
      </c>
      <c r="F2410" s="33" t="s">
        <v>1497</v>
      </c>
      <c r="G2410" s="33" t="s">
        <v>6394</v>
      </c>
      <c r="H2410" s="33" t="s">
        <v>6395</v>
      </c>
      <c r="I2410" s="33" t="s">
        <v>6396</v>
      </c>
      <c r="J2410" s="33">
        <v>115991</v>
      </c>
      <c r="K2410" s="33" t="s">
        <v>6428</v>
      </c>
      <c r="L2410" s="33" t="s">
        <v>6429</v>
      </c>
      <c r="M2410" s="33" t="s">
        <v>6430</v>
      </c>
      <c r="N2410" s="44">
        <v>42271605</v>
      </c>
      <c r="O2410" s="33" t="s">
        <v>6437</v>
      </c>
      <c r="P2410" s="33" t="s">
        <v>6438</v>
      </c>
      <c r="Q2410" s="34" t="s">
        <v>1494</v>
      </c>
      <c r="R2410" s="34" t="s">
        <v>1494</v>
      </c>
    </row>
    <row r="2411" spans="1:18" ht="15" customHeight="1" x14ac:dyDescent="0.25">
      <c r="A2411" t="str">
        <f>IFERROR(RANK(B2411,$B:$B,1)+COUNTIF($B$1:B2410,B2411),"")</f>
        <v/>
      </c>
      <c r="B2411" t="str">
        <f>IFERROR(SEARCH(#REF!,Table4[[#This Row],[Commodity Title]],1),"")</f>
        <v/>
      </c>
      <c r="C2411" s="35">
        <v>42271606</v>
      </c>
      <c r="D2411" s="33" t="s">
        <v>1495</v>
      </c>
      <c r="E2411" s="33" t="s">
        <v>1496</v>
      </c>
      <c r="F2411" s="33" t="s">
        <v>1497</v>
      </c>
      <c r="G2411" s="33" t="s">
        <v>6394</v>
      </c>
      <c r="H2411" s="33" t="s">
        <v>6395</v>
      </c>
      <c r="I2411" s="33" t="s">
        <v>6396</v>
      </c>
      <c r="J2411" s="33">
        <v>115992</v>
      </c>
      <c r="K2411" s="33" t="s">
        <v>6428</v>
      </c>
      <c r="L2411" s="33" t="s">
        <v>6429</v>
      </c>
      <c r="M2411" s="33" t="s">
        <v>6430</v>
      </c>
      <c r="N2411" s="44">
        <v>42271606</v>
      </c>
      <c r="O2411" s="33" t="s">
        <v>6439</v>
      </c>
      <c r="P2411" s="33" t="s">
        <v>6440</v>
      </c>
      <c r="Q2411" s="34" t="s">
        <v>1494</v>
      </c>
      <c r="R2411" s="34" t="s">
        <v>1494</v>
      </c>
    </row>
    <row r="2412" spans="1:18" ht="15" customHeight="1" x14ac:dyDescent="0.25">
      <c r="A2412" t="str">
        <f>IFERROR(RANK(B2412,$B:$B,1)+COUNTIF($B$1:B2411,B2412),"")</f>
        <v/>
      </c>
      <c r="B2412" t="str">
        <f>IFERROR(SEARCH(#REF!,Table4[[#This Row],[Commodity Title]],1),"")</f>
        <v/>
      </c>
      <c r="C2412" s="35">
        <v>42271607</v>
      </c>
      <c r="D2412" s="33" t="s">
        <v>1495</v>
      </c>
      <c r="E2412" s="33" t="s">
        <v>1496</v>
      </c>
      <c r="F2412" s="33" t="s">
        <v>1497</v>
      </c>
      <c r="G2412" s="33" t="s">
        <v>6394</v>
      </c>
      <c r="H2412" s="33" t="s">
        <v>6395</v>
      </c>
      <c r="I2412" s="33" t="s">
        <v>6396</v>
      </c>
      <c r="J2412" s="33">
        <v>115993</v>
      </c>
      <c r="K2412" s="33" t="s">
        <v>6428</v>
      </c>
      <c r="L2412" s="33" t="s">
        <v>6429</v>
      </c>
      <c r="M2412" s="33" t="s">
        <v>6430</v>
      </c>
      <c r="N2412" s="44">
        <v>42271607</v>
      </c>
      <c r="O2412" s="33" t="s">
        <v>6441</v>
      </c>
      <c r="P2412" s="33" t="s">
        <v>6442</v>
      </c>
      <c r="Q2412" s="34" t="s">
        <v>1494</v>
      </c>
      <c r="R2412" s="34" t="s">
        <v>1494</v>
      </c>
    </row>
    <row r="2413" spans="1:18" ht="15" customHeight="1" x14ac:dyDescent="0.25">
      <c r="A2413" t="str">
        <f>IFERROR(RANK(B2413,$B:$B,1)+COUNTIF($B$1:B2412,B2413),"")</f>
        <v/>
      </c>
      <c r="B2413" t="str">
        <f>IFERROR(SEARCH(#REF!,Table4[[#This Row],[Commodity Title]],1),"")</f>
        <v/>
      </c>
      <c r="C2413" s="35">
        <v>42271608</v>
      </c>
      <c r="D2413" s="33" t="s">
        <v>1495</v>
      </c>
      <c r="E2413" s="33" t="s">
        <v>1496</v>
      </c>
      <c r="F2413" s="33" t="s">
        <v>1497</v>
      </c>
      <c r="G2413" s="33" t="s">
        <v>6394</v>
      </c>
      <c r="H2413" s="33" t="s">
        <v>6395</v>
      </c>
      <c r="I2413" s="33" t="s">
        <v>6396</v>
      </c>
      <c r="J2413" s="33">
        <v>115994</v>
      </c>
      <c r="K2413" s="33" t="s">
        <v>6428</v>
      </c>
      <c r="L2413" s="33" t="s">
        <v>6429</v>
      </c>
      <c r="M2413" s="33" t="s">
        <v>6430</v>
      </c>
      <c r="N2413" s="44">
        <v>42271608</v>
      </c>
      <c r="O2413" s="33" t="s">
        <v>6443</v>
      </c>
      <c r="P2413" s="33" t="s">
        <v>6444</v>
      </c>
      <c r="Q2413" s="34" t="s">
        <v>1494</v>
      </c>
      <c r="R2413" s="34" t="s">
        <v>1494</v>
      </c>
    </row>
    <row r="2414" spans="1:18" ht="15" customHeight="1" x14ac:dyDescent="0.25">
      <c r="A2414" t="str">
        <f>IFERROR(RANK(B2414,$B:$B,1)+COUNTIF($B$1:B2413,B2414),"")</f>
        <v/>
      </c>
      <c r="B2414" t="str">
        <f>IFERROR(SEARCH(#REF!,Table4[[#This Row],[Commodity Title]],1),"")</f>
        <v/>
      </c>
      <c r="C2414" s="35">
        <v>42271609</v>
      </c>
      <c r="D2414" s="33" t="s">
        <v>1495</v>
      </c>
      <c r="E2414" s="33" t="s">
        <v>1496</v>
      </c>
      <c r="F2414" s="33" t="s">
        <v>1497</v>
      </c>
      <c r="G2414" s="33" t="s">
        <v>6394</v>
      </c>
      <c r="H2414" s="33" t="s">
        <v>6395</v>
      </c>
      <c r="I2414" s="33" t="s">
        <v>6396</v>
      </c>
      <c r="J2414" s="33">
        <v>115995</v>
      </c>
      <c r="K2414" s="33" t="s">
        <v>6428</v>
      </c>
      <c r="L2414" s="33" t="s">
        <v>6429</v>
      </c>
      <c r="M2414" s="33" t="s">
        <v>6430</v>
      </c>
      <c r="N2414" s="44">
        <v>42271609</v>
      </c>
      <c r="O2414" s="33" t="s">
        <v>6445</v>
      </c>
      <c r="P2414" s="33" t="s">
        <v>6446</v>
      </c>
      <c r="Q2414" s="34" t="s">
        <v>1494</v>
      </c>
      <c r="R2414" s="34" t="s">
        <v>1494</v>
      </c>
    </row>
    <row r="2415" spans="1:18" ht="15" customHeight="1" x14ac:dyDescent="0.25">
      <c r="A2415" t="str">
        <f>IFERROR(RANK(B2415,$B:$B,1)+COUNTIF($B$1:B2414,B2415),"")</f>
        <v/>
      </c>
      <c r="B2415" t="str">
        <f>IFERROR(SEARCH(#REF!,Table4[[#This Row],[Commodity Title]],1),"")</f>
        <v/>
      </c>
      <c r="C2415" s="35">
        <v>42271610</v>
      </c>
      <c r="D2415" s="33" t="s">
        <v>1495</v>
      </c>
      <c r="E2415" s="33" t="s">
        <v>1496</v>
      </c>
      <c r="F2415" s="33" t="s">
        <v>1497</v>
      </c>
      <c r="G2415" s="33" t="s">
        <v>6394</v>
      </c>
      <c r="H2415" s="33" t="s">
        <v>6395</v>
      </c>
      <c r="I2415" s="33" t="s">
        <v>6396</v>
      </c>
      <c r="J2415" s="33">
        <v>115996</v>
      </c>
      <c r="K2415" s="33" t="s">
        <v>6428</v>
      </c>
      <c r="L2415" s="33" t="s">
        <v>6429</v>
      </c>
      <c r="M2415" s="33" t="s">
        <v>6430</v>
      </c>
      <c r="N2415" s="44">
        <v>42271610</v>
      </c>
      <c r="O2415" s="33" t="s">
        <v>6447</v>
      </c>
      <c r="P2415" s="33" t="s">
        <v>6448</v>
      </c>
      <c r="Q2415" s="34" t="s">
        <v>1494</v>
      </c>
      <c r="R2415" s="34" t="s">
        <v>1494</v>
      </c>
    </row>
    <row r="2416" spans="1:18" ht="15" customHeight="1" x14ac:dyDescent="0.25">
      <c r="A2416" t="str">
        <f>IFERROR(RANK(B2416,$B:$B,1)+COUNTIF($B$1:B2415,B2416),"")</f>
        <v/>
      </c>
      <c r="B2416" t="str">
        <f>IFERROR(SEARCH(#REF!,Table4[[#This Row],[Commodity Title]],1),"")</f>
        <v/>
      </c>
      <c r="C2416" s="35">
        <v>42271611</v>
      </c>
      <c r="D2416" s="33" t="s">
        <v>1495</v>
      </c>
      <c r="E2416" s="33" t="s">
        <v>1496</v>
      </c>
      <c r="F2416" s="33" t="s">
        <v>1497</v>
      </c>
      <c r="G2416" s="33" t="s">
        <v>6394</v>
      </c>
      <c r="H2416" s="33" t="s">
        <v>6395</v>
      </c>
      <c r="I2416" s="33" t="s">
        <v>6396</v>
      </c>
      <c r="J2416" s="33">
        <v>115997</v>
      </c>
      <c r="K2416" s="33" t="s">
        <v>6428</v>
      </c>
      <c r="L2416" s="33" t="s">
        <v>6429</v>
      </c>
      <c r="M2416" s="33" t="s">
        <v>6430</v>
      </c>
      <c r="N2416" s="44">
        <v>42271611</v>
      </c>
      <c r="O2416" s="33" t="s">
        <v>6449</v>
      </c>
      <c r="P2416" s="33" t="s">
        <v>6450</v>
      </c>
      <c r="Q2416" s="34" t="s">
        <v>1494</v>
      </c>
      <c r="R2416" s="34" t="s">
        <v>1494</v>
      </c>
    </row>
    <row r="2417" spans="1:18" ht="15" customHeight="1" x14ac:dyDescent="0.25">
      <c r="A2417" t="str">
        <f>IFERROR(RANK(B2417,$B:$B,1)+COUNTIF($B$1:B2416,B2417),"")</f>
        <v/>
      </c>
      <c r="B2417" t="str">
        <f>IFERROR(SEARCH(#REF!,Table4[[#This Row],[Commodity Title]],1),"")</f>
        <v/>
      </c>
      <c r="C2417" s="35">
        <v>42271612</v>
      </c>
      <c r="D2417" s="33" t="s">
        <v>1495</v>
      </c>
      <c r="E2417" s="33" t="s">
        <v>1496</v>
      </c>
      <c r="F2417" s="33" t="s">
        <v>1497</v>
      </c>
      <c r="G2417" s="33" t="s">
        <v>6394</v>
      </c>
      <c r="H2417" s="33" t="s">
        <v>6395</v>
      </c>
      <c r="I2417" s="33" t="s">
        <v>6396</v>
      </c>
      <c r="J2417" s="33">
        <v>115998</v>
      </c>
      <c r="K2417" s="33" t="s">
        <v>6428</v>
      </c>
      <c r="L2417" s="33" t="s">
        <v>6429</v>
      </c>
      <c r="M2417" s="33" t="s">
        <v>6430</v>
      </c>
      <c r="N2417" s="44">
        <v>42271612</v>
      </c>
      <c r="O2417" s="33" t="s">
        <v>6451</v>
      </c>
      <c r="P2417" s="33" t="s">
        <v>6452</v>
      </c>
      <c r="Q2417" s="34" t="s">
        <v>1494</v>
      </c>
      <c r="R2417" s="34" t="s">
        <v>1494</v>
      </c>
    </row>
    <row r="2418" spans="1:18" ht="15" customHeight="1" x14ac:dyDescent="0.25">
      <c r="A2418" t="str">
        <f>IFERROR(RANK(B2418,$B:$B,1)+COUNTIF($B$1:B2417,B2418),"")</f>
        <v/>
      </c>
      <c r="B2418" t="str">
        <f>IFERROR(SEARCH(#REF!,Table4[[#This Row],[Commodity Title]],1),"")</f>
        <v/>
      </c>
      <c r="C2418" s="35">
        <v>42271613</v>
      </c>
      <c r="D2418" s="33" t="s">
        <v>1495</v>
      </c>
      <c r="E2418" s="33" t="s">
        <v>1496</v>
      </c>
      <c r="F2418" s="33" t="s">
        <v>1497</v>
      </c>
      <c r="G2418" s="33" t="s">
        <v>6394</v>
      </c>
      <c r="H2418" s="33" t="s">
        <v>6395</v>
      </c>
      <c r="I2418" s="33" t="s">
        <v>6396</v>
      </c>
      <c r="J2418" s="33">
        <v>115999</v>
      </c>
      <c r="K2418" s="33" t="s">
        <v>6428</v>
      </c>
      <c r="L2418" s="33" t="s">
        <v>6429</v>
      </c>
      <c r="M2418" s="33" t="s">
        <v>6430</v>
      </c>
      <c r="N2418" s="44">
        <v>42271613</v>
      </c>
      <c r="O2418" s="33" t="s">
        <v>6453</v>
      </c>
      <c r="P2418" s="33" t="s">
        <v>6454</v>
      </c>
      <c r="Q2418" s="34" t="s">
        <v>1494</v>
      </c>
      <c r="R2418" s="34" t="s">
        <v>1494</v>
      </c>
    </row>
    <row r="2419" spans="1:18" ht="15" customHeight="1" x14ac:dyDescent="0.25">
      <c r="A2419" t="str">
        <f>IFERROR(RANK(B2419,$B:$B,1)+COUNTIF($B$1:B2418,B2419),"")</f>
        <v/>
      </c>
      <c r="B2419" t="str">
        <f>IFERROR(SEARCH(#REF!,Table4[[#This Row],[Commodity Title]],1),"")</f>
        <v/>
      </c>
      <c r="C2419" s="35">
        <v>42271614</v>
      </c>
      <c r="D2419" s="33" t="s">
        <v>1495</v>
      </c>
      <c r="E2419" s="33" t="s">
        <v>1496</v>
      </c>
      <c r="F2419" s="33" t="s">
        <v>1497</v>
      </c>
      <c r="G2419" s="33" t="s">
        <v>6394</v>
      </c>
      <c r="H2419" s="33" t="s">
        <v>6395</v>
      </c>
      <c r="I2419" s="33" t="s">
        <v>6396</v>
      </c>
      <c r="J2419" s="33">
        <v>116000</v>
      </c>
      <c r="K2419" s="33" t="s">
        <v>6428</v>
      </c>
      <c r="L2419" s="33" t="s">
        <v>6429</v>
      </c>
      <c r="M2419" s="33" t="s">
        <v>6430</v>
      </c>
      <c r="N2419" s="44">
        <v>42271614</v>
      </c>
      <c r="O2419" s="33" t="s">
        <v>6455</v>
      </c>
      <c r="P2419" s="33" t="s">
        <v>6456</v>
      </c>
      <c r="Q2419" s="34" t="s">
        <v>1494</v>
      </c>
      <c r="R2419" s="34" t="s">
        <v>1494</v>
      </c>
    </row>
    <row r="2420" spans="1:18" ht="15" customHeight="1" x14ac:dyDescent="0.25">
      <c r="A2420" t="str">
        <f>IFERROR(RANK(B2420,$B:$B,1)+COUNTIF($B$1:B2419,B2420),"")</f>
        <v/>
      </c>
      <c r="B2420" t="str">
        <f>IFERROR(SEARCH(#REF!,Table4[[#This Row],[Commodity Title]],1),"")</f>
        <v/>
      </c>
      <c r="C2420" s="35">
        <v>42271615</v>
      </c>
      <c r="D2420" s="33" t="s">
        <v>1495</v>
      </c>
      <c r="E2420" s="33" t="s">
        <v>1496</v>
      </c>
      <c r="F2420" s="33" t="s">
        <v>1497</v>
      </c>
      <c r="G2420" s="33" t="s">
        <v>6394</v>
      </c>
      <c r="H2420" s="33" t="s">
        <v>6395</v>
      </c>
      <c r="I2420" s="33" t="s">
        <v>6396</v>
      </c>
      <c r="J2420" s="33">
        <v>142696</v>
      </c>
      <c r="K2420" s="33" t="s">
        <v>6428</v>
      </c>
      <c r="L2420" s="33" t="s">
        <v>6429</v>
      </c>
      <c r="M2420" s="33" t="s">
        <v>6430</v>
      </c>
      <c r="N2420" s="44">
        <v>42271615</v>
      </c>
      <c r="O2420" s="33" t="s">
        <v>6457</v>
      </c>
      <c r="P2420" s="33" t="s">
        <v>6458</v>
      </c>
      <c r="Q2420" s="34" t="s">
        <v>1494</v>
      </c>
      <c r="R2420" s="34" t="s">
        <v>1494</v>
      </c>
    </row>
    <row r="2421" spans="1:18" ht="15" customHeight="1" x14ac:dyDescent="0.25">
      <c r="A2421" t="str">
        <f>IFERROR(RANK(B2421,$B:$B,1)+COUNTIF($B$1:B2420,B2421),"")</f>
        <v/>
      </c>
      <c r="B2421" t="str">
        <f>IFERROR(SEARCH(#REF!,Table4[[#This Row],[Commodity Title]],1),"")</f>
        <v/>
      </c>
      <c r="C2421" s="35">
        <v>42271616</v>
      </c>
      <c r="D2421" s="33" t="s">
        <v>1495</v>
      </c>
      <c r="E2421" s="33" t="s">
        <v>1496</v>
      </c>
      <c r="F2421" s="33" t="s">
        <v>1497</v>
      </c>
      <c r="G2421" s="33" t="s">
        <v>6394</v>
      </c>
      <c r="H2421" s="33" t="s">
        <v>6395</v>
      </c>
      <c r="I2421" s="33" t="s">
        <v>6396</v>
      </c>
      <c r="J2421" s="33">
        <v>142697</v>
      </c>
      <c r="K2421" s="33" t="s">
        <v>6428</v>
      </c>
      <c r="L2421" s="33" t="s">
        <v>6429</v>
      </c>
      <c r="M2421" s="33" t="s">
        <v>6430</v>
      </c>
      <c r="N2421" s="44">
        <v>42271616</v>
      </c>
      <c r="O2421" s="33" t="s">
        <v>6459</v>
      </c>
      <c r="P2421" s="33" t="s">
        <v>6460</v>
      </c>
      <c r="Q2421" s="34" t="s">
        <v>1494</v>
      </c>
      <c r="R2421" s="34" t="s">
        <v>1494</v>
      </c>
    </row>
    <row r="2422" spans="1:18" ht="15" customHeight="1" x14ac:dyDescent="0.25">
      <c r="A2422" t="str">
        <f>IFERROR(RANK(B2422,$B:$B,1)+COUNTIF($B$1:B2421,B2422),"")</f>
        <v/>
      </c>
      <c r="B2422" t="str">
        <f>IFERROR(SEARCH(#REF!,Table4[[#This Row],[Commodity Title]],1),"")</f>
        <v/>
      </c>
      <c r="C2422" s="35">
        <v>42271617</v>
      </c>
      <c r="D2422" s="33" t="s">
        <v>1495</v>
      </c>
      <c r="E2422" s="33" t="s">
        <v>1496</v>
      </c>
      <c r="F2422" s="33" t="s">
        <v>1497</v>
      </c>
      <c r="G2422" s="33" t="s">
        <v>6394</v>
      </c>
      <c r="H2422" s="33" t="s">
        <v>6395</v>
      </c>
      <c r="I2422" s="33" t="s">
        <v>6396</v>
      </c>
      <c r="J2422" s="33">
        <v>142698</v>
      </c>
      <c r="K2422" s="33" t="s">
        <v>6428</v>
      </c>
      <c r="L2422" s="33" t="s">
        <v>6429</v>
      </c>
      <c r="M2422" s="33" t="s">
        <v>6430</v>
      </c>
      <c r="N2422" s="44">
        <v>42271617</v>
      </c>
      <c r="O2422" s="33" t="s">
        <v>6461</v>
      </c>
      <c r="P2422" s="33" t="s">
        <v>6462</v>
      </c>
      <c r="Q2422" s="34" t="s">
        <v>1494</v>
      </c>
      <c r="R2422" s="34" t="s">
        <v>1494</v>
      </c>
    </row>
    <row r="2423" spans="1:18" ht="15" customHeight="1" x14ac:dyDescent="0.25">
      <c r="A2423" t="str">
        <f>IFERROR(RANK(B2423,$B:$B,1)+COUNTIF($B$1:B2422,B2423),"")</f>
        <v/>
      </c>
      <c r="B2423" t="str">
        <f>IFERROR(SEARCH(#REF!,Table4[[#This Row],[Commodity Title]],1),"")</f>
        <v/>
      </c>
      <c r="C2423" s="35">
        <v>42271618</v>
      </c>
      <c r="D2423" s="33" t="s">
        <v>1495</v>
      </c>
      <c r="E2423" s="33" t="s">
        <v>1496</v>
      </c>
      <c r="F2423" s="33" t="s">
        <v>1497</v>
      </c>
      <c r="G2423" s="33" t="s">
        <v>6394</v>
      </c>
      <c r="H2423" s="33" t="s">
        <v>6395</v>
      </c>
      <c r="I2423" s="33" t="s">
        <v>6396</v>
      </c>
      <c r="J2423" s="33">
        <v>142699</v>
      </c>
      <c r="K2423" s="33" t="s">
        <v>6428</v>
      </c>
      <c r="L2423" s="33" t="s">
        <v>6429</v>
      </c>
      <c r="M2423" s="33" t="s">
        <v>6430</v>
      </c>
      <c r="N2423" s="44">
        <v>42271618</v>
      </c>
      <c r="O2423" s="33" t="s">
        <v>6463</v>
      </c>
      <c r="P2423" s="33" t="s">
        <v>6464</v>
      </c>
      <c r="Q2423" s="34" t="s">
        <v>1494</v>
      </c>
      <c r="R2423" s="34" t="s">
        <v>1494</v>
      </c>
    </row>
    <row r="2424" spans="1:18" ht="15" customHeight="1" x14ac:dyDescent="0.25">
      <c r="A2424" t="str">
        <f>IFERROR(RANK(B2424,$B:$B,1)+COUNTIF($B$1:B2423,B2424),"")</f>
        <v/>
      </c>
      <c r="B2424" t="str">
        <f>IFERROR(SEARCH(#REF!,Table4[[#This Row],[Commodity Title]],1),"")</f>
        <v/>
      </c>
      <c r="C2424" s="35">
        <v>42271619</v>
      </c>
      <c r="D2424" s="33" t="s">
        <v>1495</v>
      </c>
      <c r="E2424" s="33" t="s">
        <v>1496</v>
      </c>
      <c r="F2424" s="33" t="s">
        <v>1497</v>
      </c>
      <c r="G2424" s="33" t="s">
        <v>6394</v>
      </c>
      <c r="H2424" s="33" t="s">
        <v>6395</v>
      </c>
      <c r="I2424" s="33" t="s">
        <v>6396</v>
      </c>
      <c r="J2424" s="33">
        <v>145304</v>
      </c>
      <c r="K2424" s="33" t="s">
        <v>6428</v>
      </c>
      <c r="L2424" s="33" t="s">
        <v>6429</v>
      </c>
      <c r="M2424" s="33" t="s">
        <v>6430</v>
      </c>
      <c r="N2424" s="44">
        <v>42271619</v>
      </c>
      <c r="O2424" s="33" t="s">
        <v>6465</v>
      </c>
      <c r="P2424" s="33" t="s">
        <v>6466</v>
      </c>
      <c r="Q2424" s="34" t="s">
        <v>1494</v>
      </c>
      <c r="R2424" s="34" t="s">
        <v>1494</v>
      </c>
    </row>
    <row r="2425" spans="1:18" ht="15" customHeight="1" x14ac:dyDescent="0.25">
      <c r="A2425" t="str">
        <f>IFERROR(RANK(B2425,$B:$B,1)+COUNTIF($B$1:B2424,B2425),"")</f>
        <v/>
      </c>
      <c r="B2425" t="str">
        <f>IFERROR(SEARCH(#REF!,Table4[[#This Row],[Commodity Title]],1),"")</f>
        <v/>
      </c>
      <c r="C2425" s="35">
        <v>42271620</v>
      </c>
      <c r="D2425" s="33" t="s">
        <v>1495</v>
      </c>
      <c r="E2425" s="33" t="s">
        <v>1496</v>
      </c>
      <c r="F2425" s="33" t="s">
        <v>1497</v>
      </c>
      <c r="G2425" s="33" t="s">
        <v>6394</v>
      </c>
      <c r="H2425" s="33" t="s">
        <v>6395</v>
      </c>
      <c r="I2425" s="33" t="s">
        <v>6396</v>
      </c>
      <c r="J2425" s="33">
        <v>174401</v>
      </c>
      <c r="K2425" s="33" t="s">
        <v>6428</v>
      </c>
      <c r="L2425" s="33" t="s">
        <v>6429</v>
      </c>
      <c r="M2425" s="33" t="s">
        <v>6430</v>
      </c>
      <c r="N2425" s="44">
        <v>42271620</v>
      </c>
      <c r="O2425" s="33" t="s">
        <v>6467</v>
      </c>
      <c r="P2425" s="33" t="s">
        <v>6468</v>
      </c>
      <c r="Q2425" s="34" t="s">
        <v>1494</v>
      </c>
      <c r="R2425" s="34" t="s">
        <v>1494</v>
      </c>
    </row>
    <row r="2426" spans="1:18" ht="15" customHeight="1" x14ac:dyDescent="0.25">
      <c r="A2426" t="str">
        <f>IFERROR(RANK(B2426,$B:$B,1)+COUNTIF($B$1:B2425,B2426),"")</f>
        <v/>
      </c>
      <c r="B2426" t="str">
        <f>IFERROR(SEARCH(#REF!,Table4[[#This Row],[Commodity Title]],1),"")</f>
        <v/>
      </c>
      <c r="C2426" s="35">
        <v>42271621</v>
      </c>
      <c r="D2426" s="33" t="s">
        <v>1495</v>
      </c>
      <c r="E2426" s="33" t="s">
        <v>1496</v>
      </c>
      <c r="F2426" s="33" t="s">
        <v>1497</v>
      </c>
      <c r="G2426" s="33" t="s">
        <v>6394</v>
      </c>
      <c r="H2426" s="33" t="s">
        <v>6395</v>
      </c>
      <c r="I2426" s="33" t="s">
        <v>6396</v>
      </c>
      <c r="J2426" s="33">
        <v>174402</v>
      </c>
      <c r="K2426" s="33" t="s">
        <v>6428</v>
      </c>
      <c r="L2426" s="33" t="s">
        <v>6429</v>
      </c>
      <c r="M2426" s="33" t="s">
        <v>6430</v>
      </c>
      <c r="N2426" s="44">
        <v>42271621</v>
      </c>
      <c r="O2426" s="33" t="s">
        <v>6469</v>
      </c>
      <c r="P2426" s="33" t="s">
        <v>6470</v>
      </c>
      <c r="Q2426" s="34" t="s">
        <v>1494</v>
      </c>
      <c r="R2426" s="34" t="s">
        <v>1494</v>
      </c>
    </row>
    <row r="2427" spans="1:18" ht="15" customHeight="1" x14ac:dyDescent="0.25">
      <c r="A2427" t="str">
        <f>IFERROR(RANK(B2427,$B:$B,1)+COUNTIF($B$1:B2426,B2427),"")</f>
        <v/>
      </c>
      <c r="B2427" t="str">
        <f>IFERROR(SEARCH(#REF!,Table4[[#This Row],[Commodity Title]],1),"")</f>
        <v/>
      </c>
      <c r="C2427" s="35">
        <v>42271622</v>
      </c>
      <c r="D2427" s="33" t="s">
        <v>1495</v>
      </c>
      <c r="E2427" s="33" t="s">
        <v>1496</v>
      </c>
      <c r="F2427" s="33" t="s">
        <v>1497</v>
      </c>
      <c r="G2427" s="33" t="s">
        <v>6394</v>
      </c>
      <c r="H2427" s="33" t="s">
        <v>6395</v>
      </c>
      <c r="I2427" s="33" t="s">
        <v>6396</v>
      </c>
      <c r="J2427" s="33">
        <v>176724</v>
      </c>
      <c r="K2427" s="33" t="s">
        <v>6428</v>
      </c>
      <c r="L2427" s="33" t="s">
        <v>6429</v>
      </c>
      <c r="M2427" s="33" t="s">
        <v>6430</v>
      </c>
      <c r="N2427" s="44">
        <v>42271622</v>
      </c>
      <c r="O2427" s="33" t="s">
        <v>6471</v>
      </c>
      <c r="P2427" s="33" t="s">
        <v>6472</v>
      </c>
      <c r="Q2427" s="34" t="s">
        <v>1494</v>
      </c>
      <c r="R2427" s="34" t="s">
        <v>1494</v>
      </c>
    </row>
    <row r="2428" spans="1:18" ht="15" customHeight="1" x14ac:dyDescent="0.25">
      <c r="A2428" t="str">
        <f>IFERROR(RANK(B2428,$B:$B,1)+COUNTIF($B$1:B2427,B2428),"")</f>
        <v/>
      </c>
      <c r="B2428" t="str">
        <f>IFERROR(SEARCH(#REF!,Table4[[#This Row],[Commodity Title]],1),"")</f>
        <v/>
      </c>
      <c r="C2428" s="35">
        <v>42271623</v>
      </c>
      <c r="D2428" s="33" t="s">
        <v>1495</v>
      </c>
      <c r="E2428" s="33" t="s">
        <v>1496</v>
      </c>
      <c r="F2428" s="33" t="s">
        <v>1497</v>
      </c>
      <c r="G2428" s="33" t="s">
        <v>6394</v>
      </c>
      <c r="H2428" s="33" t="s">
        <v>6395</v>
      </c>
      <c r="I2428" s="33" t="s">
        <v>6396</v>
      </c>
      <c r="J2428" s="33">
        <v>202985</v>
      </c>
      <c r="K2428" s="33" t="s">
        <v>6428</v>
      </c>
      <c r="L2428" s="33" t="s">
        <v>6429</v>
      </c>
      <c r="M2428" s="33" t="s">
        <v>6430</v>
      </c>
      <c r="N2428" s="44">
        <v>42271623</v>
      </c>
      <c r="O2428" s="33" t="s">
        <v>6473</v>
      </c>
      <c r="P2428" s="33" t="s">
        <v>6474</v>
      </c>
      <c r="Q2428" s="34" t="s">
        <v>1494</v>
      </c>
      <c r="R2428" s="34" t="s">
        <v>1494</v>
      </c>
    </row>
    <row r="2429" spans="1:18" ht="15" customHeight="1" x14ac:dyDescent="0.25">
      <c r="A2429" t="str">
        <f>IFERROR(RANK(B2429,$B:$B,1)+COUNTIF($B$1:B2428,B2429),"")</f>
        <v/>
      </c>
      <c r="B2429" t="str">
        <f>IFERROR(SEARCH(#REF!,Table4[[#This Row],[Commodity Title]],1),"")</f>
        <v/>
      </c>
      <c r="C2429" s="35">
        <v>42271624</v>
      </c>
      <c r="D2429" s="33" t="s">
        <v>1495</v>
      </c>
      <c r="E2429" s="33" t="s">
        <v>1496</v>
      </c>
      <c r="F2429" s="33" t="s">
        <v>1497</v>
      </c>
      <c r="G2429" s="33" t="s">
        <v>6394</v>
      </c>
      <c r="H2429" s="33" t="s">
        <v>6395</v>
      </c>
      <c r="I2429" s="33" t="s">
        <v>6396</v>
      </c>
      <c r="J2429" s="33">
        <v>202986</v>
      </c>
      <c r="K2429" s="33" t="s">
        <v>6428</v>
      </c>
      <c r="L2429" s="33" t="s">
        <v>6429</v>
      </c>
      <c r="M2429" s="33" t="s">
        <v>6430</v>
      </c>
      <c r="N2429" s="44">
        <v>42271624</v>
      </c>
      <c r="O2429" s="33" t="s">
        <v>6475</v>
      </c>
      <c r="P2429" s="33" t="s">
        <v>6476</v>
      </c>
      <c r="Q2429" s="34" t="s">
        <v>1494</v>
      </c>
      <c r="R2429" s="34" t="s">
        <v>1494</v>
      </c>
    </row>
    <row r="2430" spans="1:18" ht="15" customHeight="1" x14ac:dyDescent="0.25">
      <c r="A2430" t="str">
        <f>IFERROR(RANK(B2430,$B:$B,1)+COUNTIF($B$1:B2429,B2430),"")</f>
        <v/>
      </c>
      <c r="B2430" t="str">
        <f>IFERROR(SEARCH(#REF!,Table4[[#This Row],[Commodity Title]],1),"")</f>
        <v/>
      </c>
      <c r="C2430" s="35">
        <v>42271625</v>
      </c>
      <c r="D2430" s="33" t="s">
        <v>1495</v>
      </c>
      <c r="E2430" s="33" t="s">
        <v>1496</v>
      </c>
      <c r="F2430" s="33" t="s">
        <v>1497</v>
      </c>
      <c r="G2430" s="33" t="s">
        <v>6394</v>
      </c>
      <c r="H2430" s="33" t="s">
        <v>6395</v>
      </c>
      <c r="I2430" s="33" t="s">
        <v>6396</v>
      </c>
      <c r="J2430" s="33">
        <v>202987</v>
      </c>
      <c r="K2430" s="33" t="s">
        <v>6428</v>
      </c>
      <c r="L2430" s="33" t="s">
        <v>6429</v>
      </c>
      <c r="M2430" s="33" t="s">
        <v>6430</v>
      </c>
      <c r="N2430" s="44">
        <v>42271625</v>
      </c>
      <c r="O2430" s="33" t="s">
        <v>6477</v>
      </c>
      <c r="P2430" s="33" t="s">
        <v>6478</v>
      </c>
      <c r="Q2430" s="34" t="s">
        <v>1494</v>
      </c>
      <c r="R2430" s="34" t="s">
        <v>1494</v>
      </c>
    </row>
    <row r="2431" spans="1:18" ht="15" customHeight="1" x14ac:dyDescent="0.25">
      <c r="A2431" t="str">
        <f>IFERROR(RANK(B2431,$B:$B,1)+COUNTIF($B$1:B2430,B2431),"")</f>
        <v/>
      </c>
      <c r="B2431" t="str">
        <f>IFERROR(SEARCH(#REF!,Table4[[#This Row],[Commodity Title]],1),"")</f>
        <v/>
      </c>
      <c r="C2431" s="35">
        <v>42271626</v>
      </c>
      <c r="D2431" s="33" t="s">
        <v>1495</v>
      </c>
      <c r="E2431" s="33" t="s">
        <v>1496</v>
      </c>
      <c r="F2431" s="33" t="s">
        <v>1497</v>
      </c>
      <c r="G2431" s="33" t="s">
        <v>6394</v>
      </c>
      <c r="H2431" s="33" t="s">
        <v>6395</v>
      </c>
      <c r="I2431" s="33" t="s">
        <v>6396</v>
      </c>
      <c r="J2431" s="33">
        <v>202988</v>
      </c>
      <c r="K2431" s="33" t="s">
        <v>6428</v>
      </c>
      <c r="L2431" s="33" t="s">
        <v>6429</v>
      </c>
      <c r="M2431" s="33" t="s">
        <v>6430</v>
      </c>
      <c r="N2431" s="44">
        <v>42271626</v>
      </c>
      <c r="O2431" s="33" t="s">
        <v>6479</v>
      </c>
      <c r="P2431" s="33" t="s">
        <v>6480</v>
      </c>
      <c r="Q2431" s="34" t="s">
        <v>1494</v>
      </c>
      <c r="R2431" s="34" t="s">
        <v>1494</v>
      </c>
    </row>
    <row r="2432" spans="1:18" ht="15" customHeight="1" x14ac:dyDescent="0.25">
      <c r="A2432" t="str">
        <f>IFERROR(RANK(B2432,$B:$B,1)+COUNTIF($B$1:B2431,B2432),"")</f>
        <v/>
      </c>
      <c r="B2432" t="str">
        <f>IFERROR(SEARCH(#REF!,Table4[[#This Row],[Commodity Title]],1),"")</f>
        <v/>
      </c>
      <c r="C2432" s="35">
        <v>42271627</v>
      </c>
      <c r="D2432" s="33" t="s">
        <v>1495</v>
      </c>
      <c r="E2432" s="33" t="s">
        <v>1496</v>
      </c>
      <c r="F2432" s="33" t="s">
        <v>1497</v>
      </c>
      <c r="G2432" s="33" t="s">
        <v>6394</v>
      </c>
      <c r="H2432" s="33" t="s">
        <v>6395</v>
      </c>
      <c r="I2432" s="33" t="s">
        <v>6396</v>
      </c>
      <c r="J2432" s="33">
        <v>202989</v>
      </c>
      <c r="K2432" s="33" t="s">
        <v>6428</v>
      </c>
      <c r="L2432" s="33" t="s">
        <v>6429</v>
      </c>
      <c r="M2432" s="33" t="s">
        <v>6430</v>
      </c>
      <c r="N2432" s="44">
        <v>42271627</v>
      </c>
      <c r="O2432" s="33" t="s">
        <v>6481</v>
      </c>
      <c r="P2432" s="33" t="s">
        <v>6482</v>
      </c>
      <c r="Q2432" s="34" t="s">
        <v>1494</v>
      </c>
      <c r="R2432" s="34" t="s">
        <v>1494</v>
      </c>
    </row>
    <row r="2433" spans="1:18" ht="15" customHeight="1" x14ac:dyDescent="0.25">
      <c r="A2433" t="str">
        <f>IFERROR(RANK(B2433,$B:$B,1)+COUNTIF($B$1:B2432,B2433),"")</f>
        <v/>
      </c>
      <c r="B2433" t="str">
        <f>IFERROR(SEARCH(#REF!,Table4[[#This Row],[Commodity Title]],1),"")</f>
        <v/>
      </c>
      <c r="C2433" s="35">
        <v>42271628</v>
      </c>
      <c r="D2433" s="33" t="s">
        <v>1495</v>
      </c>
      <c r="E2433" s="33" t="s">
        <v>1496</v>
      </c>
      <c r="F2433" s="33" t="s">
        <v>1497</v>
      </c>
      <c r="G2433" s="33" t="s">
        <v>6394</v>
      </c>
      <c r="H2433" s="33" t="s">
        <v>6395</v>
      </c>
      <c r="I2433" s="33" t="s">
        <v>6396</v>
      </c>
      <c r="J2433" s="33">
        <v>202990</v>
      </c>
      <c r="K2433" s="33" t="s">
        <v>6428</v>
      </c>
      <c r="L2433" s="33" t="s">
        <v>6429</v>
      </c>
      <c r="M2433" s="33" t="s">
        <v>6430</v>
      </c>
      <c r="N2433" s="44">
        <v>42271628</v>
      </c>
      <c r="O2433" s="33" t="s">
        <v>6483</v>
      </c>
      <c r="P2433" s="33" t="s">
        <v>6484</v>
      </c>
      <c r="Q2433" s="34" t="s">
        <v>1494</v>
      </c>
      <c r="R2433" s="34" t="s">
        <v>1494</v>
      </c>
    </row>
    <row r="2434" spans="1:18" ht="15" customHeight="1" x14ac:dyDescent="0.25">
      <c r="A2434" t="str">
        <f>IFERROR(RANK(B2434,$B:$B,1)+COUNTIF($B$1:B2433,B2434),"")</f>
        <v/>
      </c>
      <c r="B2434" t="str">
        <f>IFERROR(SEARCH(#REF!,Table4[[#This Row],[Commodity Title]],1),"")</f>
        <v/>
      </c>
      <c r="C2434" s="35">
        <v>42271629</v>
      </c>
      <c r="D2434" s="33" t="s">
        <v>1495</v>
      </c>
      <c r="E2434" s="33" t="s">
        <v>1496</v>
      </c>
      <c r="F2434" s="33" t="s">
        <v>1497</v>
      </c>
      <c r="G2434" s="33" t="s">
        <v>6394</v>
      </c>
      <c r="H2434" s="33" t="s">
        <v>6395</v>
      </c>
      <c r="I2434" s="33" t="s">
        <v>6396</v>
      </c>
      <c r="J2434" s="33">
        <v>202991</v>
      </c>
      <c r="K2434" s="33" t="s">
        <v>6428</v>
      </c>
      <c r="L2434" s="33" t="s">
        <v>6429</v>
      </c>
      <c r="M2434" s="33" t="s">
        <v>6430</v>
      </c>
      <c r="N2434" s="44">
        <v>42271629</v>
      </c>
      <c r="O2434" s="33" t="s">
        <v>6485</v>
      </c>
      <c r="P2434" s="33" t="s">
        <v>6486</v>
      </c>
      <c r="Q2434" s="34" t="s">
        <v>1494</v>
      </c>
      <c r="R2434" s="34" t="s">
        <v>1494</v>
      </c>
    </row>
    <row r="2435" spans="1:18" ht="15" customHeight="1" x14ac:dyDescent="0.25">
      <c r="A2435" t="str">
        <f>IFERROR(RANK(B2435,$B:$B,1)+COUNTIF($B$1:B2434,B2435),"")</f>
        <v/>
      </c>
      <c r="B2435" t="str">
        <f>IFERROR(SEARCH(#REF!,Table4[[#This Row],[Commodity Title]],1),"")</f>
        <v/>
      </c>
      <c r="C2435" s="35">
        <v>42271630</v>
      </c>
      <c r="D2435" s="33" t="s">
        <v>1495</v>
      </c>
      <c r="E2435" s="33" t="s">
        <v>1496</v>
      </c>
      <c r="F2435" s="33" t="s">
        <v>1497</v>
      </c>
      <c r="G2435" s="33" t="s">
        <v>6394</v>
      </c>
      <c r="H2435" s="33" t="s">
        <v>6395</v>
      </c>
      <c r="I2435" s="33" t="s">
        <v>6396</v>
      </c>
      <c r="J2435" s="33">
        <v>202992</v>
      </c>
      <c r="K2435" s="33" t="s">
        <v>6428</v>
      </c>
      <c r="L2435" s="33" t="s">
        <v>6429</v>
      </c>
      <c r="M2435" s="33" t="s">
        <v>6430</v>
      </c>
      <c r="N2435" s="44">
        <v>42271630</v>
      </c>
      <c r="O2435" s="33" t="s">
        <v>6487</v>
      </c>
      <c r="P2435" s="33" t="s">
        <v>6488</v>
      </c>
      <c r="Q2435" s="34" t="s">
        <v>1494</v>
      </c>
      <c r="R2435" s="34" t="s">
        <v>1494</v>
      </c>
    </row>
    <row r="2436" spans="1:18" ht="15" customHeight="1" x14ac:dyDescent="0.25">
      <c r="A2436" t="str">
        <f>IFERROR(RANK(B2436,$B:$B,1)+COUNTIF($B$1:B2435,B2436),"")</f>
        <v/>
      </c>
      <c r="B2436" t="str">
        <f>IFERROR(SEARCH(#REF!,Table4[[#This Row],[Commodity Title]],1),"")</f>
        <v/>
      </c>
      <c r="C2436" s="35">
        <v>42271631</v>
      </c>
      <c r="D2436" s="33" t="s">
        <v>1495</v>
      </c>
      <c r="E2436" s="33" t="s">
        <v>1496</v>
      </c>
      <c r="F2436" s="33" t="s">
        <v>1497</v>
      </c>
      <c r="G2436" s="33" t="s">
        <v>6394</v>
      </c>
      <c r="H2436" s="33" t="s">
        <v>6395</v>
      </c>
      <c r="I2436" s="33" t="s">
        <v>6396</v>
      </c>
      <c r="J2436" s="33">
        <v>202993</v>
      </c>
      <c r="K2436" s="33" t="s">
        <v>6428</v>
      </c>
      <c r="L2436" s="33" t="s">
        <v>6429</v>
      </c>
      <c r="M2436" s="33" t="s">
        <v>6430</v>
      </c>
      <c r="N2436" s="44">
        <v>42271631</v>
      </c>
      <c r="O2436" s="33" t="s">
        <v>6489</v>
      </c>
      <c r="P2436" s="33" t="s">
        <v>6490</v>
      </c>
      <c r="Q2436" s="34" t="s">
        <v>1494</v>
      </c>
      <c r="R2436" s="34" t="s">
        <v>1494</v>
      </c>
    </row>
    <row r="2437" spans="1:18" ht="15" customHeight="1" x14ac:dyDescent="0.25">
      <c r="A2437" t="str">
        <f>IFERROR(RANK(B2437,$B:$B,1)+COUNTIF($B$1:B2436,B2437),"")</f>
        <v/>
      </c>
      <c r="B2437" t="str">
        <f>IFERROR(SEARCH(#REF!,Table4[[#This Row],[Commodity Title]],1),"")</f>
        <v/>
      </c>
      <c r="C2437" s="35">
        <v>42271632</v>
      </c>
      <c r="D2437" s="33" t="s">
        <v>1495</v>
      </c>
      <c r="E2437" s="33" t="s">
        <v>1496</v>
      </c>
      <c r="F2437" s="33" t="s">
        <v>1497</v>
      </c>
      <c r="G2437" s="33" t="s">
        <v>6394</v>
      </c>
      <c r="H2437" s="33" t="s">
        <v>6395</v>
      </c>
      <c r="I2437" s="33" t="s">
        <v>6396</v>
      </c>
      <c r="J2437" s="33">
        <v>202994</v>
      </c>
      <c r="K2437" s="33" t="s">
        <v>6428</v>
      </c>
      <c r="L2437" s="33" t="s">
        <v>6429</v>
      </c>
      <c r="M2437" s="33" t="s">
        <v>6430</v>
      </c>
      <c r="N2437" s="44">
        <v>42271632</v>
      </c>
      <c r="O2437" s="33" t="s">
        <v>6491</v>
      </c>
      <c r="P2437" s="33" t="s">
        <v>6492</v>
      </c>
      <c r="Q2437" s="34" t="s">
        <v>1494</v>
      </c>
      <c r="R2437" s="34" t="s">
        <v>1494</v>
      </c>
    </row>
    <row r="2438" spans="1:18" ht="15" customHeight="1" x14ac:dyDescent="0.25">
      <c r="A2438" t="str">
        <f>IFERROR(RANK(B2438,$B:$B,1)+COUNTIF($B$1:B2437,B2438),"")</f>
        <v/>
      </c>
      <c r="B2438" t="str">
        <f>IFERROR(SEARCH(#REF!,Table4[[#This Row],[Commodity Title]],1),"")</f>
        <v/>
      </c>
      <c r="C2438" s="35">
        <v>42271633</v>
      </c>
      <c r="D2438" s="33" t="s">
        <v>1495</v>
      </c>
      <c r="E2438" s="33" t="s">
        <v>1496</v>
      </c>
      <c r="F2438" s="33" t="s">
        <v>1497</v>
      </c>
      <c r="G2438" s="33" t="s">
        <v>6394</v>
      </c>
      <c r="H2438" s="33" t="s">
        <v>6395</v>
      </c>
      <c r="I2438" s="33" t="s">
        <v>6396</v>
      </c>
      <c r="J2438" s="33">
        <v>202995</v>
      </c>
      <c r="K2438" s="33" t="s">
        <v>6428</v>
      </c>
      <c r="L2438" s="33" t="s">
        <v>6429</v>
      </c>
      <c r="M2438" s="33" t="s">
        <v>6430</v>
      </c>
      <c r="N2438" s="44">
        <v>42271633</v>
      </c>
      <c r="O2438" s="33" t="s">
        <v>6493</v>
      </c>
      <c r="P2438" s="33" t="s">
        <v>6494</v>
      </c>
      <c r="Q2438" s="34" t="s">
        <v>1494</v>
      </c>
      <c r="R2438" s="34" t="s">
        <v>1494</v>
      </c>
    </row>
    <row r="2439" spans="1:18" ht="15" customHeight="1" x14ac:dyDescent="0.25">
      <c r="A2439" t="str">
        <f>IFERROR(RANK(B2439,$B:$B,1)+COUNTIF($B$1:B2438,B2439),"")</f>
        <v/>
      </c>
      <c r="B2439" t="str">
        <f>IFERROR(SEARCH(#REF!,Table4[[#This Row],[Commodity Title]],1),"")</f>
        <v/>
      </c>
      <c r="C2439" s="35">
        <v>42271634</v>
      </c>
      <c r="D2439" s="33" t="s">
        <v>1495</v>
      </c>
      <c r="E2439" s="33" t="s">
        <v>1496</v>
      </c>
      <c r="F2439" s="33" t="s">
        <v>1497</v>
      </c>
      <c r="G2439" s="33" t="s">
        <v>6394</v>
      </c>
      <c r="H2439" s="33" t="s">
        <v>6395</v>
      </c>
      <c r="I2439" s="33" t="s">
        <v>6396</v>
      </c>
      <c r="J2439" s="33">
        <v>202996</v>
      </c>
      <c r="K2439" s="33" t="s">
        <v>6428</v>
      </c>
      <c r="L2439" s="33" t="s">
        <v>6429</v>
      </c>
      <c r="M2439" s="33" t="s">
        <v>6430</v>
      </c>
      <c r="N2439" s="44">
        <v>42271634</v>
      </c>
      <c r="O2439" s="33" t="s">
        <v>6495</v>
      </c>
      <c r="P2439" s="33" t="s">
        <v>6496</v>
      </c>
      <c r="Q2439" s="34" t="s">
        <v>1494</v>
      </c>
      <c r="R2439" s="34" t="s">
        <v>1494</v>
      </c>
    </row>
    <row r="2440" spans="1:18" ht="15" customHeight="1" x14ac:dyDescent="0.25">
      <c r="A2440" t="str">
        <f>IFERROR(RANK(B2440,$B:$B,1)+COUNTIF($B$1:B2439,B2440),"")</f>
        <v/>
      </c>
      <c r="B2440" t="str">
        <f>IFERROR(SEARCH(#REF!,Table4[[#This Row],[Commodity Title]],1),"")</f>
        <v/>
      </c>
      <c r="C2440" s="35">
        <v>42271635</v>
      </c>
      <c r="D2440" s="33" t="s">
        <v>1495</v>
      </c>
      <c r="E2440" s="33" t="s">
        <v>1496</v>
      </c>
      <c r="F2440" s="33" t="s">
        <v>1497</v>
      </c>
      <c r="G2440" s="33" t="s">
        <v>6394</v>
      </c>
      <c r="H2440" s="33" t="s">
        <v>6395</v>
      </c>
      <c r="I2440" s="33" t="s">
        <v>6396</v>
      </c>
      <c r="J2440" s="33">
        <v>202997</v>
      </c>
      <c r="K2440" s="33" t="s">
        <v>6428</v>
      </c>
      <c r="L2440" s="33" t="s">
        <v>6429</v>
      </c>
      <c r="M2440" s="33" t="s">
        <v>6430</v>
      </c>
      <c r="N2440" s="44">
        <v>42271635</v>
      </c>
      <c r="O2440" s="33" t="s">
        <v>6497</v>
      </c>
      <c r="P2440" s="33" t="s">
        <v>6498</v>
      </c>
      <c r="Q2440" s="34" t="s">
        <v>1494</v>
      </c>
      <c r="R2440" s="34" t="s">
        <v>1494</v>
      </c>
    </row>
    <row r="2441" spans="1:18" ht="15" customHeight="1" x14ac:dyDescent="0.25">
      <c r="A2441" t="str">
        <f>IFERROR(RANK(B2441,$B:$B,1)+COUNTIF($B$1:B2440,B2441),"")</f>
        <v/>
      </c>
      <c r="B2441" t="str">
        <f>IFERROR(SEARCH(#REF!,Table4[[#This Row],[Commodity Title]],1),"")</f>
        <v/>
      </c>
      <c r="C2441" s="35">
        <v>42271636</v>
      </c>
      <c r="D2441" s="33" t="s">
        <v>1495</v>
      </c>
      <c r="E2441" s="33" t="s">
        <v>1496</v>
      </c>
      <c r="F2441" s="33" t="s">
        <v>1497</v>
      </c>
      <c r="G2441" s="33" t="s">
        <v>6394</v>
      </c>
      <c r="H2441" s="33" t="s">
        <v>6395</v>
      </c>
      <c r="I2441" s="33" t="s">
        <v>6396</v>
      </c>
      <c r="J2441" s="33">
        <v>202998</v>
      </c>
      <c r="K2441" s="33" t="s">
        <v>6428</v>
      </c>
      <c r="L2441" s="33" t="s">
        <v>6429</v>
      </c>
      <c r="M2441" s="33" t="s">
        <v>6430</v>
      </c>
      <c r="N2441" s="44">
        <v>42271636</v>
      </c>
      <c r="O2441" s="33" t="s">
        <v>6499</v>
      </c>
      <c r="P2441" s="33" t="s">
        <v>6500</v>
      </c>
      <c r="Q2441" s="34" t="s">
        <v>1494</v>
      </c>
      <c r="R2441" s="34" t="s">
        <v>1494</v>
      </c>
    </row>
    <row r="2442" spans="1:18" ht="15" customHeight="1" x14ac:dyDescent="0.25">
      <c r="A2442" t="str">
        <f>IFERROR(RANK(B2442,$B:$B,1)+COUNTIF($B$1:B2441,B2442),"")</f>
        <v/>
      </c>
      <c r="B2442" t="str">
        <f>IFERROR(SEARCH(#REF!,Table4[[#This Row],[Commodity Title]],1),"")</f>
        <v/>
      </c>
      <c r="C2442" s="35">
        <v>42271637</v>
      </c>
      <c r="D2442" s="33" t="s">
        <v>1495</v>
      </c>
      <c r="E2442" s="33" t="s">
        <v>1496</v>
      </c>
      <c r="F2442" s="33" t="s">
        <v>1497</v>
      </c>
      <c r="G2442" s="33" t="s">
        <v>6394</v>
      </c>
      <c r="H2442" s="33" t="s">
        <v>6395</v>
      </c>
      <c r="I2442" s="33" t="s">
        <v>6396</v>
      </c>
      <c r="J2442" s="33">
        <v>202999</v>
      </c>
      <c r="K2442" s="33" t="s">
        <v>6428</v>
      </c>
      <c r="L2442" s="33" t="s">
        <v>6429</v>
      </c>
      <c r="M2442" s="33" t="s">
        <v>6430</v>
      </c>
      <c r="N2442" s="44">
        <v>42271637</v>
      </c>
      <c r="O2442" s="33" t="s">
        <v>6501</v>
      </c>
      <c r="P2442" s="33" t="s">
        <v>6502</v>
      </c>
      <c r="Q2442" s="34" t="s">
        <v>1494</v>
      </c>
      <c r="R2442" s="34" t="s">
        <v>1494</v>
      </c>
    </row>
    <row r="2443" spans="1:18" ht="15" customHeight="1" x14ac:dyDescent="0.25">
      <c r="A2443" t="str">
        <f>IFERROR(RANK(B2443,$B:$B,1)+COUNTIF($B$1:B2442,B2443),"")</f>
        <v/>
      </c>
      <c r="B2443" t="str">
        <f>IFERROR(SEARCH(#REF!,Table4[[#This Row],[Commodity Title]],1),"")</f>
        <v/>
      </c>
      <c r="C2443" s="35">
        <v>42271638</v>
      </c>
      <c r="D2443" s="33" t="s">
        <v>1495</v>
      </c>
      <c r="E2443" s="33" t="s">
        <v>1496</v>
      </c>
      <c r="F2443" s="33" t="s">
        <v>1497</v>
      </c>
      <c r="G2443" s="33" t="s">
        <v>6394</v>
      </c>
      <c r="H2443" s="33" t="s">
        <v>6395</v>
      </c>
      <c r="I2443" s="33" t="s">
        <v>6396</v>
      </c>
      <c r="J2443" s="33">
        <v>203000</v>
      </c>
      <c r="K2443" s="33" t="s">
        <v>6428</v>
      </c>
      <c r="L2443" s="33" t="s">
        <v>6429</v>
      </c>
      <c r="M2443" s="33" t="s">
        <v>6430</v>
      </c>
      <c r="N2443" s="44">
        <v>42271638</v>
      </c>
      <c r="O2443" s="33" t="s">
        <v>6503</v>
      </c>
      <c r="P2443" s="33" t="s">
        <v>6504</v>
      </c>
      <c r="Q2443" s="34" t="s">
        <v>1494</v>
      </c>
      <c r="R2443" s="34" t="s">
        <v>1494</v>
      </c>
    </row>
    <row r="2444" spans="1:18" ht="15" customHeight="1" x14ac:dyDescent="0.25">
      <c r="A2444" t="str">
        <f>IFERROR(RANK(B2444,$B:$B,1)+COUNTIF($B$1:B2443,B2444),"")</f>
        <v/>
      </c>
      <c r="B2444" t="str">
        <f>IFERROR(SEARCH(#REF!,Table4[[#This Row],[Commodity Title]],1),"")</f>
        <v/>
      </c>
      <c r="C2444" s="35">
        <v>42271639</v>
      </c>
      <c r="D2444" s="33" t="s">
        <v>1495</v>
      </c>
      <c r="E2444" s="33" t="s">
        <v>1496</v>
      </c>
      <c r="F2444" s="33" t="s">
        <v>1497</v>
      </c>
      <c r="G2444" s="33" t="s">
        <v>6394</v>
      </c>
      <c r="H2444" s="33" t="s">
        <v>6395</v>
      </c>
      <c r="I2444" s="33" t="s">
        <v>6396</v>
      </c>
      <c r="J2444" s="33">
        <v>203001</v>
      </c>
      <c r="K2444" s="33" t="s">
        <v>6428</v>
      </c>
      <c r="L2444" s="33" t="s">
        <v>6429</v>
      </c>
      <c r="M2444" s="33" t="s">
        <v>6430</v>
      </c>
      <c r="N2444" s="44">
        <v>42271639</v>
      </c>
      <c r="O2444" s="33" t="s">
        <v>6505</v>
      </c>
      <c r="P2444" s="33" t="s">
        <v>6506</v>
      </c>
      <c r="Q2444" s="34" t="s">
        <v>1494</v>
      </c>
      <c r="R2444" s="34" t="s">
        <v>1494</v>
      </c>
    </row>
    <row r="2445" spans="1:18" ht="15" customHeight="1" x14ac:dyDescent="0.25">
      <c r="A2445" t="str">
        <f>IFERROR(RANK(B2445,$B:$B,1)+COUNTIF($B$1:B2444,B2445),"")</f>
        <v/>
      </c>
      <c r="B2445" t="str">
        <f>IFERROR(SEARCH(#REF!,Table4[[#This Row],[Commodity Title]],1),"")</f>
        <v/>
      </c>
      <c r="C2445" s="35">
        <v>42271640</v>
      </c>
      <c r="D2445" s="33" t="s">
        <v>1495</v>
      </c>
      <c r="E2445" s="33" t="s">
        <v>1496</v>
      </c>
      <c r="F2445" s="33" t="s">
        <v>1497</v>
      </c>
      <c r="G2445" s="33" t="s">
        <v>6394</v>
      </c>
      <c r="H2445" s="33" t="s">
        <v>6395</v>
      </c>
      <c r="I2445" s="33" t="s">
        <v>6396</v>
      </c>
      <c r="J2445" s="33">
        <v>203002</v>
      </c>
      <c r="K2445" s="33" t="s">
        <v>6428</v>
      </c>
      <c r="L2445" s="33" t="s">
        <v>6429</v>
      </c>
      <c r="M2445" s="33" t="s">
        <v>6430</v>
      </c>
      <c r="N2445" s="44">
        <v>42271640</v>
      </c>
      <c r="O2445" s="33" t="s">
        <v>6507</v>
      </c>
      <c r="P2445" s="33" t="s">
        <v>6508</v>
      </c>
      <c r="Q2445" s="34" t="s">
        <v>1494</v>
      </c>
      <c r="R2445" s="34" t="s">
        <v>1494</v>
      </c>
    </row>
    <row r="2446" spans="1:18" ht="15" customHeight="1" x14ac:dyDescent="0.25">
      <c r="A2446" t="str">
        <f>IFERROR(RANK(B2446,$B:$B,1)+COUNTIF($B$1:B2445,B2446),"")</f>
        <v/>
      </c>
      <c r="B2446" t="str">
        <f>IFERROR(SEARCH(#REF!,Table4[[#This Row],[Commodity Title]],1),"")</f>
        <v/>
      </c>
      <c r="C2446" s="35">
        <v>42271641</v>
      </c>
      <c r="D2446" s="33" t="s">
        <v>1495</v>
      </c>
      <c r="E2446" s="33" t="s">
        <v>1496</v>
      </c>
      <c r="F2446" s="33" t="s">
        <v>1497</v>
      </c>
      <c r="G2446" s="33" t="s">
        <v>6394</v>
      </c>
      <c r="H2446" s="33" t="s">
        <v>6395</v>
      </c>
      <c r="I2446" s="33" t="s">
        <v>6396</v>
      </c>
      <c r="J2446" s="33">
        <v>203003</v>
      </c>
      <c r="K2446" s="33" t="s">
        <v>6428</v>
      </c>
      <c r="L2446" s="33" t="s">
        <v>6429</v>
      </c>
      <c r="M2446" s="33" t="s">
        <v>6430</v>
      </c>
      <c r="N2446" s="44">
        <v>42271641</v>
      </c>
      <c r="O2446" s="33" t="s">
        <v>6509</v>
      </c>
      <c r="P2446" s="33" t="s">
        <v>6510</v>
      </c>
      <c r="Q2446" s="34" t="s">
        <v>1494</v>
      </c>
      <c r="R2446" s="34" t="s">
        <v>1494</v>
      </c>
    </row>
    <row r="2447" spans="1:18" ht="15" customHeight="1" x14ac:dyDescent="0.25">
      <c r="A2447" t="str">
        <f>IFERROR(RANK(B2447,$B:$B,1)+COUNTIF($B$1:B2446,B2447),"")</f>
        <v/>
      </c>
      <c r="B2447" t="str">
        <f>IFERROR(SEARCH(#REF!,Table4[[#This Row],[Commodity Title]],1),"")</f>
        <v/>
      </c>
      <c r="C2447" s="35">
        <v>42271642</v>
      </c>
      <c r="D2447" s="33" t="s">
        <v>1495</v>
      </c>
      <c r="E2447" s="33" t="s">
        <v>1496</v>
      </c>
      <c r="F2447" s="33" t="s">
        <v>1497</v>
      </c>
      <c r="G2447" s="33" t="s">
        <v>6394</v>
      </c>
      <c r="H2447" s="33" t="s">
        <v>6395</v>
      </c>
      <c r="I2447" s="33" t="s">
        <v>6396</v>
      </c>
      <c r="J2447" s="33">
        <v>203004</v>
      </c>
      <c r="K2447" s="33" t="s">
        <v>6428</v>
      </c>
      <c r="L2447" s="33" t="s">
        <v>6429</v>
      </c>
      <c r="M2447" s="33" t="s">
        <v>6430</v>
      </c>
      <c r="N2447" s="44">
        <v>42271642</v>
      </c>
      <c r="O2447" s="33" t="s">
        <v>6511</v>
      </c>
      <c r="P2447" s="33" t="s">
        <v>6512</v>
      </c>
      <c r="Q2447" s="34" t="s">
        <v>1494</v>
      </c>
      <c r="R2447" s="34" t="s">
        <v>1494</v>
      </c>
    </row>
    <row r="2448" spans="1:18" ht="15" customHeight="1" x14ac:dyDescent="0.25">
      <c r="A2448" t="str">
        <f>IFERROR(RANK(B2448,$B:$B,1)+COUNTIF($B$1:B2447,B2448),"")</f>
        <v/>
      </c>
      <c r="B2448" t="str">
        <f>IFERROR(SEARCH(#REF!,Table4[[#This Row],[Commodity Title]],1),"")</f>
        <v/>
      </c>
      <c r="C2448" s="35">
        <v>42271643</v>
      </c>
      <c r="D2448" s="33" t="s">
        <v>1495</v>
      </c>
      <c r="E2448" s="33" t="s">
        <v>1496</v>
      </c>
      <c r="F2448" s="33" t="s">
        <v>1497</v>
      </c>
      <c r="G2448" s="33" t="s">
        <v>6394</v>
      </c>
      <c r="H2448" s="33" t="s">
        <v>6395</v>
      </c>
      <c r="I2448" s="33" t="s">
        <v>6396</v>
      </c>
      <c r="J2448" s="33">
        <v>203005</v>
      </c>
      <c r="K2448" s="33" t="s">
        <v>6428</v>
      </c>
      <c r="L2448" s="33" t="s">
        <v>6429</v>
      </c>
      <c r="M2448" s="33" t="s">
        <v>6430</v>
      </c>
      <c r="N2448" s="44">
        <v>42271643</v>
      </c>
      <c r="O2448" s="33" t="s">
        <v>6513</v>
      </c>
      <c r="P2448" s="33" t="s">
        <v>6514</v>
      </c>
      <c r="Q2448" s="34" t="s">
        <v>1494</v>
      </c>
      <c r="R2448" s="34" t="s">
        <v>1494</v>
      </c>
    </row>
    <row r="2449" spans="1:18" ht="15" customHeight="1" x14ac:dyDescent="0.25">
      <c r="A2449" t="str">
        <f>IFERROR(RANK(B2449,$B:$B,1)+COUNTIF($B$1:B2448,B2449),"")</f>
        <v/>
      </c>
      <c r="B2449" t="str">
        <f>IFERROR(SEARCH(#REF!,Table4[[#This Row],[Commodity Title]],1),"")</f>
        <v/>
      </c>
      <c r="C2449" s="35">
        <v>42271644</v>
      </c>
      <c r="D2449" s="33" t="s">
        <v>1495</v>
      </c>
      <c r="E2449" s="33" t="s">
        <v>1496</v>
      </c>
      <c r="F2449" s="33" t="s">
        <v>1497</v>
      </c>
      <c r="G2449" s="33" t="s">
        <v>6394</v>
      </c>
      <c r="H2449" s="33" t="s">
        <v>6395</v>
      </c>
      <c r="I2449" s="33" t="s">
        <v>6396</v>
      </c>
      <c r="J2449" s="33">
        <v>203006</v>
      </c>
      <c r="K2449" s="33" t="s">
        <v>6428</v>
      </c>
      <c r="L2449" s="33" t="s">
        <v>6429</v>
      </c>
      <c r="M2449" s="33" t="s">
        <v>6430</v>
      </c>
      <c r="N2449" s="44">
        <v>42271644</v>
      </c>
      <c r="O2449" s="33" t="s">
        <v>6515</v>
      </c>
      <c r="P2449" s="33" t="s">
        <v>6516</v>
      </c>
      <c r="Q2449" s="34" t="s">
        <v>1494</v>
      </c>
      <c r="R2449" s="34" t="s">
        <v>1494</v>
      </c>
    </row>
    <row r="2450" spans="1:18" ht="15" customHeight="1" x14ac:dyDescent="0.25">
      <c r="A2450" t="str">
        <f>IFERROR(RANK(B2450,$B:$B,1)+COUNTIF($B$1:B2449,B2450),"")</f>
        <v/>
      </c>
      <c r="B2450" t="str">
        <f>IFERROR(SEARCH(#REF!,Table4[[#This Row],[Commodity Title]],1),"")</f>
        <v/>
      </c>
      <c r="C2450" s="35">
        <v>42271645</v>
      </c>
      <c r="D2450" s="33" t="s">
        <v>1495</v>
      </c>
      <c r="E2450" s="33" t="s">
        <v>1496</v>
      </c>
      <c r="F2450" s="33" t="s">
        <v>1497</v>
      </c>
      <c r="G2450" s="33" t="s">
        <v>6394</v>
      </c>
      <c r="H2450" s="33" t="s">
        <v>6395</v>
      </c>
      <c r="I2450" s="33" t="s">
        <v>6396</v>
      </c>
      <c r="J2450" s="33">
        <v>203007</v>
      </c>
      <c r="K2450" s="33" t="s">
        <v>6428</v>
      </c>
      <c r="L2450" s="33" t="s">
        <v>6429</v>
      </c>
      <c r="M2450" s="33" t="s">
        <v>6430</v>
      </c>
      <c r="N2450" s="44">
        <v>42271645</v>
      </c>
      <c r="O2450" s="33" t="s">
        <v>6517</v>
      </c>
      <c r="P2450" s="33" t="s">
        <v>6518</v>
      </c>
      <c r="Q2450" s="34" t="s">
        <v>1494</v>
      </c>
      <c r="R2450" s="34" t="s">
        <v>1494</v>
      </c>
    </row>
    <row r="2451" spans="1:18" ht="15" customHeight="1" x14ac:dyDescent="0.25">
      <c r="A2451" t="str">
        <f>IFERROR(RANK(B2451,$B:$B,1)+COUNTIF($B$1:B2450,B2451),"")</f>
        <v/>
      </c>
      <c r="B2451" t="str">
        <f>IFERROR(SEARCH(#REF!,Table4[[#This Row],[Commodity Title]],1),"")</f>
        <v/>
      </c>
      <c r="C2451" s="35">
        <v>42271646</v>
      </c>
      <c r="D2451" s="33" t="s">
        <v>1495</v>
      </c>
      <c r="E2451" s="33" t="s">
        <v>1496</v>
      </c>
      <c r="F2451" s="33" t="s">
        <v>1497</v>
      </c>
      <c r="G2451" s="33" t="s">
        <v>6394</v>
      </c>
      <c r="H2451" s="33" t="s">
        <v>6395</v>
      </c>
      <c r="I2451" s="33" t="s">
        <v>6396</v>
      </c>
      <c r="J2451" s="33">
        <v>203008</v>
      </c>
      <c r="K2451" s="33" t="s">
        <v>6428</v>
      </c>
      <c r="L2451" s="33" t="s">
        <v>6429</v>
      </c>
      <c r="M2451" s="33" t="s">
        <v>6430</v>
      </c>
      <c r="N2451" s="44">
        <v>42271646</v>
      </c>
      <c r="O2451" s="33" t="s">
        <v>6519</v>
      </c>
      <c r="P2451" s="33" t="s">
        <v>6520</v>
      </c>
      <c r="Q2451" s="34" t="s">
        <v>1494</v>
      </c>
      <c r="R2451" s="34" t="s">
        <v>1494</v>
      </c>
    </row>
    <row r="2452" spans="1:18" ht="15" customHeight="1" x14ac:dyDescent="0.25">
      <c r="A2452" t="str">
        <f>IFERROR(RANK(B2452,$B:$B,1)+COUNTIF($B$1:B2451,B2452),"")</f>
        <v/>
      </c>
      <c r="B2452" t="str">
        <f>IFERROR(SEARCH(#REF!,Table4[[#This Row],[Commodity Title]],1),"")</f>
        <v/>
      </c>
      <c r="C2452" s="35">
        <v>42271647</v>
      </c>
      <c r="D2452" s="33" t="s">
        <v>1495</v>
      </c>
      <c r="E2452" s="33" t="s">
        <v>1496</v>
      </c>
      <c r="F2452" s="33" t="s">
        <v>1497</v>
      </c>
      <c r="G2452" s="33" t="s">
        <v>6394</v>
      </c>
      <c r="H2452" s="33" t="s">
        <v>6395</v>
      </c>
      <c r="I2452" s="33" t="s">
        <v>6396</v>
      </c>
      <c r="J2452" s="33">
        <v>203009</v>
      </c>
      <c r="K2452" s="33" t="s">
        <v>6428</v>
      </c>
      <c r="L2452" s="33" t="s">
        <v>6429</v>
      </c>
      <c r="M2452" s="33" t="s">
        <v>6430</v>
      </c>
      <c r="N2452" s="44">
        <v>42271647</v>
      </c>
      <c r="O2452" s="33" t="s">
        <v>6521</v>
      </c>
      <c r="P2452" s="33" t="s">
        <v>6522</v>
      </c>
      <c r="Q2452" s="34" t="s">
        <v>1494</v>
      </c>
      <c r="R2452" s="34" t="s">
        <v>1494</v>
      </c>
    </row>
    <row r="2453" spans="1:18" ht="15" customHeight="1" x14ac:dyDescent="0.25">
      <c r="A2453" t="str">
        <f>IFERROR(RANK(B2453,$B:$B,1)+COUNTIF($B$1:B2452,B2453),"")</f>
        <v/>
      </c>
      <c r="B2453" t="str">
        <f>IFERROR(SEARCH(#REF!,Table4[[#This Row],[Commodity Title]],1),"")</f>
        <v/>
      </c>
      <c r="C2453" s="35">
        <v>42271648</v>
      </c>
      <c r="D2453" s="33" t="s">
        <v>1495</v>
      </c>
      <c r="E2453" s="33" t="s">
        <v>1496</v>
      </c>
      <c r="F2453" s="33" t="s">
        <v>1497</v>
      </c>
      <c r="G2453" s="33" t="s">
        <v>6394</v>
      </c>
      <c r="H2453" s="33" t="s">
        <v>6395</v>
      </c>
      <c r="I2453" s="33" t="s">
        <v>6396</v>
      </c>
      <c r="J2453" s="33">
        <v>203010</v>
      </c>
      <c r="K2453" s="33" t="s">
        <v>6428</v>
      </c>
      <c r="L2453" s="33" t="s">
        <v>6429</v>
      </c>
      <c r="M2453" s="33" t="s">
        <v>6430</v>
      </c>
      <c r="N2453" s="44">
        <v>42271648</v>
      </c>
      <c r="O2453" s="33" t="s">
        <v>6523</v>
      </c>
      <c r="P2453" s="33" t="s">
        <v>6524</v>
      </c>
      <c r="Q2453" s="34" t="s">
        <v>1494</v>
      </c>
      <c r="R2453" s="34" t="s">
        <v>1494</v>
      </c>
    </row>
    <row r="2454" spans="1:18" ht="15" customHeight="1" x14ac:dyDescent="0.25">
      <c r="A2454" t="str">
        <f>IFERROR(RANK(B2454,$B:$B,1)+COUNTIF($B$1:B2453,B2454),"")</f>
        <v/>
      </c>
      <c r="B2454" t="str">
        <f>IFERROR(SEARCH(#REF!,Table4[[#This Row],[Commodity Title]],1),"")</f>
        <v/>
      </c>
      <c r="C2454" s="33" t="s">
        <v>1494</v>
      </c>
      <c r="D2454" s="33" t="s">
        <v>1495</v>
      </c>
      <c r="E2454" s="33" t="s">
        <v>1496</v>
      </c>
      <c r="F2454" s="33" t="s">
        <v>1497</v>
      </c>
      <c r="G2454" s="33" t="s">
        <v>6394</v>
      </c>
      <c r="H2454" s="33" t="s">
        <v>6395</v>
      </c>
      <c r="I2454" s="33" t="s">
        <v>6396</v>
      </c>
      <c r="J2454" s="33">
        <v>104334</v>
      </c>
      <c r="K2454" s="33" t="s">
        <v>6525</v>
      </c>
      <c r="L2454" s="33" t="s">
        <v>6526</v>
      </c>
      <c r="M2454" s="33" t="s">
        <v>6527</v>
      </c>
      <c r="N2454" s="44" t="s">
        <v>1494</v>
      </c>
      <c r="O2454" s="33" t="s">
        <v>1494</v>
      </c>
      <c r="P2454" s="33" t="s">
        <v>1494</v>
      </c>
      <c r="Q2454" s="34" t="s">
        <v>1494</v>
      </c>
      <c r="R2454" s="34" t="s">
        <v>1494</v>
      </c>
    </row>
    <row r="2455" spans="1:18" ht="15" customHeight="1" x14ac:dyDescent="0.25">
      <c r="A2455" t="str">
        <f>IFERROR(RANK(B2455,$B:$B,1)+COUNTIF($B$1:B2454,B2455),"")</f>
        <v/>
      </c>
      <c r="B2455" t="str">
        <f>IFERROR(SEARCH(#REF!,Table4[[#This Row],[Commodity Title]],1),"")</f>
        <v/>
      </c>
      <c r="C2455" s="35">
        <v>42271701</v>
      </c>
      <c r="D2455" s="33" t="s">
        <v>1495</v>
      </c>
      <c r="E2455" s="33" t="s">
        <v>1496</v>
      </c>
      <c r="F2455" s="33" t="s">
        <v>1497</v>
      </c>
      <c r="G2455" s="33" t="s">
        <v>6394</v>
      </c>
      <c r="H2455" s="33" t="s">
        <v>6395</v>
      </c>
      <c r="I2455" s="33" t="s">
        <v>6396</v>
      </c>
      <c r="J2455" s="33">
        <v>116002</v>
      </c>
      <c r="K2455" s="33" t="s">
        <v>6525</v>
      </c>
      <c r="L2455" s="33" t="s">
        <v>6526</v>
      </c>
      <c r="M2455" s="33" t="s">
        <v>6527</v>
      </c>
      <c r="N2455" s="44">
        <v>42271701</v>
      </c>
      <c r="O2455" s="33" t="s">
        <v>6528</v>
      </c>
      <c r="P2455" s="33" t="s">
        <v>6529</v>
      </c>
      <c r="Q2455" s="34" t="s">
        <v>1494</v>
      </c>
      <c r="R2455" s="34" t="s">
        <v>1494</v>
      </c>
    </row>
    <row r="2456" spans="1:18" ht="15" customHeight="1" x14ac:dyDescent="0.25">
      <c r="A2456" t="str">
        <f>IFERROR(RANK(B2456,$B:$B,1)+COUNTIF($B$1:B2455,B2456),"")</f>
        <v/>
      </c>
      <c r="B2456" t="str">
        <f>IFERROR(SEARCH(#REF!,Table4[[#This Row],[Commodity Title]],1),"")</f>
        <v/>
      </c>
      <c r="C2456" s="35">
        <v>42271702</v>
      </c>
      <c r="D2456" s="33" t="s">
        <v>1495</v>
      </c>
      <c r="E2456" s="33" t="s">
        <v>1496</v>
      </c>
      <c r="F2456" s="33" t="s">
        <v>1497</v>
      </c>
      <c r="G2456" s="33" t="s">
        <v>6394</v>
      </c>
      <c r="H2456" s="33" t="s">
        <v>6395</v>
      </c>
      <c r="I2456" s="33" t="s">
        <v>6396</v>
      </c>
      <c r="J2456" s="33">
        <v>116003</v>
      </c>
      <c r="K2456" s="33" t="s">
        <v>6525</v>
      </c>
      <c r="L2456" s="33" t="s">
        <v>6526</v>
      </c>
      <c r="M2456" s="33" t="s">
        <v>6527</v>
      </c>
      <c r="N2456" s="44">
        <v>42271702</v>
      </c>
      <c r="O2456" s="33" t="s">
        <v>6530</v>
      </c>
      <c r="P2456" s="33" t="s">
        <v>6531</v>
      </c>
      <c r="Q2456" s="34" t="s">
        <v>1494</v>
      </c>
      <c r="R2456" s="34" t="s">
        <v>1494</v>
      </c>
    </row>
    <row r="2457" spans="1:18" ht="15" customHeight="1" x14ac:dyDescent="0.25">
      <c r="A2457" t="str">
        <f>IFERROR(RANK(B2457,$B:$B,1)+COUNTIF($B$1:B2456,B2457),"")</f>
        <v/>
      </c>
      <c r="B2457" t="str">
        <f>IFERROR(SEARCH(#REF!,Table4[[#This Row],[Commodity Title]],1),"")</f>
        <v/>
      </c>
      <c r="C2457" s="35">
        <v>42271703</v>
      </c>
      <c r="D2457" s="33" t="s">
        <v>1495</v>
      </c>
      <c r="E2457" s="33" t="s">
        <v>1496</v>
      </c>
      <c r="F2457" s="33" t="s">
        <v>1497</v>
      </c>
      <c r="G2457" s="33" t="s">
        <v>6394</v>
      </c>
      <c r="H2457" s="33" t="s">
        <v>6395</v>
      </c>
      <c r="I2457" s="33" t="s">
        <v>6396</v>
      </c>
      <c r="J2457" s="33">
        <v>116004</v>
      </c>
      <c r="K2457" s="33" t="s">
        <v>6525</v>
      </c>
      <c r="L2457" s="33" t="s">
        <v>6526</v>
      </c>
      <c r="M2457" s="33" t="s">
        <v>6527</v>
      </c>
      <c r="N2457" s="44">
        <v>42271703</v>
      </c>
      <c r="O2457" s="33" t="s">
        <v>6532</v>
      </c>
      <c r="P2457" s="33" t="s">
        <v>6533</v>
      </c>
      <c r="Q2457" s="34" t="s">
        <v>1494</v>
      </c>
      <c r="R2457" s="34" t="s">
        <v>1494</v>
      </c>
    </row>
    <row r="2458" spans="1:18" ht="15" customHeight="1" x14ac:dyDescent="0.25">
      <c r="A2458" t="str">
        <f>IFERROR(RANK(B2458,$B:$B,1)+COUNTIF($B$1:B2457,B2458),"")</f>
        <v/>
      </c>
      <c r="B2458" t="str">
        <f>IFERROR(SEARCH(#REF!,Table4[[#This Row],[Commodity Title]],1),"")</f>
        <v/>
      </c>
      <c r="C2458" s="35">
        <v>42271704</v>
      </c>
      <c r="D2458" s="33" t="s">
        <v>1495</v>
      </c>
      <c r="E2458" s="33" t="s">
        <v>1496</v>
      </c>
      <c r="F2458" s="33" t="s">
        <v>1497</v>
      </c>
      <c r="G2458" s="33" t="s">
        <v>6394</v>
      </c>
      <c r="H2458" s="33" t="s">
        <v>6395</v>
      </c>
      <c r="I2458" s="33" t="s">
        <v>6396</v>
      </c>
      <c r="J2458" s="33">
        <v>116005</v>
      </c>
      <c r="K2458" s="33" t="s">
        <v>6525</v>
      </c>
      <c r="L2458" s="33" t="s">
        <v>6526</v>
      </c>
      <c r="M2458" s="33" t="s">
        <v>6527</v>
      </c>
      <c r="N2458" s="44">
        <v>42271704</v>
      </c>
      <c r="O2458" s="33" t="s">
        <v>6534</v>
      </c>
      <c r="P2458" s="33" t="s">
        <v>6535</v>
      </c>
      <c r="Q2458" s="34" t="s">
        <v>1494</v>
      </c>
      <c r="R2458" s="34" t="s">
        <v>1494</v>
      </c>
    </row>
    <row r="2459" spans="1:18" ht="15" customHeight="1" x14ac:dyDescent="0.25">
      <c r="A2459" t="str">
        <f>IFERROR(RANK(B2459,$B:$B,1)+COUNTIF($B$1:B2458,B2459),"")</f>
        <v/>
      </c>
      <c r="B2459" t="str">
        <f>IFERROR(SEARCH(#REF!,Table4[[#This Row],[Commodity Title]],1),"")</f>
        <v/>
      </c>
      <c r="C2459" s="35">
        <v>42271705</v>
      </c>
      <c r="D2459" s="33" t="s">
        <v>1495</v>
      </c>
      <c r="E2459" s="33" t="s">
        <v>1496</v>
      </c>
      <c r="F2459" s="33" t="s">
        <v>1497</v>
      </c>
      <c r="G2459" s="33" t="s">
        <v>6394</v>
      </c>
      <c r="H2459" s="33" t="s">
        <v>6395</v>
      </c>
      <c r="I2459" s="33" t="s">
        <v>6396</v>
      </c>
      <c r="J2459" s="33">
        <v>116006</v>
      </c>
      <c r="K2459" s="33" t="s">
        <v>6525</v>
      </c>
      <c r="L2459" s="33" t="s">
        <v>6526</v>
      </c>
      <c r="M2459" s="33" t="s">
        <v>6527</v>
      </c>
      <c r="N2459" s="44">
        <v>42271705</v>
      </c>
      <c r="O2459" s="33" t="s">
        <v>6536</v>
      </c>
      <c r="P2459" s="33" t="s">
        <v>6537</v>
      </c>
      <c r="Q2459" s="34" t="s">
        <v>1494</v>
      </c>
      <c r="R2459" s="34" t="s">
        <v>1494</v>
      </c>
    </row>
    <row r="2460" spans="1:18" ht="15" customHeight="1" x14ac:dyDescent="0.25">
      <c r="A2460" t="str">
        <f>IFERROR(RANK(B2460,$B:$B,1)+COUNTIF($B$1:B2459,B2460),"")</f>
        <v/>
      </c>
      <c r="B2460" t="str">
        <f>IFERROR(SEARCH(#REF!,Table4[[#This Row],[Commodity Title]],1),"")</f>
        <v/>
      </c>
      <c r="C2460" s="35">
        <v>42271706</v>
      </c>
      <c r="D2460" s="33" t="s">
        <v>1495</v>
      </c>
      <c r="E2460" s="33" t="s">
        <v>1496</v>
      </c>
      <c r="F2460" s="33" t="s">
        <v>1497</v>
      </c>
      <c r="G2460" s="33" t="s">
        <v>6394</v>
      </c>
      <c r="H2460" s="33" t="s">
        <v>6395</v>
      </c>
      <c r="I2460" s="33" t="s">
        <v>6396</v>
      </c>
      <c r="J2460" s="33">
        <v>116007</v>
      </c>
      <c r="K2460" s="33" t="s">
        <v>6525</v>
      </c>
      <c r="L2460" s="33" t="s">
        <v>6526</v>
      </c>
      <c r="M2460" s="33" t="s">
        <v>6527</v>
      </c>
      <c r="N2460" s="44">
        <v>42271706</v>
      </c>
      <c r="O2460" s="33" t="s">
        <v>6538</v>
      </c>
      <c r="P2460" s="33" t="s">
        <v>6539</v>
      </c>
      <c r="Q2460" s="34" t="s">
        <v>1494</v>
      </c>
      <c r="R2460" s="34" t="s">
        <v>1494</v>
      </c>
    </row>
    <row r="2461" spans="1:18" ht="15" customHeight="1" x14ac:dyDescent="0.25">
      <c r="A2461" t="str">
        <f>IFERROR(RANK(B2461,$B:$B,1)+COUNTIF($B$1:B2460,B2461),"")</f>
        <v/>
      </c>
      <c r="B2461" t="str">
        <f>IFERROR(SEARCH(#REF!,Table4[[#This Row],[Commodity Title]],1),"")</f>
        <v/>
      </c>
      <c r="C2461" s="35">
        <v>42271707</v>
      </c>
      <c r="D2461" s="33" t="s">
        <v>1495</v>
      </c>
      <c r="E2461" s="33" t="s">
        <v>1496</v>
      </c>
      <c r="F2461" s="33" t="s">
        <v>1497</v>
      </c>
      <c r="G2461" s="33" t="s">
        <v>6394</v>
      </c>
      <c r="H2461" s="33" t="s">
        <v>6395</v>
      </c>
      <c r="I2461" s="33" t="s">
        <v>6396</v>
      </c>
      <c r="J2461" s="33">
        <v>116008</v>
      </c>
      <c r="K2461" s="33" t="s">
        <v>6525</v>
      </c>
      <c r="L2461" s="33" t="s">
        <v>6526</v>
      </c>
      <c r="M2461" s="33" t="s">
        <v>6527</v>
      </c>
      <c r="N2461" s="44">
        <v>42271707</v>
      </c>
      <c r="O2461" s="33" t="s">
        <v>6540</v>
      </c>
      <c r="P2461" s="33" t="s">
        <v>6541</v>
      </c>
      <c r="Q2461" s="34" t="s">
        <v>1494</v>
      </c>
      <c r="R2461" s="34" t="s">
        <v>1494</v>
      </c>
    </row>
    <row r="2462" spans="1:18" ht="15" customHeight="1" x14ac:dyDescent="0.25">
      <c r="A2462" t="str">
        <f>IFERROR(RANK(B2462,$B:$B,1)+COUNTIF($B$1:B2461,B2462),"")</f>
        <v/>
      </c>
      <c r="B2462" t="str">
        <f>IFERROR(SEARCH(#REF!,Table4[[#This Row],[Commodity Title]],1),"")</f>
        <v/>
      </c>
      <c r="C2462" s="35">
        <v>42271708</v>
      </c>
      <c r="D2462" s="33" t="s">
        <v>1495</v>
      </c>
      <c r="E2462" s="33" t="s">
        <v>1496</v>
      </c>
      <c r="F2462" s="33" t="s">
        <v>1497</v>
      </c>
      <c r="G2462" s="33" t="s">
        <v>6394</v>
      </c>
      <c r="H2462" s="33" t="s">
        <v>6395</v>
      </c>
      <c r="I2462" s="33" t="s">
        <v>6396</v>
      </c>
      <c r="J2462" s="33">
        <v>104347</v>
      </c>
      <c r="K2462" s="33" t="s">
        <v>6525</v>
      </c>
      <c r="L2462" s="33" t="s">
        <v>6526</v>
      </c>
      <c r="M2462" s="33" t="s">
        <v>6527</v>
      </c>
      <c r="N2462" s="44">
        <v>42271708</v>
      </c>
      <c r="O2462" s="33" t="s">
        <v>6542</v>
      </c>
      <c r="P2462" s="33" t="s">
        <v>6543</v>
      </c>
      <c r="Q2462" s="34" t="s">
        <v>1494</v>
      </c>
      <c r="R2462" s="34" t="s">
        <v>1494</v>
      </c>
    </row>
    <row r="2463" spans="1:18" ht="15" customHeight="1" x14ac:dyDescent="0.25">
      <c r="A2463" t="str">
        <f>IFERROR(RANK(B2463,$B:$B,1)+COUNTIF($B$1:B2462,B2463),"")</f>
        <v/>
      </c>
      <c r="B2463" t="str">
        <f>IFERROR(SEARCH(#REF!,Table4[[#This Row],[Commodity Title]],1),"")</f>
        <v/>
      </c>
      <c r="C2463" s="35">
        <v>42271709</v>
      </c>
      <c r="D2463" s="33" t="s">
        <v>1495</v>
      </c>
      <c r="E2463" s="33" t="s">
        <v>1496</v>
      </c>
      <c r="F2463" s="33" t="s">
        <v>1497</v>
      </c>
      <c r="G2463" s="33" t="s">
        <v>6394</v>
      </c>
      <c r="H2463" s="33" t="s">
        <v>6395</v>
      </c>
      <c r="I2463" s="33" t="s">
        <v>6396</v>
      </c>
      <c r="J2463" s="33">
        <v>116010</v>
      </c>
      <c r="K2463" s="33" t="s">
        <v>6525</v>
      </c>
      <c r="L2463" s="33" t="s">
        <v>6526</v>
      </c>
      <c r="M2463" s="33" t="s">
        <v>6527</v>
      </c>
      <c r="N2463" s="44">
        <v>42271709</v>
      </c>
      <c r="O2463" s="33" t="s">
        <v>6544</v>
      </c>
      <c r="P2463" s="33" t="s">
        <v>6545</v>
      </c>
      <c r="Q2463" s="34" t="s">
        <v>1494</v>
      </c>
      <c r="R2463" s="34" t="s">
        <v>1494</v>
      </c>
    </row>
    <row r="2464" spans="1:18" ht="15" customHeight="1" x14ac:dyDescent="0.25">
      <c r="A2464" t="str">
        <f>IFERROR(RANK(B2464,$B:$B,1)+COUNTIF($B$1:B2463,B2464),"")</f>
        <v/>
      </c>
      <c r="B2464" t="str">
        <f>IFERROR(SEARCH(#REF!,Table4[[#This Row],[Commodity Title]],1),"")</f>
        <v/>
      </c>
      <c r="C2464" s="35">
        <v>42271710</v>
      </c>
      <c r="D2464" s="33" t="s">
        <v>1495</v>
      </c>
      <c r="E2464" s="33" t="s">
        <v>1496</v>
      </c>
      <c r="F2464" s="33" t="s">
        <v>1497</v>
      </c>
      <c r="G2464" s="33" t="s">
        <v>6394</v>
      </c>
      <c r="H2464" s="33" t="s">
        <v>6395</v>
      </c>
      <c r="I2464" s="33" t="s">
        <v>6396</v>
      </c>
      <c r="J2464" s="33">
        <v>116011</v>
      </c>
      <c r="K2464" s="33" t="s">
        <v>6525</v>
      </c>
      <c r="L2464" s="33" t="s">
        <v>6526</v>
      </c>
      <c r="M2464" s="33" t="s">
        <v>6527</v>
      </c>
      <c r="N2464" s="44">
        <v>42271710</v>
      </c>
      <c r="O2464" s="33" t="s">
        <v>6546</v>
      </c>
      <c r="P2464" s="33" t="s">
        <v>6547</v>
      </c>
      <c r="Q2464" s="34" t="s">
        <v>1494</v>
      </c>
      <c r="R2464" s="34" t="s">
        <v>1494</v>
      </c>
    </row>
    <row r="2465" spans="1:18" ht="15" customHeight="1" x14ac:dyDescent="0.25">
      <c r="A2465" t="str">
        <f>IFERROR(RANK(B2465,$B:$B,1)+COUNTIF($B$1:B2464,B2465),"")</f>
        <v/>
      </c>
      <c r="B2465" t="str">
        <f>IFERROR(SEARCH(#REF!,Table4[[#This Row],[Commodity Title]],1),"")</f>
        <v/>
      </c>
      <c r="C2465" s="35">
        <v>42271711</v>
      </c>
      <c r="D2465" s="33" t="s">
        <v>1495</v>
      </c>
      <c r="E2465" s="33" t="s">
        <v>1496</v>
      </c>
      <c r="F2465" s="33" t="s">
        <v>1497</v>
      </c>
      <c r="G2465" s="33" t="s">
        <v>6394</v>
      </c>
      <c r="H2465" s="33" t="s">
        <v>6395</v>
      </c>
      <c r="I2465" s="33" t="s">
        <v>6396</v>
      </c>
      <c r="J2465" s="33">
        <v>116012</v>
      </c>
      <c r="K2465" s="33" t="s">
        <v>6525</v>
      </c>
      <c r="L2465" s="33" t="s">
        <v>6526</v>
      </c>
      <c r="M2465" s="33" t="s">
        <v>6527</v>
      </c>
      <c r="N2465" s="44">
        <v>42271711</v>
      </c>
      <c r="O2465" s="33" t="s">
        <v>6548</v>
      </c>
      <c r="P2465" s="33" t="s">
        <v>6549</v>
      </c>
      <c r="Q2465" s="34" t="s">
        <v>1494</v>
      </c>
      <c r="R2465" s="34" t="s">
        <v>1494</v>
      </c>
    </row>
    <row r="2466" spans="1:18" ht="15" customHeight="1" x14ac:dyDescent="0.25">
      <c r="A2466" t="str">
        <f>IFERROR(RANK(B2466,$B:$B,1)+COUNTIF($B$1:B2465,B2466),"")</f>
        <v/>
      </c>
      <c r="B2466" t="str">
        <f>IFERROR(SEARCH(#REF!,Table4[[#This Row],[Commodity Title]],1),"")</f>
        <v/>
      </c>
      <c r="C2466" s="35">
        <v>42271712</v>
      </c>
      <c r="D2466" s="33" t="s">
        <v>1495</v>
      </c>
      <c r="E2466" s="33" t="s">
        <v>1496</v>
      </c>
      <c r="F2466" s="33" t="s">
        <v>1497</v>
      </c>
      <c r="G2466" s="33" t="s">
        <v>6394</v>
      </c>
      <c r="H2466" s="33" t="s">
        <v>6395</v>
      </c>
      <c r="I2466" s="33" t="s">
        <v>6396</v>
      </c>
      <c r="J2466" s="33">
        <v>116013</v>
      </c>
      <c r="K2466" s="33" t="s">
        <v>6525</v>
      </c>
      <c r="L2466" s="33" t="s">
        <v>6526</v>
      </c>
      <c r="M2466" s="33" t="s">
        <v>6527</v>
      </c>
      <c r="N2466" s="44">
        <v>42271712</v>
      </c>
      <c r="O2466" s="33" t="s">
        <v>6550</v>
      </c>
      <c r="P2466" s="33" t="s">
        <v>6551</v>
      </c>
      <c r="Q2466" s="34" t="s">
        <v>1494</v>
      </c>
      <c r="R2466" s="34" t="s">
        <v>1494</v>
      </c>
    </row>
    <row r="2467" spans="1:18" ht="15" customHeight="1" x14ac:dyDescent="0.25">
      <c r="A2467" t="str">
        <f>IFERROR(RANK(B2467,$B:$B,1)+COUNTIF($B$1:B2466,B2467),"")</f>
        <v/>
      </c>
      <c r="B2467" t="str">
        <f>IFERROR(SEARCH(#REF!,Table4[[#This Row],[Commodity Title]],1),"")</f>
        <v/>
      </c>
      <c r="C2467" s="35">
        <v>42271713</v>
      </c>
      <c r="D2467" s="33" t="s">
        <v>1495</v>
      </c>
      <c r="E2467" s="33" t="s">
        <v>1496</v>
      </c>
      <c r="F2467" s="33" t="s">
        <v>1497</v>
      </c>
      <c r="G2467" s="33" t="s">
        <v>6394</v>
      </c>
      <c r="H2467" s="33" t="s">
        <v>6395</v>
      </c>
      <c r="I2467" s="33" t="s">
        <v>6396</v>
      </c>
      <c r="J2467" s="33">
        <v>104349</v>
      </c>
      <c r="K2467" s="33" t="s">
        <v>6525</v>
      </c>
      <c r="L2467" s="33" t="s">
        <v>6526</v>
      </c>
      <c r="M2467" s="33" t="s">
        <v>6527</v>
      </c>
      <c r="N2467" s="44">
        <v>42271713</v>
      </c>
      <c r="O2467" s="33" t="s">
        <v>6552</v>
      </c>
      <c r="P2467" s="33" t="s">
        <v>6553</v>
      </c>
      <c r="Q2467" s="34" t="s">
        <v>1494</v>
      </c>
      <c r="R2467" s="34" t="s">
        <v>1494</v>
      </c>
    </row>
    <row r="2468" spans="1:18" ht="15" customHeight="1" x14ac:dyDescent="0.25">
      <c r="A2468" t="str">
        <f>IFERROR(RANK(B2468,$B:$B,1)+COUNTIF($B$1:B2467,B2468),"")</f>
        <v/>
      </c>
      <c r="B2468" t="str">
        <f>IFERROR(SEARCH(#REF!,Table4[[#This Row],[Commodity Title]],1),"")</f>
        <v/>
      </c>
      <c r="C2468" s="35">
        <v>42271714</v>
      </c>
      <c r="D2468" s="33" t="s">
        <v>1495</v>
      </c>
      <c r="E2468" s="33" t="s">
        <v>1496</v>
      </c>
      <c r="F2468" s="33" t="s">
        <v>1497</v>
      </c>
      <c r="G2468" s="33" t="s">
        <v>6394</v>
      </c>
      <c r="H2468" s="33" t="s">
        <v>6395</v>
      </c>
      <c r="I2468" s="33" t="s">
        <v>6396</v>
      </c>
      <c r="J2468" s="33">
        <v>116015</v>
      </c>
      <c r="K2468" s="33" t="s">
        <v>6525</v>
      </c>
      <c r="L2468" s="33" t="s">
        <v>6526</v>
      </c>
      <c r="M2468" s="33" t="s">
        <v>6527</v>
      </c>
      <c r="N2468" s="44">
        <v>42271714</v>
      </c>
      <c r="O2468" s="33" t="s">
        <v>6554</v>
      </c>
      <c r="P2468" s="33" t="s">
        <v>6555</v>
      </c>
      <c r="Q2468" s="34" t="s">
        <v>1494</v>
      </c>
      <c r="R2468" s="34" t="s">
        <v>1494</v>
      </c>
    </row>
    <row r="2469" spans="1:18" ht="15" customHeight="1" x14ac:dyDescent="0.25">
      <c r="A2469" t="str">
        <f>IFERROR(RANK(B2469,$B:$B,1)+COUNTIF($B$1:B2468,B2469),"")</f>
        <v/>
      </c>
      <c r="B2469" t="str">
        <f>IFERROR(SEARCH(#REF!,Table4[[#This Row],[Commodity Title]],1),"")</f>
        <v/>
      </c>
      <c r="C2469" s="35">
        <v>42271715</v>
      </c>
      <c r="D2469" s="33" t="s">
        <v>1495</v>
      </c>
      <c r="E2469" s="33" t="s">
        <v>1496</v>
      </c>
      <c r="F2469" s="33" t="s">
        <v>1497</v>
      </c>
      <c r="G2469" s="33" t="s">
        <v>6394</v>
      </c>
      <c r="H2469" s="33" t="s">
        <v>6395</v>
      </c>
      <c r="I2469" s="33" t="s">
        <v>6396</v>
      </c>
      <c r="J2469" s="33">
        <v>116016</v>
      </c>
      <c r="K2469" s="33" t="s">
        <v>6525</v>
      </c>
      <c r="L2469" s="33" t="s">
        <v>6526</v>
      </c>
      <c r="M2469" s="33" t="s">
        <v>6527</v>
      </c>
      <c r="N2469" s="44">
        <v>42271715</v>
      </c>
      <c r="O2469" s="33" t="s">
        <v>6556</v>
      </c>
      <c r="P2469" s="33" t="s">
        <v>6557</v>
      </c>
      <c r="Q2469" s="34" t="s">
        <v>1494</v>
      </c>
      <c r="R2469" s="34" t="s">
        <v>1494</v>
      </c>
    </row>
    <row r="2470" spans="1:18" ht="15" customHeight="1" x14ac:dyDescent="0.25">
      <c r="A2470" t="str">
        <f>IFERROR(RANK(B2470,$B:$B,1)+COUNTIF($B$1:B2469,B2470),"")</f>
        <v/>
      </c>
      <c r="B2470" t="str">
        <f>IFERROR(SEARCH(#REF!,Table4[[#This Row],[Commodity Title]],1),"")</f>
        <v/>
      </c>
      <c r="C2470" s="35">
        <v>42271716</v>
      </c>
      <c r="D2470" s="33" t="s">
        <v>1495</v>
      </c>
      <c r="E2470" s="33" t="s">
        <v>1496</v>
      </c>
      <c r="F2470" s="33" t="s">
        <v>1497</v>
      </c>
      <c r="G2470" s="33" t="s">
        <v>6394</v>
      </c>
      <c r="H2470" s="33" t="s">
        <v>6395</v>
      </c>
      <c r="I2470" s="33" t="s">
        <v>6396</v>
      </c>
      <c r="J2470" s="33">
        <v>142700</v>
      </c>
      <c r="K2470" s="33" t="s">
        <v>6525</v>
      </c>
      <c r="L2470" s="33" t="s">
        <v>6526</v>
      </c>
      <c r="M2470" s="33" t="s">
        <v>6527</v>
      </c>
      <c r="N2470" s="44">
        <v>42271716</v>
      </c>
      <c r="O2470" s="33" t="s">
        <v>6558</v>
      </c>
      <c r="P2470" s="33" t="s">
        <v>6559</v>
      </c>
      <c r="Q2470" s="34" t="s">
        <v>1494</v>
      </c>
      <c r="R2470" s="34" t="s">
        <v>1494</v>
      </c>
    </row>
    <row r="2471" spans="1:18" ht="15" customHeight="1" x14ac:dyDescent="0.25">
      <c r="A2471" t="str">
        <f>IFERROR(RANK(B2471,$B:$B,1)+COUNTIF($B$1:B2470,B2471),"")</f>
        <v/>
      </c>
      <c r="B2471" t="str">
        <f>IFERROR(SEARCH(#REF!,Table4[[#This Row],[Commodity Title]],1),"")</f>
        <v/>
      </c>
      <c r="C2471" s="35">
        <v>42271717</v>
      </c>
      <c r="D2471" s="33" t="s">
        <v>1495</v>
      </c>
      <c r="E2471" s="33" t="s">
        <v>1496</v>
      </c>
      <c r="F2471" s="33" t="s">
        <v>1497</v>
      </c>
      <c r="G2471" s="33" t="s">
        <v>6394</v>
      </c>
      <c r="H2471" s="33" t="s">
        <v>6395</v>
      </c>
      <c r="I2471" s="33" t="s">
        <v>6396</v>
      </c>
      <c r="J2471" s="33">
        <v>142701</v>
      </c>
      <c r="K2471" s="33" t="s">
        <v>6525</v>
      </c>
      <c r="L2471" s="33" t="s">
        <v>6526</v>
      </c>
      <c r="M2471" s="33" t="s">
        <v>6527</v>
      </c>
      <c r="N2471" s="44">
        <v>42271717</v>
      </c>
      <c r="O2471" s="33" t="s">
        <v>6560</v>
      </c>
      <c r="P2471" s="33" t="s">
        <v>6561</v>
      </c>
      <c r="Q2471" s="34" t="s">
        <v>1494</v>
      </c>
      <c r="R2471" s="34" t="s">
        <v>1494</v>
      </c>
    </row>
    <row r="2472" spans="1:18" ht="15" customHeight="1" x14ac:dyDescent="0.25">
      <c r="A2472" t="str">
        <f>IFERROR(RANK(B2472,$B:$B,1)+COUNTIF($B$1:B2471,B2472),"")</f>
        <v/>
      </c>
      <c r="B2472" t="str">
        <f>IFERROR(SEARCH(#REF!,Table4[[#This Row],[Commodity Title]],1),"")</f>
        <v/>
      </c>
      <c r="C2472" s="35">
        <v>42271718</v>
      </c>
      <c r="D2472" s="33" t="s">
        <v>1495</v>
      </c>
      <c r="E2472" s="33" t="s">
        <v>1496</v>
      </c>
      <c r="F2472" s="33" t="s">
        <v>1497</v>
      </c>
      <c r="G2472" s="33" t="s">
        <v>6394</v>
      </c>
      <c r="H2472" s="33" t="s">
        <v>6395</v>
      </c>
      <c r="I2472" s="33" t="s">
        <v>6396</v>
      </c>
      <c r="J2472" s="33">
        <v>142702</v>
      </c>
      <c r="K2472" s="33" t="s">
        <v>6525</v>
      </c>
      <c r="L2472" s="33" t="s">
        <v>6526</v>
      </c>
      <c r="M2472" s="33" t="s">
        <v>6527</v>
      </c>
      <c r="N2472" s="44">
        <v>42271718</v>
      </c>
      <c r="O2472" s="33" t="s">
        <v>6562</v>
      </c>
      <c r="P2472" s="33" t="s">
        <v>6563</v>
      </c>
      <c r="Q2472" s="34" t="s">
        <v>1494</v>
      </c>
      <c r="R2472" s="34" t="s">
        <v>1494</v>
      </c>
    </row>
    <row r="2473" spans="1:18" ht="15" customHeight="1" x14ac:dyDescent="0.25">
      <c r="A2473" t="str">
        <f>IFERROR(RANK(B2473,$B:$B,1)+COUNTIF($B$1:B2472,B2473),"")</f>
        <v/>
      </c>
      <c r="B2473" t="str">
        <f>IFERROR(SEARCH(#REF!,Table4[[#This Row],[Commodity Title]],1),"")</f>
        <v/>
      </c>
      <c r="C2473" s="35">
        <v>42271719</v>
      </c>
      <c r="D2473" s="33" t="s">
        <v>1495</v>
      </c>
      <c r="E2473" s="33" t="s">
        <v>1496</v>
      </c>
      <c r="F2473" s="33" t="s">
        <v>1497</v>
      </c>
      <c r="G2473" s="33" t="s">
        <v>6394</v>
      </c>
      <c r="H2473" s="33" t="s">
        <v>6395</v>
      </c>
      <c r="I2473" s="33" t="s">
        <v>6396</v>
      </c>
      <c r="J2473" s="33">
        <v>142703</v>
      </c>
      <c r="K2473" s="33" t="s">
        <v>6525</v>
      </c>
      <c r="L2473" s="33" t="s">
        <v>6526</v>
      </c>
      <c r="M2473" s="33" t="s">
        <v>6527</v>
      </c>
      <c r="N2473" s="44">
        <v>42271719</v>
      </c>
      <c r="O2473" s="33" t="s">
        <v>6564</v>
      </c>
      <c r="P2473" s="33" t="s">
        <v>6565</v>
      </c>
      <c r="Q2473" s="34" t="s">
        <v>1494</v>
      </c>
      <c r="R2473" s="34" t="s">
        <v>1494</v>
      </c>
    </row>
    <row r="2474" spans="1:18" ht="15" customHeight="1" x14ac:dyDescent="0.25">
      <c r="A2474" t="str">
        <f>IFERROR(RANK(B2474,$B:$B,1)+COUNTIF($B$1:B2473,B2474),"")</f>
        <v/>
      </c>
      <c r="B2474" t="str">
        <f>IFERROR(SEARCH(#REF!,Table4[[#This Row],[Commodity Title]],1),"")</f>
        <v/>
      </c>
      <c r="C2474" s="35">
        <v>42271720</v>
      </c>
      <c r="D2474" s="33" t="s">
        <v>1495</v>
      </c>
      <c r="E2474" s="33" t="s">
        <v>1496</v>
      </c>
      <c r="F2474" s="33" t="s">
        <v>1497</v>
      </c>
      <c r="G2474" s="33" t="s">
        <v>6394</v>
      </c>
      <c r="H2474" s="33" t="s">
        <v>6395</v>
      </c>
      <c r="I2474" s="33" t="s">
        <v>6396</v>
      </c>
      <c r="J2474" s="33">
        <v>142704</v>
      </c>
      <c r="K2474" s="33" t="s">
        <v>6525</v>
      </c>
      <c r="L2474" s="33" t="s">
        <v>6526</v>
      </c>
      <c r="M2474" s="33" t="s">
        <v>6527</v>
      </c>
      <c r="N2474" s="44">
        <v>42271720</v>
      </c>
      <c r="O2474" s="33" t="s">
        <v>6566</v>
      </c>
      <c r="P2474" s="33" t="s">
        <v>6567</v>
      </c>
      <c r="Q2474" s="34" t="s">
        <v>1494</v>
      </c>
      <c r="R2474" s="34" t="s">
        <v>1494</v>
      </c>
    </row>
    <row r="2475" spans="1:18" ht="15" customHeight="1" x14ac:dyDescent="0.25">
      <c r="A2475" t="str">
        <f>IFERROR(RANK(B2475,$B:$B,1)+COUNTIF($B$1:B2474,B2475),"")</f>
        <v/>
      </c>
      <c r="B2475" t="str">
        <f>IFERROR(SEARCH(#REF!,Table4[[#This Row],[Commodity Title]],1),"")</f>
        <v/>
      </c>
      <c r="C2475" s="35">
        <v>42271721</v>
      </c>
      <c r="D2475" s="33" t="s">
        <v>1495</v>
      </c>
      <c r="E2475" s="33" t="s">
        <v>1496</v>
      </c>
      <c r="F2475" s="33" t="s">
        <v>1497</v>
      </c>
      <c r="G2475" s="33" t="s">
        <v>6394</v>
      </c>
      <c r="H2475" s="33" t="s">
        <v>6395</v>
      </c>
      <c r="I2475" s="33" t="s">
        <v>6396</v>
      </c>
      <c r="J2475" s="33">
        <v>142705</v>
      </c>
      <c r="K2475" s="33" t="s">
        <v>6525</v>
      </c>
      <c r="L2475" s="33" t="s">
        <v>6526</v>
      </c>
      <c r="M2475" s="33" t="s">
        <v>6527</v>
      </c>
      <c r="N2475" s="44">
        <v>42271721</v>
      </c>
      <c r="O2475" s="33" t="s">
        <v>6568</v>
      </c>
      <c r="P2475" s="33" t="s">
        <v>6569</v>
      </c>
      <c r="Q2475" s="34" t="s">
        <v>1494</v>
      </c>
      <c r="R2475" s="34" t="s">
        <v>1494</v>
      </c>
    </row>
    <row r="2476" spans="1:18" ht="15" customHeight="1" x14ac:dyDescent="0.25">
      <c r="A2476" t="str">
        <f>IFERROR(RANK(B2476,$B:$B,1)+COUNTIF($B$1:B2475,B2476),"")</f>
        <v/>
      </c>
      <c r="B2476" t="str">
        <f>IFERROR(SEARCH(#REF!,Table4[[#This Row],[Commodity Title]],1),"")</f>
        <v/>
      </c>
      <c r="C2476" s="35">
        <v>42271722</v>
      </c>
      <c r="D2476" s="33" t="s">
        <v>1495</v>
      </c>
      <c r="E2476" s="33" t="s">
        <v>1496</v>
      </c>
      <c r="F2476" s="33" t="s">
        <v>1497</v>
      </c>
      <c r="G2476" s="33" t="s">
        <v>6394</v>
      </c>
      <c r="H2476" s="33" t="s">
        <v>6395</v>
      </c>
      <c r="I2476" s="33" t="s">
        <v>6396</v>
      </c>
      <c r="J2476" s="33">
        <v>174403</v>
      </c>
      <c r="K2476" s="33" t="s">
        <v>6525</v>
      </c>
      <c r="L2476" s="33" t="s">
        <v>6526</v>
      </c>
      <c r="M2476" s="33" t="s">
        <v>6527</v>
      </c>
      <c r="N2476" s="44">
        <v>42271722</v>
      </c>
      <c r="O2476" s="33" t="s">
        <v>6570</v>
      </c>
      <c r="P2476" s="33" t="s">
        <v>6571</v>
      </c>
      <c r="Q2476" s="34" t="s">
        <v>1494</v>
      </c>
      <c r="R2476" s="34" t="s">
        <v>1494</v>
      </c>
    </row>
    <row r="2477" spans="1:18" ht="15" customHeight="1" x14ac:dyDescent="0.25">
      <c r="A2477" t="str">
        <f>IFERROR(RANK(B2477,$B:$B,1)+COUNTIF($B$1:B2476,B2477),"")</f>
        <v/>
      </c>
      <c r="B2477" t="str">
        <f>IFERROR(SEARCH(#REF!,Table4[[#This Row],[Commodity Title]],1),"")</f>
        <v/>
      </c>
      <c r="C2477" s="35">
        <v>42271723</v>
      </c>
      <c r="D2477" s="33" t="s">
        <v>1495</v>
      </c>
      <c r="E2477" s="33" t="s">
        <v>1496</v>
      </c>
      <c r="F2477" s="33" t="s">
        <v>1497</v>
      </c>
      <c r="G2477" s="33" t="s">
        <v>6394</v>
      </c>
      <c r="H2477" s="33" t="s">
        <v>6395</v>
      </c>
      <c r="I2477" s="33" t="s">
        <v>6396</v>
      </c>
      <c r="J2477" s="33">
        <v>203011</v>
      </c>
      <c r="K2477" s="33" t="s">
        <v>6525</v>
      </c>
      <c r="L2477" s="33" t="s">
        <v>6526</v>
      </c>
      <c r="M2477" s="33" t="s">
        <v>6527</v>
      </c>
      <c r="N2477" s="44">
        <v>42271723</v>
      </c>
      <c r="O2477" s="33" t="s">
        <v>6572</v>
      </c>
      <c r="P2477" s="33" t="s">
        <v>6573</v>
      </c>
      <c r="Q2477" s="34" t="s">
        <v>1494</v>
      </c>
      <c r="R2477" s="34" t="s">
        <v>1494</v>
      </c>
    </row>
    <row r="2478" spans="1:18" ht="15" customHeight="1" x14ac:dyDescent="0.25">
      <c r="A2478" t="str">
        <f>IFERROR(RANK(B2478,$B:$B,1)+COUNTIF($B$1:B2477,B2478),"")</f>
        <v/>
      </c>
      <c r="B2478" t="str">
        <f>IFERROR(SEARCH(#REF!,Table4[[#This Row],[Commodity Title]],1),"")</f>
        <v/>
      </c>
      <c r="C2478" s="35">
        <v>42271724</v>
      </c>
      <c r="D2478" s="33" t="s">
        <v>1495</v>
      </c>
      <c r="E2478" s="33" t="s">
        <v>1496</v>
      </c>
      <c r="F2478" s="33" t="s">
        <v>1497</v>
      </c>
      <c r="G2478" s="33" t="s">
        <v>6394</v>
      </c>
      <c r="H2478" s="33" t="s">
        <v>6395</v>
      </c>
      <c r="I2478" s="33" t="s">
        <v>6396</v>
      </c>
      <c r="J2478" s="33">
        <v>203012</v>
      </c>
      <c r="K2478" s="33" t="s">
        <v>6525</v>
      </c>
      <c r="L2478" s="33" t="s">
        <v>6526</v>
      </c>
      <c r="M2478" s="33" t="s">
        <v>6527</v>
      </c>
      <c r="N2478" s="44">
        <v>42271724</v>
      </c>
      <c r="O2478" s="33" t="s">
        <v>6574</v>
      </c>
      <c r="P2478" s="33" t="s">
        <v>6575</v>
      </c>
      <c r="Q2478" s="34" t="s">
        <v>1494</v>
      </c>
      <c r="R2478" s="34" t="s">
        <v>1494</v>
      </c>
    </row>
    <row r="2479" spans="1:18" ht="15" customHeight="1" x14ac:dyDescent="0.25">
      <c r="A2479" t="str">
        <f>IFERROR(RANK(B2479,$B:$B,1)+COUNTIF($B$1:B2478,B2479),"")</f>
        <v/>
      </c>
      <c r="B2479" t="str">
        <f>IFERROR(SEARCH(#REF!,Table4[[#This Row],[Commodity Title]],1),"")</f>
        <v/>
      </c>
      <c r="C2479" s="35">
        <v>42271725</v>
      </c>
      <c r="D2479" s="33" t="s">
        <v>1495</v>
      </c>
      <c r="E2479" s="33" t="s">
        <v>1496</v>
      </c>
      <c r="F2479" s="33" t="s">
        <v>1497</v>
      </c>
      <c r="G2479" s="33" t="s">
        <v>6394</v>
      </c>
      <c r="H2479" s="33" t="s">
        <v>6395</v>
      </c>
      <c r="I2479" s="33" t="s">
        <v>6396</v>
      </c>
      <c r="J2479" s="33">
        <v>203013</v>
      </c>
      <c r="K2479" s="33" t="s">
        <v>6525</v>
      </c>
      <c r="L2479" s="33" t="s">
        <v>6526</v>
      </c>
      <c r="M2479" s="33" t="s">
        <v>6527</v>
      </c>
      <c r="N2479" s="44">
        <v>42271725</v>
      </c>
      <c r="O2479" s="33" t="s">
        <v>6576</v>
      </c>
      <c r="P2479" s="33" t="s">
        <v>6577</v>
      </c>
      <c r="Q2479" s="34" t="s">
        <v>1494</v>
      </c>
      <c r="R2479" s="34" t="s">
        <v>1494</v>
      </c>
    </row>
    <row r="2480" spans="1:18" ht="15" customHeight="1" x14ac:dyDescent="0.25">
      <c r="A2480" t="str">
        <f>IFERROR(RANK(B2480,$B:$B,1)+COUNTIF($B$1:B2479,B2480),"")</f>
        <v/>
      </c>
      <c r="B2480" t="str">
        <f>IFERROR(SEARCH(#REF!,Table4[[#This Row],[Commodity Title]],1),"")</f>
        <v/>
      </c>
      <c r="C2480" s="35">
        <v>42271726</v>
      </c>
      <c r="D2480" s="33" t="s">
        <v>1495</v>
      </c>
      <c r="E2480" s="33" t="s">
        <v>1496</v>
      </c>
      <c r="F2480" s="33" t="s">
        <v>1497</v>
      </c>
      <c r="G2480" s="33" t="s">
        <v>6394</v>
      </c>
      <c r="H2480" s="33" t="s">
        <v>6395</v>
      </c>
      <c r="I2480" s="33" t="s">
        <v>6396</v>
      </c>
      <c r="J2480" s="33">
        <v>203014</v>
      </c>
      <c r="K2480" s="33" t="s">
        <v>6525</v>
      </c>
      <c r="L2480" s="33" t="s">
        <v>6526</v>
      </c>
      <c r="M2480" s="33" t="s">
        <v>6527</v>
      </c>
      <c r="N2480" s="44">
        <v>42271726</v>
      </c>
      <c r="O2480" s="33" t="s">
        <v>6578</v>
      </c>
      <c r="P2480" s="33" t="s">
        <v>6579</v>
      </c>
      <c r="Q2480" s="34" t="s">
        <v>1494</v>
      </c>
      <c r="R2480" s="34" t="s">
        <v>1494</v>
      </c>
    </row>
    <row r="2481" spans="1:18" ht="15" customHeight="1" x14ac:dyDescent="0.25">
      <c r="A2481" t="str">
        <f>IFERROR(RANK(B2481,$B:$B,1)+COUNTIF($B$1:B2480,B2481),"")</f>
        <v/>
      </c>
      <c r="B2481" t="str">
        <f>IFERROR(SEARCH(#REF!,Table4[[#This Row],[Commodity Title]],1),"")</f>
        <v/>
      </c>
      <c r="C2481" s="35">
        <v>42271727</v>
      </c>
      <c r="D2481" s="33" t="s">
        <v>1495</v>
      </c>
      <c r="E2481" s="33" t="s">
        <v>1496</v>
      </c>
      <c r="F2481" s="33" t="s">
        <v>1497</v>
      </c>
      <c r="G2481" s="33" t="s">
        <v>6394</v>
      </c>
      <c r="H2481" s="33" t="s">
        <v>6395</v>
      </c>
      <c r="I2481" s="33" t="s">
        <v>6396</v>
      </c>
      <c r="J2481" s="33">
        <v>203015</v>
      </c>
      <c r="K2481" s="33" t="s">
        <v>6525</v>
      </c>
      <c r="L2481" s="33" t="s">
        <v>6526</v>
      </c>
      <c r="M2481" s="33" t="s">
        <v>6527</v>
      </c>
      <c r="N2481" s="44">
        <v>42271727</v>
      </c>
      <c r="O2481" s="33" t="s">
        <v>6580</v>
      </c>
      <c r="P2481" s="33" t="s">
        <v>6581</v>
      </c>
      <c r="Q2481" s="34" t="s">
        <v>1494</v>
      </c>
      <c r="R2481" s="34" t="s">
        <v>1494</v>
      </c>
    </row>
    <row r="2482" spans="1:18" ht="15" customHeight="1" x14ac:dyDescent="0.25">
      <c r="A2482" t="str">
        <f>IFERROR(RANK(B2482,$B:$B,1)+COUNTIF($B$1:B2481,B2482),"")</f>
        <v/>
      </c>
      <c r="B2482" t="str">
        <f>IFERROR(SEARCH(#REF!,Table4[[#This Row],[Commodity Title]],1),"")</f>
        <v/>
      </c>
      <c r="C2482" s="33" t="s">
        <v>1494</v>
      </c>
      <c r="D2482" s="33" t="s">
        <v>1495</v>
      </c>
      <c r="E2482" s="33" t="s">
        <v>1496</v>
      </c>
      <c r="F2482" s="33" t="s">
        <v>1497</v>
      </c>
      <c r="G2482" s="33" t="s">
        <v>6394</v>
      </c>
      <c r="H2482" s="33" t="s">
        <v>6395</v>
      </c>
      <c r="I2482" s="33" t="s">
        <v>6396</v>
      </c>
      <c r="J2482" s="33">
        <v>116017</v>
      </c>
      <c r="K2482" s="33" t="s">
        <v>6582</v>
      </c>
      <c r="L2482" s="33" t="s">
        <v>6583</v>
      </c>
      <c r="M2482" s="33" t="s">
        <v>6584</v>
      </c>
      <c r="N2482" s="44" t="s">
        <v>1494</v>
      </c>
      <c r="O2482" s="33" t="s">
        <v>1494</v>
      </c>
      <c r="P2482" s="33" t="s">
        <v>1494</v>
      </c>
      <c r="Q2482" s="34" t="s">
        <v>1494</v>
      </c>
      <c r="R2482" s="34" t="s">
        <v>1494</v>
      </c>
    </row>
    <row r="2483" spans="1:18" ht="15" customHeight="1" x14ac:dyDescent="0.25">
      <c r="A2483" t="str">
        <f>IFERROR(RANK(B2483,$B:$B,1)+COUNTIF($B$1:B2482,B2483),"")</f>
        <v/>
      </c>
      <c r="B2483" t="str">
        <f>IFERROR(SEARCH(#REF!,Table4[[#This Row],[Commodity Title]],1),"")</f>
        <v/>
      </c>
      <c r="C2483" s="35">
        <v>42271801</v>
      </c>
      <c r="D2483" s="33" t="s">
        <v>1495</v>
      </c>
      <c r="E2483" s="33" t="s">
        <v>1496</v>
      </c>
      <c r="F2483" s="33" t="s">
        <v>1497</v>
      </c>
      <c r="G2483" s="33" t="s">
        <v>6394</v>
      </c>
      <c r="H2483" s="33" t="s">
        <v>6395</v>
      </c>
      <c r="I2483" s="33" t="s">
        <v>6396</v>
      </c>
      <c r="J2483" s="33">
        <v>116018</v>
      </c>
      <c r="K2483" s="33" t="s">
        <v>6582</v>
      </c>
      <c r="L2483" s="33" t="s">
        <v>6583</v>
      </c>
      <c r="M2483" s="33" t="s">
        <v>6584</v>
      </c>
      <c r="N2483" s="44">
        <v>42271801</v>
      </c>
      <c r="O2483" s="33" t="s">
        <v>6585</v>
      </c>
      <c r="P2483" s="33" t="s">
        <v>6586</v>
      </c>
      <c r="Q2483" s="34" t="s">
        <v>1494</v>
      </c>
      <c r="R2483" s="34" t="s">
        <v>1494</v>
      </c>
    </row>
    <row r="2484" spans="1:18" ht="15" customHeight="1" x14ac:dyDescent="0.25">
      <c r="A2484" t="str">
        <f>IFERROR(RANK(B2484,$B:$B,1)+COUNTIF($B$1:B2483,B2484),"")</f>
        <v/>
      </c>
      <c r="B2484" t="str">
        <f>IFERROR(SEARCH(#REF!,Table4[[#This Row],[Commodity Title]],1),"")</f>
        <v/>
      </c>
      <c r="C2484" s="35">
        <v>42271802</v>
      </c>
      <c r="D2484" s="33" t="s">
        <v>1495</v>
      </c>
      <c r="E2484" s="33" t="s">
        <v>1496</v>
      </c>
      <c r="F2484" s="33" t="s">
        <v>1497</v>
      </c>
      <c r="G2484" s="33" t="s">
        <v>6394</v>
      </c>
      <c r="H2484" s="33" t="s">
        <v>6395</v>
      </c>
      <c r="I2484" s="33" t="s">
        <v>6396</v>
      </c>
      <c r="J2484" s="33">
        <v>104341</v>
      </c>
      <c r="K2484" s="33" t="s">
        <v>6582</v>
      </c>
      <c r="L2484" s="33" t="s">
        <v>6583</v>
      </c>
      <c r="M2484" s="33" t="s">
        <v>6584</v>
      </c>
      <c r="N2484" s="44">
        <v>42271802</v>
      </c>
      <c r="O2484" s="33" t="s">
        <v>6587</v>
      </c>
      <c r="P2484" s="33" t="s">
        <v>6588</v>
      </c>
      <c r="Q2484" s="34" t="s">
        <v>1494</v>
      </c>
      <c r="R2484" s="34" t="s">
        <v>1494</v>
      </c>
    </row>
    <row r="2485" spans="1:18" ht="15" customHeight="1" x14ac:dyDescent="0.25">
      <c r="A2485" t="str">
        <f>IFERROR(RANK(B2485,$B:$B,1)+COUNTIF($B$1:B2484,B2485),"")</f>
        <v/>
      </c>
      <c r="B2485" t="str">
        <f>IFERROR(SEARCH(#REF!,Table4[[#This Row],[Commodity Title]],1),"")</f>
        <v/>
      </c>
      <c r="C2485" s="35">
        <v>42271803</v>
      </c>
      <c r="D2485" s="33" t="s">
        <v>1495</v>
      </c>
      <c r="E2485" s="33" t="s">
        <v>1496</v>
      </c>
      <c r="F2485" s="33" t="s">
        <v>1497</v>
      </c>
      <c r="G2485" s="33" t="s">
        <v>6394</v>
      </c>
      <c r="H2485" s="33" t="s">
        <v>6395</v>
      </c>
      <c r="I2485" s="33" t="s">
        <v>6396</v>
      </c>
      <c r="J2485" s="33">
        <v>142706</v>
      </c>
      <c r="K2485" s="33" t="s">
        <v>6582</v>
      </c>
      <c r="L2485" s="33" t="s">
        <v>6583</v>
      </c>
      <c r="M2485" s="33" t="s">
        <v>6584</v>
      </c>
      <c r="N2485" s="44">
        <v>42271803</v>
      </c>
      <c r="O2485" s="33" t="s">
        <v>6589</v>
      </c>
      <c r="P2485" s="33" t="s">
        <v>6590</v>
      </c>
      <c r="Q2485" s="34" t="s">
        <v>1494</v>
      </c>
      <c r="R2485" s="34" t="s">
        <v>1494</v>
      </c>
    </row>
    <row r="2486" spans="1:18" ht="15" customHeight="1" x14ac:dyDescent="0.25">
      <c r="A2486" t="str">
        <f>IFERROR(RANK(B2486,$B:$B,1)+COUNTIF($B$1:B2485,B2486),"")</f>
        <v/>
      </c>
      <c r="B2486" t="str">
        <f>IFERROR(SEARCH(#REF!,Table4[[#This Row],[Commodity Title]],1),"")</f>
        <v/>
      </c>
      <c r="C2486" s="35">
        <v>42271804</v>
      </c>
      <c r="D2486" s="33" t="s">
        <v>1495</v>
      </c>
      <c r="E2486" s="33" t="s">
        <v>1496</v>
      </c>
      <c r="F2486" s="33" t="s">
        <v>1497</v>
      </c>
      <c r="G2486" s="33" t="s">
        <v>6394</v>
      </c>
      <c r="H2486" s="33" t="s">
        <v>6395</v>
      </c>
      <c r="I2486" s="33" t="s">
        <v>6396</v>
      </c>
      <c r="J2486" s="33">
        <v>203016</v>
      </c>
      <c r="K2486" s="33" t="s">
        <v>6582</v>
      </c>
      <c r="L2486" s="33" t="s">
        <v>6583</v>
      </c>
      <c r="M2486" s="33" t="s">
        <v>6584</v>
      </c>
      <c r="N2486" s="44">
        <v>42271804</v>
      </c>
      <c r="O2486" s="33" t="s">
        <v>6591</v>
      </c>
      <c r="P2486" s="33" t="s">
        <v>6592</v>
      </c>
      <c r="Q2486" s="34" t="s">
        <v>1494</v>
      </c>
      <c r="R2486" s="34" t="s">
        <v>1494</v>
      </c>
    </row>
    <row r="2487" spans="1:18" ht="15" customHeight="1" x14ac:dyDescent="0.25">
      <c r="A2487" t="str">
        <f>IFERROR(RANK(B2487,$B:$B,1)+COUNTIF($B$1:B2486,B2487),"")</f>
        <v/>
      </c>
      <c r="B2487" t="str">
        <f>IFERROR(SEARCH(#REF!,Table4[[#This Row],[Commodity Title]],1),"")</f>
        <v/>
      </c>
      <c r="C2487" s="35">
        <v>42271805</v>
      </c>
      <c r="D2487" s="33" t="s">
        <v>1495</v>
      </c>
      <c r="E2487" s="33" t="s">
        <v>1496</v>
      </c>
      <c r="F2487" s="33" t="s">
        <v>1497</v>
      </c>
      <c r="G2487" s="33" t="s">
        <v>6394</v>
      </c>
      <c r="H2487" s="33" t="s">
        <v>6395</v>
      </c>
      <c r="I2487" s="33" t="s">
        <v>6396</v>
      </c>
      <c r="J2487" s="33">
        <v>203017</v>
      </c>
      <c r="K2487" s="33" t="s">
        <v>6582</v>
      </c>
      <c r="L2487" s="33" t="s">
        <v>6583</v>
      </c>
      <c r="M2487" s="33" t="s">
        <v>6584</v>
      </c>
      <c r="N2487" s="44">
        <v>42271805</v>
      </c>
      <c r="O2487" s="33" t="s">
        <v>6593</v>
      </c>
      <c r="P2487" s="33" t="s">
        <v>6594</v>
      </c>
      <c r="Q2487" s="34" t="s">
        <v>1494</v>
      </c>
      <c r="R2487" s="34" t="s">
        <v>1494</v>
      </c>
    </row>
    <row r="2488" spans="1:18" ht="15" customHeight="1" x14ac:dyDescent="0.25">
      <c r="A2488" t="str">
        <f>IFERROR(RANK(B2488,$B:$B,1)+COUNTIF($B$1:B2487,B2488),"")</f>
        <v/>
      </c>
      <c r="B2488" t="str">
        <f>IFERROR(SEARCH(#REF!,Table4[[#This Row],[Commodity Title]],1),"")</f>
        <v/>
      </c>
      <c r="C2488" s="35">
        <v>42271806</v>
      </c>
      <c r="D2488" s="33" t="s">
        <v>1495</v>
      </c>
      <c r="E2488" s="33" t="s">
        <v>1496</v>
      </c>
      <c r="F2488" s="33" t="s">
        <v>1497</v>
      </c>
      <c r="G2488" s="33" t="s">
        <v>6394</v>
      </c>
      <c r="H2488" s="33" t="s">
        <v>6395</v>
      </c>
      <c r="I2488" s="33" t="s">
        <v>6396</v>
      </c>
      <c r="J2488" s="33">
        <v>203018</v>
      </c>
      <c r="K2488" s="33" t="s">
        <v>6582</v>
      </c>
      <c r="L2488" s="33" t="s">
        <v>6583</v>
      </c>
      <c r="M2488" s="33" t="s">
        <v>6584</v>
      </c>
      <c r="N2488" s="44">
        <v>42271806</v>
      </c>
      <c r="O2488" s="33" t="s">
        <v>6595</v>
      </c>
      <c r="P2488" s="33" t="s">
        <v>6596</v>
      </c>
      <c r="Q2488" s="34" t="s">
        <v>1494</v>
      </c>
      <c r="R2488" s="34" t="s">
        <v>1494</v>
      </c>
    </row>
    <row r="2489" spans="1:18" ht="15" customHeight="1" x14ac:dyDescent="0.25">
      <c r="A2489" t="str">
        <f>IFERROR(RANK(B2489,$B:$B,1)+COUNTIF($B$1:B2488,B2489),"")</f>
        <v/>
      </c>
      <c r="B2489" t="str">
        <f>IFERROR(SEARCH(#REF!,Table4[[#This Row],[Commodity Title]],1),"")</f>
        <v/>
      </c>
      <c r="C2489" s="35">
        <v>42271807</v>
      </c>
      <c r="D2489" s="33" t="s">
        <v>1495</v>
      </c>
      <c r="E2489" s="33" t="s">
        <v>1496</v>
      </c>
      <c r="F2489" s="33" t="s">
        <v>1497</v>
      </c>
      <c r="G2489" s="33" t="s">
        <v>6394</v>
      </c>
      <c r="H2489" s="33" t="s">
        <v>6395</v>
      </c>
      <c r="I2489" s="33" t="s">
        <v>6396</v>
      </c>
      <c r="J2489" s="33">
        <v>203019</v>
      </c>
      <c r="K2489" s="33" t="s">
        <v>6582</v>
      </c>
      <c r="L2489" s="33" t="s">
        <v>6583</v>
      </c>
      <c r="M2489" s="33" t="s">
        <v>6584</v>
      </c>
      <c r="N2489" s="44">
        <v>42271807</v>
      </c>
      <c r="O2489" s="33" t="s">
        <v>6597</v>
      </c>
      <c r="P2489" s="33" t="s">
        <v>6598</v>
      </c>
      <c r="Q2489" s="34" t="s">
        <v>1494</v>
      </c>
      <c r="R2489" s="34" t="s">
        <v>1494</v>
      </c>
    </row>
    <row r="2490" spans="1:18" ht="15" customHeight="1" x14ac:dyDescent="0.25">
      <c r="A2490" t="str">
        <f>IFERROR(RANK(B2490,$B:$B,1)+COUNTIF($B$1:B2489,B2490),"")</f>
        <v/>
      </c>
      <c r="B2490" t="str">
        <f>IFERROR(SEARCH(#REF!,Table4[[#This Row],[Commodity Title]],1),"")</f>
        <v/>
      </c>
      <c r="C2490" s="33" t="s">
        <v>1494</v>
      </c>
      <c r="D2490" s="33" t="s">
        <v>1495</v>
      </c>
      <c r="E2490" s="33" t="s">
        <v>1496</v>
      </c>
      <c r="F2490" s="33" t="s">
        <v>1497</v>
      </c>
      <c r="G2490" s="33" t="s">
        <v>6394</v>
      </c>
      <c r="H2490" s="33" t="s">
        <v>6395</v>
      </c>
      <c r="I2490" s="33" t="s">
        <v>6396</v>
      </c>
      <c r="J2490" s="33">
        <v>116020</v>
      </c>
      <c r="K2490" s="33" t="s">
        <v>6599</v>
      </c>
      <c r="L2490" s="33" t="s">
        <v>6600</v>
      </c>
      <c r="M2490" s="33" t="s">
        <v>6601</v>
      </c>
      <c r="N2490" s="44" t="s">
        <v>1494</v>
      </c>
      <c r="O2490" s="33" t="s">
        <v>1494</v>
      </c>
      <c r="P2490" s="33" t="s">
        <v>1494</v>
      </c>
      <c r="Q2490" s="34" t="s">
        <v>1494</v>
      </c>
      <c r="R2490" s="34" t="s">
        <v>1494</v>
      </c>
    </row>
    <row r="2491" spans="1:18" ht="15" customHeight="1" x14ac:dyDescent="0.25">
      <c r="A2491" t="str">
        <f>IFERROR(RANK(B2491,$B:$B,1)+COUNTIF($B$1:B2490,B2491),"")</f>
        <v/>
      </c>
      <c r="B2491" t="str">
        <f>IFERROR(SEARCH(#REF!,Table4[[#This Row],[Commodity Title]],1),"")</f>
        <v/>
      </c>
      <c r="C2491" s="35">
        <v>42271902</v>
      </c>
      <c r="D2491" s="33" t="s">
        <v>1495</v>
      </c>
      <c r="E2491" s="33" t="s">
        <v>1496</v>
      </c>
      <c r="F2491" s="33" t="s">
        <v>1497</v>
      </c>
      <c r="G2491" s="33" t="s">
        <v>6394</v>
      </c>
      <c r="H2491" s="33" t="s">
        <v>6395</v>
      </c>
      <c r="I2491" s="33" t="s">
        <v>6396</v>
      </c>
      <c r="J2491" s="33">
        <v>116022</v>
      </c>
      <c r="K2491" s="33" t="s">
        <v>6599</v>
      </c>
      <c r="L2491" s="33" t="s">
        <v>6600</v>
      </c>
      <c r="M2491" s="33" t="s">
        <v>6601</v>
      </c>
      <c r="N2491" s="44">
        <v>42271902</v>
      </c>
      <c r="O2491" s="33" t="s">
        <v>6602</v>
      </c>
      <c r="P2491" s="33" t="s">
        <v>6603</v>
      </c>
      <c r="Q2491" s="34" t="s">
        <v>1494</v>
      </c>
      <c r="R2491" s="34" t="s">
        <v>1494</v>
      </c>
    </row>
    <row r="2492" spans="1:18" ht="15" customHeight="1" x14ac:dyDescent="0.25">
      <c r="A2492" t="str">
        <f>IFERROR(RANK(B2492,$B:$B,1)+COUNTIF($B$1:B2491,B2492),"")</f>
        <v/>
      </c>
      <c r="B2492" t="str">
        <f>IFERROR(SEARCH(#REF!,Table4[[#This Row],[Commodity Title]],1),"")</f>
        <v/>
      </c>
      <c r="C2492" s="35">
        <v>42271903</v>
      </c>
      <c r="D2492" s="33" t="s">
        <v>1495</v>
      </c>
      <c r="E2492" s="33" t="s">
        <v>1496</v>
      </c>
      <c r="F2492" s="33" t="s">
        <v>1497</v>
      </c>
      <c r="G2492" s="33" t="s">
        <v>6394</v>
      </c>
      <c r="H2492" s="33" t="s">
        <v>6395</v>
      </c>
      <c r="I2492" s="33" t="s">
        <v>6396</v>
      </c>
      <c r="J2492" s="33">
        <v>116023</v>
      </c>
      <c r="K2492" s="33" t="s">
        <v>6599</v>
      </c>
      <c r="L2492" s="33" t="s">
        <v>6600</v>
      </c>
      <c r="M2492" s="33" t="s">
        <v>6601</v>
      </c>
      <c r="N2492" s="44">
        <v>42271903</v>
      </c>
      <c r="O2492" s="33" t="s">
        <v>6604</v>
      </c>
      <c r="P2492" s="33" t="s">
        <v>6605</v>
      </c>
      <c r="Q2492" s="34" t="s">
        <v>1494</v>
      </c>
      <c r="R2492" s="34" t="s">
        <v>1494</v>
      </c>
    </row>
    <row r="2493" spans="1:18" ht="15" customHeight="1" x14ac:dyDescent="0.25">
      <c r="A2493" t="str">
        <f>IFERROR(RANK(B2493,$B:$B,1)+COUNTIF($B$1:B2492,B2493),"")</f>
        <v/>
      </c>
      <c r="B2493" t="str">
        <f>IFERROR(SEARCH(#REF!,Table4[[#This Row],[Commodity Title]],1),"")</f>
        <v/>
      </c>
      <c r="C2493" s="35">
        <v>42271904</v>
      </c>
      <c r="D2493" s="33" t="s">
        <v>1495</v>
      </c>
      <c r="E2493" s="33" t="s">
        <v>1496</v>
      </c>
      <c r="F2493" s="33" t="s">
        <v>1497</v>
      </c>
      <c r="G2493" s="33" t="s">
        <v>6394</v>
      </c>
      <c r="H2493" s="33" t="s">
        <v>6395</v>
      </c>
      <c r="I2493" s="33" t="s">
        <v>6396</v>
      </c>
      <c r="J2493" s="33">
        <v>116024</v>
      </c>
      <c r="K2493" s="33" t="s">
        <v>6599</v>
      </c>
      <c r="L2493" s="33" t="s">
        <v>6600</v>
      </c>
      <c r="M2493" s="33" t="s">
        <v>6601</v>
      </c>
      <c r="N2493" s="44">
        <v>42271904</v>
      </c>
      <c r="O2493" s="33" t="s">
        <v>6606</v>
      </c>
      <c r="P2493" s="33" t="s">
        <v>6607</v>
      </c>
      <c r="Q2493" s="34" t="s">
        <v>1494</v>
      </c>
      <c r="R2493" s="34" t="s">
        <v>1494</v>
      </c>
    </row>
    <row r="2494" spans="1:18" ht="15" customHeight="1" x14ac:dyDescent="0.25">
      <c r="A2494" t="str">
        <f>IFERROR(RANK(B2494,$B:$B,1)+COUNTIF($B$1:B2493,B2494),"")</f>
        <v/>
      </c>
      <c r="B2494" t="str">
        <f>IFERROR(SEARCH(#REF!,Table4[[#This Row],[Commodity Title]],1),"")</f>
        <v/>
      </c>
      <c r="C2494" s="35">
        <v>42271905</v>
      </c>
      <c r="D2494" s="33" t="s">
        <v>1495</v>
      </c>
      <c r="E2494" s="33" t="s">
        <v>1496</v>
      </c>
      <c r="F2494" s="33" t="s">
        <v>1497</v>
      </c>
      <c r="G2494" s="33" t="s">
        <v>6394</v>
      </c>
      <c r="H2494" s="33" t="s">
        <v>6395</v>
      </c>
      <c r="I2494" s="33" t="s">
        <v>6396</v>
      </c>
      <c r="J2494" s="33">
        <v>116025</v>
      </c>
      <c r="K2494" s="33" t="s">
        <v>6599</v>
      </c>
      <c r="L2494" s="33" t="s">
        <v>6600</v>
      </c>
      <c r="M2494" s="33" t="s">
        <v>6601</v>
      </c>
      <c r="N2494" s="44">
        <v>42271905</v>
      </c>
      <c r="O2494" s="33" t="s">
        <v>6608</v>
      </c>
      <c r="P2494" s="33" t="s">
        <v>6609</v>
      </c>
      <c r="Q2494" s="34" t="s">
        <v>1494</v>
      </c>
      <c r="R2494" s="34" t="s">
        <v>1494</v>
      </c>
    </row>
    <row r="2495" spans="1:18" ht="15" customHeight="1" x14ac:dyDescent="0.25">
      <c r="A2495" t="str">
        <f>IFERROR(RANK(B2495,$B:$B,1)+COUNTIF($B$1:B2494,B2495),"")</f>
        <v/>
      </c>
      <c r="B2495" t="str">
        <f>IFERROR(SEARCH(#REF!,Table4[[#This Row],[Commodity Title]],1),"")</f>
        <v/>
      </c>
      <c r="C2495" s="35">
        <v>42271906</v>
      </c>
      <c r="D2495" s="33" t="s">
        <v>1495</v>
      </c>
      <c r="E2495" s="33" t="s">
        <v>1496</v>
      </c>
      <c r="F2495" s="33" t="s">
        <v>1497</v>
      </c>
      <c r="G2495" s="33" t="s">
        <v>6394</v>
      </c>
      <c r="H2495" s="33" t="s">
        <v>6395</v>
      </c>
      <c r="I2495" s="33" t="s">
        <v>6396</v>
      </c>
      <c r="J2495" s="33">
        <v>116026</v>
      </c>
      <c r="K2495" s="33" t="s">
        <v>6599</v>
      </c>
      <c r="L2495" s="33" t="s">
        <v>6600</v>
      </c>
      <c r="M2495" s="33" t="s">
        <v>6601</v>
      </c>
      <c r="N2495" s="44">
        <v>42271906</v>
      </c>
      <c r="O2495" s="33" t="s">
        <v>6610</v>
      </c>
      <c r="P2495" s="33" t="s">
        <v>6611</v>
      </c>
      <c r="Q2495" s="34" t="s">
        <v>1494</v>
      </c>
      <c r="R2495" s="34" t="s">
        <v>1494</v>
      </c>
    </row>
    <row r="2496" spans="1:18" ht="15" customHeight="1" x14ac:dyDescent="0.25">
      <c r="A2496" t="str">
        <f>IFERROR(RANK(B2496,$B:$B,1)+COUNTIF($B$1:B2495,B2496),"")</f>
        <v/>
      </c>
      <c r="B2496" t="str">
        <f>IFERROR(SEARCH(#REF!,Table4[[#This Row],[Commodity Title]],1),"")</f>
        <v/>
      </c>
      <c r="C2496" s="35">
        <v>42271907</v>
      </c>
      <c r="D2496" s="33" t="s">
        <v>1495</v>
      </c>
      <c r="E2496" s="33" t="s">
        <v>1496</v>
      </c>
      <c r="F2496" s="33" t="s">
        <v>1497</v>
      </c>
      <c r="G2496" s="33" t="s">
        <v>6394</v>
      </c>
      <c r="H2496" s="33" t="s">
        <v>6395</v>
      </c>
      <c r="I2496" s="33" t="s">
        <v>6396</v>
      </c>
      <c r="J2496" s="33">
        <v>116027</v>
      </c>
      <c r="K2496" s="33" t="s">
        <v>6599</v>
      </c>
      <c r="L2496" s="33" t="s">
        <v>6600</v>
      </c>
      <c r="M2496" s="33" t="s">
        <v>6601</v>
      </c>
      <c r="N2496" s="44">
        <v>42271907</v>
      </c>
      <c r="O2496" s="33" t="s">
        <v>6612</v>
      </c>
      <c r="P2496" s="33" t="s">
        <v>6613</v>
      </c>
      <c r="Q2496" s="34" t="s">
        <v>1494</v>
      </c>
      <c r="R2496" s="34" t="s">
        <v>1494</v>
      </c>
    </row>
    <row r="2497" spans="1:18" ht="15" customHeight="1" x14ac:dyDescent="0.25">
      <c r="A2497" t="str">
        <f>IFERROR(RANK(B2497,$B:$B,1)+COUNTIF($B$1:B2496,B2497),"")</f>
        <v/>
      </c>
      <c r="B2497" t="str">
        <f>IFERROR(SEARCH(#REF!,Table4[[#This Row],[Commodity Title]],1),"")</f>
        <v/>
      </c>
      <c r="C2497" s="35">
        <v>42271908</v>
      </c>
      <c r="D2497" s="33" t="s">
        <v>1495</v>
      </c>
      <c r="E2497" s="33" t="s">
        <v>1496</v>
      </c>
      <c r="F2497" s="33" t="s">
        <v>1497</v>
      </c>
      <c r="G2497" s="33" t="s">
        <v>6394</v>
      </c>
      <c r="H2497" s="33" t="s">
        <v>6395</v>
      </c>
      <c r="I2497" s="33" t="s">
        <v>6396</v>
      </c>
      <c r="J2497" s="33">
        <v>116028</v>
      </c>
      <c r="K2497" s="33" t="s">
        <v>6599</v>
      </c>
      <c r="L2497" s="33" t="s">
        <v>6600</v>
      </c>
      <c r="M2497" s="33" t="s">
        <v>6601</v>
      </c>
      <c r="N2497" s="44">
        <v>42271908</v>
      </c>
      <c r="O2497" s="33" t="s">
        <v>6614</v>
      </c>
      <c r="P2497" s="33" t="s">
        <v>6615</v>
      </c>
      <c r="Q2497" s="34" t="s">
        <v>1494</v>
      </c>
      <c r="R2497" s="34" t="s">
        <v>1494</v>
      </c>
    </row>
    <row r="2498" spans="1:18" ht="15" customHeight="1" x14ac:dyDescent="0.25">
      <c r="A2498" t="str">
        <f>IFERROR(RANK(B2498,$B:$B,1)+COUNTIF($B$1:B2497,B2498),"")</f>
        <v/>
      </c>
      <c r="B2498" t="str">
        <f>IFERROR(SEARCH(#REF!,Table4[[#This Row],[Commodity Title]],1),"")</f>
        <v/>
      </c>
      <c r="C2498" s="35">
        <v>42271909</v>
      </c>
      <c r="D2498" s="33" t="s">
        <v>1495</v>
      </c>
      <c r="E2498" s="33" t="s">
        <v>1496</v>
      </c>
      <c r="F2498" s="33" t="s">
        <v>1497</v>
      </c>
      <c r="G2498" s="33" t="s">
        <v>6394</v>
      </c>
      <c r="H2498" s="33" t="s">
        <v>6395</v>
      </c>
      <c r="I2498" s="33" t="s">
        <v>6396</v>
      </c>
      <c r="J2498" s="33">
        <v>116029</v>
      </c>
      <c r="K2498" s="33" t="s">
        <v>6599</v>
      </c>
      <c r="L2498" s="33" t="s">
        <v>6600</v>
      </c>
      <c r="M2498" s="33" t="s">
        <v>6601</v>
      </c>
      <c r="N2498" s="44">
        <v>42271909</v>
      </c>
      <c r="O2498" s="33" t="s">
        <v>6616</v>
      </c>
      <c r="P2498" s="33" t="s">
        <v>6617</v>
      </c>
      <c r="Q2498" s="34" t="s">
        <v>1494</v>
      </c>
      <c r="R2498" s="34" t="s">
        <v>1494</v>
      </c>
    </row>
    <row r="2499" spans="1:18" ht="15" customHeight="1" x14ac:dyDescent="0.25">
      <c r="A2499" t="str">
        <f>IFERROR(RANK(B2499,$B:$B,1)+COUNTIF($B$1:B2498,B2499),"")</f>
        <v/>
      </c>
      <c r="B2499" t="str">
        <f>IFERROR(SEARCH(#REF!,Table4[[#This Row],[Commodity Title]],1),"")</f>
        <v/>
      </c>
      <c r="C2499" s="35">
        <v>42271910</v>
      </c>
      <c r="D2499" s="33" t="s">
        <v>1495</v>
      </c>
      <c r="E2499" s="33" t="s">
        <v>1496</v>
      </c>
      <c r="F2499" s="33" t="s">
        <v>1497</v>
      </c>
      <c r="G2499" s="33" t="s">
        <v>6394</v>
      </c>
      <c r="H2499" s="33" t="s">
        <v>6395</v>
      </c>
      <c r="I2499" s="33" t="s">
        <v>6396</v>
      </c>
      <c r="J2499" s="33">
        <v>142708</v>
      </c>
      <c r="K2499" s="33" t="s">
        <v>6599</v>
      </c>
      <c r="L2499" s="33" t="s">
        <v>6600</v>
      </c>
      <c r="M2499" s="33" t="s">
        <v>6601</v>
      </c>
      <c r="N2499" s="44">
        <v>42271910</v>
      </c>
      <c r="O2499" s="33" t="s">
        <v>6618</v>
      </c>
      <c r="P2499" s="33" t="s">
        <v>6619</v>
      </c>
      <c r="Q2499" s="34" t="s">
        <v>1494</v>
      </c>
      <c r="R2499" s="34" t="s">
        <v>1494</v>
      </c>
    </row>
    <row r="2500" spans="1:18" ht="15" customHeight="1" x14ac:dyDescent="0.25">
      <c r="A2500" t="str">
        <f>IFERROR(RANK(B2500,$B:$B,1)+COUNTIF($B$1:B2499,B2500),"")</f>
        <v/>
      </c>
      <c r="B2500" t="str">
        <f>IFERROR(SEARCH(#REF!,Table4[[#This Row],[Commodity Title]],1),"")</f>
        <v/>
      </c>
      <c r="C2500" s="35">
        <v>42271911</v>
      </c>
      <c r="D2500" s="33" t="s">
        <v>1495</v>
      </c>
      <c r="E2500" s="33" t="s">
        <v>1496</v>
      </c>
      <c r="F2500" s="33" t="s">
        <v>1497</v>
      </c>
      <c r="G2500" s="33" t="s">
        <v>6394</v>
      </c>
      <c r="H2500" s="33" t="s">
        <v>6395</v>
      </c>
      <c r="I2500" s="33" t="s">
        <v>6396</v>
      </c>
      <c r="J2500" s="33">
        <v>142709</v>
      </c>
      <c r="K2500" s="33" t="s">
        <v>6599</v>
      </c>
      <c r="L2500" s="33" t="s">
        <v>6600</v>
      </c>
      <c r="M2500" s="33" t="s">
        <v>6601</v>
      </c>
      <c r="N2500" s="44">
        <v>42271911</v>
      </c>
      <c r="O2500" s="33" t="s">
        <v>6620</v>
      </c>
      <c r="P2500" s="33" t="s">
        <v>6621</v>
      </c>
      <c r="Q2500" s="34" t="s">
        <v>1494</v>
      </c>
      <c r="R2500" s="34" t="s">
        <v>1494</v>
      </c>
    </row>
    <row r="2501" spans="1:18" ht="15" customHeight="1" x14ac:dyDescent="0.25">
      <c r="A2501" t="str">
        <f>IFERROR(RANK(B2501,$B:$B,1)+COUNTIF($B$1:B2500,B2501),"")</f>
        <v/>
      </c>
      <c r="B2501" t="str">
        <f>IFERROR(SEARCH(#REF!,Table4[[#This Row],[Commodity Title]],1),"")</f>
        <v/>
      </c>
      <c r="C2501" s="35">
        <v>42271912</v>
      </c>
      <c r="D2501" s="33" t="s">
        <v>1495</v>
      </c>
      <c r="E2501" s="33" t="s">
        <v>1496</v>
      </c>
      <c r="F2501" s="33" t="s">
        <v>1497</v>
      </c>
      <c r="G2501" s="33" t="s">
        <v>6394</v>
      </c>
      <c r="H2501" s="33" t="s">
        <v>6395</v>
      </c>
      <c r="I2501" s="33" t="s">
        <v>6396</v>
      </c>
      <c r="J2501" s="33">
        <v>142710</v>
      </c>
      <c r="K2501" s="33" t="s">
        <v>6599</v>
      </c>
      <c r="L2501" s="33" t="s">
        <v>6600</v>
      </c>
      <c r="M2501" s="33" t="s">
        <v>6601</v>
      </c>
      <c r="N2501" s="44">
        <v>42271912</v>
      </c>
      <c r="O2501" s="33" t="s">
        <v>6622</v>
      </c>
      <c r="P2501" s="33" t="s">
        <v>6623</v>
      </c>
      <c r="Q2501" s="34" t="s">
        <v>1494</v>
      </c>
      <c r="R2501" s="34" t="s">
        <v>1494</v>
      </c>
    </row>
    <row r="2502" spans="1:18" ht="15" customHeight="1" x14ac:dyDescent="0.25">
      <c r="A2502" t="str">
        <f>IFERROR(RANK(B2502,$B:$B,1)+COUNTIF($B$1:B2501,B2502),"")</f>
        <v/>
      </c>
      <c r="B2502" t="str">
        <f>IFERROR(SEARCH(#REF!,Table4[[#This Row],[Commodity Title]],1),"")</f>
        <v/>
      </c>
      <c r="C2502" s="35">
        <v>42271913</v>
      </c>
      <c r="D2502" s="33" t="s">
        <v>1495</v>
      </c>
      <c r="E2502" s="33" t="s">
        <v>1496</v>
      </c>
      <c r="F2502" s="33" t="s">
        <v>1497</v>
      </c>
      <c r="G2502" s="33" t="s">
        <v>6394</v>
      </c>
      <c r="H2502" s="33" t="s">
        <v>6395</v>
      </c>
      <c r="I2502" s="33" t="s">
        <v>6396</v>
      </c>
      <c r="J2502" s="33">
        <v>142711</v>
      </c>
      <c r="K2502" s="33" t="s">
        <v>6599</v>
      </c>
      <c r="L2502" s="33" t="s">
        <v>6600</v>
      </c>
      <c r="M2502" s="33" t="s">
        <v>6601</v>
      </c>
      <c r="N2502" s="44">
        <v>42271913</v>
      </c>
      <c r="O2502" s="33" t="s">
        <v>6624</v>
      </c>
      <c r="P2502" s="33" t="s">
        <v>6625</v>
      </c>
      <c r="Q2502" s="34" t="s">
        <v>1494</v>
      </c>
      <c r="R2502" s="34" t="s">
        <v>1494</v>
      </c>
    </row>
    <row r="2503" spans="1:18" ht="15" customHeight="1" x14ac:dyDescent="0.25">
      <c r="A2503" t="str">
        <f>IFERROR(RANK(B2503,$B:$B,1)+COUNTIF($B$1:B2502,B2503),"")</f>
        <v/>
      </c>
      <c r="B2503" t="str">
        <f>IFERROR(SEARCH(#REF!,Table4[[#This Row],[Commodity Title]],1),"")</f>
        <v/>
      </c>
      <c r="C2503" s="35">
        <v>42271914</v>
      </c>
      <c r="D2503" s="33" t="s">
        <v>1495</v>
      </c>
      <c r="E2503" s="33" t="s">
        <v>1496</v>
      </c>
      <c r="F2503" s="33" t="s">
        <v>1497</v>
      </c>
      <c r="G2503" s="33" t="s">
        <v>6394</v>
      </c>
      <c r="H2503" s="33" t="s">
        <v>6395</v>
      </c>
      <c r="I2503" s="33" t="s">
        <v>6396</v>
      </c>
      <c r="J2503" s="33">
        <v>142712</v>
      </c>
      <c r="K2503" s="33" t="s">
        <v>6599</v>
      </c>
      <c r="L2503" s="33" t="s">
        <v>6600</v>
      </c>
      <c r="M2503" s="33" t="s">
        <v>6601</v>
      </c>
      <c r="N2503" s="44">
        <v>42271914</v>
      </c>
      <c r="O2503" s="33" t="s">
        <v>6626</v>
      </c>
      <c r="P2503" s="33" t="s">
        <v>6627</v>
      </c>
      <c r="Q2503" s="34" t="s">
        <v>1494</v>
      </c>
      <c r="R2503" s="34" t="s">
        <v>1494</v>
      </c>
    </row>
    <row r="2504" spans="1:18" ht="15" customHeight="1" x14ac:dyDescent="0.25">
      <c r="A2504" t="str">
        <f>IFERROR(RANK(B2504,$B:$B,1)+COUNTIF($B$1:B2503,B2504),"")</f>
        <v/>
      </c>
      <c r="B2504" t="str">
        <f>IFERROR(SEARCH(#REF!,Table4[[#This Row],[Commodity Title]],1),"")</f>
        <v/>
      </c>
      <c r="C2504" s="35">
        <v>42271915</v>
      </c>
      <c r="D2504" s="33" t="s">
        <v>1495</v>
      </c>
      <c r="E2504" s="33" t="s">
        <v>1496</v>
      </c>
      <c r="F2504" s="33" t="s">
        <v>1497</v>
      </c>
      <c r="G2504" s="33" t="s">
        <v>6394</v>
      </c>
      <c r="H2504" s="33" t="s">
        <v>6395</v>
      </c>
      <c r="I2504" s="33" t="s">
        <v>6396</v>
      </c>
      <c r="J2504" s="33">
        <v>143499</v>
      </c>
      <c r="K2504" s="33" t="s">
        <v>6599</v>
      </c>
      <c r="L2504" s="33" t="s">
        <v>6600</v>
      </c>
      <c r="M2504" s="33" t="s">
        <v>6601</v>
      </c>
      <c r="N2504" s="44">
        <v>42271915</v>
      </c>
      <c r="O2504" s="33" t="s">
        <v>6628</v>
      </c>
      <c r="P2504" s="33" t="s">
        <v>6629</v>
      </c>
      <c r="Q2504" s="34" t="s">
        <v>1494</v>
      </c>
      <c r="R2504" s="34" t="s">
        <v>1494</v>
      </c>
    </row>
    <row r="2505" spans="1:18" ht="15" customHeight="1" x14ac:dyDescent="0.25">
      <c r="A2505" t="str">
        <f>IFERROR(RANK(B2505,$B:$B,1)+COUNTIF($B$1:B2504,B2505),"")</f>
        <v/>
      </c>
      <c r="B2505" t="str">
        <f>IFERROR(SEARCH(#REF!,Table4[[#This Row],[Commodity Title]],1),"")</f>
        <v/>
      </c>
      <c r="C2505" s="35">
        <v>42271916</v>
      </c>
      <c r="D2505" s="33" t="s">
        <v>1495</v>
      </c>
      <c r="E2505" s="33" t="s">
        <v>1496</v>
      </c>
      <c r="F2505" s="33" t="s">
        <v>1497</v>
      </c>
      <c r="G2505" s="33" t="s">
        <v>6394</v>
      </c>
      <c r="H2505" s="33" t="s">
        <v>6395</v>
      </c>
      <c r="I2505" s="33" t="s">
        <v>6396</v>
      </c>
      <c r="J2505" s="33">
        <v>145305</v>
      </c>
      <c r="K2505" s="33" t="s">
        <v>6599</v>
      </c>
      <c r="L2505" s="33" t="s">
        <v>6600</v>
      </c>
      <c r="M2505" s="33" t="s">
        <v>6601</v>
      </c>
      <c r="N2505" s="44">
        <v>42271916</v>
      </c>
      <c r="O2505" s="33" t="s">
        <v>6630</v>
      </c>
      <c r="P2505" s="33" t="s">
        <v>6631</v>
      </c>
      <c r="Q2505" s="34" t="s">
        <v>1494</v>
      </c>
      <c r="R2505" s="34" t="s">
        <v>1494</v>
      </c>
    </row>
    <row r="2506" spans="1:18" ht="15" customHeight="1" x14ac:dyDescent="0.25">
      <c r="A2506" t="str">
        <f>IFERROR(RANK(B2506,$B:$B,1)+COUNTIF($B$1:B2505,B2506),"")</f>
        <v/>
      </c>
      <c r="B2506" t="str">
        <f>IFERROR(SEARCH(#REF!,Table4[[#This Row],[Commodity Title]],1),"")</f>
        <v/>
      </c>
      <c r="C2506" s="35">
        <v>42271917</v>
      </c>
      <c r="D2506" s="33" t="s">
        <v>1495</v>
      </c>
      <c r="E2506" s="33" t="s">
        <v>1496</v>
      </c>
      <c r="F2506" s="33" t="s">
        <v>1497</v>
      </c>
      <c r="G2506" s="33" t="s">
        <v>6394</v>
      </c>
      <c r="H2506" s="33" t="s">
        <v>6395</v>
      </c>
      <c r="I2506" s="33" t="s">
        <v>6396</v>
      </c>
      <c r="J2506" s="33">
        <v>203020</v>
      </c>
      <c r="K2506" s="33" t="s">
        <v>6599</v>
      </c>
      <c r="L2506" s="33" t="s">
        <v>6600</v>
      </c>
      <c r="M2506" s="33" t="s">
        <v>6601</v>
      </c>
      <c r="N2506" s="44">
        <v>42271917</v>
      </c>
      <c r="O2506" s="33" t="s">
        <v>6632</v>
      </c>
      <c r="P2506" s="33" t="s">
        <v>6633</v>
      </c>
      <c r="Q2506" s="34" t="s">
        <v>1494</v>
      </c>
      <c r="R2506" s="34" t="s">
        <v>1494</v>
      </c>
    </row>
    <row r="2507" spans="1:18" ht="15" customHeight="1" x14ac:dyDescent="0.25">
      <c r="A2507" t="str">
        <f>IFERROR(RANK(B2507,$B:$B,1)+COUNTIF($B$1:B2506,B2507),"")</f>
        <v/>
      </c>
      <c r="B2507" t="str">
        <f>IFERROR(SEARCH(#REF!,Table4[[#This Row],[Commodity Title]],1),"")</f>
        <v/>
      </c>
      <c r="C2507" s="35">
        <v>42271918</v>
      </c>
      <c r="D2507" s="33" t="s">
        <v>1495</v>
      </c>
      <c r="E2507" s="33" t="s">
        <v>1496</v>
      </c>
      <c r="F2507" s="33" t="s">
        <v>1497</v>
      </c>
      <c r="G2507" s="33" t="s">
        <v>6394</v>
      </c>
      <c r="H2507" s="33" t="s">
        <v>6395</v>
      </c>
      <c r="I2507" s="33" t="s">
        <v>6396</v>
      </c>
      <c r="J2507" s="33">
        <v>203021</v>
      </c>
      <c r="K2507" s="33" t="s">
        <v>6599</v>
      </c>
      <c r="L2507" s="33" t="s">
        <v>6600</v>
      </c>
      <c r="M2507" s="33" t="s">
        <v>6601</v>
      </c>
      <c r="N2507" s="44">
        <v>42271918</v>
      </c>
      <c r="O2507" s="33" t="s">
        <v>6634</v>
      </c>
      <c r="P2507" s="33" t="s">
        <v>6635</v>
      </c>
      <c r="Q2507" s="34" t="s">
        <v>1494</v>
      </c>
      <c r="R2507" s="34" t="s">
        <v>1494</v>
      </c>
    </row>
    <row r="2508" spans="1:18" ht="15" customHeight="1" x14ac:dyDescent="0.25">
      <c r="A2508" t="str">
        <f>IFERROR(RANK(B2508,$B:$B,1)+COUNTIF($B$1:B2507,B2508),"")</f>
        <v/>
      </c>
      <c r="B2508" t="str">
        <f>IFERROR(SEARCH(#REF!,Table4[[#This Row],[Commodity Title]],1),"")</f>
        <v/>
      </c>
      <c r="C2508" s="35">
        <v>42271919</v>
      </c>
      <c r="D2508" s="33" t="s">
        <v>1495</v>
      </c>
      <c r="E2508" s="33" t="s">
        <v>1496</v>
      </c>
      <c r="F2508" s="33" t="s">
        <v>1497</v>
      </c>
      <c r="G2508" s="33" t="s">
        <v>6394</v>
      </c>
      <c r="H2508" s="33" t="s">
        <v>6395</v>
      </c>
      <c r="I2508" s="33" t="s">
        <v>6396</v>
      </c>
      <c r="J2508" s="33">
        <v>203022</v>
      </c>
      <c r="K2508" s="33" t="s">
        <v>6599</v>
      </c>
      <c r="L2508" s="33" t="s">
        <v>6600</v>
      </c>
      <c r="M2508" s="33" t="s">
        <v>6601</v>
      </c>
      <c r="N2508" s="44">
        <v>42271919</v>
      </c>
      <c r="O2508" s="33" t="s">
        <v>6636</v>
      </c>
      <c r="P2508" s="33" t="s">
        <v>6637</v>
      </c>
      <c r="Q2508" s="34" t="s">
        <v>1494</v>
      </c>
      <c r="R2508" s="34" t="s">
        <v>1494</v>
      </c>
    </row>
    <row r="2509" spans="1:18" ht="15" customHeight="1" x14ac:dyDescent="0.25">
      <c r="A2509" t="str">
        <f>IFERROR(RANK(B2509,$B:$B,1)+COUNTIF($B$1:B2508,B2509),"")</f>
        <v/>
      </c>
      <c r="B2509" t="str">
        <f>IFERROR(SEARCH(#REF!,Table4[[#This Row],[Commodity Title]],1),"")</f>
        <v/>
      </c>
      <c r="C2509" s="35">
        <v>42271920</v>
      </c>
      <c r="D2509" s="33" t="s">
        <v>1495</v>
      </c>
      <c r="E2509" s="33" t="s">
        <v>1496</v>
      </c>
      <c r="F2509" s="33" t="s">
        <v>1497</v>
      </c>
      <c r="G2509" s="33" t="s">
        <v>6394</v>
      </c>
      <c r="H2509" s="33" t="s">
        <v>6395</v>
      </c>
      <c r="I2509" s="33" t="s">
        <v>6396</v>
      </c>
      <c r="J2509" s="33">
        <v>203023</v>
      </c>
      <c r="K2509" s="33" t="s">
        <v>6599</v>
      </c>
      <c r="L2509" s="33" t="s">
        <v>6600</v>
      </c>
      <c r="M2509" s="33" t="s">
        <v>6601</v>
      </c>
      <c r="N2509" s="44">
        <v>42271920</v>
      </c>
      <c r="O2509" s="33" t="s">
        <v>6638</v>
      </c>
      <c r="P2509" s="33" t="s">
        <v>6639</v>
      </c>
      <c r="Q2509" s="34" t="s">
        <v>1494</v>
      </c>
      <c r="R2509" s="34" t="s">
        <v>1494</v>
      </c>
    </row>
    <row r="2510" spans="1:18" ht="15" customHeight="1" x14ac:dyDescent="0.25">
      <c r="A2510" t="str">
        <f>IFERROR(RANK(B2510,$B:$B,1)+COUNTIF($B$1:B2509,B2510),"")</f>
        <v/>
      </c>
      <c r="B2510" t="str">
        <f>IFERROR(SEARCH(#REF!,Table4[[#This Row],[Commodity Title]],1),"")</f>
        <v/>
      </c>
      <c r="C2510" s="35">
        <v>42271921</v>
      </c>
      <c r="D2510" s="33" t="s">
        <v>1495</v>
      </c>
      <c r="E2510" s="33" t="s">
        <v>1496</v>
      </c>
      <c r="F2510" s="33" t="s">
        <v>1497</v>
      </c>
      <c r="G2510" s="33" t="s">
        <v>6394</v>
      </c>
      <c r="H2510" s="33" t="s">
        <v>6395</v>
      </c>
      <c r="I2510" s="33" t="s">
        <v>6396</v>
      </c>
      <c r="J2510" s="33">
        <v>203024</v>
      </c>
      <c r="K2510" s="33" t="s">
        <v>6599</v>
      </c>
      <c r="L2510" s="33" t="s">
        <v>6600</v>
      </c>
      <c r="M2510" s="33" t="s">
        <v>6601</v>
      </c>
      <c r="N2510" s="44">
        <v>42271921</v>
      </c>
      <c r="O2510" s="33" t="s">
        <v>6640</v>
      </c>
      <c r="P2510" s="33" t="s">
        <v>6641</v>
      </c>
      <c r="Q2510" s="34" t="s">
        <v>1494</v>
      </c>
      <c r="R2510" s="34" t="s">
        <v>1494</v>
      </c>
    </row>
    <row r="2511" spans="1:18" ht="15" customHeight="1" x14ac:dyDescent="0.25">
      <c r="A2511" t="str">
        <f>IFERROR(RANK(B2511,$B:$B,1)+COUNTIF($B$1:B2510,B2511),"")</f>
        <v/>
      </c>
      <c r="B2511" t="str">
        <f>IFERROR(SEARCH(#REF!,Table4[[#This Row],[Commodity Title]],1),"")</f>
        <v/>
      </c>
      <c r="C2511" s="35">
        <v>42271922</v>
      </c>
      <c r="D2511" s="33" t="s">
        <v>1495</v>
      </c>
      <c r="E2511" s="33" t="s">
        <v>1496</v>
      </c>
      <c r="F2511" s="33" t="s">
        <v>1497</v>
      </c>
      <c r="G2511" s="33" t="s">
        <v>6394</v>
      </c>
      <c r="H2511" s="33" t="s">
        <v>6395</v>
      </c>
      <c r="I2511" s="33" t="s">
        <v>6396</v>
      </c>
      <c r="J2511" s="33">
        <v>203025</v>
      </c>
      <c r="K2511" s="33" t="s">
        <v>6599</v>
      </c>
      <c r="L2511" s="33" t="s">
        <v>6600</v>
      </c>
      <c r="M2511" s="33" t="s">
        <v>6601</v>
      </c>
      <c r="N2511" s="44">
        <v>42271922</v>
      </c>
      <c r="O2511" s="33" t="s">
        <v>6642</v>
      </c>
      <c r="P2511" s="33" t="s">
        <v>6643</v>
      </c>
      <c r="Q2511" s="34" t="s">
        <v>1494</v>
      </c>
      <c r="R2511" s="34" t="s">
        <v>1494</v>
      </c>
    </row>
    <row r="2512" spans="1:18" ht="15" customHeight="1" x14ac:dyDescent="0.25">
      <c r="A2512" t="str">
        <f>IFERROR(RANK(B2512,$B:$B,1)+COUNTIF($B$1:B2511,B2512),"")</f>
        <v/>
      </c>
      <c r="B2512" t="str">
        <f>IFERROR(SEARCH(#REF!,Table4[[#This Row],[Commodity Title]],1),"")</f>
        <v/>
      </c>
      <c r="C2512" s="35">
        <v>42271923</v>
      </c>
      <c r="D2512" s="33" t="s">
        <v>1495</v>
      </c>
      <c r="E2512" s="33" t="s">
        <v>1496</v>
      </c>
      <c r="F2512" s="33" t="s">
        <v>1497</v>
      </c>
      <c r="G2512" s="33" t="s">
        <v>6394</v>
      </c>
      <c r="H2512" s="33" t="s">
        <v>6395</v>
      </c>
      <c r="I2512" s="33" t="s">
        <v>6396</v>
      </c>
      <c r="J2512" s="33">
        <v>203026</v>
      </c>
      <c r="K2512" s="33" t="s">
        <v>6599</v>
      </c>
      <c r="L2512" s="33" t="s">
        <v>6600</v>
      </c>
      <c r="M2512" s="33" t="s">
        <v>6601</v>
      </c>
      <c r="N2512" s="44">
        <v>42271923</v>
      </c>
      <c r="O2512" s="33" t="s">
        <v>6644</v>
      </c>
      <c r="P2512" s="33" t="s">
        <v>6645</v>
      </c>
      <c r="Q2512" s="34" t="s">
        <v>1494</v>
      </c>
      <c r="R2512" s="34" t="s">
        <v>1494</v>
      </c>
    </row>
    <row r="2513" spans="1:18" ht="15" customHeight="1" x14ac:dyDescent="0.25">
      <c r="A2513" t="str">
        <f>IFERROR(RANK(B2513,$B:$B,1)+COUNTIF($B$1:B2512,B2513),"")</f>
        <v/>
      </c>
      <c r="B2513" t="str">
        <f>IFERROR(SEARCH(#REF!,Table4[[#This Row],[Commodity Title]],1),"")</f>
        <v/>
      </c>
      <c r="C2513" s="35">
        <v>42271924</v>
      </c>
      <c r="D2513" s="33" t="s">
        <v>1495</v>
      </c>
      <c r="E2513" s="33" t="s">
        <v>1496</v>
      </c>
      <c r="F2513" s="33" t="s">
        <v>1497</v>
      </c>
      <c r="G2513" s="33" t="s">
        <v>6394</v>
      </c>
      <c r="H2513" s="33" t="s">
        <v>6395</v>
      </c>
      <c r="I2513" s="33" t="s">
        <v>6396</v>
      </c>
      <c r="J2513" s="33">
        <v>203027</v>
      </c>
      <c r="K2513" s="33" t="s">
        <v>6599</v>
      </c>
      <c r="L2513" s="33" t="s">
        <v>6600</v>
      </c>
      <c r="M2513" s="33" t="s">
        <v>6601</v>
      </c>
      <c r="N2513" s="44">
        <v>42271924</v>
      </c>
      <c r="O2513" s="33" t="s">
        <v>6646</v>
      </c>
      <c r="P2513" s="33" t="s">
        <v>6647</v>
      </c>
      <c r="Q2513" s="34" t="s">
        <v>1494</v>
      </c>
      <c r="R2513" s="34" t="s">
        <v>1494</v>
      </c>
    </row>
    <row r="2514" spans="1:18" ht="15" customHeight="1" x14ac:dyDescent="0.25">
      <c r="A2514" t="str">
        <f>IFERROR(RANK(B2514,$B:$B,1)+COUNTIF($B$1:B2513,B2514),"")</f>
        <v/>
      </c>
      <c r="B2514" t="str">
        <f>IFERROR(SEARCH(#REF!,Table4[[#This Row],[Commodity Title]],1),"")</f>
        <v/>
      </c>
      <c r="C2514" s="35">
        <v>42271925</v>
      </c>
      <c r="D2514" s="33" t="s">
        <v>1495</v>
      </c>
      <c r="E2514" s="33" t="s">
        <v>1496</v>
      </c>
      <c r="F2514" s="33" t="s">
        <v>1497</v>
      </c>
      <c r="G2514" s="33" t="s">
        <v>6394</v>
      </c>
      <c r="H2514" s="33" t="s">
        <v>6395</v>
      </c>
      <c r="I2514" s="33" t="s">
        <v>6396</v>
      </c>
      <c r="J2514" s="33">
        <v>203028</v>
      </c>
      <c r="K2514" s="33" t="s">
        <v>6599</v>
      </c>
      <c r="L2514" s="33" t="s">
        <v>6600</v>
      </c>
      <c r="M2514" s="33" t="s">
        <v>6601</v>
      </c>
      <c r="N2514" s="44">
        <v>42271925</v>
      </c>
      <c r="O2514" s="33" t="s">
        <v>6648</v>
      </c>
      <c r="P2514" s="33" t="s">
        <v>6649</v>
      </c>
      <c r="Q2514" s="34" t="s">
        <v>1494</v>
      </c>
      <c r="R2514" s="34" t="s">
        <v>1494</v>
      </c>
    </row>
    <row r="2515" spans="1:18" ht="15" customHeight="1" x14ac:dyDescent="0.25">
      <c r="A2515" t="str">
        <f>IFERROR(RANK(B2515,$B:$B,1)+COUNTIF($B$1:B2514,B2515),"")</f>
        <v/>
      </c>
      <c r="B2515" t="str">
        <f>IFERROR(SEARCH(#REF!,Table4[[#This Row],[Commodity Title]],1),"")</f>
        <v/>
      </c>
      <c r="C2515" s="35">
        <v>42271926</v>
      </c>
      <c r="D2515" s="33" t="s">
        <v>1495</v>
      </c>
      <c r="E2515" s="33" t="s">
        <v>1496</v>
      </c>
      <c r="F2515" s="33" t="s">
        <v>1497</v>
      </c>
      <c r="G2515" s="33" t="s">
        <v>6394</v>
      </c>
      <c r="H2515" s="33" t="s">
        <v>6395</v>
      </c>
      <c r="I2515" s="33" t="s">
        <v>6396</v>
      </c>
      <c r="J2515" s="33">
        <v>203029</v>
      </c>
      <c r="K2515" s="33" t="s">
        <v>6599</v>
      </c>
      <c r="L2515" s="33" t="s">
        <v>6600</v>
      </c>
      <c r="M2515" s="33" t="s">
        <v>6601</v>
      </c>
      <c r="N2515" s="44">
        <v>42271926</v>
      </c>
      <c r="O2515" s="33" t="s">
        <v>6650</v>
      </c>
      <c r="P2515" s="33" t="s">
        <v>6651</v>
      </c>
      <c r="Q2515" s="34" t="s">
        <v>1494</v>
      </c>
      <c r="R2515" s="34" t="s">
        <v>1494</v>
      </c>
    </row>
    <row r="2516" spans="1:18" ht="15" customHeight="1" x14ac:dyDescent="0.25">
      <c r="A2516" t="str">
        <f>IFERROR(RANK(B2516,$B:$B,1)+COUNTIF($B$1:B2515,B2516),"")</f>
        <v/>
      </c>
      <c r="B2516" t="str">
        <f>IFERROR(SEARCH(#REF!,Table4[[#This Row],[Commodity Title]],1),"")</f>
        <v/>
      </c>
      <c r="C2516" s="35">
        <v>42271927</v>
      </c>
      <c r="D2516" s="33" t="s">
        <v>1495</v>
      </c>
      <c r="E2516" s="33" t="s">
        <v>1496</v>
      </c>
      <c r="F2516" s="33" t="s">
        <v>1497</v>
      </c>
      <c r="G2516" s="33" t="s">
        <v>6394</v>
      </c>
      <c r="H2516" s="33" t="s">
        <v>6395</v>
      </c>
      <c r="I2516" s="33" t="s">
        <v>6396</v>
      </c>
      <c r="J2516" s="33">
        <v>203030</v>
      </c>
      <c r="K2516" s="33" t="s">
        <v>6599</v>
      </c>
      <c r="L2516" s="33" t="s">
        <v>6600</v>
      </c>
      <c r="M2516" s="33" t="s">
        <v>6601</v>
      </c>
      <c r="N2516" s="44">
        <v>42271927</v>
      </c>
      <c r="O2516" s="33" t="s">
        <v>6652</v>
      </c>
      <c r="P2516" s="33" t="s">
        <v>6653</v>
      </c>
      <c r="Q2516" s="34" t="s">
        <v>1494</v>
      </c>
      <c r="R2516" s="34" t="s">
        <v>1494</v>
      </c>
    </row>
    <row r="2517" spans="1:18" ht="15" customHeight="1" x14ac:dyDescent="0.25">
      <c r="A2517" t="str">
        <f>IFERROR(RANK(B2517,$B:$B,1)+COUNTIF($B$1:B2516,B2517),"")</f>
        <v/>
      </c>
      <c r="B2517" t="str">
        <f>IFERROR(SEARCH(#REF!,Table4[[#This Row],[Commodity Title]],1),"")</f>
        <v/>
      </c>
      <c r="C2517" s="35">
        <v>42271928</v>
      </c>
      <c r="D2517" s="33" t="s">
        <v>1495</v>
      </c>
      <c r="E2517" s="33" t="s">
        <v>1496</v>
      </c>
      <c r="F2517" s="33" t="s">
        <v>1497</v>
      </c>
      <c r="G2517" s="33" t="s">
        <v>6394</v>
      </c>
      <c r="H2517" s="33" t="s">
        <v>6395</v>
      </c>
      <c r="I2517" s="33" t="s">
        <v>6396</v>
      </c>
      <c r="J2517" s="33">
        <v>203031</v>
      </c>
      <c r="K2517" s="33" t="s">
        <v>6599</v>
      </c>
      <c r="L2517" s="33" t="s">
        <v>6600</v>
      </c>
      <c r="M2517" s="33" t="s">
        <v>6601</v>
      </c>
      <c r="N2517" s="44">
        <v>42271928</v>
      </c>
      <c r="O2517" s="33" t="s">
        <v>6654</v>
      </c>
      <c r="P2517" s="33" t="s">
        <v>6655</v>
      </c>
      <c r="Q2517" s="34" t="s">
        <v>1494</v>
      </c>
      <c r="R2517" s="34" t="s">
        <v>1494</v>
      </c>
    </row>
    <row r="2518" spans="1:18" ht="15" customHeight="1" x14ac:dyDescent="0.25">
      <c r="A2518" t="str">
        <f>IFERROR(RANK(B2518,$B:$B,1)+COUNTIF($B$1:B2517,B2518),"")</f>
        <v/>
      </c>
      <c r="B2518" t="str">
        <f>IFERROR(SEARCH(#REF!,Table4[[#This Row],[Commodity Title]],1),"")</f>
        <v/>
      </c>
      <c r="C2518" s="35">
        <v>42271929</v>
      </c>
      <c r="D2518" s="33" t="s">
        <v>1495</v>
      </c>
      <c r="E2518" s="33" t="s">
        <v>1496</v>
      </c>
      <c r="F2518" s="33" t="s">
        <v>1497</v>
      </c>
      <c r="G2518" s="33" t="s">
        <v>6394</v>
      </c>
      <c r="H2518" s="33" t="s">
        <v>6395</v>
      </c>
      <c r="I2518" s="33" t="s">
        <v>6396</v>
      </c>
      <c r="J2518" s="33">
        <v>203032</v>
      </c>
      <c r="K2518" s="33" t="s">
        <v>6599</v>
      </c>
      <c r="L2518" s="33" t="s">
        <v>6600</v>
      </c>
      <c r="M2518" s="33" t="s">
        <v>6601</v>
      </c>
      <c r="N2518" s="44">
        <v>42271929</v>
      </c>
      <c r="O2518" s="33" t="s">
        <v>6656</v>
      </c>
      <c r="P2518" s="33" t="s">
        <v>6657</v>
      </c>
      <c r="Q2518" s="34" t="s">
        <v>1494</v>
      </c>
      <c r="R2518" s="34" t="s">
        <v>1494</v>
      </c>
    </row>
    <row r="2519" spans="1:18" ht="15" customHeight="1" x14ac:dyDescent="0.25">
      <c r="A2519" t="str">
        <f>IFERROR(RANK(B2519,$B:$B,1)+COUNTIF($B$1:B2518,B2519),"")</f>
        <v/>
      </c>
      <c r="B2519" t="str">
        <f>IFERROR(SEARCH(#REF!,Table4[[#This Row],[Commodity Title]],1),"")</f>
        <v/>
      </c>
      <c r="C2519" s="35">
        <v>42271930</v>
      </c>
      <c r="D2519" s="33" t="s">
        <v>1495</v>
      </c>
      <c r="E2519" s="33" t="s">
        <v>1496</v>
      </c>
      <c r="F2519" s="33" t="s">
        <v>1497</v>
      </c>
      <c r="G2519" s="33" t="s">
        <v>6394</v>
      </c>
      <c r="H2519" s="33" t="s">
        <v>6395</v>
      </c>
      <c r="I2519" s="33" t="s">
        <v>6396</v>
      </c>
      <c r="J2519" s="33">
        <v>203033</v>
      </c>
      <c r="K2519" s="33" t="s">
        <v>6599</v>
      </c>
      <c r="L2519" s="33" t="s">
        <v>6600</v>
      </c>
      <c r="M2519" s="33" t="s">
        <v>6601</v>
      </c>
      <c r="N2519" s="44">
        <v>42271930</v>
      </c>
      <c r="O2519" s="33" t="s">
        <v>6658</v>
      </c>
      <c r="P2519" s="33" t="s">
        <v>6659</v>
      </c>
      <c r="Q2519" s="34" t="s">
        <v>1494</v>
      </c>
      <c r="R2519" s="34" t="s">
        <v>1494</v>
      </c>
    </row>
    <row r="2520" spans="1:18" ht="15" customHeight="1" x14ac:dyDescent="0.25">
      <c r="A2520" t="str">
        <f>IFERROR(RANK(B2520,$B:$B,1)+COUNTIF($B$1:B2519,B2520),"")</f>
        <v/>
      </c>
      <c r="B2520" t="str">
        <f>IFERROR(SEARCH(#REF!,Table4[[#This Row],[Commodity Title]],1),"")</f>
        <v/>
      </c>
      <c r="C2520" s="35">
        <v>42271931</v>
      </c>
      <c r="D2520" s="33" t="s">
        <v>1495</v>
      </c>
      <c r="E2520" s="33" t="s">
        <v>1496</v>
      </c>
      <c r="F2520" s="33" t="s">
        <v>1497</v>
      </c>
      <c r="G2520" s="33" t="s">
        <v>6394</v>
      </c>
      <c r="H2520" s="33" t="s">
        <v>6395</v>
      </c>
      <c r="I2520" s="33" t="s">
        <v>6396</v>
      </c>
      <c r="J2520" s="33">
        <v>203034</v>
      </c>
      <c r="K2520" s="33" t="s">
        <v>6599</v>
      </c>
      <c r="L2520" s="33" t="s">
        <v>6600</v>
      </c>
      <c r="M2520" s="33" t="s">
        <v>6601</v>
      </c>
      <c r="N2520" s="44">
        <v>42271931</v>
      </c>
      <c r="O2520" s="33" t="s">
        <v>6660</v>
      </c>
      <c r="P2520" s="33" t="s">
        <v>6661</v>
      </c>
      <c r="Q2520" s="34" t="s">
        <v>1494</v>
      </c>
      <c r="R2520" s="34" t="s">
        <v>1494</v>
      </c>
    </row>
    <row r="2521" spans="1:18" ht="15" customHeight="1" x14ac:dyDescent="0.25">
      <c r="A2521" t="str">
        <f>IFERROR(RANK(B2521,$B:$B,1)+COUNTIF($B$1:B2520,B2521),"")</f>
        <v/>
      </c>
      <c r="B2521" t="str">
        <f>IFERROR(SEARCH(#REF!,Table4[[#This Row],[Commodity Title]],1),"")</f>
        <v/>
      </c>
      <c r="C2521" s="35">
        <v>42271932</v>
      </c>
      <c r="D2521" s="33" t="s">
        <v>1495</v>
      </c>
      <c r="E2521" s="33" t="s">
        <v>1496</v>
      </c>
      <c r="F2521" s="33" t="s">
        <v>1497</v>
      </c>
      <c r="G2521" s="33" t="s">
        <v>6394</v>
      </c>
      <c r="H2521" s="33" t="s">
        <v>6395</v>
      </c>
      <c r="I2521" s="33" t="s">
        <v>6396</v>
      </c>
      <c r="J2521" s="33">
        <v>203035</v>
      </c>
      <c r="K2521" s="33" t="s">
        <v>6599</v>
      </c>
      <c r="L2521" s="33" t="s">
        <v>6600</v>
      </c>
      <c r="M2521" s="33" t="s">
        <v>6601</v>
      </c>
      <c r="N2521" s="44">
        <v>42271932</v>
      </c>
      <c r="O2521" s="33" t="s">
        <v>6662</v>
      </c>
      <c r="P2521" s="33" t="s">
        <v>6663</v>
      </c>
      <c r="Q2521" s="34" t="s">
        <v>1494</v>
      </c>
      <c r="R2521" s="34" t="s">
        <v>1494</v>
      </c>
    </row>
    <row r="2522" spans="1:18" ht="15" customHeight="1" x14ac:dyDescent="0.25">
      <c r="A2522" t="str">
        <f>IFERROR(RANK(B2522,$B:$B,1)+COUNTIF($B$1:B2521,B2522),"")</f>
        <v/>
      </c>
      <c r="B2522" t="str">
        <f>IFERROR(SEARCH(#REF!,Table4[[#This Row],[Commodity Title]],1),"")</f>
        <v/>
      </c>
      <c r="C2522" s="35">
        <v>42271933</v>
      </c>
      <c r="D2522" s="33" t="s">
        <v>1495</v>
      </c>
      <c r="E2522" s="33" t="s">
        <v>1496</v>
      </c>
      <c r="F2522" s="33" t="s">
        <v>1497</v>
      </c>
      <c r="G2522" s="33" t="s">
        <v>6394</v>
      </c>
      <c r="H2522" s="33" t="s">
        <v>6395</v>
      </c>
      <c r="I2522" s="33" t="s">
        <v>6396</v>
      </c>
      <c r="J2522" s="33">
        <v>203036</v>
      </c>
      <c r="K2522" s="33" t="s">
        <v>6599</v>
      </c>
      <c r="L2522" s="33" t="s">
        <v>6600</v>
      </c>
      <c r="M2522" s="33" t="s">
        <v>6601</v>
      </c>
      <c r="N2522" s="44">
        <v>42271933</v>
      </c>
      <c r="O2522" s="33" t="s">
        <v>6664</v>
      </c>
      <c r="P2522" s="33" t="s">
        <v>6665</v>
      </c>
      <c r="Q2522" s="34" t="s">
        <v>1494</v>
      </c>
      <c r="R2522" s="34" t="s">
        <v>1494</v>
      </c>
    </row>
    <row r="2523" spans="1:18" ht="15" customHeight="1" x14ac:dyDescent="0.25">
      <c r="A2523" t="str">
        <f>IFERROR(RANK(B2523,$B:$B,1)+COUNTIF($B$1:B2522,B2523),"")</f>
        <v/>
      </c>
      <c r="B2523" t="str">
        <f>IFERROR(SEARCH(#REF!,Table4[[#This Row],[Commodity Title]],1),"")</f>
        <v/>
      </c>
      <c r="C2523" s="35">
        <v>42271934</v>
      </c>
      <c r="D2523" s="33" t="s">
        <v>1495</v>
      </c>
      <c r="E2523" s="33" t="s">
        <v>1496</v>
      </c>
      <c r="F2523" s="33" t="s">
        <v>1497</v>
      </c>
      <c r="G2523" s="33" t="s">
        <v>6394</v>
      </c>
      <c r="H2523" s="33" t="s">
        <v>6395</v>
      </c>
      <c r="I2523" s="33" t="s">
        <v>6396</v>
      </c>
      <c r="J2523" s="33">
        <v>203037</v>
      </c>
      <c r="K2523" s="33" t="s">
        <v>6599</v>
      </c>
      <c r="L2523" s="33" t="s">
        <v>6600</v>
      </c>
      <c r="M2523" s="33" t="s">
        <v>6601</v>
      </c>
      <c r="N2523" s="44">
        <v>42271934</v>
      </c>
      <c r="O2523" s="33" t="s">
        <v>6666</v>
      </c>
      <c r="P2523" s="33" t="s">
        <v>6667</v>
      </c>
      <c r="Q2523" s="34" t="s">
        <v>1494</v>
      </c>
      <c r="R2523" s="34" t="s">
        <v>1494</v>
      </c>
    </row>
    <row r="2524" spans="1:18" ht="15" customHeight="1" x14ac:dyDescent="0.25">
      <c r="A2524" t="str">
        <f>IFERROR(RANK(B2524,$B:$B,1)+COUNTIF($B$1:B2523,B2524),"")</f>
        <v/>
      </c>
      <c r="B2524" t="str">
        <f>IFERROR(SEARCH(#REF!,Table4[[#This Row],[Commodity Title]],1),"")</f>
        <v/>
      </c>
      <c r="C2524" s="35">
        <v>42271935</v>
      </c>
      <c r="D2524" s="33" t="s">
        <v>1495</v>
      </c>
      <c r="E2524" s="33" t="s">
        <v>1496</v>
      </c>
      <c r="F2524" s="33" t="s">
        <v>1497</v>
      </c>
      <c r="G2524" s="33" t="s">
        <v>6394</v>
      </c>
      <c r="H2524" s="33" t="s">
        <v>6395</v>
      </c>
      <c r="I2524" s="33" t="s">
        <v>6396</v>
      </c>
      <c r="J2524" s="33">
        <v>203038</v>
      </c>
      <c r="K2524" s="33" t="s">
        <v>6599</v>
      </c>
      <c r="L2524" s="33" t="s">
        <v>6600</v>
      </c>
      <c r="M2524" s="33" t="s">
        <v>6601</v>
      </c>
      <c r="N2524" s="44">
        <v>42271935</v>
      </c>
      <c r="O2524" s="33" t="s">
        <v>6668</v>
      </c>
      <c r="P2524" s="33" t="s">
        <v>6669</v>
      </c>
      <c r="Q2524" s="34" t="s">
        <v>1494</v>
      </c>
      <c r="R2524" s="34" t="s">
        <v>1494</v>
      </c>
    </row>
    <row r="2525" spans="1:18" ht="15" customHeight="1" x14ac:dyDescent="0.25">
      <c r="A2525" t="str">
        <f>IFERROR(RANK(B2525,$B:$B,1)+COUNTIF($B$1:B2524,B2525),"")</f>
        <v/>
      </c>
      <c r="B2525" t="str">
        <f>IFERROR(SEARCH(#REF!,Table4[[#This Row],[Commodity Title]],1),"")</f>
        <v/>
      </c>
      <c r="C2525" s="35">
        <v>42271936</v>
      </c>
      <c r="D2525" s="33" t="s">
        <v>1495</v>
      </c>
      <c r="E2525" s="33" t="s">
        <v>1496</v>
      </c>
      <c r="F2525" s="33" t="s">
        <v>1497</v>
      </c>
      <c r="G2525" s="33" t="s">
        <v>6394</v>
      </c>
      <c r="H2525" s="33" t="s">
        <v>6395</v>
      </c>
      <c r="I2525" s="33" t="s">
        <v>6396</v>
      </c>
      <c r="J2525" s="33">
        <v>203039</v>
      </c>
      <c r="K2525" s="33" t="s">
        <v>6599</v>
      </c>
      <c r="L2525" s="33" t="s">
        <v>6600</v>
      </c>
      <c r="M2525" s="33" t="s">
        <v>6601</v>
      </c>
      <c r="N2525" s="44">
        <v>42271936</v>
      </c>
      <c r="O2525" s="33" t="s">
        <v>6670</v>
      </c>
      <c r="P2525" s="33" t="s">
        <v>6671</v>
      </c>
      <c r="Q2525" s="34" t="s">
        <v>1494</v>
      </c>
      <c r="R2525" s="34" t="s">
        <v>1494</v>
      </c>
    </row>
    <row r="2526" spans="1:18" ht="15" customHeight="1" x14ac:dyDescent="0.25">
      <c r="A2526" t="str">
        <f>IFERROR(RANK(B2526,$B:$B,1)+COUNTIF($B$1:B2525,B2526),"")</f>
        <v/>
      </c>
      <c r="B2526" t="str">
        <f>IFERROR(SEARCH(#REF!,Table4[[#This Row],[Commodity Title]],1),"")</f>
        <v/>
      </c>
      <c r="C2526" s="33" t="s">
        <v>1494</v>
      </c>
      <c r="D2526" s="33" t="s">
        <v>1495</v>
      </c>
      <c r="E2526" s="33" t="s">
        <v>1496</v>
      </c>
      <c r="F2526" s="33" t="s">
        <v>1497</v>
      </c>
      <c r="G2526" s="33" t="s">
        <v>6394</v>
      </c>
      <c r="H2526" s="33" t="s">
        <v>6395</v>
      </c>
      <c r="I2526" s="33" t="s">
        <v>6396</v>
      </c>
      <c r="J2526" s="33">
        <v>116030</v>
      </c>
      <c r="K2526" s="33" t="s">
        <v>6672</v>
      </c>
      <c r="L2526" s="33" t="s">
        <v>6673</v>
      </c>
      <c r="M2526" s="33" t="s">
        <v>6674</v>
      </c>
      <c r="N2526" s="44" t="s">
        <v>1494</v>
      </c>
      <c r="O2526" s="33" t="s">
        <v>1494</v>
      </c>
      <c r="P2526" s="33" t="s">
        <v>1494</v>
      </c>
      <c r="Q2526" s="34" t="s">
        <v>1494</v>
      </c>
      <c r="R2526" s="34" t="s">
        <v>1494</v>
      </c>
    </row>
    <row r="2527" spans="1:18" ht="15" customHeight="1" x14ac:dyDescent="0.25">
      <c r="A2527" t="str">
        <f>IFERROR(RANK(B2527,$B:$B,1)+COUNTIF($B$1:B2526,B2527),"")</f>
        <v/>
      </c>
      <c r="B2527" t="str">
        <f>IFERROR(SEARCH(#REF!,Table4[[#This Row],[Commodity Title]],1),"")</f>
        <v/>
      </c>
      <c r="C2527" s="35">
        <v>42272001</v>
      </c>
      <c r="D2527" s="33" t="s">
        <v>1495</v>
      </c>
      <c r="E2527" s="33" t="s">
        <v>1496</v>
      </c>
      <c r="F2527" s="33" t="s">
        <v>1497</v>
      </c>
      <c r="G2527" s="33" t="s">
        <v>6394</v>
      </c>
      <c r="H2527" s="33" t="s">
        <v>6395</v>
      </c>
      <c r="I2527" s="33" t="s">
        <v>6396</v>
      </c>
      <c r="J2527" s="33">
        <v>104403</v>
      </c>
      <c r="K2527" s="33" t="s">
        <v>6672</v>
      </c>
      <c r="L2527" s="33" t="s">
        <v>6673</v>
      </c>
      <c r="M2527" s="33" t="s">
        <v>6674</v>
      </c>
      <c r="N2527" s="44">
        <v>42272001</v>
      </c>
      <c r="O2527" s="33" t="s">
        <v>6675</v>
      </c>
      <c r="P2527" s="33" t="s">
        <v>6676</v>
      </c>
      <c r="Q2527" s="34" t="s">
        <v>1494</v>
      </c>
      <c r="R2527" s="34" t="s">
        <v>1494</v>
      </c>
    </row>
    <row r="2528" spans="1:18" ht="15" customHeight="1" x14ac:dyDescent="0.25">
      <c r="A2528" t="str">
        <f>IFERROR(RANK(B2528,$B:$B,1)+COUNTIF($B$1:B2527,B2528),"")</f>
        <v/>
      </c>
      <c r="B2528" t="str">
        <f>IFERROR(SEARCH(#REF!,Table4[[#This Row],[Commodity Title]],1),"")</f>
        <v/>
      </c>
      <c r="C2528" s="35">
        <v>42272003</v>
      </c>
      <c r="D2528" s="33" t="s">
        <v>1495</v>
      </c>
      <c r="E2528" s="33" t="s">
        <v>1496</v>
      </c>
      <c r="F2528" s="33" t="s">
        <v>1497</v>
      </c>
      <c r="G2528" s="33" t="s">
        <v>6394</v>
      </c>
      <c r="H2528" s="33" t="s">
        <v>6395</v>
      </c>
      <c r="I2528" s="33" t="s">
        <v>6396</v>
      </c>
      <c r="J2528" s="33">
        <v>116033</v>
      </c>
      <c r="K2528" s="33" t="s">
        <v>6672</v>
      </c>
      <c r="L2528" s="33" t="s">
        <v>6673</v>
      </c>
      <c r="M2528" s="33" t="s">
        <v>6674</v>
      </c>
      <c r="N2528" s="44">
        <v>42272003</v>
      </c>
      <c r="O2528" s="33" t="s">
        <v>6677</v>
      </c>
      <c r="P2528" s="33" t="s">
        <v>6678</v>
      </c>
      <c r="Q2528" s="34" t="s">
        <v>1494</v>
      </c>
      <c r="R2528" s="34" t="s">
        <v>1494</v>
      </c>
    </row>
    <row r="2529" spans="1:18" ht="15" customHeight="1" x14ac:dyDescent="0.25">
      <c r="A2529" t="str">
        <f>IFERROR(RANK(B2529,$B:$B,1)+COUNTIF($B$1:B2528,B2529),"")</f>
        <v/>
      </c>
      <c r="B2529" t="str">
        <f>IFERROR(SEARCH(#REF!,Table4[[#This Row],[Commodity Title]],1),"")</f>
        <v/>
      </c>
      <c r="C2529" s="35">
        <v>42272004</v>
      </c>
      <c r="D2529" s="33" t="s">
        <v>1495</v>
      </c>
      <c r="E2529" s="33" t="s">
        <v>1496</v>
      </c>
      <c r="F2529" s="33" t="s">
        <v>1497</v>
      </c>
      <c r="G2529" s="33" t="s">
        <v>6394</v>
      </c>
      <c r="H2529" s="33" t="s">
        <v>6395</v>
      </c>
      <c r="I2529" s="33" t="s">
        <v>6396</v>
      </c>
      <c r="J2529" s="33">
        <v>116034</v>
      </c>
      <c r="K2529" s="33" t="s">
        <v>6672</v>
      </c>
      <c r="L2529" s="33" t="s">
        <v>6673</v>
      </c>
      <c r="M2529" s="33" t="s">
        <v>6674</v>
      </c>
      <c r="N2529" s="44">
        <v>42272004</v>
      </c>
      <c r="O2529" s="33" t="s">
        <v>6679</v>
      </c>
      <c r="P2529" s="33" t="s">
        <v>6680</v>
      </c>
      <c r="Q2529" s="34" t="s">
        <v>1494</v>
      </c>
      <c r="R2529" s="34" t="s">
        <v>1494</v>
      </c>
    </row>
    <row r="2530" spans="1:18" ht="15" customHeight="1" x14ac:dyDescent="0.25">
      <c r="A2530" t="str">
        <f>IFERROR(RANK(B2530,$B:$B,1)+COUNTIF($B$1:B2529,B2530),"")</f>
        <v/>
      </c>
      <c r="B2530" t="str">
        <f>IFERROR(SEARCH(#REF!,Table4[[#This Row],[Commodity Title]],1),"")</f>
        <v/>
      </c>
      <c r="C2530" s="35">
        <v>42272005</v>
      </c>
      <c r="D2530" s="33" t="s">
        <v>1495</v>
      </c>
      <c r="E2530" s="33" t="s">
        <v>1496</v>
      </c>
      <c r="F2530" s="33" t="s">
        <v>1497</v>
      </c>
      <c r="G2530" s="33" t="s">
        <v>6394</v>
      </c>
      <c r="H2530" s="33" t="s">
        <v>6395</v>
      </c>
      <c r="I2530" s="33" t="s">
        <v>6396</v>
      </c>
      <c r="J2530" s="33">
        <v>116035</v>
      </c>
      <c r="K2530" s="33" t="s">
        <v>6672</v>
      </c>
      <c r="L2530" s="33" t="s">
        <v>6673</v>
      </c>
      <c r="M2530" s="33" t="s">
        <v>6674</v>
      </c>
      <c r="N2530" s="44">
        <v>42272005</v>
      </c>
      <c r="O2530" s="33" t="s">
        <v>6681</v>
      </c>
      <c r="P2530" s="33" t="s">
        <v>6682</v>
      </c>
      <c r="Q2530" s="34" t="s">
        <v>1494</v>
      </c>
      <c r="R2530" s="34" t="s">
        <v>1494</v>
      </c>
    </row>
    <row r="2531" spans="1:18" ht="15" customHeight="1" x14ac:dyDescent="0.25">
      <c r="A2531" t="str">
        <f>IFERROR(RANK(B2531,$B:$B,1)+COUNTIF($B$1:B2530,B2531),"")</f>
        <v/>
      </c>
      <c r="B2531" t="str">
        <f>IFERROR(SEARCH(#REF!,Table4[[#This Row],[Commodity Title]],1),"")</f>
        <v/>
      </c>
      <c r="C2531" s="35">
        <v>42272006</v>
      </c>
      <c r="D2531" s="33" t="s">
        <v>1495</v>
      </c>
      <c r="E2531" s="33" t="s">
        <v>1496</v>
      </c>
      <c r="F2531" s="33" t="s">
        <v>1497</v>
      </c>
      <c r="G2531" s="33" t="s">
        <v>6394</v>
      </c>
      <c r="H2531" s="33" t="s">
        <v>6395</v>
      </c>
      <c r="I2531" s="33" t="s">
        <v>6396</v>
      </c>
      <c r="J2531" s="33">
        <v>116036</v>
      </c>
      <c r="K2531" s="33" t="s">
        <v>6672</v>
      </c>
      <c r="L2531" s="33" t="s">
        <v>6673</v>
      </c>
      <c r="M2531" s="33" t="s">
        <v>6674</v>
      </c>
      <c r="N2531" s="44">
        <v>42272006</v>
      </c>
      <c r="O2531" s="33" t="s">
        <v>6683</v>
      </c>
      <c r="P2531" s="33" t="s">
        <v>6684</v>
      </c>
      <c r="Q2531" s="34" t="s">
        <v>1494</v>
      </c>
      <c r="R2531" s="34" t="s">
        <v>1494</v>
      </c>
    </row>
    <row r="2532" spans="1:18" ht="15" customHeight="1" x14ac:dyDescent="0.25">
      <c r="A2532" t="str">
        <f>IFERROR(RANK(B2532,$B:$B,1)+COUNTIF($B$1:B2531,B2532),"")</f>
        <v/>
      </c>
      <c r="B2532" t="str">
        <f>IFERROR(SEARCH(#REF!,Table4[[#This Row],[Commodity Title]],1),"")</f>
        <v/>
      </c>
      <c r="C2532" s="35">
        <v>42272007</v>
      </c>
      <c r="D2532" s="33" t="s">
        <v>1495</v>
      </c>
      <c r="E2532" s="33" t="s">
        <v>1496</v>
      </c>
      <c r="F2532" s="33" t="s">
        <v>1497</v>
      </c>
      <c r="G2532" s="33" t="s">
        <v>6394</v>
      </c>
      <c r="H2532" s="33" t="s">
        <v>6395</v>
      </c>
      <c r="I2532" s="33" t="s">
        <v>6396</v>
      </c>
      <c r="J2532" s="33">
        <v>116037</v>
      </c>
      <c r="K2532" s="33" t="s">
        <v>6672</v>
      </c>
      <c r="L2532" s="33" t="s">
        <v>6673</v>
      </c>
      <c r="M2532" s="33" t="s">
        <v>6674</v>
      </c>
      <c r="N2532" s="44">
        <v>42272007</v>
      </c>
      <c r="O2532" s="33" t="s">
        <v>6685</v>
      </c>
      <c r="P2532" s="33" t="s">
        <v>6686</v>
      </c>
      <c r="Q2532" s="34" t="s">
        <v>1494</v>
      </c>
      <c r="R2532" s="34" t="s">
        <v>1494</v>
      </c>
    </row>
    <row r="2533" spans="1:18" ht="15" customHeight="1" x14ac:dyDescent="0.25">
      <c r="A2533" t="str">
        <f>IFERROR(RANK(B2533,$B:$B,1)+COUNTIF($B$1:B2532,B2533),"")</f>
        <v/>
      </c>
      <c r="B2533" t="str">
        <f>IFERROR(SEARCH(#REF!,Table4[[#This Row],[Commodity Title]],1),"")</f>
        <v/>
      </c>
      <c r="C2533" s="35">
        <v>42272008</v>
      </c>
      <c r="D2533" s="33" t="s">
        <v>1495</v>
      </c>
      <c r="E2533" s="33" t="s">
        <v>1496</v>
      </c>
      <c r="F2533" s="33" t="s">
        <v>1497</v>
      </c>
      <c r="G2533" s="33" t="s">
        <v>6394</v>
      </c>
      <c r="H2533" s="33" t="s">
        <v>6395</v>
      </c>
      <c r="I2533" s="33" t="s">
        <v>6396</v>
      </c>
      <c r="J2533" s="33">
        <v>116038</v>
      </c>
      <c r="K2533" s="33" t="s">
        <v>6672</v>
      </c>
      <c r="L2533" s="33" t="s">
        <v>6673</v>
      </c>
      <c r="M2533" s="33" t="s">
        <v>6674</v>
      </c>
      <c r="N2533" s="44">
        <v>42272008</v>
      </c>
      <c r="O2533" s="33" t="s">
        <v>6687</v>
      </c>
      <c r="P2533" s="33" t="s">
        <v>6688</v>
      </c>
      <c r="Q2533" s="34" t="s">
        <v>1494</v>
      </c>
      <c r="R2533" s="34" t="s">
        <v>1494</v>
      </c>
    </row>
    <row r="2534" spans="1:18" ht="15" customHeight="1" x14ac:dyDescent="0.25">
      <c r="A2534" t="str">
        <f>IFERROR(RANK(B2534,$B:$B,1)+COUNTIF($B$1:B2533,B2534),"")</f>
        <v/>
      </c>
      <c r="B2534" t="str">
        <f>IFERROR(SEARCH(#REF!,Table4[[#This Row],[Commodity Title]],1),"")</f>
        <v/>
      </c>
      <c r="C2534" s="35">
        <v>42272009</v>
      </c>
      <c r="D2534" s="33" t="s">
        <v>1495</v>
      </c>
      <c r="E2534" s="33" t="s">
        <v>1496</v>
      </c>
      <c r="F2534" s="33" t="s">
        <v>1497</v>
      </c>
      <c r="G2534" s="33" t="s">
        <v>6394</v>
      </c>
      <c r="H2534" s="33" t="s">
        <v>6395</v>
      </c>
      <c r="I2534" s="33" t="s">
        <v>6396</v>
      </c>
      <c r="J2534" s="33">
        <v>116039</v>
      </c>
      <c r="K2534" s="33" t="s">
        <v>6672</v>
      </c>
      <c r="L2534" s="33" t="s">
        <v>6673</v>
      </c>
      <c r="M2534" s="33" t="s">
        <v>6674</v>
      </c>
      <c r="N2534" s="44">
        <v>42272009</v>
      </c>
      <c r="O2534" s="33" t="s">
        <v>6689</v>
      </c>
      <c r="P2534" s="33" t="s">
        <v>6690</v>
      </c>
      <c r="Q2534" s="34" t="s">
        <v>1494</v>
      </c>
      <c r="R2534" s="34" t="s">
        <v>1494</v>
      </c>
    </row>
    <row r="2535" spans="1:18" ht="15" customHeight="1" x14ac:dyDescent="0.25">
      <c r="A2535" t="str">
        <f>IFERROR(RANK(B2535,$B:$B,1)+COUNTIF($B$1:B2534,B2535),"")</f>
        <v/>
      </c>
      <c r="B2535" t="str">
        <f>IFERROR(SEARCH(#REF!,Table4[[#This Row],[Commodity Title]],1),"")</f>
        <v/>
      </c>
      <c r="C2535" s="35">
        <v>42272017</v>
      </c>
      <c r="D2535" s="33" t="s">
        <v>1495</v>
      </c>
      <c r="E2535" s="33" t="s">
        <v>1496</v>
      </c>
      <c r="F2535" s="33" t="s">
        <v>1497</v>
      </c>
      <c r="G2535" s="33" t="s">
        <v>6394</v>
      </c>
      <c r="H2535" s="33" t="s">
        <v>6395</v>
      </c>
      <c r="I2535" s="33" t="s">
        <v>6396</v>
      </c>
      <c r="J2535" s="33">
        <v>142715</v>
      </c>
      <c r="K2535" s="33" t="s">
        <v>6672</v>
      </c>
      <c r="L2535" s="33" t="s">
        <v>6673</v>
      </c>
      <c r="M2535" s="33" t="s">
        <v>6674</v>
      </c>
      <c r="N2535" s="44">
        <v>42272017</v>
      </c>
      <c r="O2535" s="33" t="s">
        <v>6691</v>
      </c>
      <c r="P2535" s="33" t="s">
        <v>6692</v>
      </c>
      <c r="Q2535" s="34" t="s">
        <v>1494</v>
      </c>
      <c r="R2535" s="34" t="s">
        <v>1494</v>
      </c>
    </row>
    <row r="2536" spans="1:18" ht="15" customHeight="1" x14ac:dyDescent="0.25">
      <c r="A2536" t="str">
        <f>IFERROR(RANK(B2536,$B:$B,1)+COUNTIF($B$1:B2535,B2536),"")</f>
        <v/>
      </c>
      <c r="B2536" t="str">
        <f>IFERROR(SEARCH(#REF!,Table4[[#This Row],[Commodity Title]],1),"")</f>
        <v/>
      </c>
      <c r="C2536" s="35">
        <v>42272018</v>
      </c>
      <c r="D2536" s="33" t="s">
        <v>1495</v>
      </c>
      <c r="E2536" s="33" t="s">
        <v>1496</v>
      </c>
      <c r="F2536" s="33" t="s">
        <v>1497</v>
      </c>
      <c r="G2536" s="33" t="s">
        <v>6394</v>
      </c>
      <c r="H2536" s="33" t="s">
        <v>6395</v>
      </c>
      <c r="I2536" s="33" t="s">
        <v>6396</v>
      </c>
      <c r="J2536" s="33">
        <v>203040</v>
      </c>
      <c r="K2536" s="33" t="s">
        <v>6672</v>
      </c>
      <c r="L2536" s="33" t="s">
        <v>6673</v>
      </c>
      <c r="M2536" s="33" t="s">
        <v>6674</v>
      </c>
      <c r="N2536" s="44">
        <v>42272018</v>
      </c>
      <c r="O2536" s="33" t="s">
        <v>6693</v>
      </c>
      <c r="P2536" s="33" t="s">
        <v>6694</v>
      </c>
      <c r="Q2536" s="34" t="s">
        <v>1494</v>
      </c>
      <c r="R2536" s="34" t="s">
        <v>1494</v>
      </c>
    </row>
    <row r="2537" spans="1:18" ht="15" customHeight="1" x14ac:dyDescent="0.25">
      <c r="A2537" t="str">
        <f>IFERROR(RANK(B2537,$B:$B,1)+COUNTIF($B$1:B2536,B2537),"")</f>
        <v/>
      </c>
      <c r="B2537" t="str">
        <f>IFERROR(SEARCH(#REF!,Table4[[#This Row],[Commodity Title]],1),"")</f>
        <v/>
      </c>
      <c r="C2537" s="35">
        <v>42272019</v>
      </c>
      <c r="D2537" s="33" t="s">
        <v>1495</v>
      </c>
      <c r="E2537" s="33" t="s">
        <v>1496</v>
      </c>
      <c r="F2537" s="33" t="s">
        <v>1497</v>
      </c>
      <c r="G2537" s="33" t="s">
        <v>6394</v>
      </c>
      <c r="H2537" s="33" t="s">
        <v>6395</v>
      </c>
      <c r="I2537" s="33" t="s">
        <v>6396</v>
      </c>
      <c r="J2537" s="33">
        <v>203041</v>
      </c>
      <c r="K2537" s="33" t="s">
        <v>6672</v>
      </c>
      <c r="L2537" s="33" t="s">
        <v>6673</v>
      </c>
      <c r="M2537" s="33" t="s">
        <v>6674</v>
      </c>
      <c r="N2537" s="44">
        <v>42272019</v>
      </c>
      <c r="O2537" s="33" t="s">
        <v>6695</v>
      </c>
      <c r="P2537" s="33" t="s">
        <v>6696</v>
      </c>
      <c r="Q2537" s="34" t="s">
        <v>1494</v>
      </c>
      <c r="R2537" s="34" t="s">
        <v>1494</v>
      </c>
    </row>
    <row r="2538" spans="1:18" ht="15" customHeight="1" x14ac:dyDescent="0.25">
      <c r="A2538" t="str">
        <f>IFERROR(RANK(B2538,$B:$B,1)+COUNTIF($B$1:B2537,B2538),"")</f>
        <v/>
      </c>
      <c r="B2538" t="str">
        <f>IFERROR(SEARCH(#REF!,Table4[[#This Row],[Commodity Title]],1),"")</f>
        <v/>
      </c>
      <c r="C2538" s="33" t="s">
        <v>1494</v>
      </c>
      <c r="D2538" s="33" t="s">
        <v>1495</v>
      </c>
      <c r="E2538" s="33" t="s">
        <v>1496</v>
      </c>
      <c r="F2538" s="33" t="s">
        <v>1497</v>
      </c>
      <c r="G2538" s="33" t="s">
        <v>6394</v>
      </c>
      <c r="H2538" s="33" t="s">
        <v>6395</v>
      </c>
      <c r="I2538" s="33" t="s">
        <v>6396</v>
      </c>
      <c r="J2538" s="33">
        <v>116045</v>
      </c>
      <c r="K2538" s="33" t="s">
        <v>6697</v>
      </c>
      <c r="L2538" s="33" t="s">
        <v>6698</v>
      </c>
      <c r="M2538" s="33" t="s">
        <v>6699</v>
      </c>
      <c r="N2538" s="44" t="s">
        <v>1494</v>
      </c>
      <c r="O2538" s="33" t="s">
        <v>1494</v>
      </c>
      <c r="P2538" s="33" t="s">
        <v>1494</v>
      </c>
      <c r="Q2538" s="34" t="s">
        <v>1494</v>
      </c>
      <c r="R2538" s="34" t="s">
        <v>1494</v>
      </c>
    </row>
    <row r="2539" spans="1:18" ht="15" customHeight="1" x14ac:dyDescent="0.25">
      <c r="A2539" t="str">
        <f>IFERROR(RANK(B2539,$B:$B,1)+COUNTIF($B$1:B2538,B2539),"")</f>
        <v/>
      </c>
      <c r="B2539" t="str">
        <f>IFERROR(SEARCH(#REF!,Table4[[#This Row],[Commodity Title]],1),"")</f>
        <v/>
      </c>
      <c r="C2539" s="35">
        <v>42272101</v>
      </c>
      <c r="D2539" s="33" t="s">
        <v>1495</v>
      </c>
      <c r="E2539" s="33" t="s">
        <v>1496</v>
      </c>
      <c r="F2539" s="33" t="s">
        <v>1497</v>
      </c>
      <c r="G2539" s="33" t="s">
        <v>6394</v>
      </c>
      <c r="H2539" s="33" t="s">
        <v>6395</v>
      </c>
      <c r="I2539" s="33" t="s">
        <v>6396</v>
      </c>
      <c r="J2539" s="33">
        <v>116046</v>
      </c>
      <c r="K2539" s="33" t="s">
        <v>6697</v>
      </c>
      <c r="L2539" s="33" t="s">
        <v>6698</v>
      </c>
      <c r="M2539" s="33" t="s">
        <v>6699</v>
      </c>
      <c r="N2539" s="44">
        <v>42272101</v>
      </c>
      <c r="O2539" s="33" t="s">
        <v>6700</v>
      </c>
      <c r="P2539" s="33" t="s">
        <v>6701</v>
      </c>
      <c r="Q2539" s="34" t="s">
        <v>1494</v>
      </c>
      <c r="R2539" s="34" t="s">
        <v>1494</v>
      </c>
    </row>
    <row r="2540" spans="1:18" ht="15" customHeight="1" x14ac:dyDescent="0.25">
      <c r="A2540" t="str">
        <f>IFERROR(RANK(B2540,$B:$B,1)+COUNTIF($B$1:B2539,B2540),"")</f>
        <v/>
      </c>
      <c r="B2540" t="str">
        <f>IFERROR(SEARCH(#REF!,Table4[[#This Row],[Commodity Title]],1),"")</f>
        <v/>
      </c>
      <c r="C2540" s="35">
        <v>42272102</v>
      </c>
      <c r="D2540" s="33" t="s">
        <v>1495</v>
      </c>
      <c r="E2540" s="33" t="s">
        <v>1496</v>
      </c>
      <c r="F2540" s="33" t="s">
        <v>1497</v>
      </c>
      <c r="G2540" s="33" t="s">
        <v>6394</v>
      </c>
      <c r="H2540" s="33" t="s">
        <v>6395</v>
      </c>
      <c r="I2540" s="33" t="s">
        <v>6396</v>
      </c>
      <c r="J2540" s="33">
        <v>116047</v>
      </c>
      <c r="K2540" s="33" t="s">
        <v>6697</v>
      </c>
      <c r="L2540" s="33" t="s">
        <v>6698</v>
      </c>
      <c r="M2540" s="33" t="s">
        <v>6699</v>
      </c>
      <c r="N2540" s="44">
        <v>42272102</v>
      </c>
      <c r="O2540" s="33" t="s">
        <v>6702</v>
      </c>
      <c r="P2540" s="33" t="s">
        <v>6703</v>
      </c>
      <c r="Q2540" s="34" t="s">
        <v>1494</v>
      </c>
      <c r="R2540" s="34" t="s">
        <v>1494</v>
      </c>
    </row>
    <row r="2541" spans="1:18" ht="15" customHeight="1" x14ac:dyDescent="0.25">
      <c r="A2541" t="str">
        <f>IFERROR(RANK(B2541,$B:$B,1)+COUNTIF($B$1:B2540,B2541),"")</f>
        <v/>
      </c>
      <c r="B2541" t="str">
        <f>IFERROR(SEARCH(#REF!,Table4[[#This Row],[Commodity Title]],1),"")</f>
        <v/>
      </c>
      <c r="C2541" s="35">
        <v>42272103</v>
      </c>
      <c r="D2541" s="33" t="s">
        <v>1495</v>
      </c>
      <c r="E2541" s="33" t="s">
        <v>1496</v>
      </c>
      <c r="F2541" s="33" t="s">
        <v>1497</v>
      </c>
      <c r="G2541" s="33" t="s">
        <v>6394</v>
      </c>
      <c r="H2541" s="33" t="s">
        <v>6395</v>
      </c>
      <c r="I2541" s="33" t="s">
        <v>6396</v>
      </c>
      <c r="J2541" s="33">
        <v>203042</v>
      </c>
      <c r="K2541" s="33" t="s">
        <v>6697</v>
      </c>
      <c r="L2541" s="33" t="s">
        <v>6698</v>
      </c>
      <c r="M2541" s="33" t="s">
        <v>6699</v>
      </c>
      <c r="N2541" s="44">
        <v>42272103</v>
      </c>
      <c r="O2541" s="33" t="s">
        <v>6704</v>
      </c>
      <c r="P2541" s="33" t="s">
        <v>6705</v>
      </c>
      <c r="Q2541" s="34" t="s">
        <v>1494</v>
      </c>
      <c r="R2541" s="34" t="s">
        <v>1494</v>
      </c>
    </row>
    <row r="2542" spans="1:18" ht="15" customHeight="1" x14ac:dyDescent="0.25">
      <c r="A2542" t="str">
        <f>IFERROR(RANK(B2542,$B:$B,1)+COUNTIF($B$1:B2541,B2542),"")</f>
        <v/>
      </c>
      <c r="B2542" t="str">
        <f>IFERROR(SEARCH(#REF!,Table4[[#This Row],[Commodity Title]],1),"")</f>
        <v/>
      </c>
      <c r="C2542" s="33" t="s">
        <v>1494</v>
      </c>
      <c r="D2542" s="33" t="s">
        <v>1495</v>
      </c>
      <c r="E2542" s="33" t="s">
        <v>1496</v>
      </c>
      <c r="F2542" s="33" t="s">
        <v>1497</v>
      </c>
      <c r="G2542" s="33" t="s">
        <v>6394</v>
      </c>
      <c r="H2542" s="33" t="s">
        <v>6395</v>
      </c>
      <c r="I2542" s="33" t="s">
        <v>6396</v>
      </c>
      <c r="J2542" s="33">
        <v>116048</v>
      </c>
      <c r="K2542" s="33" t="s">
        <v>6706</v>
      </c>
      <c r="L2542" s="33" t="s">
        <v>6707</v>
      </c>
      <c r="M2542" s="33" t="s">
        <v>6708</v>
      </c>
      <c r="N2542" s="44" t="s">
        <v>1494</v>
      </c>
      <c r="O2542" s="33" t="s">
        <v>1494</v>
      </c>
      <c r="P2542" s="33" t="s">
        <v>1494</v>
      </c>
      <c r="Q2542" s="34" t="s">
        <v>1494</v>
      </c>
      <c r="R2542" s="34" t="s">
        <v>1494</v>
      </c>
    </row>
    <row r="2543" spans="1:18" ht="15" customHeight="1" x14ac:dyDescent="0.25">
      <c r="A2543" t="str">
        <f>IFERROR(RANK(B2543,$B:$B,1)+COUNTIF($B$1:B2542,B2543),"")</f>
        <v/>
      </c>
      <c r="B2543" t="str">
        <f>IFERROR(SEARCH(#REF!,Table4[[#This Row],[Commodity Title]],1),"")</f>
        <v/>
      </c>
      <c r="C2543" s="35">
        <v>42272201</v>
      </c>
      <c r="D2543" s="33" t="s">
        <v>1495</v>
      </c>
      <c r="E2543" s="33" t="s">
        <v>1496</v>
      </c>
      <c r="F2543" s="33" t="s">
        <v>1497</v>
      </c>
      <c r="G2543" s="33" t="s">
        <v>6394</v>
      </c>
      <c r="H2543" s="33" t="s">
        <v>6395</v>
      </c>
      <c r="I2543" s="33" t="s">
        <v>6396</v>
      </c>
      <c r="J2543" s="33">
        <v>116049</v>
      </c>
      <c r="K2543" s="33" t="s">
        <v>6706</v>
      </c>
      <c r="L2543" s="33" t="s">
        <v>6707</v>
      </c>
      <c r="M2543" s="33" t="s">
        <v>6708</v>
      </c>
      <c r="N2543" s="44">
        <v>42272201</v>
      </c>
      <c r="O2543" s="33" t="s">
        <v>6709</v>
      </c>
      <c r="P2543" s="33" t="s">
        <v>6710</v>
      </c>
      <c r="Q2543" s="34" t="s">
        <v>1494</v>
      </c>
      <c r="R2543" s="34" t="s">
        <v>1494</v>
      </c>
    </row>
    <row r="2544" spans="1:18" ht="15" customHeight="1" x14ac:dyDescent="0.25">
      <c r="A2544" t="str">
        <f>IFERROR(RANK(B2544,$B:$B,1)+COUNTIF($B$1:B2543,B2544),"")</f>
        <v/>
      </c>
      <c r="B2544" t="str">
        <f>IFERROR(SEARCH(#REF!,Table4[[#This Row],[Commodity Title]],1),"")</f>
        <v/>
      </c>
      <c r="C2544" s="35">
        <v>42272202</v>
      </c>
      <c r="D2544" s="33" t="s">
        <v>1495</v>
      </c>
      <c r="E2544" s="33" t="s">
        <v>1496</v>
      </c>
      <c r="F2544" s="33" t="s">
        <v>1497</v>
      </c>
      <c r="G2544" s="33" t="s">
        <v>6394</v>
      </c>
      <c r="H2544" s="33" t="s">
        <v>6395</v>
      </c>
      <c r="I2544" s="33" t="s">
        <v>6396</v>
      </c>
      <c r="J2544" s="33">
        <v>116050</v>
      </c>
      <c r="K2544" s="33" t="s">
        <v>6706</v>
      </c>
      <c r="L2544" s="33" t="s">
        <v>6707</v>
      </c>
      <c r="M2544" s="33" t="s">
        <v>6708</v>
      </c>
      <c r="N2544" s="44">
        <v>42272202</v>
      </c>
      <c r="O2544" s="33" t="s">
        <v>6711</v>
      </c>
      <c r="P2544" s="33" t="s">
        <v>6712</v>
      </c>
      <c r="Q2544" s="34" t="s">
        <v>1494</v>
      </c>
      <c r="R2544" s="34" t="s">
        <v>1494</v>
      </c>
    </row>
    <row r="2545" spans="1:18" ht="15" customHeight="1" x14ac:dyDescent="0.25">
      <c r="A2545" t="str">
        <f>IFERROR(RANK(B2545,$B:$B,1)+COUNTIF($B$1:B2544,B2545),"")</f>
        <v/>
      </c>
      <c r="B2545" t="str">
        <f>IFERROR(SEARCH(#REF!,Table4[[#This Row],[Commodity Title]],1),"")</f>
        <v/>
      </c>
      <c r="C2545" s="35">
        <v>42272203</v>
      </c>
      <c r="D2545" s="33" t="s">
        <v>1495</v>
      </c>
      <c r="E2545" s="33" t="s">
        <v>1496</v>
      </c>
      <c r="F2545" s="33" t="s">
        <v>1497</v>
      </c>
      <c r="G2545" s="33" t="s">
        <v>6394</v>
      </c>
      <c r="H2545" s="33" t="s">
        <v>6395</v>
      </c>
      <c r="I2545" s="33" t="s">
        <v>6396</v>
      </c>
      <c r="J2545" s="33">
        <v>116051</v>
      </c>
      <c r="K2545" s="33" t="s">
        <v>6706</v>
      </c>
      <c r="L2545" s="33" t="s">
        <v>6707</v>
      </c>
      <c r="M2545" s="33" t="s">
        <v>6708</v>
      </c>
      <c r="N2545" s="44">
        <v>42272203</v>
      </c>
      <c r="O2545" s="33" t="s">
        <v>6713</v>
      </c>
      <c r="P2545" s="33" t="s">
        <v>6714</v>
      </c>
      <c r="Q2545" s="34" t="s">
        <v>1494</v>
      </c>
      <c r="R2545" s="34" t="s">
        <v>1494</v>
      </c>
    </row>
    <row r="2546" spans="1:18" ht="15" customHeight="1" x14ac:dyDescent="0.25">
      <c r="A2546" t="str">
        <f>IFERROR(RANK(B2546,$B:$B,1)+COUNTIF($B$1:B2545,B2546),"")</f>
        <v/>
      </c>
      <c r="B2546" t="str">
        <f>IFERROR(SEARCH(#REF!,Table4[[#This Row],[Commodity Title]],1),"")</f>
        <v/>
      </c>
      <c r="C2546" s="35">
        <v>42272204</v>
      </c>
      <c r="D2546" s="33" t="s">
        <v>1495</v>
      </c>
      <c r="E2546" s="33" t="s">
        <v>1496</v>
      </c>
      <c r="F2546" s="33" t="s">
        <v>1497</v>
      </c>
      <c r="G2546" s="33" t="s">
        <v>6394</v>
      </c>
      <c r="H2546" s="33" t="s">
        <v>6395</v>
      </c>
      <c r="I2546" s="33" t="s">
        <v>6396</v>
      </c>
      <c r="J2546" s="33">
        <v>116052</v>
      </c>
      <c r="K2546" s="33" t="s">
        <v>6706</v>
      </c>
      <c r="L2546" s="33" t="s">
        <v>6707</v>
      </c>
      <c r="M2546" s="33" t="s">
        <v>6708</v>
      </c>
      <c r="N2546" s="44">
        <v>42272204</v>
      </c>
      <c r="O2546" s="33" t="s">
        <v>6715</v>
      </c>
      <c r="P2546" s="33" t="s">
        <v>6716</v>
      </c>
      <c r="Q2546" s="34" t="s">
        <v>1494</v>
      </c>
      <c r="R2546" s="34" t="s">
        <v>1494</v>
      </c>
    </row>
    <row r="2547" spans="1:18" ht="15" customHeight="1" x14ac:dyDescent="0.25">
      <c r="A2547" t="str">
        <f>IFERROR(RANK(B2547,$B:$B,1)+COUNTIF($B$1:B2546,B2547),"")</f>
        <v/>
      </c>
      <c r="B2547" t="str">
        <f>IFERROR(SEARCH(#REF!,Table4[[#This Row],[Commodity Title]],1),"")</f>
        <v/>
      </c>
      <c r="C2547" s="35">
        <v>42272205</v>
      </c>
      <c r="D2547" s="33" t="s">
        <v>1495</v>
      </c>
      <c r="E2547" s="33" t="s">
        <v>1496</v>
      </c>
      <c r="F2547" s="33" t="s">
        <v>1497</v>
      </c>
      <c r="G2547" s="33" t="s">
        <v>6394</v>
      </c>
      <c r="H2547" s="33" t="s">
        <v>6395</v>
      </c>
      <c r="I2547" s="33" t="s">
        <v>6396</v>
      </c>
      <c r="J2547" s="33">
        <v>116053</v>
      </c>
      <c r="K2547" s="33" t="s">
        <v>6706</v>
      </c>
      <c r="L2547" s="33" t="s">
        <v>6707</v>
      </c>
      <c r="M2547" s="33" t="s">
        <v>6708</v>
      </c>
      <c r="N2547" s="44">
        <v>42272205</v>
      </c>
      <c r="O2547" s="33" t="s">
        <v>6717</v>
      </c>
      <c r="P2547" s="33" t="s">
        <v>6718</v>
      </c>
      <c r="Q2547" s="34" t="s">
        <v>1494</v>
      </c>
      <c r="R2547" s="34" t="s">
        <v>1494</v>
      </c>
    </row>
    <row r="2548" spans="1:18" ht="15" customHeight="1" x14ac:dyDescent="0.25">
      <c r="A2548" t="str">
        <f>IFERROR(RANK(B2548,$B:$B,1)+COUNTIF($B$1:B2547,B2548),"")</f>
        <v/>
      </c>
      <c r="B2548" t="str">
        <f>IFERROR(SEARCH(#REF!,Table4[[#This Row],[Commodity Title]],1),"")</f>
        <v/>
      </c>
      <c r="C2548" s="35">
        <v>42272207</v>
      </c>
      <c r="D2548" s="33" t="s">
        <v>1495</v>
      </c>
      <c r="E2548" s="33" t="s">
        <v>1496</v>
      </c>
      <c r="F2548" s="33" t="s">
        <v>1497</v>
      </c>
      <c r="G2548" s="33" t="s">
        <v>6394</v>
      </c>
      <c r="H2548" s="33" t="s">
        <v>6395</v>
      </c>
      <c r="I2548" s="33" t="s">
        <v>6396</v>
      </c>
      <c r="J2548" s="33">
        <v>116055</v>
      </c>
      <c r="K2548" s="33" t="s">
        <v>6706</v>
      </c>
      <c r="L2548" s="33" t="s">
        <v>6707</v>
      </c>
      <c r="M2548" s="33" t="s">
        <v>6708</v>
      </c>
      <c r="N2548" s="44">
        <v>42272207</v>
      </c>
      <c r="O2548" s="33" t="s">
        <v>6719</v>
      </c>
      <c r="P2548" s="33" t="s">
        <v>6720</v>
      </c>
      <c r="Q2548" s="34" t="s">
        <v>1494</v>
      </c>
      <c r="R2548" s="34" t="s">
        <v>1494</v>
      </c>
    </row>
    <row r="2549" spans="1:18" ht="15" customHeight="1" x14ac:dyDescent="0.25">
      <c r="A2549" t="str">
        <f>IFERROR(RANK(B2549,$B:$B,1)+COUNTIF($B$1:B2548,B2549),"")</f>
        <v/>
      </c>
      <c r="B2549" t="str">
        <f>IFERROR(SEARCH(#REF!,Table4[[#This Row],[Commodity Title]],1),"")</f>
        <v/>
      </c>
      <c r="C2549" s="35">
        <v>42272208</v>
      </c>
      <c r="D2549" s="33" t="s">
        <v>1495</v>
      </c>
      <c r="E2549" s="33" t="s">
        <v>1496</v>
      </c>
      <c r="F2549" s="33" t="s">
        <v>1497</v>
      </c>
      <c r="G2549" s="33" t="s">
        <v>6394</v>
      </c>
      <c r="H2549" s="33" t="s">
        <v>6395</v>
      </c>
      <c r="I2549" s="33" t="s">
        <v>6396</v>
      </c>
      <c r="J2549" s="33">
        <v>116056</v>
      </c>
      <c r="K2549" s="33" t="s">
        <v>6706</v>
      </c>
      <c r="L2549" s="33" t="s">
        <v>6707</v>
      </c>
      <c r="M2549" s="33" t="s">
        <v>6708</v>
      </c>
      <c r="N2549" s="44">
        <v>42272208</v>
      </c>
      <c r="O2549" s="33" t="s">
        <v>6721</v>
      </c>
      <c r="P2549" s="33" t="s">
        <v>6722</v>
      </c>
      <c r="Q2549" s="34" t="s">
        <v>1494</v>
      </c>
      <c r="R2549" s="34" t="s">
        <v>1494</v>
      </c>
    </row>
    <row r="2550" spans="1:18" ht="15" customHeight="1" x14ac:dyDescent="0.25">
      <c r="A2550" t="str">
        <f>IFERROR(RANK(B2550,$B:$B,1)+COUNTIF($B$1:B2549,B2550),"")</f>
        <v/>
      </c>
      <c r="B2550" t="str">
        <f>IFERROR(SEARCH(#REF!,Table4[[#This Row],[Commodity Title]],1),"")</f>
        <v/>
      </c>
      <c r="C2550" s="35">
        <v>42272209</v>
      </c>
      <c r="D2550" s="33" t="s">
        <v>1495</v>
      </c>
      <c r="E2550" s="33" t="s">
        <v>1496</v>
      </c>
      <c r="F2550" s="33" t="s">
        <v>1497</v>
      </c>
      <c r="G2550" s="33" t="s">
        <v>6394</v>
      </c>
      <c r="H2550" s="33" t="s">
        <v>6395</v>
      </c>
      <c r="I2550" s="33" t="s">
        <v>6396</v>
      </c>
      <c r="J2550" s="33">
        <v>116057</v>
      </c>
      <c r="K2550" s="33" t="s">
        <v>6706</v>
      </c>
      <c r="L2550" s="33" t="s">
        <v>6707</v>
      </c>
      <c r="M2550" s="33" t="s">
        <v>6708</v>
      </c>
      <c r="N2550" s="44">
        <v>42272209</v>
      </c>
      <c r="O2550" s="33" t="s">
        <v>6723</v>
      </c>
      <c r="P2550" s="33" t="s">
        <v>6724</v>
      </c>
      <c r="Q2550" s="34" t="s">
        <v>1494</v>
      </c>
      <c r="R2550" s="34" t="s">
        <v>1494</v>
      </c>
    </row>
    <row r="2551" spans="1:18" ht="15" customHeight="1" x14ac:dyDescent="0.25">
      <c r="A2551" t="str">
        <f>IFERROR(RANK(B2551,$B:$B,1)+COUNTIF($B$1:B2550,B2551),"")</f>
        <v/>
      </c>
      <c r="B2551" t="str">
        <f>IFERROR(SEARCH(#REF!,Table4[[#This Row],[Commodity Title]],1),"")</f>
        <v/>
      </c>
      <c r="C2551" s="35">
        <v>42272211</v>
      </c>
      <c r="D2551" s="33" t="s">
        <v>1495</v>
      </c>
      <c r="E2551" s="33" t="s">
        <v>1496</v>
      </c>
      <c r="F2551" s="33" t="s">
        <v>1497</v>
      </c>
      <c r="G2551" s="33" t="s">
        <v>6394</v>
      </c>
      <c r="H2551" s="33" t="s">
        <v>6395</v>
      </c>
      <c r="I2551" s="33" t="s">
        <v>6396</v>
      </c>
      <c r="J2551" s="33">
        <v>116059</v>
      </c>
      <c r="K2551" s="33" t="s">
        <v>6706</v>
      </c>
      <c r="L2551" s="33" t="s">
        <v>6707</v>
      </c>
      <c r="M2551" s="33" t="s">
        <v>6708</v>
      </c>
      <c r="N2551" s="44">
        <v>42272211</v>
      </c>
      <c r="O2551" s="33" t="s">
        <v>6725</v>
      </c>
      <c r="P2551" s="33" t="s">
        <v>6726</v>
      </c>
      <c r="Q2551" s="34" t="s">
        <v>1494</v>
      </c>
      <c r="R2551" s="34" t="s">
        <v>1494</v>
      </c>
    </row>
    <row r="2552" spans="1:18" ht="15" customHeight="1" x14ac:dyDescent="0.25">
      <c r="A2552" t="str">
        <f>IFERROR(RANK(B2552,$B:$B,1)+COUNTIF($B$1:B2551,B2552),"")</f>
        <v/>
      </c>
      <c r="B2552" t="str">
        <f>IFERROR(SEARCH(#REF!,Table4[[#This Row],[Commodity Title]],1),"")</f>
        <v/>
      </c>
      <c r="C2552" s="35">
        <v>42272212</v>
      </c>
      <c r="D2552" s="33" t="s">
        <v>1495</v>
      </c>
      <c r="E2552" s="33" t="s">
        <v>1496</v>
      </c>
      <c r="F2552" s="33" t="s">
        <v>1497</v>
      </c>
      <c r="G2552" s="33" t="s">
        <v>6394</v>
      </c>
      <c r="H2552" s="33" t="s">
        <v>6395</v>
      </c>
      <c r="I2552" s="33" t="s">
        <v>6396</v>
      </c>
      <c r="J2552" s="33">
        <v>116060</v>
      </c>
      <c r="K2552" s="33" t="s">
        <v>6706</v>
      </c>
      <c r="L2552" s="33" t="s">
        <v>6707</v>
      </c>
      <c r="M2552" s="33" t="s">
        <v>6708</v>
      </c>
      <c r="N2552" s="44">
        <v>42272212</v>
      </c>
      <c r="O2552" s="33" t="s">
        <v>6727</v>
      </c>
      <c r="P2552" s="33" t="s">
        <v>6728</v>
      </c>
      <c r="Q2552" s="34" t="s">
        <v>1494</v>
      </c>
      <c r="R2552" s="34" t="s">
        <v>1494</v>
      </c>
    </row>
    <row r="2553" spans="1:18" ht="15" customHeight="1" x14ac:dyDescent="0.25">
      <c r="A2553" t="str">
        <f>IFERROR(RANK(B2553,$B:$B,1)+COUNTIF($B$1:B2552,B2553),"")</f>
        <v/>
      </c>
      <c r="B2553" t="str">
        <f>IFERROR(SEARCH(#REF!,Table4[[#This Row],[Commodity Title]],1),"")</f>
        <v/>
      </c>
      <c r="C2553" s="35">
        <v>42272213</v>
      </c>
      <c r="D2553" s="33" t="s">
        <v>1495</v>
      </c>
      <c r="E2553" s="33" t="s">
        <v>1496</v>
      </c>
      <c r="F2553" s="33" t="s">
        <v>1497</v>
      </c>
      <c r="G2553" s="33" t="s">
        <v>6394</v>
      </c>
      <c r="H2553" s="33" t="s">
        <v>6395</v>
      </c>
      <c r="I2553" s="33" t="s">
        <v>6396</v>
      </c>
      <c r="J2553" s="33">
        <v>116061</v>
      </c>
      <c r="K2553" s="33" t="s">
        <v>6706</v>
      </c>
      <c r="L2553" s="33" t="s">
        <v>6707</v>
      </c>
      <c r="M2553" s="33" t="s">
        <v>6708</v>
      </c>
      <c r="N2553" s="44">
        <v>42272213</v>
      </c>
      <c r="O2553" s="33" t="s">
        <v>6729</v>
      </c>
      <c r="P2553" s="33" t="s">
        <v>6730</v>
      </c>
      <c r="Q2553" s="34" t="s">
        <v>1494</v>
      </c>
      <c r="R2553" s="34" t="s">
        <v>1494</v>
      </c>
    </row>
    <row r="2554" spans="1:18" ht="15" customHeight="1" x14ac:dyDescent="0.25">
      <c r="A2554" t="str">
        <f>IFERROR(RANK(B2554,$B:$B,1)+COUNTIF($B$1:B2553,B2554),"")</f>
        <v/>
      </c>
      <c r="B2554" t="str">
        <f>IFERROR(SEARCH(#REF!,Table4[[#This Row],[Commodity Title]],1),"")</f>
        <v/>
      </c>
      <c r="C2554" s="35">
        <v>42272215</v>
      </c>
      <c r="D2554" s="33" t="s">
        <v>1495</v>
      </c>
      <c r="E2554" s="33" t="s">
        <v>1496</v>
      </c>
      <c r="F2554" s="33" t="s">
        <v>1497</v>
      </c>
      <c r="G2554" s="33" t="s">
        <v>6394</v>
      </c>
      <c r="H2554" s="33" t="s">
        <v>6395</v>
      </c>
      <c r="I2554" s="33" t="s">
        <v>6396</v>
      </c>
      <c r="J2554" s="33">
        <v>116063</v>
      </c>
      <c r="K2554" s="33" t="s">
        <v>6706</v>
      </c>
      <c r="L2554" s="33" t="s">
        <v>6707</v>
      </c>
      <c r="M2554" s="33" t="s">
        <v>6708</v>
      </c>
      <c r="N2554" s="44">
        <v>42272215</v>
      </c>
      <c r="O2554" s="33" t="s">
        <v>6731</v>
      </c>
      <c r="P2554" s="33" t="s">
        <v>6732</v>
      </c>
      <c r="Q2554" s="34" t="s">
        <v>1494</v>
      </c>
      <c r="R2554" s="34" t="s">
        <v>1494</v>
      </c>
    </row>
    <row r="2555" spans="1:18" ht="15" customHeight="1" x14ac:dyDescent="0.25">
      <c r="A2555" t="str">
        <f>IFERROR(RANK(B2555,$B:$B,1)+COUNTIF($B$1:B2554,B2555),"")</f>
        <v/>
      </c>
      <c r="B2555" t="str">
        <f>IFERROR(SEARCH(#REF!,Table4[[#This Row],[Commodity Title]],1),"")</f>
        <v/>
      </c>
      <c r="C2555" s="35">
        <v>42272216</v>
      </c>
      <c r="D2555" s="33" t="s">
        <v>1495</v>
      </c>
      <c r="E2555" s="33" t="s">
        <v>1496</v>
      </c>
      <c r="F2555" s="33" t="s">
        <v>1497</v>
      </c>
      <c r="G2555" s="33" t="s">
        <v>6394</v>
      </c>
      <c r="H2555" s="33" t="s">
        <v>6395</v>
      </c>
      <c r="I2555" s="33" t="s">
        <v>6396</v>
      </c>
      <c r="J2555" s="33">
        <v>116064</v>
      </c>
      <c r="K2555" s="33" t="s">
        <v>6706</v>
      </c>
      <c r="L2555" s="33" t="s">
        <v>6707</v>
      </c>
      <c r="M2555" s="33" t="s">
        <v>6708</v>
      </c>
      <c r="N2555" s="44">
        <v>42272216</v>
      </c>
      <c r="O2555" s="33" t="s">
        <v>6733</v>
      </c>
      <c r="P2555" s="33" t="s">
        <v>6734</v>
      </c>
      <c r="Q2555" s="34" t="s">
        <v>1494</v>
      </c>
      <c r="R2555" s="34" t="s">
        <v>1494</v>
      </c>
    </row>
    <row r="2556" spans="1:18" ht="15" customHeight="1" x14ac:dyDescent="0.25">
      <c r="A2556" t="str">
        <f>IFERROR(RANK(B2556,$B:$B,1)+COUNTIF($B$1:B2555,B2556),"")</f>
        <v/>
      </c>
      <c r="B2556" t="str">
        <f>IFERROR(SEARCH(#REF!,Table4[[#This Row],[Commodity Title]],1),"")</f>
        <v/>
      </c>
      <c r="C2556" s="35">
        <v>42272217</v>
      </c>
      <c r="D2556" s="33" t="s">
        <v>1495</v>
      </c>
      <c r="E2556" s="33" t="s">
        <v>1496</v>
      </c>
      <c r="F2556" s="33" t="s">
        <v>1497</v>
      </c>
      <c r="G2556" s="33" t="s">
        <v>6394</v>
      </c>
      <c r="H2556" s="33" t="s">
        <v>6395</v>
      </c>
      <c r="I2556" s="33" t="s">
        <v>6396</v>
      </c>
      <c r="J2556" s="33">
        <v>116065</v>
      </c>
      <c r="K2556" s="33" t="s">
        <v>6706</v>
      </c>
      <c r="L2556" s="33" t="s">
        <v>6707</v>
      </c>
      <c r="M2556" s="33" t="s">
        <v>6708</v>
      </c>
      <c r="N2556" s="44">
        <v>42272217</v>
      </c>
      <c r="O2556" s="33" t="s">
        <v>6735</v>
      </c>
      <c r="P2556" s="33" t="s">
        <v>6736</v>
      </c>
      <c r="Q2556" s="34" t="s">
        <v>1494</v>
      </c>
      <c r="R2556" s="34" t="s">
        <v>1494</v>
      </c>
    </row>
    <row r="2557" spans="1:18" ht="15" customHeight="1" x14ac:dyDescent="0.25">
      <c r="A2557" t="str">
        <f>IFERROR(RANK(B2557,$B:$B,1)+COUNTIF($B$1:B2556,B2557),"")</f>
        <v/>
      </c>
      <c r="B2557" t="str">
        <f>IFERROR(SEARCH(#REF!,Table4[[#This Row],[Commodity Title]],1),"")</f>
        <v/>
      </c>
      <c r="C2557" s="35">
        <v>42272218</v>
      </c>
      <c r="D2557" s="33" t="s">
        <v>1495</v>
      </c>
      <c r="E2557" s="33" t="s">
        <v>1496</v>
      </c>
      <c r="F2557" s="33" t="s">
        <v>1497</v>
      </c>
      <c r="G2557" s="33" t="s">
        <v>6394</v>
      </c>
      <c r="H2557" s="33" t="s">
        <v>6395</v>
      </c>
      <c r="I2557" s="33" t="s">
        <v>6396</v>
      </c>
      <c r="J2557" s="33">
        <v>116066</v>
      </c>
      <c r="K2557" s="33" t="s">
        <v>6706</v>
      </c>
      <c r="L2557" s="33" t="s">
        <v>6707</v>
      </c>
      <c r="M2557" s="33" t="s">
        <v>6708</v>
      </c>
      <c r="N2557" s="44">
        <v>42272218</v>
      </c>
      <c r="O2557" s="33" t="s">
        <v>6737</v>
      </c>
      <c r="P2557" s="33" t="s">
        <v>6738</v>
      </c>
      <c r="Q2557" s="34" t="s">
        <v>1494</v>
      </c>
      <c r="R2557" s="34" t="s">
        <v>1494</v>
      </c>
    </row>
    <row r="2558" spans="1:18" ht="15" customHeight="1" x14ac:dyDescent="0.25">
      <c r="A2558" t="str">
        <f>IFERROR(RANK(B2558,$B:$B,1)+COUNTIF($B$1:B2557,B2558),"")</f>
        <v/>
      </c>
      <c r="B2558" t="str">
        <f>IFERROR(SEARCH(#REF!,Table4[[#This Row],[Commodity Title]],1),"")</f>
        <v/>
      </c>
      <c r="C2558" s="35">
        <v>42272219</v>
      </c>
      <c r="D2558" s="33" t="s">
        <v>1495</v>
      </c>
      <c r="E2558" s="33" t="s">
        <v>1496</v>
      </c>
      <c r="F2558" s="33" t="s">
        <v>1497</v>
      </c>
      <c r="G2558" s="33" t="s">
        <v>6394</v>
      </c>
      <c r="H2558" s="33" t="s">
        <v>6395</v>
      </c>
      <c r="I2558" s="33" t="s">
        <v>6396</v>
      </c>
      <c r="J2558" s="33">
        <v>116067</v>
      </c>
      <c r="K2558" s="33" t="s">
        <v>6706</v>
      </c>
      <c r="L2558" s="33" t="s">
        <v>6707</v>
      </c>
      <c r="M2558" s="33" t="s">
        <v>6708</v>
      </c>
      <c r="N2558" s="44">
        <v>42272219</v>
      </c>
      <c r="O2558" s="33" t="s">
        <v>6739</v>
      </c>
      <c r="P2558" s="33" t="s">
        <v>6740</v>
      </c>
      <c r="Q2558" s="34" t="s">
        <v>1494</v>
      </c>
      <c r="R2558" s="34" t="s">
        <v>1494</v>
      </c>
    </row>
    <row r="2559" spans="1:18" ht="15" customHeight="1" x14ac:dyDescent="0.25">
      <c r="A2559" t="str">
        <f>IFERROR(RANK(B2559,$B:$B,1)+COUNTIF($B$1:B2558,B2559),"")</f>
        <v/>
      </c>
      <c r="B2559" t="str">
        <f>IFERROR(SEARCH(#REF!,Table4[[#This Row],[Commodity Title]],1),"")</f>
        <v/>
      </c>
      <c r="C2559" s="35">
        <v>42272220</v>
      </c>
      <c r="D2559" s="33" t="s">
        <v>1495</v>
      </c>
      <c r="E2559" s="33" t="s">
        <v>1496</v>
      </c>
      <c r="F2559" s="33" t="s">
        <v>1497</v>
      </c>
      <c r="G2559" s="33" t="s">
        <v>6394</v>
      </c>
      <c r="H2559" s="33" t="s">
        <v>6395</v>
      </c>
      <c r="I2559" s="33" t="s">
        <v>6396</v>
      </c>
      <c r="J2559" s="33">
        <v>116068</v>
      </c>
      <c r="K2559" s="33" t="s">
        <v>6706</v>
      </c>
      <c r="L2559" s="33" t="s">
        <v>6707</v>
      </c>
      <c r="M2559" s="33" t="s">
        <v>6708</v>
      </c>
      <c r="N2559" s="44">
        <v>42272220</v>
      </c>
      <c r="O2559" s="33" t="s">
        <v>6741</v>
      </c>
      <c r="P2559" s="33" t="s">
        <v>6742</v>
      </c>
      <c r="Q2559" s="34" t="s">
        <v>1494</v>
      </c>
      <c r="R2559" s="34" t="s">
        <v>1494</v>
      </c>
    </row>
    <row r="2560" spans="1:18" ht="15" customHeight="1" x14ac:dyDescent="0.25">
      <c r="A2560" t="str">
        <f>IFERROR(RANK(B2560,$B:$B,1)+COUNTIF($B$1:B2559,B2560),"")</f>
        <v/>
      </c>
      <c r="B2560" t="str">
        <f>IFERROR(SEARCH(#REF!,Table4[[#This Row],[Commodity Title]],1),"")</f>
        <v/>
      </c>
      <c r="C2560" s="35">
        <v>42272222</v>
      </c>
      <c r="D2560" s="33" t="s">
        <v>1495</v>
      </c>
      <c r="E2560" s="33" t="s">
        <v>1496</v>
      </c>
      <c r="F2560" s="33" t="s">
        <v>1497</v>
      </c>
      <c r="G2560" s="33" t="s">
        <v>6394</v>
      </c>
      <c r="H2560" s="33" t="s">
        <v>6395</v>
      </c>
      <c r="I2560" s="33" t="s">
        <v>6396</v>
      </c>
      <c r="J2560" s="33">
        <v>116070</v>
      </c>
      <c r="K2560" s="33" t="s">
        <v>6706</v>
      </c>
      <c r="L2560" s="33" t="s">
        <v>6707</v>
      </c>
      <c r="M2560" s="33" t="s">
        <v>6708</v>
      </c>
      <c r="N2560" s="44">
        <v>42272222</v>
      </c>
      <c r="O2560" s="33" t="s">
        <v>6743</v>
      </c>
      <c r="P2560" s="33" t="s">
        <v>6744</v>
      </c>
      <c r="Q2560" s="34" t="s">
        <v>1494</v>
      </c>
      <c r="R2560" s="34" t="s">
        <v>1494</v>
      </c>
    </row>
    <row r="2561" spans="1:18" ht="15" customHeight="1" x14ac:dyDescent="0.25">
      <c r="A2561" t="str">
        <f>IFERROR(RANK(B2561,$B:$B,1)+COUNTIF($B$1:B2560,B2561),"")</f>
        <v/>
      </c>
      <c r="B2561" t="str">
        <f>IFERROR(SEARCH(#REF!,Table4[[#This Row],[Commodity Title]],1),"")</f>
        <v/>
      </c>
      <c r="C2561" s="35">
        <v>42272223</v>
      </c>
      <c r="D2561" s="33" t="s">
        <v>1495</v>
      </c>
      <c r="E2561" s="33" t="s">
        <v>1496</v>
      </c>
      <c r="F2561" s="33" t="s">
        <v>1497</v>
      </c>
      <c r="G2561" s="33" t="s">
        <v>6394</v>
      </c>
      <c r="H2561" s="33" t="s">
        <v>6395</v>
      </c>
      <c r="I2561" s="33" t="s">
        <v>6396</v>
      </c>
      <c r="J2561" s="33">
        <v>142716</v>
      </c>
      <c r="K2561" s="33" t="s">
        <v>6706</v>
      </c>
      <c r="L2561" s="33" t="s">
        <v>6707</v>
      </c>
      <c r="M2561" s="33" t="s">
        <v>6708</v>
      </c>
      <c r="N2561" s="44">
        <v>42272223</v>
      </c>
      <c r="O2561" s="33" t="s">
        <v>6745</v>
      </c>
      <c r="P2561" s="33" t="s">
        <v>6746</v>
      </c>
      <c r="Q2561" s="34" t="s">
        <v>1494</v>
      </c>
      <c r="R2561" s="34" t="s">
        <v>1494</v>
      </c>
    </row>
    <row r="2562" spans="1:18" ht="15" customHeight="1" x14ac:dyDescent="0.25">
      <c r="A2562" t="str">
        <f>IFERROR(RANK(B2562,$B:$B,1)+COUNTIF($B$1:B2561,B2562),"")</f>
        <v/>
      </c>
      <c r="B2562" t="str">
        <f>IFERROR(SEARCH(#REF!,Table4[[#This Row],[Commodity Title]],1),"")</f>
        <v/>
      </c>
      <c r="C2562" s="35">
        <v>42272224</v>
      </c>
      <c r="D2562" s="33" t="s">
        <v>1495</v>
      </c>
      <c r="E2562" s="33" t="s">
        <v>1496</v>
      </c>
      <c r="F2562" s="33" t="s">
        <v>1497</v>
      </c>
      <c r="G2562" s="33" t="s">
        <v>6394</v>
      </c>
      <c r="H2562" s="33" t="s">
        <v>6395</v>
      </c>
      <c r="I2562" s="33" t="s">
        <v>6396</v>
      </c>
      <c r="J2562" s="33">
        <v>142717</v>
      </c>
      <c r="K2562" s="33" t="s">
        <v>6706</v>
      </c>
      <c r="L2562" s="33" t="s">
        <v>6707</v>
      </c>
      <c r="M2562" s="33" t="s">
        <v>6708</v>
      </c>
      <c r="N2562" s="44">
        <v>42272224</v>
      </c>
      <c r="O2562" s="33" t="s">
        <v>6747</v>
      </c>
      <c r="P2562" s="33" t="s">
        <v>6748</v>
      </c>
      <c r="Q2562" s="34" t="s">
        <v>1494</v>
      </c>
      <c r="R2562" s="34" t="s">
        <v>1494</v>
      </c>
    </row>
    <row r="2563" spans="1:18" ht="15" customHeight="1" x14ac:dyDescent="0.25">
      <c r="A2563" t="str">
        <f>IFERROR(RANK(B2563,$B:$B,1)+COUNTIF($B$1:B2562,B2563),"")</f>
        <v/>
      </c>
      <c r="B2563" t="str">
        <f>IFERROR(SEARCH(#REF!,Table4[[#This Row],[Commodity Title]],1),"")</f>
        <v/>
      </c>
      <c r="C2563" s="35">
        <v>42272225</v>
      </c>
      <c r="D2563" s="33" t="s">
        <v>1495</v>
      </c>
      <c r="E2563" s="33" t="s">
        <v>1496</v>
      </c>
      <c r="F2563" s="33" t="s">
        <v>1497</v>
      </c>
      <c r="G2563" s="33" t="s">
        <v>6394</v>
      </c>
      <c r="H2563" s="33" t="s">
        <v>6395</v>
      </c>
      <c r="I2563" s="33" t="s">
        <v>6396</v>
      </c>
      <c r="J2563" s="33">
        <v>143500</v>
      </c>
      <c r="K2563" s="33" t="s">
        <v>6706</v>
      </c>
      <c r="L2563" s="33" t="s">
        <v>6707</v>
      </c>
      <c r="M2563" s="33" t="s">
        <v>6708</v>
      </c>
      <c r="N2563" s="44">
        <v>42272225</v>
      </c>
      <c r="O2563" s="33" t="s">
        <v>6749</v>
      </c>
      <c r="P2563" s="33" t="s">
        <v>6750</v>
      </c>
      <c r="Q2563" s="34" t="s">
        <v>1494</v>
      </c>
      <c r="R2563" s="34" t="s">
        <v>1494</v>
      </c>
    </row>
    <row r="2564" spans="1:18" ht="15" customHeight="1" x14ac:dyDescent="0.25">
      <c r="A2564" t="str">
        <f>IFERROR(RANK(B2564,$B:$B,1)+COUNTIF($B$1:B2563,B2564),"")</f>
        <v/>
      </c>
      <c r="B2564" t="str">
        <f>IFERROR(SEARCH(#REF!,Table4[[#This Row],[Commodity Title]],1),"")</f>
        <v/>
      </c>
      <c r="C2564" s="35">
        <v>42272226</v>
      </c>
      <c r="D2564" s="33" t="s">
        <v>1495</v>
      </c>
      <c r="E2564" s="33" t="s">
        <v>1496</v>
      </c>
      <c r="F2564" s="33" t="s">
        <v>1497</v>
      </c>
      <c r="G2564" s="33" t="s">
        <v>6394</v>
      </c>
      <c r="H2564" s="33" t="s">
        <v>6395</v>
      </c>
      <c r="I2564" s="33" t="s">
        <v>6396</v>
      </c>
      <c r="J2564" s="33">
        <v>203043</v>
      </c>
      <c r="K2564" s="33" t="s">
        <v>6706</v>
      </c>
      <c r="L2564" s="33" t="s">
        <v>6707</v>
      </c>
      <c r="M2564" s="33" t="s">
        <v>6708</v>
      </c>
      <c r="N2564" s="44">
        <v>42272226</v>
      </c>
      <c r="O2564" s="33" t="s">
        <v>6751</v>
      </c>
      <c r="P2564" s="33" t="s">
        <v>6752</v>
      </c>
      <c r="Q2564" s="34" t="s">
        <v>1494</v>
      </c>
      <c r="R2564" s="34" t="s">
        <v>1494</v>
      </c>
    </row>
    <row r="2565" spans="1:18" ht="15" customHeight="1" x14ac:dyDescent="0.25">
      <c r="A2565" t="str">
        <f>IFERROR(RANK(B2565,$B:$B,1)+COUNTIF($B$1:B2564,B2565),"")</f>
        <v/>
      </c>
      <c r="B2565" t="str">
        <f>IFERROR(SEARCH(#REF!,Table4[[#This Row],[Commodity Title]],1),"")</f>
        <v/>
      </c>
      <c r="C2565" s="35">
        <v>42272227</v>
      </c>
      <c r="D2565" s="33" t="s">
        <v>1495</v>
      </c>
      <c r="E2565" s="33" t="s">
        <v>1496</v>
      </c>
      <c r="F2565" s="33" t="s">
        <v>1497</v>
      </c>
      <c r="G2565" s="33" t="s">
        <v>6394</v>
      </c>
      <c r="H2565" s="33" t="s">
        <v>6395</v>
      </c>
      <c r="I2565" s="33" t="s">
        <v>6396</v>
      </c>
      <c r="J2565" s="33">
        <v>203044</v>
      </c>
      <c r="K2565" s="33" t="s">
        <v>6706</v>
      </c>
      <c r="L2565" s="33" t="s">
        <v>6707</v>
      </c>
      <c r="M2565" s="33" t="s">
        <v>6708</v>
      </c>
      <c r="N2565" s="44">
        <v>42272227</v>
      </c>
      <c r="O2565" s="33" t="s">
        <v>6753</v>
      </c>
      <c r="P2565" s="33" t="s">
        <v>6754</v>
      </c>
      <c r="Q2565" s="34" t="s">
        <v>1494</v>
      </c>
      <c r="R2565" s="34" t="s">
        <v>1494</v>
      </c>
    </row>
    <row r="2566" spans="1:18" ht="15" customHeight="1" x14ac:dyDescent="0.25">
      <c r="A2566" t="str">
        <f>IFERROR(RANK(B2566,$B:$B,1)+COUNTIF($B$1:B2565,B2566),"")</f>
        <v/>
      </c>
      <c r="B2566" t="str">
        <f>IFERROR(SEARCH(#REF!,Table4[[#This Row],[Commodity Title]],1),"")</f>
        <v/>
      </c>
      <c r="C2566" s="35">
        <v>42272228</v>
      </c>
      <c r="D2566" s="33" t="s">
        <v>1495</v>
      </c>
      <c r="E2566" s="33" t="s">
        <v>1496</v>
      </c>
      <c r="F2566" s="33" t="s">
        <v>1497</v>
      </c>
      <c r="G2566" s="33" t="s">
        <v>6394</v>
      </c>
      <c r="H2566" s="33" t="s">
        <v>6395</v>
      </c>
      <c r="I2566" s="33" t="s">
        <v>6396</v>
      </c>
      <c r="J2566" s="33">
        <v>203045</v>
      </c>
      <c r="K2566" s="33" t="s">
        <v>6706</v>
      </c>
      <c r="L2566" s="33" t="s">
        <v>6707</v>
      </c>
      <c r="M2566" s="33" t="s">
        <v>6708</v>
      </c>
      <c r="N2566" s="44">
        <v>42272228</v>
      </c>
      <c r="O2566" s="33" t="s">
        <v>6755</v>
      </c>
      <c r="P2566" s="33" t="s">
        <v>6756</v>
      </c>
      <c r="Q2566" s="34" t="s">
        <v>1494</v>
      </c>
      <c r="R2566" s="34" t="s">
        <v>1494</v>
      </c>
    </row>
    <row r="2567" spans="1:18" ht="15" customHeight="1" x14ac:dyDescent="0.25">
      <c r="A2567" t="str">
        <f>IFERROR(RANK(B2567,$B:$B,1)+COUNTIF($B$1:B2566,B2567),"")</f>
        <v/>
      </c>
      <c r="B2567" t="str">
        <f>IFERROR(SEARCH(#REF!,Table4[[#This Row],[Commodity Title]],1),"")</f>
        <v/>
      </c>
      <c r="C2567" s="35">
        <v>42272229</v>
      </c>
      <c r="D2567" s="33" t="s">
        <v>1495</v>
      </c>
      <c r="E2567" s="33" t="s">
        <v>1496</v>
      </c>
      <c r="F2567" s="33" t="s">
        <v>1497</v>
      </c>
      <c r="G2567" s="33" t="s">
        <v>6394</v>
      </c>
      <c r="H2567" s="33" t="s">
        <v>6395</v>
      </c>
      <c r="I2567" s="33" t="s">
        <v>6396</v>
      </c>
      <c r="J2567" s="33">
        <v>203046</v>
      </c>
      <c r="K2567" s="33" t="s">
        <v>6706</v>
      </c>
      <c r="L2567" s="33" t="s">
        <v>6707</v>
      </c>
      <c r="M2567" s="33" t="s">
        <v>6708</v>
      </c>
      <c r="N2567" s="44">
        <v>42272229</v>
      </c>
      <c r="O2567" s="33" t="s">
        <v>6757</v>
      </c>
      <c r="P2567" s="33" t="s">
        <v>6758</v>
      </c>
      <c r="Q2567" s="34" t="s">
        <v>1494</v>
      </c>
      <c r="R2567" s="34" t="s">
        <v>1494</v>
      </c>
    </row>
    <row r="2568" spans="1:18" ht="15" customHeight="1" x14ac:dyDescent="0.25">
      <c r="A2568" t="str">
        <f>IFERROR(RANK(B2568,$B:$B,1)+COUNTIF($B$1:B2567,B2568),"")</f>
        <v/>
      </c>
      <c r="B2568" t="str">
        <f>IFERROR(SEARCH(#REF!,Table4[[#This Row],[Commodity Title]],1),"")</f>
        <v/>
      </c>
      <c r="C2568" s="35">
        <v>42272230</v>
      </c>
      <c r="D2568" s="33" t="s">
        <v>1495</v>
      </c>
      <c r="E2568" s="33" t="s">
        <v>1496</v>
      </c>
      <c r="F2568" s="33" t="s">
        <v>1497</v>
      </c>
      <c r="G2568" s="33" t="s">
        <v>6394</v>
      </c>
      <c r="H2568" s="33" t="s">
        <v>6395</v>
      </c>
      <c r="I2568" s="33" t="s">
        <v>6396</v>
      </c>
      <c r="J2568" s="33">
        <v>203047</v>
      </c>
      <c r="K2568" s="33" t="s">
        <v>6706</v>
      </c>
      <c r="L2568" s="33" t="s">
        <v>6707</v>
      </c>
      <c r="M2568" s="33" t="s">
        <v>6708</v>
      </c>
      <c r="N2568" s="44">
        <v>42272230</v>
      </c>
      <c r="O2568" s="33" t="s">
        <v>6759</v>
      </c>
      <c r="P2568" s="33" t="s">
        <v>6760</v>
      </c>
      <c r="Q2568" s="34" t="s">
        <v>1494</v>
      </c>
      <c r="R2568" s="34" t="s">
        <v>1494</v>
      </c>
    </row>
    <row r="2569" spans="1:18" ht="15" customHeight="1" x14ac:dyDescent="0.25">
      <c r="A2569" t="str">
        <f>IFERROR(RANK(B2569,$B:$B,1)+COUNTIF($B$1:B2568,B2569),"")</f>
        <v/>
      </c>
      <c r="B2569" t="str">
        <f>IFERROR(SEARCH(#REF!,Table4[[#This Row],[Commodity Title]],1),"")</f>
        <v/>
      </c>
      <c r="C2569" s="33" t="s">
        <v>1494</v>
      </c>
      <c r="D2569" s="33" t="s">
        <v>1495</v>
      </c>
      <c r="E2569" s="33" t="s">
        <v>1496</v>
      </c>
      <c r="F2569" s="33" t="s">
        <v>1497</v>
      </c>
      <c r="G2569" s="33" t="s">
        <v>6394</v>
      </c>
      <c r="H2569" s="33" t="s">
        <v>6395</v>
      </c>
      <c r="I2569" s="33" t="s">
        <v>6396</v>
      </c>
      <c r="J2569" s="33">
        <v>116071</v>
      </c>
      <c r="K2569" s="33" t="s">
        <v>6761</v>
      </c>
      <c r="L2569" s="33" t="s">
        <v>6762</v>
      </c>
      <c r="M2569" s="33" t="s">
        <v>6763</v>
      </c>
      <c r="N2569" s="44" t="s">
        <v>1494</v>
      </c>
      <c r="O2569" s="33" t="s">
        <v>1494</v>
      </c>
      <c r="P2569" s="33" t="s">
        <v>1494</v>
      </c>
      <c r="Q2569" s="34" t="s">
        <v>1494</v>
      </c>
      <c r="R2569" s="34" t="s">
        <v>1494</v>
      </c>
    </row>
    <row r="2570" spans="1:18" ht="15" customHeight="1" x14ac:dyDescent="0.25">
      <c r="A2570" t="str">
        <f>IFERROR(RANK(B2570,$B:$B,1)+COUNTIF($B$1:B2569,B2570),"")</f>
        <v/>
      </c>
      <c r="B2570" t="str">
        <f>IFERROR(SEARCH(#REF!,Table4[[#This Row],[Commodity Title]],1),"")</f>
        <v/>
      </c>
      <c r="C2570" s="35">
        <v>42272301</v>
      </c>
      <c r="D2570" s="33" t="s">
        <v>1495</v>
      </c>
      <c r="E2570" s="33" t="s">
        <v>1496</v>
      </c>
      <c r="F2570" s="33" t="s">
        <v>1497</v>
      </c>
      <c r="G2570" s="33" t="s">
        <v>6394</v>
      </c>
      <c r="H2570" s="33" t="s">
        <v>6395</v>
      </c>
      <c r="I2570" s="33" t="s">
        <v>6396</v>
      </c>
      <c r="J2570" s="33">
        <v>116072</v>
      </c>
      <c r="K2570" s="33" t="s">
        <v>6761</v>
      </c>
      <c r="L2570" s="33" t="s">
        <v>6762</v>
      </c>
      <c r="M2570" s="33" t="s">
        <v>6763</v>
      </c>
      <c r="N2570" s="44">
        <v>42272301</v>
      </c>
      <c r="O2570" s="33" t="s">
        <v>6764</v>
      </c>
      <c r="P2570" s="33" t="s">
        <v>6765</v>
      </c>
      <c r="Q2570" s="34" t="s">
        <v>1494</v>
      </c>
      <c r="R2570" s="34" t="s">
        <v>1494</v>
      </c>
    </row>
    <row r="2571" spans="1:18" ht="15" customHeight="1" x14ac:dyDescent="0.25">
      <c r="A2571" t="str">
        <f>IFERROR(RANK(B2571,$B:$B,1)+COUNTIF($B$1:B2570,B2571),"")</f>
        <v/>
      </c>
      <c r="B2571" t="str">
        <f>IFERROR(SEARCH(#REF!,Table4[[#This Row],[Commodity Title]],1),"")</f>
        <v/>
      </c>
      <c r="C2571" s="35">
        <v>42272302</v>
      </c>
      <c r="D2571" s="33" t="s">
        <v>1495</v>
      </c>
      <c r="E2571" s="33" t="s">
        <v>1496</v>
      </c>
      <c r="F2571" s="33" t="s">
        <v>1497</v>
      </c>
      <c r="G2571" s="33" t="s">
        <v>6394</v>
      </c>
      <c r="H2571" s="33" t="s">
        <v>6395</v>
      </c>
      <c r="I2571" s="33" t="s">
        <v>6396</v>
      </c>
      <c r="J2571" s="33">
        <v>116073</v>
      </c>
      <c r="K2571" s="33" t="s">
        <v>6761</v>
      </c>
      <c r="L2571" s="33" t="s">
        <v>6762</v>
      </c>
      <c r="M2571" s="33" t="s">
        <v>6763</v>
      </c>
      <c r="N2571" s="44">
        <v>42272302</v>
      </c>
      <c r="O2571" s="33" t="s">
        <v>6766</v>
      </c>
      <c r="P2571" s="33" t="s">
        <v>6767</v>
      </c>
      <c r="Q2571" s="34" t="s">
        <v>1494</v>
      </c>
      <c r="R2571" s="34" t="s">
        <v>1494</v>
      </c>
    </row>
    <row r="2572" spans="1:18" ht="15" customHeight="1" x14ac:dyDescent="0.25">
      <c r="A2572" t="str">
        <f>IFERROR(RANK(B2572,$B:$B,1)+COUNTIF($B$1:B2571,B2572),"")</f>
        <v/>
      </c>
      <c r="B2572" t="str">
        <f>IFERROR(SEARCH(#REF!,Table4[[#This Row],[Commodity Title]],1),"")</f>
        <v/>
      </c>
      <c r="C2572" s="35">
        <v>42272303</v>
      </c>
      <c r="D2572" s="33" t="s">
        <v>1495</v>
      </c>
      <c r="E2572" s="33" t="s">
        <v>1496</v>
      </c>
      <c r="F2572" s="33" t="s">
        <v>1497</v>
      </c>
      <c r="G2572" s="33" t="s">
        <v>6394</v>
      </c>
      <c r="H2572" s="33" t="s">
        <v>6395</v>
      </c>
      <c r="I2572" s="33" t="s">
        <v>6396</v>
      </c>
      <c r="J2572" s="33">
        <v>116074</v>
      </c>
      <c r="K2572" s="33" t="s">
        <v>6761</v>
      </c>
      <c r="L2572" s="33" t="s">
        <v>6762</v>
      </c>
      <c r="M2572" s="33" t="s">
        <v>6763</v>
      </c>
      <c r="N2572" s="44">
        <v>42272303</v>
      </c>
      <c r="O2572" s="33" t="s">
        <v>6768</v>
      </c>
      <c r="P2572" s="33" t="s">
        <v>6769</v>
      </c>
      <c r="Q2572" s="34" t="s">
        <v>1494</v>
      </c>
      <c r="R2572" s="34" t="s">
        <v>1494</v>
      </c>
    </row>
    <row r="2573" spans="1:18" ht="15" customHeight="1" x14ac:dyDescent="0.25">
      <c r="A2573" t="str">
        <f>IFERROR(RANK(B2573,$B:$B,1)+COUNTIF($B$1:B2572,B2573),"")</f>
        <v/>
      </c>
      <c r="B2573" t="str">
        <f>IFERROR(SEARCH(#REF!,Table4[[#This Row],[Commodity Title]],1),"")</f>
        <v/>
      </c>
      <c r="C2573" s="35">
        <v>42272304</v>
      </c>
      <c r="D2573" s="33" t="s">
        <v>1495</v>
      </c>
      <c r="E2573" s="33" t="s">
        <v>1496</v>
      </c>
      <c r="F2573" s="33" t="s">
        <v>1497</v>
      </c>
      <c r="G2573" s="33" t="s">
        <v>6394</v>
      </c>
      <c r="H2573" s="33" t="s">
        <v>6395</v>
      </c>
      <c r="I2573" s="33" t="s">
        <v>6396</v>
      </c>
      <c r="J2573" s="33">
        <v>116075</v>
      </c>
      <c r="K2573" s="33" t="s">
        <v>6761</v>
      </c>
      <c r="L2573" s="33" t="s">
        <v>6762</v>
      </c>
      <c r="M2573" s="33" t="s">
        <v>6763</v>
      </c>
      <c r="N2573" s="44">
        <v>42272304</v>
      </c>
      <c r="O2573" s="33" t="s">
        <v>6770</v>
      </c>
      <c r="P2573" s="33" t="s">
        <v>6771</v>
      </c>
      <c r="Q2573" s="34" t="s">
        <v>1494</v>
      </c>
      <c r="R2573" s="34" t="s">
        <v>1494</v>
      </c>
    </row>
    <row r="2574" spans="1:18" ht="15" customHeight="1" x14ac:dyDescent="0.25">
      <c r="A2574" t="str">
        <f>IFERROR(RANK(B2574,$B:$B,1)+COUNTIF($B$1:B2573,B2574),"")</f>
        <v/>
      </c>
      <c r="B2574" t="str">
        <f>IFERROR(SEARCH(#REF!,Table4[[#This Row],[Commodity Title]],1),"")</f>
        <v/>
      </c>
      <c r="C2574" s="35">
        <v>42272305</v>
      </c>
      <c r="D2574" s="33" t="s">
        <v>1495</v>
      </c>
      <c r="E2574" s="33" t="s">
        <v>1496</v>
      </c>
      <c r="F2574" s="33" t="s">
        <v>1497</v>
      </c>
      <c r="G2574" s="33" t="s">
        <v>6394</v>
      </c>
      <c r="H2574" s="33" t="s">
        <v>6395</v>
      </c>
      <c r="I2574" s="33" t="s">
        <v>6396</v>
      </c>
      <c r="J2574" s="33">
        <v>142718</v>
      </c>
      <c r="K2574" s="33" t="s">
        <v>6761</v>
      </c>
      <c r="L2574" s="33" t="s">
        <v>6762</v>
      </c>
      <c r="M2574" s="33" t="s">
        <v>6763</v>
      </c>
      <c r="N2574" s="44">
        <v>42272305</v>
      </c>
      <c r="O2574" s="33" t="s">
        <v>6772</v>
      </c>
      <c r="P2574" s="33" t="s">
        <v>6773</v>
      </c>
      <c r="Q2574" s="34" t="s">
        <v>1494</v>
      </c>
      <c r="R2574" s="34" t="s">
        <v>1494</v>
      </c>
    </row>
    <row r="2575" spans="1:18" ht="15" customHeight="1" x14ac:dyDescent="0.25">
      <c r="A2575" t="str">
        <f>IFERROR(RANK(B2575,$B:$B,1)+COUNTIF($B$1:B2574,B2575),"")</f>
        <v/>
      </c>
      <c r="B2575" t="str">
        <f>IFERROR(SEARCH(#REF!,Table4[[#This Row],[Commodity Title]],1),"")</f>
        <v/>
      </c>
      <c r="C2575" s="35">
        <v>42272306</v>
      </c>
      <c r="D2575" s="33" t="s">
        <v>1495</v>
      </c>
      <c r="E2575" s="33" t="s">
        <v>1496</v>
      </c>
      <c r="F2575" s="33" t="s">
        <v>1497</v>
      </c>
      <c r="G2575" s="33" t="s">
        <v>6394</v>
      </c>
      <c r="H2575" s="33" t="s">
        <v>6395</v>
      </c>
      <c r="I2575" s="33" t="s">
        <v>6396</v>
      </c>
      <c r="J2575" s="33">
        <v>142719</v>
      </c>
      <c r="K2575" s="33" t="s">
        <v>6761</v>
      </c>
      <c r="L2575" s="33" t="s">
        <v>6762</v>
      </c>
      <c r="M2575" s="33" t="s">
        <v>6763</v>
      </c>
      <c r="N2575" s="44">
        <v>42272306</v>
      </c>
      <c r="O2575" s="33" t="s">
        <v>6774</v>
      </c>
      <c r="P2575" s="33" t="s">
        <v>6775</v>
      </c>
      <c r="Q2575" s="34" t="s">
        <v>1494</v>
      </c>
      <c r="R2575" s="34" t="s">
        <v>1494</v>
      </c>
    </row>
    <row r="2576" spans="1:18" ht="15" customHeight="1" x14ac:dyDescent="0.25">
      <c r="A2576" t="str">
        <f>IFERROR(RANK(B2576,$B:$B,1)+COUNTIF($B$1:B2575,B2576),"")</f>
        <v/>
      </c>
      <c r="B2576" t="str">
        <f>IFERROR(SEARCH(#REF!,Table4[[#This Row],[Commodity Title]],1),"")</f>
        <v/>
      </c>
      <c r="C2576" s="35">
        <v>42272307</v>
      </c>
      <c r="D2576" s="33" t="s">
        <v>1495</v>
      </c>
      <c r="E2576" s="33" t="s">
        <v>1496</v>
      </c>
      <c r="F2576" s="33" t="s">
        <v>1497</v>
      </c>
      <c r="G2576" s="33" t="s">
        <v>6394</v>
      </c>
      <c r="H2576" s="33" t="s">
        <v>6395</v>
      </c>
      <c r="I2576" s="33" t="s">
        <v>6396</v>
      </c>
      <c r="J2576" s="33">
        <v>142720</v>
      </c>
      <c r="K2576" s="33" t="s">
        <v>6761</v>
      </c>
      <c r="L2576" s="33" t="s">
        <v>6762</v>
      </c>
      <c r="M2576" s="33" t="s">
        <v>6763</v>
      </c>
      <c r="N2576" s="44">
        <v>42272307</v>
      </c>
      <c r="O2576" s="33" t="s">
        <v>6776</v>
      </c>
      <c r="P2576" s="33" t="s">
        <v>6777</v>
      </c>
      <c r="Q2576" s="34" t="s">
        <v>1494</v>
      </c>
      <c r="R2576" s="34" t="s">
        <v>1494</v>
      </c>
    </row>
    <row r="2577" spans="1:18" ht="15" customHeight="1" x14ac:dyDescent="0.25">
      <c r="A2577" t="str">
        <f>IFERROR(RANK(B2577,$B:$B,1)+COUNTIF($B$1:B2576,B2577),"")</f>
        <v/>
      </c>
      <c r="B2577" t="str">
        <f>IFERROR(SEARCH(#REF!,Table4[[#This Row],[Commodity Title]],1),"")</f>
        <v/>
      </c>
      <c r="C2577" s="35">
        <v>42272308</v>
      </c>
      <c r="D2577" s="33" t="s">
        <v>1495</v>
      </c>
      <c r="E2577" s="33" t="s">
        <v>1496</v>
      </c>
      <c r="F2577" s="33" t="s">
        <v>1497</v>
      </c>
      <c r="G2577" s="33" t="s">
        <v>6394</v>
      </c>
      <c r="H2577" s="33" t="s">
        <v>6395</v>
      </c>
      <c r="I2577" s="33" t="s">
        <v>6396</v>
      </c>
      <c r="J2577" s="33">
        <v>203048</v>
      </c>
      <c r="K2577" s="33" t="s">
        <v>6761</v>
      </c>
      <c r="L2577" s="33" t="s">
        <v>6762</v>
      </c>
      <c r="M2577" s="33" t="s">
        <v>6763</v>
      </c>
      <c r="N2577" s="44">
        <v>42272308</v>
      </c>
      <c r="O2577" s="33" t="s">
        <v>6778</v>
      </c>
      <c r="P2577" s="33" t="s">
        <v>6779</v>
      </c>
      <c r="Q2577" s="34" t="s">
        <v>1494</v>
      </c>
      <c r="R2577" s="34" t="s">
        <v>1494</v>
      </c>
    </row>
    <row r="2578" spans="1:18" ht="15" customHeight="1" x14ac:dyDescent="0.25">
      <c r="A2578" t="str">
        <f>IFERROR(RANK(B2578,$B:$B,1)+COUNTIF($B$1:B2577,B2578),"")</f>
        <v/>
      </c>
      <c r="B2578" t="str">
        <f>IFERROR(SEARCH(#REF!,Table4[[#This Row],[Commodity Title]],1),"")</f>
        <v/>
      </c>
      <c r="C2578" s="35">
        <v>42272309</v>
      </c>
      <c r="D2578" s="33" t="s">
        <v>1495</v>
      </c>
      <c r="E2578" s="33" t="s">
        <v>1496</v>
      </c>
      <c r="F2578" s="33" t="s">
        <v>1497</v>
      </c>
      <c r="G2578" s="33" t="s">
        <v>6394</v>
      </c>
      <c r="H2578" s="33" t="s">
        <v>6395</v>
      </c>
      <c r="I2578" s="33" t="s">
        <v>6396</v>
      </c>
      <c r="J2578" s="33">
        <v>203049</v>
      </c>
      <c r="K2578" s="33" t="s">
        <v>6761</v>
      </c>
      <c r="L2578" s="33" t="s">
        <v>6762</v>
      </c>
      <c r="M2578" s="33" t="s">
        <v>6763</v>
      </c>
      <c r="N2578" s="44">
        <v>42272309</v>
      </c>
      <c r="O2578" s="33" t="s">
        <v>6780</v>
      </c>
      <c r="P2578" s="33" t="s">
        <v>6781</v>
      </c>
      <c r="Q2578" s="34" t="s">
        <v>1494</v>
      </c>
      <c r="R2578" s="34" t="s">
        <v>1494</v>
      </c>
    </row>
    <row r="2579" spans="1:18" ht="15" customHeight="1" x14ac:dyDescent="0.25">
      <c r="A2579" t="str">
        <f>IFERROR(RANK(B2579,$B:$B,1)+COUNTIF($B$1:B2578,B2579),"")</f>
        <v/>
      </c>
      <c r="B2579" t="str">
        <f>IFERROR(SEARCH(#REF!,Table4[[#This Row],[Commodity Title]],1),"")</f>
        <v/>
      </c>
      <c r="C2579" s="35">
        <v>42272310</v>
      </c>
      <c r="D2579" s="33" t="s">
        <v>1495</v>
      </c>
      <c r="E2579" s="33" t="s">
        <v>1496</v>
      </c>
      <c r="F2579" s="33" t="s">
        <v>1497</v>
      </c>
      <c r="G2579" s="33" t="s">
        <v>6394</v>
      </c>
      <c r="H2579" s="33" t="s">
        <v>6395</v>
      </c>
      <c r="I2579" s="33" t="s">
        <v>6396</v>
      </c>
      <c r="J2579" s="33">
        <v>203050</v>
      </c>
      <c r="K2579" s="33" t="s">
        <v>6761</v>
      </c>
      <c r="L2579" s="33" t="s">
        <v>6762</v>
      </c>
      <c r="M2579" s="33" t="s">
        <v>6763</v>
      </c>
      <c r="N2579" s="44">
        <v>42272310</v>
      </c>
      <c r="O2579" s="33" t="s">
        <v>6782</v>
      </c>
      <c r="P2579" s="33" t="s">
        <v>6783</v>
      </c>
      <c r="Q2579" s="34" t="s">
        <v>1494</v>
      </c>
      <c r="R2579" s="34" t="s">
        <v>1494</v>
      </c>
    </row>
    <row r="2580" spans="1:18" ht="15" customHeight="1" x14ac:dyDescent="0.25">
      <c r="A2580" t="str">
        <f>IFERROR(RANK(B2580,$B:$B,1)+COUNTIF($B$1:B2579,B2580),"")</f>
        <v/>
      </c>
      <c r="B2580" t="str">
        <f>IFERROR(SEARCH(#REF!,Table4[[#This Row],[Commodity Title]],1),"")</f>
        <v/>
      </c>
      <c r="C2580" s="33" t="s">
        <v>1494</v>
      </c>
      <c r="D2580" s="33" t="s">
        <v>1495</v>
      </c>
      <c r="E2580" s="33" t="s">
        <v>1496</v>
      </c>
      <c r="F2580" s="33" t="s">
        <v>1497</v>
      </c>
      <c r="G2580" s="33" t="s">
        <v>6394</v>
      </c>
      <c r="H2580" s="33" t="s">
        <v>6395</v>
      </c>
      <c r="I2580" s="33" t="s">
        <v>6396</v>
      </c>
      <c r="J2580" s="33">
        <v>142687</v>
      </c>
      <c r="K2580" s="33" t="s">
        <v>6784</v>
      </c>
      <c r="L2580" s="33" t="s">
        <v>6785</v>
      </c>
      <c r="M2580" s="33" t="s">
        <v>6786</v>
      </c>
      <c r="N2580" s="44" t="s">
        <v>1494</v>
      </c>
      <c r="O2580" s="33" t="s">
        <v>1494</v>
      </c>
      <c r="P2580" s="33" t="s">
        <v>1494</v>
      </c>
      <c r="Q2580" s="34" t="s">
        <v>1494</v>
      </c>
      <c r="R2580" s="34" t="s">
        <v>1494</v>
      </c>
    </row>
    <row r="2581" spans="1:18" ht="15" customHeight="1" x14ac:dyDescent="0.25">
      <c r="A2581" t="str">
        <f>IFERROR(RANK(B2581,$B:$B,1)+COUNTIF($B$1:B2580,B2581),"")</f>
        <v/>
      </c>
      <c r="B2581" t="str">
        <f>IFERROR(SEARCH(#REF!,Table4[[#This Row],[Commodity Title]],1),"")</f>
        <v/>
      </c>
      <c r="C2581" s="35">
        <v>42272501</v>
      </c>
      <c r="D2581" s="33" t="s">
        <v>1495</v>
      </c>
      <c r="E2581" s="33" t="s">
        <v>1496</v>
      </c>
      <c r="F2581" s="33" t="s">
        <v>1497</v>
      </c>
      <c r="G2581" s="33" t="s">
        <v>6394</v>
      </c>
      <c r="H2581" s="33" t="s">
        <v>6395</v>
      </c>
      <c r="I2581" s="33" t="s">
        <v>6396</v>
      </c>
      <c r="J2581" s="33">
        <v>142688</v>
      </c>
      <c r="K2581" s="33" t="s">
        <v>6784</v>
      </c>
      <c r="L2581" s="33" t="s">
        <v>6785</v>
      </c>
      <c r="M2581" s="33" t="s">
        <v>6786</v>
      </c>
      <c r="N2581" s="44">
        <v>42272501</v>
      </c>
      <c r="O2581" s="33" t="s">
        <v>6787</v>
      </c>
      <c r="P2581" s="33" t="s">
        <v>6788</v>
      </c>
      <c r="Q2581" s="34" t="s">
        <v>1494</v>
      </c>
      <c r="R2581" s="34" t="s">
        <v>1494</v>
      </c>
    </row>
    <row r="2582" spans="1:18" ht="15" customHeight="1" x14ac:dyDescent="0.25">
      <c r="A2582" t="str">
        <f>IFERROR(RANK(B2582,$B:$B,1)+COUNTIF($B$1:B2581,B2582),"")</f>
        <v/>
      </c>
      <c r="B2582" t="str">
        <f>IFERROR(SEARCH(#REF!,Table4[[#This Row],[Commodity Title]],1),"")</f>
        <v/>
      </c>
      <c r="C2582" s="35">
        <v>42272502</v>
      </c>
      <c r="D2582" s="33" t="s">
        <v>1495</v>
      </c>
      <c r="E2582" s="33" t="s">
        <v>1496</v>
      </c>
      <c r="F2582" s="33" t="s">
        <v>1497</v>
      </c>
      <c r="G2582" s="33" t="s">
        <v>6394</v>
      </c>
      <c r="H2582" s="33" t="s">
        <v>6395</v>
      </c>
      <c r="I2582" s="33" t="s">
        <v>6396</v>
      </c>
      <c r="J2582" s="33">
        <v>142689</v>
      </c>
      <c r="K2582" s="33" t="s">
        <v>6784</v>
      </c>
      <c r="L2582" s="33" t="s">
        <v>6785</v>
      </c>
      <c r="M2582" s="33" t="s">
        <v>6786</v>
      </c>
      <c r="N2582" s="44">
        <v>42272502</v>
      </c>
      <c r="O2582" s="33" t="s">
        <v>6789</v>
      </c>
      <c r="P2582" s="33" t="s">
        <v>6790</v>
      </c>
      <c r="Q2582" s="34" t="s">
        <v>1494</v>
      </c>
      <c r="R2582" s="34" t="s">
        <v>1494</v>
      </c>
    </row>
    <row r="2583" spans="1:18" ht="15" customHeight="1" x14ac:dyDescent="0.25">
      <c r="A2583" t="str">
        <f>IFERROR(RANK(B2583,$B:$B,1)+COUNTIF($B$1:B2582,B2583),"")</f>
        <v/>
      </c>
      <c r="B2583" t="str">
        <f>IFERROR(SEARCH(#REF!,Table4[[#This Row],[Commodity Title]],1),"")</f>
        <v/>
      </c>
      <c r="C2583" s="35">
        <v>42272503</v>
      </c>
      <c r="D2583" s="33" t="s">
        <v>1495</v>
      </c>
      <c r="E2583" s="33" t="s">
        <v>1496</v>
      </c>
      <c r="F2583" s="33" t="s">
        <v>1497</v>
      </c>
      <c r="G2583" s="33" t="s">
        <v>6394</v>
      </c>
      <c r="H2583" s="33" t="s">
        <v>6395</v>
      </c>
      <c r="I2583" s="33" t="s">
        <v>6396</v>
      </c>
      <c r="J2583" s="33">
        <v>142690</v>
      </c>
      <c r="K2583" s="33" t="s">
        <v>6784</v>
      </c>
      <c r="L2583" s="33" t="s">
        <v>6785</v>
      </c>
      <c r="M2583" s="33" t="s">
        <v>6786</v>
      </c>
      <c r="N2583" s="44">
        <v>42272503</v>
      </c>
      <c r="O2583" s="33" t="s">
        <v>6791</v>
      </c>
      <c r="P2583" s="33" t="s">
        <v>6792</v>
      </c>
      <c r="Q2583" s="34" t="s">
        <v>1494</v>
      </c>
      <c r="R2583" s="34" t="s">
        <v>1494</v>
      </c>
    </row>
    <row r="2584" spans="1:18" ht="15" customHeight="1" x14ac:dyDescent="0.25">
      <c r="A2584" t="str">
        <f>IFERROR(RANK(B2584,$B:$B,1)+COUNTIF($B$1:B2583,B2584),"")</f>
        <v/>
      </c>
      <c r="B2584" t="str">
        <f>IFERROR(SEARCH(#REF!,Table4[[#This Row],[Commodity Title]],1),"")</f>
        <v/>
      </c>
      <c r="C2584" s="35">
        <v>42272505</v>
      </c>
      <c r="D2584" s="33" t="s">
        <v>1495</v>
      </c>
      <c r="E2584" s="33" t="s">
        <v>1496</v>
      </c>
      <c r="F2584" s="33" t="s">
        <v>1497</v>
      </c>
      <c r="G2584" s="33" t="s">
        <v>6394</v>
      </c>
      <c r="H2584" s="33" t="s">
        <v>6395</v>
      </c>
      <c r="I2584" s="33" t="s">
        <v>6396</v>
      </c>
      <c r="J2584" s="33">
        <v>142692</v>
      </c>
      <c r="K2584" s="33" t="s">
        <v>6784</v>
      </c>
      <c r="L2584" s="33" t="s">
        <v>6785</v>
      </c>
      <c r="M2584" s="33" t="s">
        <v>6786</v>
      </c>
      <c r="N2584" s="44">
        <v>42272505</v>
      </c>
      <c r="O2584" s="33" t="s">
        <v>6793</v>
      </c>
      <c r="P2584" s="33" t="s">
        <v>6794</v>
      </c>
      <c r="Q2584" s="34" t="s">
        <v>1494</v>
      </c>
      <c r="R2584" s="34" t="s">
        <v>1494</v>
      </c>
    </row>
    <row r="2585" spans="1:18" ht="15" customHeight="1" x14ac:dyDescent="0.25">
      <c r="A2585" t="str">
        <f>IFERROR(RANK(B2585,$B:$B,1)+COUNTIF($B$1:B2584,B2585),"")</f>
        <v/>
      </c>
      <c r="B2585" t="str">
        <f>IFERROR(SEARCH(#REF!,Table4[[#This Row],[Commodity Title]],1),"")</f>
        <v/>
      </c>
      <c r="C2585" s="35">
        <v>42272506</v>
      </c>
      <c r="D2585" s="33" t="s">
        <v>1495</v>
      </c>
      <c r="E2585" s="33" t="s">
        <v>1496</v>
      </c>
      <c r="F2585" s="33" t="s">
        <v>1497</v>
      </c>
      <c r="G2585" s="33" t="s">
        <v>6394</v>
      </c>
      <c r="H2585" s="33" t="s">
        <v>6395</v>
      </c>
      <c r="I2585" s="33" t="s">
        <v>6396</v>
      </c>
      <c r="J2585" s="33">
        <v>142693</v>
      </c>
      <c r="K2585" s="33" t="s">
        <v>6784</v>
      </c>
      <c r="L2585" s="33" t="s">
        <v>6785</v>
      </c>
      <c r="M2585" s="33" t="s">
        <v>6786</v>
      </c>
      <c r="N2585" s="44">
        <v>42272506</v>
      </c>
      <c r="O2585" s="33" t="s">
        <v>6795</v>
      </c>
      <c r="P2585" s="33" t="s">
        <v>6796</v>
      </c>
      <c r="Q2585" s="34" t="s">
        <v>1494</v>
      </c>
      <c r="R2585" s="34" t="s">
        <v>1494</v>
      </c>
    </row>
    <row r="2586" spans="1:18" ht="15" customHeight="1" x14ac:dyDescent="0.25">
      <c r="A2586" t="str">
        <f>IFERROR(RANK(B2586,$B:$B,1)+COUNTIF($B$1:B2585,B2586),"")</f>
        <v/>
      </c>
      <c r="B2586" t="str">
        <f>IFERROR(SEARCH(#REF!,Table4[[#This Row],[Commodity Title]],1),"")</f>
        <v/>
      </c>
      <c r="C2586" s="35">
        <v>42272507</v>
      </c>
      <c r="D2586" s="33" t="s">
        <v>1495</v>
      </c>
      <c r="E2586" s="33" t="s">
        <v>1496</v>
      </c>
      <c r="F2586" s="33" t="s">
        <v>1497</v>
      </c>
      <c r="G2586" s="33" t="s">
        <v>6394</v>
      </c>
      <c r="H2586" s="33" t="s">
        <v>6395</v>
      </c>
      <c r="I2586" s="33" t="s">
        <v>6396</v>
      </c>
      <c r="J2586" s="33">
        <v>143853</v>
      </c>
      <c r="K2586" s="33" t="s">
        <v>6784</v>
      </c>
      <c r="L2586" s="33" t="s">
        <v>6785</v>
      </c>
      <c r="M2586" s="33" t="s">
        <v>6786</v>
      </c>
      <c r="N2586" s="44">
        <v>42272507</v>
      </c>
      <c r="O2586" s="33" t="s">
        <v>6797</v>
      </c>
      <c r="P2586" s="33" t="s">
        <v>6798</v>
      </c>
      <c r="Q2586" s="34" t="s">
        <v>1494</v>
      </c>
      <c r="R2586" s="34" t="s">
        <v>1494</v>
      </c>
    </row>
    <row r="2587" spans="1:18" ht="15" customHeight="1" x14ac:dyDescent="0.25">
      <c r="A2587" t="str">
        <f>IFERROR(RANK(B2587,$B:$B,1)+COUNTIF($B$1:B2586,B2587),"")</f>
        <v/>
      </c>
      <c r="B2587" t="str">
        <f>IFERROR(SEARCH(#REF!,Table4[[#This Row],[Commodity Title]],1),"")</f>
        <v/>
      </c>
      <c r="C2587" s="35">
        <v>42272509</v>
      </c>
      <c r="D2587" s="33" t="s">
        <v>1495</v>
      </c>
      <c r="E2587" s="33" t="s">
        <v>1496</v>
      </c>
      <c r="F2587" s="33" t="s">
        <v>1497</v>
      </c>
      <c r="G2587" s="33" t="s">
        <v>6394</v>
      </c>
      <c r="H2587" s="33" t="s">
        <v>6395</v>
      </c>
      <c r="I2587" s="33" t="s">
        <v>6396</v>
      </c>
      <c r="J2587" s="33">
        <v>144230</v>
      </c>
      <c r="K2587" s="33" t="s">
        <v>6784</v>
      </c>
      <c r="L2587" s="33" t="s">
        <v>6785</v>
      </c>
      <c r="M2587" s="33" t="s">
        <v>6786</v>
      </c>
      <c r="N2587" s="44">
        <v>42272509</v>
      </c>
      <c r="O2587" s="33" t="s">
        <v>6799</v>
      </c>
      <c r="P2587" s="33" t="s">
        <v>6800</v>
      </c>
      <c r="Q2587" s="34" t="s">
        <v>1494</v>
      </c>
      <c r="R2587" s="34" t="s">
        <v>1494</v>
      </c>
    </row>
    <row r="2588" spans="1:18" ht="15" customHeight="1" x14ac:dyDescent="0.25">
      <c r="A2588" t="str">
        <f>IFERROR(RANK(B2588,$B:$B,1)+COUNTIF($B$1:B2587,B2588),"")</f>
        <v/>
      </c>
      <c r="B2588" t="str">
        <f>IFERROR(SEARCH(#REF!,Table4[[#This Row],[Commodity Title]],1),"")</f>
        <v/>
      </c>
      <c r="C2588" s="35">
        <v>42272510</v>
      </c>
      <c r="D2588" s="33" t="s">
        <v>1495</v>
      </c>
      <c r="E2588" s="33" t="s">
        <v>1496</v>
      </c>
      <c r="F2588" s="33" t="s">
        <v>1497</v>
      </c>
      <c r="G2588" s="33" t="s">
        <v>6394</v>
      </c>
      <c r="H2588" s="33" t="s">
        <v>6395</v>
      </c>
      <c r="I2588" s="33" t="s">
        <v>6396</v>
      </c>
      <c r="J2588" s="33">
        <v>144231</v>
      </c>
      <c r="K2588" s="33" t="s">
        <v>6784</v>
      </c>
      <c r="L2588" s="33" t="s">
        <v>6785</v>
      </c>
      <c r="M2588" s="33" t="s">
        <v>6786</v>
      </c>
      <c r="N2588" s="44">
        <v>42272510</v>
      </c>
      <c r="O2588" s="33" t="s">
        <v>6801</v>
      </c>
      <c r="P2588" s="33" t="s">
        <v>6802</v>
      </c>
      <c r="Q2588" s="34" t="s">
        <v>1494</v>
      </c>
      <c r="R2588" s="34" t="s">
        <v>1494</v>
      </c>
    </row>
    <row r="2589" spans="1:18" ht="15" customHeight="1" x14ac:dyDescent="0.25">
      <c r="A2589" t="str">
        <f>IFERROR(RANK(B2589,$B:$B,1)+COUNTIF($B$1:B2588,B2589),"")</f>
        <v/>
      </c>
      <c r="B2589" t="str">
        <f>IFERROR(SEARCH(#REF!,Table4[[#This Row],[Commodity Title]],1),"")</f>
        <v/>
      </c>
      <c r="C2589" s="35">
        <v>42272511</v>
      </c>
      <c r="D2589" s="33" t="s">
        <v>1495</v>
      </c>
      <c r="E2589" s="33" t="s">
        <v>1496</v>
      </c>
      <c r="F2589" s="33" t="s">
        <v>1497</v>
      </c>
      <c r="G2589" s="33" t="s">
        <v>6394</v>
      </c>
      <c r="H2589" s="33" t="s">
        <v>6395</v>
      </c>
      <c r="I2589" s="33" t="s">
        <v>6396</v>
      </c>
      <c r="J2589" s="33">
        <v>203051</v>
      </c>
      <c r="K2589" s="33" t="s">
        <v>6784</v>
      </c>
      <c r="L2589" s="33" t="s">
        <v>6785</v>
      </c>
      <c r="M2589" s="33" t="s">
        <v>6786</v>
      </c>
      <c r="N2589" s="44">
        <v>42272511</v>
      </c>
      <c r="O2589" s="33" t="s">
        <v>6803</v>
      </c>
      <c r="P2589" s="33" t="s">
        <v>6804</v>
      </c>
      <c r="Q2589" s="34" t="s">
        <v>1494</v>
      </c>
      <c r="R2589" s="34" t="s">
        <v>1494</v>
      </c>
    </row>
    <row r="2590" spans="1:18" ht="15" customHeight="1" x14ac:dyDescent="0.25">
      <c r="A2590" t="str">
        <f>IFERROR(RANK(B2590,$B:$B,1)+COUNTIF($B$1:B2589,B2590),"")</f>
        <v/>
      </c>
      <c r="B2590" t="str">
        <f>IFERROR(SEARCH(#REF!,Table4[[#This Row],[Commodity Title]],1),"")</f>
        <v/>
      </c>
      <c r="C2590" s="35">
        <v>42272512</v>
      </c>
      <c r="D2590" s="33" t="s">
        <v>1495</v>
      </c>
      <c r="E2590" s="33" t="s">
        <v>1496</v>
      </c>
      <c r="F2590" s="33" t="s">
        <v>1497</v>
      </c>
      <c r="G2590" s="33" t="s">
        <v>6394</v>
      </c>
      <c r="H2590" s="33" t="s">
        <v>6395</v>
      </c>
      <c r="I2590" s="33" t="s">
        <v>6396</v>
      </c>
      <c r="J2590" s="33">
        <v>203052</v>
      </c>
      <c r="K2590" s="33" t="s">
        <v>6784</v>
      </c>
      <c r="L2590" s="33" t="s">
        <v>6785</v>
      </c>
      <c r="M2590" s="33" t="s">
        <v>6786</v>
      </c>
      <c r="N2590" s="44">
        <v>42272512</v>
      </c>
      <c r="O2590" s="33" t="s">
        <v>6805</v>
      </c>
      <c r="P2590" s="33" t="s">
        <v>6806</v>
      </c>
      <c r="Q2590" s="34" t="s">
        <v>1494</v>
      </c>
      <c r="R2590" s="34" t="s">
        <v>1494</v>
      </c>
    </row>
    <row r="2591" spans="1:18" ht="15" customHeight="1" x14ac:dyDescent="0.25">
      <c r="A2591" t="str">
        <f>IFERROR(RANK(B2591,$B:$B,1)+COUNTIF($B$1:B2590,B2591),"")</f>
        <v/>
      </c>
      <c r="B2591" t="str">
        <f>IFERROR(SEARCH(#REF!,Table4[[#This Row],[Commodity Title]],1),"")</f>
        <v/>
      </c>
      <c r="C2591" s="35">
        <v>42272513</v>
      </c>
      <c r="D2591" s="33" t="s">
        <v>1495</v>
      </c>
      <c r="E2591" s="33" t="s">
        <v>1496</v>
      </c>
      <c r="F2591" s="33" t="s">
        <v>1497</v>
      </c>
      <c r="G2591" s="33" t="s">
        <v>6394</v>
      </c>
      <c r="H2591" s="33" t="s">
        <v>6395</v>
      </c>
      <c r="I2591" s="33" t="s">
        <v>6396</v>
      </c>
      <c r="J2591" s="33">
        <v>203053</v>
      </c>
      <c r="K2591" s="33" t="s">
        <v>6784</v>
      </c>
      <c r="L2591" s="33" t="s">
        <v>6785</v>
      </c>
      <c r="M2591" s="33" t="s">
        <v>6786</v>
      </c>
      <c r="N2591" s="44">
        <v>42272513</v>
      </c>
      <c r="O2591" s="33" t="s">
        <v>6807</v>
      </c>
      <c r="P2591" s="33" t="s">
        <v>6808</v>
      </c>
      <c r="Q2591" s="34" t="s">
        <v>1494</v>
      </c>
      <c r="R2591" s="34" t="s">
        <v>1494</v>
      </c>
    </row>
    <row r="2592" spans="1:18" ht="15" customHeight="1" x14ac:dyDescent="0.25">
      <c r="A2592" t="str">
        <f>IFERROR(RANK(B2592,$B:$B,1)+COUNTIF($B$1:B2591,B2592),"")</f>
        <v/>
      </c>
      <c r="B2592" t="str">
        <f>IFERROR(SEARCH(#REF!,Table4[[#This Row],[Commodity Title]],1),"")</f>
        <v/>
      </c>
      <c r="C2592" s="35">
        <v>42272514</v>
      </c>
      <c r="D2592" s="33" t="s">
        <v>1495</v>
      </c>
      <c r="E2592" s="33" t="s">
        <v>1496</v>
      </c>
      <c r="F2592" s="33" t="s">
        <v>1497</v>
      </c>
      <c r="G2592" s="33" t="s">
        <v>6394</v>
      </c>
      <c r="H2592" s="33" t="s">
        <v>6395</v>
      </c>
      <c r="I2592" s="33" t="s">
        <v>6396</v>
      </c>
      <c r="J2592" s="33">
        <v>203054</v>
      </c>
      <c r="K2592" s="33" t="s">
        <v>6784</v>
      </c>
      <c r="L2592" s="33" t="s">
        <v>6785</v>
      </c>
      <c r="M2592" s="33" t="s">
        <v>6786</v>
      </c>
      <c r="N2592" s="44">
        <v>42272514</v>
      </c>
      <c r="O2592" s="33" t="s">
        <v>6809</v>
      </c>
      <c r="P2592" s="33" t="s">
        <v>6810</v>
      </c>
      <c r="Q2592" s="34" t="s">
        <v>1494</v>
      </c>
      <c r="R2592" s="34" t="s">
        <v>1494</v>
      </c>
    </row>
    <row r="2593" spans="1:18" ht="15" customHeight="1" x14ac:dyDescent="0.25">
      <c r="A2593" t="str">
        <f>IFERROR(RANK(B2593,$B:$B,1)+COUNTIF($B$1:B2592,B2593),"")</f>
        <v/>
      </c>
      <c r="B2593" t="str">
        <f>IFERROR(SEARCH(#REF!,Table4[[#This Row],[Commodity Title]],1),"")</f>
        <v/>
      </c>
      <c r="C2593" s="35">
        <v>42272515</v>
      </c>
      <c r="D2593" s="33" t="s">
        <v>1495</v>
      </c>
      <c r="E2593" s="33" t="s">
        <v>1496</v>
      </c>
      <c r="F2593" s="33" t="s">
        <v>1497</v>
      </c>
      <c r="G2593" s="33" t="s">
        <v>6394</v>
      </c>
      <c r="H2593" s="33" t="s">
        <v>6395</v>
      </c>
      <c r="I2593" s="33" t="s">
        <v>6396</v>
      </c>
      <c r="J2593" s="33">
        <v>174339</v>
      </c>
      <c r="K2593" s="33" t="s">
        <v>6784</v>
      </c>
      <c r="L2593" s="33" t="s">
        <v>6785</v>
      </c>
      <c r="M2593" s="33" t="s">
        <v>6786</v>
      </c>
      <c r="N2593" s="44">
        <v>42272515</v>
      </c>
      <c r="O2593" s="33" t="s">
        <v>6811</v>
      </c>
      <c r="P2593" s="33" t="s">
        <v>6812</v>
      </c>
      <c r="Q2593" s="34" t="s">
        <v>1494</v>
      </c>
      <c r="R2593" s="34" t="s">
        <v>1494</v>
      </c>
    </row>
    <row r="2594" spans="1:18" ht="15" customHeight="1" x14ac:dyDescent="0.25">
      <c r="A2594" t="str">
        <f>IFERROR(RANK(B2594,$B:$B,1)+COUNTIF($B$1:B2593,B2594),"")</f>
        <v/>
      </c>
      <c r="B2594" t="str">
        <f>IFERROR(SEARCH(#REF!,Table4[[#This Row],[Commodity Title]],1),"")</f>
        <v/>
      </c>
      <c r="C2594" s="35">
        <v>42272516</v>
      </c>
      <c r="D2594" s="33" t="s">
        <v>1495</v>
      </c>
      <c r="E2594" s="33" t="s">
        <v>1496</v>
      </c>
      <c r="F2594" s="33" t="s">
        <v>1497</v>
      </c>
      <c r="G2594" s="33" t="s">
        <v>6394</v>
      </c>
      <c r="H2594" s="33" t="s">
        <v>6395</v>
      </c>
      <c r="I2594" s="33" t="s">
        <v>6396</v>
      </c>
      <c r="J2594" s="33">
        <v>203055</v>
      </c>
      <c r="K2594" s="33" t="s">
        <v>6784</v>
      </c>
      <c r="L2594" s="33" t="s">
        <v>6785</v>
      </c>
      <c r="M2594" s="33" t="s">
        <v>6786</v>
      </c>
      <c r="N2594" s="44">
        <v>42272516</v>
      </c>
      <c r="O2594" s="33" t="s">
        <v>6813</v>
      </c>
      <c r="P2594" s="33" t="s">
        <v>6814</v>
      </c>
      <c r="Q2594" s="34" t="s">
        <v>1494</v>
      </c>
      <c r="R2594" s="34" t="s">
        <v>1494</v>
      </c>
    </row>
    <row r="2595" spans="1:18" ht="15" customHeight="1" x14ac:dyDescent="0.25">
      <c r="A2595" t="str">
        <f>IFERROR(RANK(B2595,$B:$B,1)+COUNTIF($B$1:B2594,B2595),"")</f>
        <v/>
      </c>
      <c r="B2595" t="str">
        <f>IFERROR(SEARCH(#REF!,Table4[[#This Row],[Commodity Title]],1),"")</f>
        <v/>
      </c>
      <c r="C2595" s="35">
        <v>42272517</v>
      </c>
      <c r="D2595" s="33" t="s">
        <v>1495</v>
      </c>
      <c r="E2595" s="33" t="s">
        <v>1496</v>
      </c>
      <c r="F2595" s="33" t="s">
        <v>1497</v>
      </c>
      <c r="G2595" s="33" t="s">
        <v>6394</v>
      </c>
      <c r="H2595" s="33" t="s">
        <v>6395</v>
      </c>
      <c r="I2595" s="33" t="s">
        <v>6396</v>
      </c>
      <c r="J2595" s="33">
        <v>203056</v>
      </c>
      <c r="K2595" s="33" t="s">
        <v>6784</v>
      </c>
      <c r="L2595" s="33" t="s">
        <v>6785</v>
      </c>
      <c r="M2595" s="33" t="s">
        <v>6786</v>
      </c>
      <c r="N2595" s="44">
        <v>42272517</v>
      </c>
      <c r="O2595" s="33" t="s">
        <v>6815</v>
      </c>
      <c r="P2595" s="33" t="s">
        <v>6816</v>
      </c>
      <c r="Q2595" s="34" t="s">
        <v>1494</v>
      </c>
      <c r="R2595" s="34" t="s">
        <v>1494</v>
      </c>
    </row>
    <row r="2596" spans="1:18" ht="15" customHeight="1" x14ac:dyDescent="0.25">
      <c r="A2596" t="str">
        <f>IFERROR(RANK(B2596,$B:$B,1)+COUNTIF($B$1:B2595,B2596),"")</f>
        <v/>
      </c>
      <c r="B2596" t="str">
        <f>IFERROR(SEARCH(#REF!,Table4[[#This Row],[Commodity Title]],1),"")</f>
        <v/>
      </c>
      <c r="C2596" s="35">
        <v>42272518</v>
      </c>
      <c r="D2596" s="33" t="s">
        <v>1495</v>
      </c>
      <c r="E2596" s="33" t="s">
        <v>1496</v>
      </c>
      <c r="F2596" s="33" t="s">
        <v>1497</v>
      </c>
      <c r="G2596" s="33" t="s">
        <v>6394</v>
      </c>
      <c r="H2596" s="33" t="s">
        <v>6395</v>
      </c>
      <c r="I2596" s="33" t="s">
        <v>6396</v>
      </c>
      <c r="J2596" s="33">
        <v>203057</v>
      </c>
      <c r="K2596" s="33" t="s">
        <v>6784</v>
      </c>
      <c r="L2596" s="33" t="s">
        <v>6785</v>
      </c>
      <c r="M2596" s="33" t="s">
        <v>6786</v>
      </c>
      <c r="N2596" s="44">
        <v>42272518</v>
      </c>
      <c r="O2596" s="33" t="s">
        <v>6817</v>
      </c>
      <c r="P2596" s="33" t="s">
        <v>6818</v>
      </c>
      <c r="Q2596" s="34" t="s">
        <v>1494</v>
      </c>
      <c r="R2596" s="34" t="s">
        <v>1494</v>
      </c>
    </row>
    <row r="2597" spans="1:18" ht="15" customHeight="1" x14ac:dyDescent="0.25">
      <c r="A2597" t="str">
        <f>IFERROR(RANK(B2597,$B:$B,1)+COUNTIF($B$1:B2596,B2597),"")</f>
        <v/>
      </c>
      <c r="B2597" t="str">
        <f>IFERROR(SEARCH(#REF!,Table4[[#This Row],[Commodity Title]],1),"")</f>
        <v/>
      </c>
      <c r="C2597" s="35">
        <v>42272519</v>
      </c>
      <c r="D2597" s="33" t="s">
        <v>1495</v>
      </c>
      <c r="E2597" s="33" t="s">
        <v>1496</v>
      </c>
      <c r="F2597" s="33" t="s">
        <v>1497</v>
      </c>
      <c r="G2597" s="33" t="s">
        <v>6394</v>
      </c>
      <c r="H2597" s="33" t="s">
        <v>6395</v>
      </c>
      <c r="I2597" s="33" t="s">
        <v>6396</v>
      </c>
      <c r="J2597" s="33">
        <v>203058</v>
      </c>
      <c r="K2597" s="33" t="s">
        <v>6784</v>
      </c>
      <c r="L2597" s="33" t="s">
        <v>6785</v>
      </c>
      <c r="M2597" s="33" t="s">
        <v>6786</v>
      </c>
      <c r="N2597" s="44">
        <v>42272519</v>
      </c>
      <c r="O2597" s="33" t="s">
        <v>6819</v>
      </c>
      <c r="P2597" s="33" t="s">
        <v>6820</v>
      </c>
      <c r="Q2597" s="34" t="s">
        <v>1494</v>
      </c>
      <c r="R2597" s="34" t="s">
        <v>1494</v>
      </c>
    </row>
    <row r="2598" spans="1:18" ht="15" customHeight="1" x14ac:dyDescent="0.25">
      <c r="A2598" t="str">
        <f>IFERROR(RANK(B2598,$B:$B,1)+COUNTIF($B$1:B2597,B2598),"")</f>
        <v/>
      </c>
      <c r="B2598" t="str">
        <f>IFERROR(SEARCH(#REF!,Table4[[#This Row],[Commodity Title]],1),"")</f>
        <v/>
      </c>
      <c r="C2598" s="35">
        <v>42272520</v>
      </c>
      <c r="D2598" s="33" t="s">
        <v>1495</v>
      </c>
      <c r="E2598" s="33" t="s">
        <v>1496</v>
      </c>
      <c r="F2598" s="33" t="s">
        <v>1497</v>
      </c>
      <c r="G2598" s="33" t="s">
        <v>6394</v>
      </c>
      <c r="H2598" s="33" t="s">
        <v>6395</v>
      </c>
      <c r="I2598" s="33" t="s">
        <v>6396</v>
      </c>
      <c r="J2598" s="33">
        <v>203059</v>
      </c>
      <c r="K2598" s="33" t="s">
        <v>6784</v>
      </c>
      <c r="L2598" s="33" t="s">
        <v>6785</v>
      </c>
      <c r="M2598" s="33" t="s">
        <v>6786</v>
      </c>
      <c r="N2598" s="44">
        <v>42272520</v>
      </c>
      <c r="O2598" s="33" t="s">
        <v>6821</v>
      </c>
      <c r="P2598" s="33" t="s">
        <v>6822</v>
      </c>
      <c r="Q2598" s="34" t="s">
        <v>1494</v>
      </c>
      <c r="R2598" s="34" t="s">
        <v>1494</v>
      </c>
    </row>
    <row r="2599" spans="1:18" ht="15" customHeight="1" x14ac:dyDescent="0.25">
      <c r="A2599" t="str">
        <f>IFERROR(RANK(B2599,$B:$B,1)+COUNTIF($B$1:B2598,B2599),"")</f>
        <v/>
      </c>
      <c r="B2599" t="str">
        <f>IFERROR(SEARCH(#REF!,Table4[[#This Row],[Commodity Title]],1),"")</f>
        <v/>
      </c>
      <c r="C2599" s="35">
        <v>42272521</v>
      </c>
      <c r="D2599" s="33" t="s">
        <v>1495</v>
      </c>
      <c r="E2599" s="33" t="s">
        <v>1496</v>
      </c>
      <c r="F2599" s="33" t="s">
        <v>1497</v>
      </c>
      <c r="G2599" s="33" t="s">
        <v>6394</v>
      </c>
      <c r="H2599" s="33" t="s">
        <v>6395</v>
      </c>
      <c r="I2599" s="33" t="s">
        <v>6396</v>
      </c>
      <c r="J2599" s="33">
        <v>203060</v>
      </c>
      <c r="K2599" s="33" t="s">
        <v>6784</v>
      </c>
      <c r="L2599" s="33" t="s">
        <v>6785</v>
      </c>
      <c r="M2599" s="33" t="s">
        <v>6786</v>
      </c>
      <c r="N2599" s="44">
        <v>42272521</v>
      </c>
      <c r="O2599" s="33" t="s">
        <v>6823</v>
      </c>
      <c r="P2599" s="33" t="s">
        <v>6824</v>
      </c>
      <c r="Q2599" s="34" t="s">
        <v>1494</v>
      </c>
      <c r="R2599" s="34" t="s">
        <v>1494</v>
      </c>
    </row>
    <row r="2600" spans="1:18" ht="15" customHeight="1" x14ac:dyDescent="0.25">
      <c r="A2600" t="str">
        <f>IFERROR(RANK(B2600,$B:$B,1)+COUNTIF($B$1:B2599,B2600),"")</f>
        <v/>
      </c>
      <c r="B2600" t="str">
        <f>IFERROR(SEARCH(#REF!,Table4[[#This Row],[Commodity Title]],1),"")</f>
        <v/>
      </c>
      <c r="C2600" s="35">
        <v>42272522</v>
      </c>
      <c r="D2600" s="33" t="s">
        <v>1495</v>
      </c>
      <c r="E2600" s="33" t="s">
        <v>1496</v>
      </c>
      <c r="F2600" s="33" t="s">
        <v>1497</v>
      </c>
      <c r="G2600" s="33" t="s">
        <v>6394</v>
      </c>
      <c r="H2600" s="33" t="s">
        <v>6395</v>
      </c>
      <c r="I2600" s="33" t="s">
        <v>6396</v>
      </c>
      <c r="J2600" s="33">
        <v>203061</v>
      </c>
      <c r="K2600" s="33" t="s">
        <v>6784</v>
      </c>
      <c r="L2600" s="33" t="s">
        <v>6785</v>
      </c>
      <c r="M2600" s="33" t="s">
        <v>6786</v>
      </c>
      <c r="N2600" s="44">
        <v>42272522</v>
      </c>
      <c r="O2600" s="33" t="s">
        <v>6825</v>
      </c>
      <c r="P2600" s="33" t="s">
        <v>6826</v>
      </c>
      <c r="Q2600" s="34" t="s">
        <v>1494</v>
      </c>
      <c r="R2600" s="34" t="s">
        <v>1494</v>
      </c>
    </row>
    <row r="2601" spans="1:18" ht="15" customHeight="1" x14ac:dyDescent="0.25">
      <c r="A2601" t="str">
        <f>IFERROR(RANK(B2601,$B:$B,1)+COUNTIF($B$1:B2600,B2601),"")</f>
        <v/>
      </c>
      <c r="B2601" t="str">
        <f>IFERROR(SEARCH(#REF!,Table4[[#This Row],[Commodity Title]],1),"")</f>
        <v/>
      </c>
      <c r="C2601" s="35">
        <v>42272523</v>
      </c>
      <c r="D2601" s="33" t="s">
        <v>1495</v>
      </c>
      <c r="E2601" s="33" t="s">
        <v>1496</v>
      </c>
      <c r="F2601" s="33" t="s">
        <v>1497</v>
      </c>
      <c r="G2601" s="33" t="s">
        <v>6394</v>
      </c>
      <c r="H2601" s="33" t="s">
        <v>6395</v>
      </c>
      <c r="I2601" s="33" t="s">
        <v>6396</v>
      </c>
      <c r="J2601" s="33">
        <v>203062</v>
      </c>
      <c r="K2601" s="33" t="s">
        <v>6784</v>
      </c>
      <c r="L2601" s="33" t="s">
        <v>6785</v>
      </c>
      <c r="M2601" s="33" t="s">
        <v>6786</v>
      </c>
      <c r="N2601" s="44">
        <v>42272523</v>
      </c>
      <c r="O2601" s="33" t="s">
        <v>6827</v>
      </c>
      <c r="P2601" s="33" t="s">
        <v>6828</v>
      </c>
      <c r="Q2601" s="34" t="s">
        <v>1494</v>
      </c>
      <c r="R2601" s="34" t="s">
        <v>1494</v>
      </c>
    </row>
    <row r="2602" spans="1:18" ht="15" customHeight="1" x14ac:dyDescent="0.25">
      <c r="A2602" t="str">
        <f>IFERROR(RANK(B2602,$B:$B,1)+COUNTIF($B$1:B2601,B2602),"")</f>
        <v/>
      </c>
      <c r="B2602" t="str">
        <f>IFERROR(SEARCH(#REF!,Table4[[#This Row],[Commodity Title]],1),"")</f>
        <v/>
      </c>
      <c r="C2602" s="35">
        <v>42272524</v>
      </c>
      <c r="D2602" s="33" t="s">
        <v>1495</v>
      </c>
      <c r="E2602" s="33" t="s">
        <v>1496</v>
      </c>
      <c r="F2602" s="33" t="s">
        <v>1497</v>
      </c>
      <c r="G2602" s="33" t="s">
        <v>6394</v>
      </c>
      <c r="H2602" s="33" t="s">
        <v>6395</v>
      </c>
      <c r="I2602" s="33" t="s">
        <v>6396</v>
      </c>
      <c r="J2602" s="33">
        <v>203063</v>
      </c>
      <c r="K2602" s="33" t="s">
        <v>6784</v>
      </c>
      <c r="L2602" s="33" t="s">
        <v>6785</v>
      </c>
      <c r="M2602" s="33" t="s">
        <v>6786</v>
      </c>
      <c r="N2602" s="44">
        <v>42272524</v>
      </c>
      <c r="O2602" s="33" t="s">
        <v>6829</v>
      </c>
      <c r="P2602" s="33" t="s">
        <v>6830</v>
      </c>
      <c r="Q2602" s="34" t="s">
        <v>1494</v>
      </c>
      <c r="R2602" s="34" t="s">
        <v>1494</v>
      </c>
    </row>
    <row r="2603" spans="1:18" ht="15" customHeight="1" x14ac:dyDescent="0.25">
      <c r="A2603" t="str">
        <f>IFERROR(RANK(B2603,$B:$B,1)+COUNTIF($B$1:B2602,B2603),"")</f>
        <v/>
      </c>
      <c r="B2603" t="str">
        <f>IFERROR(SEARCH(#REF!,Table4[[#This Row],[Commodity Title]],1),"")</f>
        <v/>
      </c>
      <c r="C2603" s="35">
        <v>42272525</v>
      </c>
      <c r="D2603" s="33" t="s">
        <v>1495</v>
      </c>
      <c r="E2603" s="33" t="s">
        <v>1496</v>
      </c>
      <c r="F2603" s="33" t="s">
        <v>1497</v>
      </c>
      <c r="G2603" s="33" t="s">
        <v>6394</v>
      </c>
      <c r="H2603" s="33" t="s">
        <v>6395</v>
      </c>
      <c r="I2603" s="33" t="s">
        <v>6396</v>
      </c>
      <c r="J2603" s="33">
        <v>203064</v>
      </c>
      <c r="K2603" s="33" t="s">
        <v>6784</v>
      </c>
      <c r="L2603" s="33" t="s">
        <v>6785</v>
      </c>
      <c r="M2603" s="33" t="s">
        <v>6786</v>
      </c>
      <c r="N2603" s="44">
        <v>42272525</v>
      </c>
      <c r="O2603" s="33" t="s">
        <v>6831</v>
      </c>
      <c r="P2603" s="33" t="s">
        <v>6832</v>
      </c>
      <c r="Q2603" s="34" t="s">
        <v>1494</v>
      </c>
      <c r="R2603" s="34" t="s">
        <v>1494</v>
      </c>
    </row>
    <row r="2604" spans="1:18" ht="15" customHeight="1" x14ac:dyDescent="0.25">
      <c r="A2604" t="str">
        <f>IFERROR(RANK(B2604,$B:$B,1)+COUNTIF($B$1:B2603,B2604),"")</f>
        <v/>
      </c>
      <c r="B2604" t="str">
        <f>IFERROR(SEARCH(#REF!,Table4[[#This Row],[Commodity Title]],1),"")</f>
        <v/>
      </c>
      <c r="C2604" s="35">
        <v>42272526</v>
      </c>
      <c r="D2604" s="33" t="s">
        <v>1495</v>
      </c>
      <c r="E2604" s="33" t="s">
        <v>1496</v>
      </c>
      <c r="F2604" s="33" t="s">
        <v>1497</v>
      </c>
      <c r="G2604" s="33" t="s">
        <v>6394</v>
      </c>
      <c r="H2604" s="33" t="s">
        <v>6395</v>
      </c>
      <c r="I2604" s="33" t="s">
        <v>6396</v>
      </c>
      <c r="J2604" s="33">
        <v>203065</v>
      </c>
      <c r="K2604" s="33" t="s">
        <v>6784</v>
      </c>
      <c r="L2604" s="33" t="s">
        <v>6785</v>
      </c>
      <c r="M2604" s="33" t="s">
        <v>6786</v>
      </c>
      <c r="N2604" s="44">
        <v>42272526</v>
      </c>
      <c r="O2604" s="33" t="s">
        <v>6833</v>
      </c>
      <c r="P2604" s="33" t="s">
        <v>6834</v>
      </c>
      <c r="Q2604" s="34" t="s">
        <v>1494</v>
      </c>
      <c r="R2604" s="34" t="s">
        <v>1494</v>
      </c>
    </row>
    <row r="2605" spans="1:18" ht="15" customHeight="1" x14ac:dyDescent="0.25">
      <c r="A2605" t="str">
        <f>IFERROR(RANK(B2605,$B:$B,1)+COUNTIF($B$1:B2604,B2605),"")</f>
        <v/>
      </c>
      <c r="B2605" t="str">
        <f>IFERROR(SEARCH(#REF!,Table4[[#This Row],[Commodity Title]],1),"")</f>
        <v/>
      </c>
      <c r="C2605" s="35">
        <v>42272527</v>
      </c>
      <c r="D2605" s="33" t="s">
        <v>1495</v>
      </c>
      <c r="E2605" s="33" t="s">
        <v>1496</v>
      </c>
      <c r="F2605" s="33" t="s">
        <v>1497</v>
      </c>
      <c r="G2605" s="33" t="s">
        <v>6394</v>
      </c>
      <c r="H2605" s="33" t="s">
        <v>6395</v>
      </c>
      <c r="I2605" s="33" t="s">
        <v>6396</v>
      </c>
      <c r="J2605" s="33">
        <v>203066</v>
      </c>
      <c r="K2605" s="33" t="s">
        <v>6784</v>
      </c>
      <c r="L2605" s="33" t="s">
        <v>6785</v>
      </c>
      <c r="M2605" s="33" t="s">
        <v>6786</v>
      </c>
      <c r="N2605" s="44">
        <v>42272527</v>
      </c>
      <c r="O2605" s="33" t="s">
        <v>6835</v>
      </c>
      <c r="P2605" s="33" t="s">
        <v>6836</v>
      </c>
      <c r="Q2605" s="34" t="s">
        <v>1494</v>
      </c>
      <c r="R2605" s="34" t="s">
        <v>1494</v>
      </c>
    </row>
    <row r="2606" spans="1:18" ht="15" customHeight="1" x14ac:dyDescent="0.25">
      <c r="A2606" t="str">
        <f>IFERROR(RANK(B2606,$B:$B,1)+COUNTIF($B$1:B2605,B2606),"")</f>
        <v/>
      </c>
      <c r="B2606" t="str">
        <f>IFERROR(SEARCH(#REF!,Table4[[#This Row],[Commodity Title]],1),"")</f>
        <v/>
      </c>
      <c r="C2606" s="35">
        <v>42272528</v>
      </c>
      <c r="D2606" s="33" t="s">
        <v>1495</v>
      </c>
      <c r="E2606" s="33" t="s">
        <v>1496</v>
      </c>
      <c r="F2606" s="33" t="s">
        <v>1497</v>
      </c>
      <c r="G2606" s="33" t="s">
        <v>6394</v>
      </c>
      <c r="H2606" s="33" t="s">
        <v>6395</v>
      </c>
      <c r="I2606" s="33" t="s">
        <v>6396</v>
      </c>
      <c r="J2606" s="33">
        <v>203067</v>
      </c>
      <c r="K2606" s="33" t="s">
        <v>6784</v>
      </c>
      <c r="L2606" s="33" t="s">
        <v>6785</v>
      </c>
      <c r="M2606" s="33" t="s">
        <v>6786</v>
      </c>
      <c r="N2606" s="44">
        <v>42272528</v>
      </c>
      <c r="O2606" s="33" t="s">
        <v>6837</v>
      </c>
      <c r="P2606" s="33" t="s">
        <v>6838</v>
      </c>
      <c r="Q2606" s="34" t="s">
        <v>1494</v>
      </c>
      <c r="R2606" s="34" t="s">
        <v>1494</v>
      </c>
    </row>
    <row r="2607" spans="1:18" ht="15" customHeight="1" x14ac:dyDescent="0.25">
      <c r="A2607" t="str">
        <f>IFERROR(RANK(B2607,$B:$B,1)+COUNTIF($B$1:B2606,B2607),"")</f>
        <v/>
      </c>
      <c r="B2607" t="str">
        <f>IFERROR(SEARCH(#REF!,Table4[[#This Row],[Commodity Title]],1),"")</f>
        <v/>
      </c>
      <c r="C2607" s="35">
        <v>42272529</v>
      </c>
      <c r="D2607" s="33" t="s">
        <v>1495</v>
      </c>
      <c r="E2607" s="33" t="s">
        <v>1496</v>
      </c>
      <c r="F2607" s="33" t="s">
        <v>1497</v>
      </c>
      <c r="G2607" s="33" t="s">
        <v>6394</v>
      </c>
      <c r="H2607" s="33" t="s">
        <v>6395</v>
      </c>
      <c r="I2607" s="33" t="s">
        <v>6396</v>
      </c>
      <c r="J2607" s="33">
        <v>203068</v>
      </c>
      <c r="K2607" s="33" t="s">
        <v>6784</v>
      </c>
      <c r="L2607" s="33" t="s">
        <v>6785</v>
      </c>
      <c r="M2607" s="33" t="s">
        <v>6786</v>
      </c>
      <c r="N2607" s="44">
        <v>42272529</v>
      </c>
      <c r="O2607" s="33" t="s">
        <v>6839</v>
      </c>
      <c r="P2607" s="33" t="s">
        <v>6840</v>
      </c>
      <c r="Q2607" s="34" t="s">
        <v>1494</v>
      </c>
      <c r="R2607" s="34" t="s">
        <v>1494</v>
      </c>
    </row>
    <row r="2608" spans="1:18" ht="15" customHeight="1" x14ac:dyDescent="0.25">
      <c r="A2608" t="str">
        <f>IFERROR(RANK(B2608,$B:$B,1)+COUNTIF($B$1:B2607,B2608),"")</f>
        <v/>
      </c>
      <c r="B2608" t="str">
        <f>IFERROR(SEARCH(#REF!,Table4[[#This Row],[Commodity Title]],1),"")</f>
        <v/>
      </c>
      <c r="C2608" s="35">
        <v>42272530</v>
      </c>
      <c r="D2608" s="33" t="s">
        <v>1495</v>
      </c>
      <c r="E2608" s="33" t="s">
        <v>1496</v>
      </c>
      <c r="F2608" s="33" t="s">
        <v>1497</v>
      </c>
      <c r="G2608" s="33" t="s">
        <v>6394</v>
      </c>
      <c r="H2608" s="33" t="s">
        <v>6395</v>
      </c>
      <c r="I2608" s="33" t="s">
        <v>6396</v>
      </c>
      <c r="J2608" s="33">
        <v>203069</v>
      </c>
      <c r="K2608" s="33" t="s">
        <v>6784</v>
      </c>
      <c r="L2608" s="33" t="s">
        <v>6785</v>
      </c>
      <c r="M2608" s="33" t="s">
        <v>6786</v>
      </c>
      <c r="N2608" s="44">
        <v>42272530</v>
      </c>
      <c r="O2608" s="33" t="s">
        <v>6841</v>
      </c>
      <c r="P2608" s="33" t="s">
        <v>6842</v>
      </c>
      <c r="Q2608" s="34" t="s">
        <v>1494</v>
      </c>
      <c r="R2608" s="34" t="s">
        <v>1494</v>
      </c>
    </row>
    <row r="2609" spans="1:18" ht="15" customHeight="1" x14ac:dyDescent="0.25">
      <c r="A2609" t="str">
        <f>IFERROR(RANK(B2609,$B:$B,1)+COUNTIF($B$1:B2608,B2609),"")</f>
        <v/>
      </c>
      <c r="B2609" t="str">
        <f>IFERROR(SEARCH(#REF!,Table4[[#This Row],[Commodity Title]],1),"")</f>
        <v/>
      </c>
      <c r="C2609" s="35">
        <v>42272531</v>
      </c>
      <c r="D2609" s="33" t="s">
        <v>1495</v>
      </c>
      <c r="E2609" s="33" t="s">
        <v>1496</v>
      </c>
      <c r="F2609" s="33" t="s">
        <v>1497</v>
      </c>
      <c r="G2609" s="33" t="s">
        <v>6394</v>
      </c>
      <c r="H2609" s="33" t="s">
        <v>6395</v>
      </c>
      <c r="I2609" s="33" t="s">
        <v>6396</v>
      </c>
      <c r="J2609" s="33">
        <v>203070</v>
      </c>
      <c r="K2609" s="33" t="s">
        <v>6784</v>
      </c>
      <c r="L2609" s="33" t="s">
        <v>6785</v>
      </c>
      <c r="M2609" s="33" t="s">
        <v>6786</v>
      </c>
      <c r="N2609" s="44">
        <v>42272531</v>
      </c>
      <c r="O2609" s="33" t="s">
        <v>6843</v>
      </c>
      <c r="P2609" s="33" t="s">
        <v>6844</v>
      </c>
      <c r="Q2609" s="34" t="s">
        <v>1494</v>
      </c>
      <c r="R2609" s="34" t="s">
        <v>1494</v>
      </c>
    </row>
    <row r="2610" spans="1:18" ht="15" customHeight="1" x14ac:dyDescent="0.25">
      <c r="A2610" t="str">
        <f>IFERROR(RANK(B2610,$B:$B,1)+COUNTIF($B$1:B2609,B2610),"")</f>
        <v/>
      </c>
      <c r="B2610" t="str">
        <f>IFERROR(SEARCH(#REF!,Table4[[#This Row],[Commodity Title]],1),"")</f>
        <v/>
      </c>
      <c r="C2610" s="35">
        <v>42272532</v>
      </c>
      <c r="D2610" s="33" t="s">
        <v>1495</v>
      </c>
      <c r="E2610" s="33" t="s">
        <v>1496</v>
      </c>
      <c r="F2610" s="33" t="s">
        <v>1497</v>
      </c>
      <c r="G2610" s="33" t="s">
        <v>6394</v>
      </c>
      <c r="H2610" s="33" t="s">
        <v>6395</v>
      </c>
      <c r="I2610" s="33" t="s">
        <v>6396</v>
      </c>
      <c r="J2610" s="33">
        <v>203071</v>
      </c>
      <c r="K2610" s="33" t="s">
        <v>6784</v>
      </c>
      <c r="L2610" s="33" t="s">
        <v>6785</v>
      </c>
      <c r="M2610" s="33" t="s">
        <v>6786</v>
      </c>
      <c r="N2610" s="44">
        <v>42272532</v>
      </c>
      <c r="O2610" s="33" t="s">
        <v>6845</v>
      </c>
      <c r="P2610" s="33" t="s">
        <v>6846</v>
      </c>
      <c r="Q2610" s="34" t="s">
        <v>1494</v>
      </c>
      <c r="R2610" s="34" t="s">
        <v>1494</v>
      </c>
    </row>
    <row r="2611" spans="1:18" ht="15" customHeight="1" x14ac:dyDescent="0.25">
      <c r="A2611" t="str">
        <f>IFERROR(RANK(B2611,$B:$B,1)+COUNTIF($B$1:B2610,B2611),"")</f>
        <v/>
      </c>
      <c r="B2611" t="str">
        <f>IFERROR(SEARCH(#REF!,Table4[[#This Row],[Commodity Title]],1),"")</f>
        <v/>
      </c>
      <c r="C2611" s="35">
        <v>42272533</v>
      </c>
      <c r="D2611" s="33" t="s">
        <v>1495</v>
      </c>
      <c r="E2611" s="33" t="s">
        <v>1496</v>
      </c>
      <c r="F2611" s="33" t="s">
        <v>1497</v>
      </c>
      <c r="G2611" s="33" t="s">
        <v>6394</v>
      </c>
      <c r="H2611" s="33" t="s">
        <v>6395</v>
      </c>
      <c r="I2611" s="33" t="s">
        <v>6396</v>
      </c>
      <c r="J2611" s="33">
        <v>203072</v>
      </c>
      <c r="K2611" s="33" t="s">
        <v>6784</v>
      </c>
      <c r="L2611" s="33" t="s">
        <v>6785</v>
      </c>
      <c r="M2611" s="33" t="s">
        <v>6786</v>
      </c>
      <c r="N2611" s="44">
        <v>42272533</v>
      </c>
      <c r="O2611" s="33" t="s">
        <v>6847</v>
      </c>
      <c r="P2611" s="33" t="s">
        <v>6848</v>
      </c>
      <c r="Q2611" s="34" t="s">
        <v>1494</v>
      </c>
      <c r="R2611" s="34" t="s">
        <v>1494</v>
      </c>
    </row>
    <row r="2612" spans="1:18" ht="15" customHeight="1" x14ac:dyDescent="0.25">
      <c r="A2612" t="str">
        <f>IFERROR(RANK(B2612,$B:$B,1)+COUNTIF($B$1:B2611,B2612),"")</f>
        <v/>
      </c>
      <c r="B2612" t="str">
        <f>IFERROR(SEARCH(#REF!,Table4[[#This Row],[Commodity Title]],1),"")</f>
        <v/>
      </c>
      <c r="C2612" s="35">
        <v>42272534</v>
      </c>
      <c r="D2612" s="33" t="s">
        <v>1495</v>
      </c>
      <c r="E2612" s="33" t="s">
        <v>1496</v>
      </c>
      <c r="F2612" s="33" t="s">
        <v>1497</v>
      </c>
      <c r="G2612" s="33" t="s">
        <v>6394</v>
      </c>
      <c r="H2612" s="33" t="s">
        <v>6395</v>
      </c>
      <c r="I2612" s="33" t="s">
        <v>6396</v>
      </c>
      <c r="J2612" s="33">
        <v>203073</v>
      </c>
      <c r="K2612" s="33" t="s">
        <v>6784</v>
      </c>
      <c r="L2612" s="33" t="s">
        <v>6785</v>
      </c>
      <c r="M2612" s="33" t="s">
        <v>6786</v>
      </c>
      <c r="N2612" s="44">
        <v>42272534</v>
      </c>
      <c r="O2612" s="33" t="s">
        <v>6849</v>
      </c>
      <c r="P2612" s="33" t="s">
        <v>6850</v>
      </c>
      <c r="Q2612" s="34" t="s">
        <v>1494</v>
      </c>
      <c r="R2612" s="34" t="s">
        <v>1494</v>
      </c>
    </row>
    <row r="2613" spans="1:18" ht="15" customHeight="1" x14ac:dyDescent="0.25">
      <c r="A2613" t="str">
        <f>IFERROR(RANK(B2613,$B:$B,1)+COUNTIF($B$1:B2612,B2613),"")</f>
        <v/>
      </c>
      <c r="B2613" t="str">
        <f>IFERROR(SEARCH(#REF!,Table4[[#This Row],[Commodity Title]],1),"")</f>
        <v/>
      </c>
      <c r="C2613" s="35">
        <v>42272535</v>
      </c>
      <c r="D2613" s="33" t="s">
        <v>1495</v>
      </c>
      <c r="E2613" s="33" t="s">
        <v>1496</v>
      </c>
      <c r="F2613" s="33" t="s">
        <v>1497</v>
      </c>
      <c r="G2613" s="33" t="s">
        <v>6394</v>
      </c>
      <c r="H2613" s="33" t="s">
        <v>6395</v>
      </c>
      <c r="I2613" s="33" t="s">
        <v>6396</v>
      </c>
      <c r="J2613" s="33">
        <v>203074</v>
      </c>
      <c r="K2613" s="33" t="s">
        <v>6784</v>
      </c>
      <c r="L2613" s="33" t="s">
        <v>6785</v>
      </c>
      <c r="M2613" s="33" t="s">
        <v>6786</v>
      </c>
      <c r="N2613" s="44">
        <v>42272535</v>
      </c>
      <c r="O2613" s="33" t="s">
        <v>6851</v>
      </c>
      <c r="P2613" s="33" t="s">
        <v>6852</v>
      </c>
      <c r="Q2613" s="34" t="s">
        <v>1494</v>
      </c>
      <c r="R2613" s="34" t="s">
        <v>1494</v>
      </c>
    </row>
    <row r="2614" spans="1:18" ht="15" customHeight="1" x14ac:dyDescent="0.25">
      <c r="A2614" t="str">
        <f>IFERROR(RANK(B2614,$B:$B,1)+COUNTIF($B$1:B2613,B2614),"")</f>
        <v/>
      </c>
      <c r="B2614" t="str">
        <f>IFERROR(SEARCH(#REF!,Table4[[#This Row],[Commodity Title]],1),"")</f>
        <v/>
      </c>
      <c r="C2614" s="35">
        <v>42272536</v>
      </c>
      <c r="D2614" s="33" t="s">
        <v>1495</v>
      </c>
      <c r="E2614" s="33" t="s">
        <v>1496</v>
      </c>
      <c r="F2614" s="33" t="s">
        <v>1497</v>
      </c>
      <c r="G2614" s="33" t="s">
        <v>6394</v>
      </c>
      <c r="H2614" s="33" t="s">
        <v>6395</v>
      </c>
      <c r="I2614" s="33" t="s">
        <v>6396</v>
      </c>
      <c r="J2614" s="33">
        <v>203075</v>
      </c>
      <c r="K2614" s="33" t="s">
        <v>6784</v>
      </c>
      <c r="L2614" s="33" t="s">
        <v>6785</v>
      </c>
      <c r="M2614" s="33" t="s">
        <v>6786</v>
      </c>
      <c r="N2614" s="44">
        <v>42272536</v>
      </c>
      <c r="O2614" s="33" t="s">
        <v>6853</v>
      </c>
      <c r="P2614" s="33" t="s">
        <v>6854</v>
      </c>
      <c r="Q2614" s="34" t="s">
        <v>1494</v>
      </c>
      <c r="R2614" s="34" t="s">
        <v>1494</v>
      </c>
    </row>
    <row r="2615" spans="1:18" ht="15" customHeight="1" x14ac:dyDescent="0.25">
      <c r="A2615" t="str">
        <f>IFERROR(RANK(B2615,$B:$B,1)+COUNTIF($B$1:B2614,B2615),"")</f>
        <v/>
      </c>
      <c r="B2615" t="str">
        <f>IFERROR(SEARCH(#REF!,Table4[[#This Row],[Commodity Title]],1),"")</f>
        <v/>
      </c>
      <c r="C2615" s="33" t="s">
        <v>1494</v>
      </c>
      <c r="D2615" s="33" t="s">
        <v>1495</v>
      </c>
      <c r="E2615" s="33" t="s">
        <v>1496</v>
      </c>
      <c r="F2615" s="33" t="s">
        <v>1497</v>
      </c>
      <c r="G2615" s="33" t="s">
        <v>6855</v>
      </c>
      <c r="H2615" s="33" t="s">
        <v>6856</v>
      </c>
      <c r="I2615" s="33" t="s">
        <v>6857</v>
      </c>
      <c r="J2615" s="33">
        <v>116079</v>
      </c>
      <c r="K2615" s="33" t="s">
        <v>1494</v>
      </c>
      <c r="L2615" s="33" t="s">
        <v>1494</v>
      </c>
      <c r="M2615" s="33" t="s">
        <v>1494</v>
      </c>
      <c r="N2615" s="44" t="s">
        <v>1494</v>
      </c>
      <c r="O2615" s="33" t="s">
        <v>1494</v>
      </c>
      <c r="P2615" s="33" t="s">
        <v>1494</v>
      </c>
      <c r="Q2615" s="34" t="s">
        <v>1494</v>
      </c>
      <c r="R2615" s="34" t="s">
        <v>1494</v>
      </c>
    </row>
    <row r="2616" spans="1:18" ht="15" customHeight="1" x14ac:dyDescent="0.25">
      <c r="A2616" t="str">
        <f>IFERROR(RANK(B2616,$B:$B,1)+COUNTIF($B$1:B2615,B2616),"")</f>
        <v/>
      </c>
      <c r="B2616" t="str">
        <f>IFERROR(SEARCH(#REF!,Table4[[#This Row],[Commodity Title]],1),"")</f>
        <v/>
      </c>
      <c r="C2616" s="33" t="s">
        <v>1494</v>
      </c>
      <c r="D2616" s="33" t="s">
        <v>1495</v>
      </c>
      <c r="E2616" s="33" t="s">
        <v>1496</v>
      </c>
      <c r="F2616" s="33" t="s">
        <v>1497</v>
      </c>
      <c r="G2616" s="33" t="s">
        <v>6855</v>
      </c>
      <c r="H2616" s="33" t="s">
        <v>6856</v>
      </c>
      <c r="I2616" s="33" t="s">
        <v>6857</v>
      </c>
      <c r="J2616" s="33">
        <v>116080</v>
      </c>
      <c r="K2616" s="33" t="s">
        <v>6858</v>
      </c>
      <c r="L2616" s="33" t="s">
        <v>6859</v>
      </c>
      <c r="M2616" s="33" t="s">
        <v>6860</v>
      </c>
      <c r="N2616" s="44" t="s">
        <v>1494</v>
      </c>
      <c r="O2616" s="33" t="s">
        <v>1494</v>
      </c>
      <c r="P2616" s="33" t="s">
        <v>1494</v>
      </c>
      <c r="Q2616" s="34" t="s">
        <v>1494</v>
      </c>
      <c r="R2616" s="34" t="s">
        <v>1494</v>
      </c>
    </row>
    <row r="2617" spans="1:18" ht="15" customHeight="1" x14ac:dyDescent="0.25">
      <c r="A2617" t="str">
        <f>IFERROR(RANK(B2617,$B:$B,1)+COUNTIF($B$1:B2616,B2617),"")</f>
        <v/>
      </c>
      <c r="B2617" t="str">
        <f>IFERROR(SEARCH(#REF!,Table4[[#This Row],[Commodity Title]],1),"")</f>
        <v/>
      </c>
      <c r="C2617" s="35">
        <v>42281501</v>
      </c>
      <c r="D2617" s="33" t="s">
        <v>1495</v>
      </c>
      <c r="E2617" s="33" t="s">
        <v>1496</v>
      </c>
      <c r="F2617" s="33" t="s">
        <v>1497</v>
      </c>
      <c r="G2617" s="33" t="s">
        <v>6855</v>
      </c>
      <c r="H2617" s="33" t="s">
        <v>6856</v>
      </c>
      <c r="I2617" s="33" t="s">
        <v>6857</v>
      </c>
      <c r="J2617" s="33">
        <v>116081</v>
      </c>
      <c r="K2617" s="33" t="s">
        <v>6858</v>
      </c>
      <c r="L2617" s="33" t="s">
        <v>6859</v>
      </c>
      <c r="M2617" s="33" t="s">
        <v>6860</v>
      </c>
      <c r="N2617" s="44">
        <v>42281501</v>
      </c>
      <c r="O2617" s="33" t="s">
        <v>6861</v>
      </c>
      <c r="P2617" s="33" t="s">
        <v>6862</v>
      </c>
      <c r="Q2617" s="34" t="s">
        <v>1494</v>
      </c>
      <c r="R2617" s="34" t="s">
        <v>1494</v>
      </c>
    </row>
    <row r="2618" spans="1:18" ht="15" customHeight="1" x14ac:dyDescent="0.25">
      <c r="A2618" t="str">
        <f>IFERROR(RANK(B2618,$B:$B,1)+COUNTIF($B$1:B2617,B2618),"")</f>
        <v/>
      </c>
      <c r="B2618" t="str">
        <f>IFERROR(SEARCH(#REF!,Table4[[#This Row],[Commodity Title]],1),"")</f>
        <v/>
      </c>
      <c r="C2618" s="35">
        <v>42281502</v>
      </c>
      <c r="D2618" s="33" t="s">
        <v>1495</v>
      </c>
      <c r="E2618" s="33" t="s">
        <v>1496</v>
      </c>
      <c r="F2618" s="33" t="s">
        <v>1497</v>
      </c>
      <c r="G2618" s="33" t="s">
        <v>6855</v>
      </c>
      <c r="H2618" s="33" t="s">
        <v>6856</v>
      </c>
      <c r="I2618" s="33" t="s">
        <v>6857</v>
      </c>
      <c r="J2618" s="33">
        <v>116082</v>
      </c>
      <c r="K2618" s="33" t="s">
        <v>6858</v>
      </c>
      <c r="L2618" s="33" t="s">
        <v>6859</v>
      </c>
      <c r="M2618" s="33" t="s">
        <v>6860</v>
      </c>
      <c r="N2618" s="44">
        <v>42281502</v>
      </c>
      <c r="O2618" s="33" t="s">
        <v>6863</v>
      </c>
      <c r="P2618" s="33" t="s">
        <v>6864</v>
      </c>
      <c r="Q2618" s="34" t="s">
        <v>1494</v>
      </c>
      <c r="R2618" s="34" t="s">
        <v>1494</v>
      </c>
    </row>
    <row r="2619" spans="1:18" ht="15" customHeight="1" x14ac:dyDescent="0.25">
      <c r="A2619" t="str">
        <f>IFERROR(RANK(B2619,$B:$B,1)+COUNTIF($B$1:B2618,B2619),"")</f>
        <v/>
      </c>
      <c r="B2619" t="str">
        <f>IFERROR(SEARCH(#REF!,Table4[[#This Row],[Commodity Title]],1),"")</f>
        <v/>
      </c>
      <c r="C2619" s="35">
        <v>42281503</v>
      </c>
      <c r="D2619" s="33" t="s">
        <v>1495</v>
      </c>
      <c r="E2619" s="33" t="s">
        <v>1496</v>
      </c>
      <c r="F2619" s="33" t="s">
        <v>1497</v>
      </c>
      <c r="G2619" s="33" t="s">
        <v>6855</v>
      </c>
      <c r="H2619" s="33" t="s">
        <v>6856</v>
      </c>
      <c r="I2619" s="33" t="s">
        <v>6857</v>
      </c>
      <c r="J2619" s="33">
        <v>116083</v>
      </c>
      <c r="K2619" s="33" t="s">
        <v>6858</v>
      </c>
      <c r="L2619" s="33" t="s">
        <v>6859</v>
      </c>
      <c r="M2619" s="33" t="s">
        <v>6860</v>
      </c>
      <c r="N2619" s="44">
        <v>42281503</v>
      </c>
      <c r="O2619" s="33" t="s">
        <v>6865</v>
      </c>
      <c r="P2619" s="33" t="s">
        <v>6866</v>
      </c>
      <c r="Q2619" s="34" t="s">
        <v>1494</v>
      </c>
      <c r="R2619" s="34" t="s">
        <v>1494</v>
      </c>
    </row>
    <row r="2620" spans="1:18" ht="15" customHeight="1" x14ac:dyDescent="0.25">
      <c r="A2620" t="str">
        <f>IFERROR(RANK(B2620,$B:$B,1)+COUNTIF($B$1:B2619,B2620),"")</f>
        <v/>
      </c>
      <c r="B2620" t="str">
        <f>IFERROR(SEARCH(#REF!,Table4[[#This Row],[Commodity Title]],1),"")</f>
        <v/>
      </c>
      <c r="C2620" s="35">
        <v>42281504</v>
      </c>
      <c r="D2620" s="33" t="s">
        <v>1495</v>
      </c>
      <c r="E2620" s="33" t="s">
        <v>1496</v>
      </c>
      <c r="F2620" s="33" t="s">
        <v>1497</v>
      </c>
      <c r="G2620" s="33" t="s">
        <v>6855</v>
      </c>
      <c r="H2620" s="33" t="s">
        <v>6856</v>
      </c>
      <c r="I2620" s="33" t="s">
        <v>6857</v>
      </c>
      <c r="J2620" s="33">
        <v>116084</v>
      </c>
      <c r="K2620" s="33" t="s">
        <v>6858</v>
      </c>
      <c r="L2620" s="33" t="s">
        <v>6859</v>
      </c>
      <c r="M2620" s="33" t="s">
        <v>6860</v>
      </c>
      <c r="N2620" s="44">
        <v>42281504</v>
      </c>
      <c r="O2620" s="33" t="s">
        <v>6867</v>
      </c>
      <c r="P2620" s="33" t="s">
        <v>6868</v>
      </c>
      <c r="Q2620" s="34" t="s">
        <v>1494</v>
      </c>
      <c r="R2620" s="34" t="s">
        <v>1494</v>
      </c>
    </row>
    <row r="2621" spans="1:18" ht="15" customHeight="1" x14ac:dyDescent="0.25">
      <c r="A2621" t="str">
        <f>IFERROR(RANK(B2621,$B:$B,1)+COUNTIF($B$1:B2620,B2621),"")</f>
        <v/>
      </c>
      <c r="B2621" t="str">
        <f>IFERROR(SEARCH(#REF!,Table4[[#This Row],[Commodity Title]],1),"")</f>
        <v/>
      </c>
      <c r="C2621" s="35">
        <v>42281505</v>
      </c>
      <c r="D2621" s="33" t="s">
        <v>1495</v>
      </c>
      <c r="E2621" s="33" t="s">
        <v>1496</v>
      </c>
      <c r="F2621" s="33" t="s">
        <v>1497</v>
      </c>
      <c r="G2621" s="33" t="s">
        <v>6855</v>
      </c>
      <c r="H2621" s="33" t="s">
        <v>6856</v>
      </c>
      <c r="I2621" s="33" t="s">
        <v>6857</v>
      </c>
      <c r="J2621" s="33">
        <v>116085</v>
      </c>
      <c r="K2621" s="33" t="s">
        <v>6858</v>
      </c>
      <c r="L2621" s="33" t="s">
        <v>6859</v>
      </c>
      <c r="M2621" s="33" t="s">
        <v>6860</v>
      </c>
      <c r="N2621" s="44">
        <v>42281505</v>
      </c>
      <c r="O2621" s="33" t="s">
        <v>6869</v>
      </c>
      <c r="P2621" s="33" t="s">
        <v>6870</v>
      </c>
      <c r="Q2621" s="34" t="s">
        <v>1494</v>
      </c>
      <c r="R2621" s="34" t="s">
        <v>1494</v>
      </c>
    </row>
    <row r="2622" spans="1:18" ht="15" customHeight="1" x14ac:dyDescent="0.25">
      <c r="A2622" t="str">
        <f>IFERROR(RANK(B2622,$B:$B,1)+COUNTIF($B$1:B2621,B2622),"")</f>
        <v/>
      </c>
      <c r="B2622" t="str">
        <f>IFERROR(SEARCH(#REF!,Table4[[#This Row],[Commodity Title]],1),"")</f>
        <v/>
      </c>
      <c r="C2622" s="35">
        <v>42281507</v>
      </c>
      <c r="D2622" s="33" t="s">
        <v>1495</v>
      </c>
      <c r="E2622" s="33" t="s">
        <v>1496</v>
      </c>
      <c r="F2622" s="33" t="s">
        <v>1497</v>
      </c>
      <c r="G2622" s="33" t="s">
        <v>6855</v>
      </c>
      <c r="H2622" s="33" t="s">
        <v>6856</v>
      </c>
      <c r="I2622" s="33" t="s">
        <v>6857</v>
      </c>
      <c r="J2622" s="33">
        <v>116087</v>
      </c>
      <c r="K2622" s="33" t="s">
        <v>6858</v>
      </c>
      <c r="L2622" s="33" t="s">
        <v>6859</v>
      </c>
      <c r="M2622" s="33" t="s">
        <v>6860</v>
      </c>
      <c r="N2622" s="44">
        <v>42281507</v>
      </c>
      <c r="O2622" s="33" t="s">
        <v>6871</v>
      </c>
      <c r="P2622" s="33" t="s">
        <v>6872</v>
      </c>
      <c r="Q2622" s="34" t="s">
        <v>1494</v>
      </c>
      <c r="R2622" s="34" t="s">
        <v>1494</v>
      </c>
    </row>
    <row r="2623" spans="1:18" ht="15" customHeight="1" x14ac:dyDescent="0.25">
      <c r="A2623" t="str">
        <f>IFERROR(RANK(B2623,$B:$B,1)+COUNTIF($B$1:B2622,B2623),"")</f>
        <v/>
      </c>
      <c r="B2623" t="str">
        <f>IFERROR(SEARCH(#REF!,Table4[[#This Row],[Commodity Title]],1),"")</f>
        <v/>
      </c>
      <c r="C2623" s="35">
        <v>42281508</v>
      </c>
      <c r="D2623" s="33" t="s">
        <v>1495</v>
      </c>
      <c r="E2623" s="33" t="s">
        <v>1496</v>
      </c>
      <c r="F2623" s="33" t="s">
        <v>1497</v>
      </c>
      <c r="G2623" s="33" t="s">
        <v>6855</v>
      </c>
      <c r="H2623" s="33" t="s">
        <v>6856</v>
      </c>
      <c r="I2623" s="33" t="s">
        <v>6857</v>
      </c>
      <c r="J2623" s="33">
        <v>116088</v>
      </c>
      <c r="K2623" s="33" t="s">
        <v>6858</v>
      </c>
      <c r="L2623" s="33" t="s">
        <v>6859</v>
      </c>
      <c r="M2623" s="33" t="s">
        <v>6860</v>
      </c>
      <c r="N2623" s="44">
        <v>42281508</v>
      </c>
      <c r="O2623" s="33" t="s">
        <v>6873</v>
      </c>
      <c r="P2623" s="33" t="s">
        <v>6874</v>
      </c>
      <c r="Q2623" s="34" t="s">
        <v>1494</v>
      </c>
      <c r="R2623" s="34" t="s">
        <v>1494</v>
      </c>
    </row>
    <row r="2624" spans="1:18" ht="15" customHeight="1" x14ac:dyDescent="0.25">
      <c r="A2624" t="str">
        <f>IFERROR(RANK(B2624,$B:$B,1)+COUNTIF($B$1:B2623,B2624),"")</f>
        <v/>
      </c>
      <c r="B2624" t="str">
        <f>IFERROR(SEARCH(#REF!,Table4[[#This Row],[Commodity Title]],1),"")</f>
        <v/>
      </c>
      <c r="C2624" s="35">
        <v>42281509</v>
      </c>
      <c r="D2624" s="33" t="s">
        <v>1495</v>
      </c>
      <c r="E2624" s="33" t="s">
        <v>1496</v>
      </c>
      <c r="F2624" s="33" t="s">
        <v>1497</v>
      </c>
      <c r="G2624" s="33" t="s">
        <v>6855</v>
      </c>
      <c r="H2624" s="33" t="s">
        <v>6856</v>
      </c>
      <c r="I2624" s="33" t="s">
        <v>6857</v>
      </c>
      <c r="J2624" s="33">
        <v>116089</v>
      </c>
      <c r="K2624" s="33" t="s">
        <v>6858</v>
      </c>
      <c r="L2624" s="33" t="s">
        <v>6859</v>
      </c>
      <c r="M2624" s="33" t="s">
        <v>6860</v>
      </c>
      <c r="N2624" s="44">
        <v>42281509</v>
      </c>
      <c r="O2624" s="33" t="s">
        <v>14</v>
      </c>
      <c r="P2624" s="33" t="s">
        <v>6875</v>
      </c>
      <c r="Q2624" s="34" t="s">
        <v>1494</v>
      </c>
      <c r="R2624" s="34" t="s">
        <v>1494</v>
      </c>
    </row>
    <row r="2625" spans="1:18" ht="15" customHeight="1" x14ac:dyDescent="0.25">
      <c r="A2625" t="str">
        <f>IFERROR(RANK(B2625,$B:$B,1)+COUNTIF($B$1:B2624,B2625),"")</f>
        <v/>
      </c>
      <c r="B2625" t="str">
        <f>IFERROR(SEARCH(#REF!,Table4[[#This Row],[Commodity Title]],1),"")</f>
        <v/>
      </c>
      <c r="C2625" s="35">
        <v>42281510</v>
      </c>
      <c r="D2625" s="33" t="s">
        <v>1495</v>
      </c>
      <c r="E2625" s="33" t="s">
        <v>1496</v>
      </c>
      <c r="F2625" s="33" t="s">
        <v>1497</v>
      </c>
      <c r="G2625" s="33" t="s">
        <v>6855</v>
      </c>
      <c r="H2625" s="33" t="s">
        <v>6856</v>
      </c>
      <c r="I2625" s="33" t="s">
        <v>6857</v>
      </c>
      <c r="J2625" s="33">
        <v>116090</v>
      </c>
      <c r="K2625" s="33" t="s">
        <v>6858</v>
      </c>
      <c r="L2625" s="33" t="s">
        <v>6859</v>
      </c>
      <c r="M2625" s="33" t="s">
        <v>6860</v>
      </c>
      <c r="N2625" s="44">
        <v>42281510</v>
      </c>
      <c r="O2625" s="33" t="s">
        <v>157</v>
      </c>
      <c r="P2625" s="33" t="s">
        <v>6876</v>
      </c>
      <c r="Q2625" s="34" t="s">
        <v>1494</v>
      </c>
      <c r="R2625" s="34" t="s">
        <v>1494</v>
      </c>
    </row>
    <row r="2626" spans="1:18" ht="15" customHeight="1" x14ac:dyDescent="0.25">
      <c r="A2626" t="str">
        <f>IFERROR(RANK(B2626,$B:$B,1)+COUNTIF($B$1:B2625,B2626),"")</f>
        <v/>
      </c>
      <c r="B2626" t="str">
        <f>IFERROR(SEARCH(#REF!,Table4[[#This Row],[Commodity Title]],1),"")</f>
        <v/>
      </c>
      <c r="C2626" s="35">
        <v>42281511</v>
      </c>
      <c r="D2626" s="33" t="s">
        <v>1495</v>
      </c>
      <c r="E2626" s="33" t="s">
        <v>1496</v>
      </c>
      <c r="F2626" s="33" t="s">
        <v>1497</v>
      </c>
      <c r="G2626" s="33" t="s">
        <v>6855</v>
      </c>
      <c r="H2626" s="33" t="s">
        <v>6856</v>
      </c>
      <c r="I2626" s="33" t="s">
        <v>6857</v>
      </c>
      <c r="J2626" s="33">
        <v>104361</v>
      </c>
      <c r="K2626" s="33" t="s">
        <v>6858</v>
      </c>
      <c r="L2626" s="33" t="s">
        <v>6859</v>
      </c>
      <c r="M2626" s="33" t="s">
        <v>6860</v>
      </c>
      <c r="N2626" s="44">
        <v>42281511</v>
      </c>
      <c r="O2626" s="33" t="s">
        <v>6877</v>
      </c>
      <c r="P2626" s="33" t="s">
        <v>6878</v>
      </c>
      <c r="Q2626" s="34" t="s">
        <v>1494</v>
      </c>
      <c r="R2626" s="34" t="s">
        <v>1494</v>
      </c>
    </row>
    <row r="2627" spans="1:18" ht="15" customHeight="1" x14ac:dyDescent="0.25">
      <c r="A2627" t="str">
        <f>IFERROR(RANK(B2627,$B:$B,1)+COUNTIF($B$1:B2626,B2627),"")</f>
        <v/>
      </c>
      <c r="B2627" t="str">
        <f>IFERROR(SEARCH(#REF!,Table4[[#This Row],[Commodity Title]],1),"")</f>
        <v/>
      </c>
      <c r="C2627" s="35">
        <v>42281512</v>
      </c>
      <c r="D2627" s="33" t="s">
        <v>1495</v>
      </c>
      <c r="E2627" s="33" t="s">
        <v>1496</v>
      </c>
      <c r="F2627" s="33" t="s">
        <v>1497</v>
      </c>
      <c r="G2627" s="33" t="s">
        <v>6855</v>
      </c>
      <c r="H2627" s="33" t="s">
        <v>6856</v>
      </c>
      <c r="I2627" s="33" t="s">
        <v>6857</v>
      </c>
      <c r="J2627" s="33">
        <v>116092</v>
      </c>
      <c r="K2627" s="33" t="s">
        <v>6858</v>
      </c>
      <c r="L2627" s="33" t="s">
        <v>6859</v>
      </c>
      <c r="M2627" s="33" t="s">
        <v>6860</v>
      </c>
      <c r="N2627" s="44">
        <v>42281512</v>
      </c>
      <c r="O2627" s="33" t="s">
        <v>6879</v>
      </c>
      <c r="P2627" s="33" t="s">
        <v>6880</v>
      </c>
      <c r="Q2627" s="34" t="s">
        <v>1494</v>
      </c>
      <c r="R2627" s="34" t="s">
        <v>1494</v>
      </c>
    </row>
    <row r="2628" spans="1:18" ht="15" customHeight="1" x14ac:dyDescent="0.25">
      <c r="A2628" t="str">
        <f>IFERROR(RANK(B2628,$B:$B,1)+COUNTIF($B$1:B2627,B2628),"")</f>
        <v/>
      </c>
      <c r="B2628" t="str">
        <f>IFERROR(SEARCH(#REF!,Table4[[#This Row],[Commodity Title]],1),"")</f>
        <v/>
      </c>
      <c r="C2628" s="35">
        <v>42281513</v>
      </c>
      <c r="D2628" s="33" t="s">
        <v>1495</v>
      </c>
      <c r="E2628" s="33" t="s">
        <v>1496</v>
      </c>
      <c r="F2628" s="33" t="s">
        <v>1497</v>
      </c>
      <c r="G2628" s="33" t="s">
        <v>6855</v>
      </c>
      <c r="H2628" s="33" t="s">
        <v>6856</v>
      </c>
      <c r="I2628" s="33" t="s">
        <v>6857</v>
      </c>
      <c r="J2628" s="33">
        <v>116093</v>
      </c>
      <c r="K2628" s="33" t="s">
        <v>6858</v>
      </c>
      <c r="L2628" s="33" t="s">
        <v>6859</v>
      </c>
      <c r="M2628" s="33" t="s">
        <v>6860</v>
      </c>
      <c r="N2628" s="44">
        <v>42281513</v>
      </c>
      <c r="O2628" s="33" t="s">
        <v>6881</v>
      </c>
      <c r="P2628" s="33" t="s">
        <v>6882</v>
      </c>
      <c r="Q2628" s="34" t="s">
        <v>1494</v>
      </c>
      <c r="R2628" s="34" t="s">
        <v>1494</v>
      </c>
    </row>
    <row r="2629" spans="1:18" ht="15" customHeight="1" x14ac:dyDescent="0.25">
      <c r="A2629" t="str">
        <f>IFERROR(RANK(B2629,$B:$B,1)+COUNTIF($B$1:B2628,B2629),"")</f>
        <v/>
      </c>
      <c r="B2629" t="str">
        <f>IFERROR(SEARCH(#REF!,Table4[[#This Row],[Commodity Title]],1),"")</f>
        <v/>
      </c>
      <c r="C2629" s="35">
        <v>42281514</v>
      </c>
      <c r="D2629" s="33" t="s">
        <v>1495</v>
      </c>
      <c r="E2629" s="33" t="s">
        <v>1496</v>
      </c>
      <c r="F2629" s="33" t="s">
        <v>1497</v>
      </c>
      <c r="G2629" s="33" t="s">
        <v>6855</v>
      </c>
      <c r="H2629" s="33" t="s">
        <v>6856</v>
      </c>
      <c r="I2629" s="33" t="s">
        <v>6857</v>
      </c>
      <c r="J2629" s="33">
        <v>142723</v>
      </c>
      <c r="K2629" s="33" t="s">
        <v>6858</v>
      </c>
      <c r="L2629" s="33" t="s">
        <v>6859</v>
      </c>
      <c r="M2629" s="33" t="s">
        <v>6860</v>
      </c>
      <c r="N2629" s="44">
        <v>42281514</v>
      </c>
      <c r="O2629" s="33" t="s">
        <v>6883</v>
      </c>
      <c r="P2629" s="33" t="s">
        <v>6884</v>
      </c>
      <c r="Q2629" s="34" t="s">
        <v>1494</v>
      </c>
      <c r="R2629" s="34" t="s">
        <v>1494</v>
      </c>
    </row>
    <row r="2630" spans="1:18" ht="15" customHeight="1" x14ac:dyDescent="0.25">
      <c r="A2630" t="str">
        <f>IFERROR(RANK(B2630,$B:$B,1)+COUNTIF($B$1:B2629,B2630),"")</f>
        <v/>
      </c>
      <c r="B2630" t="str">
        <f>IFERROR(SEARCH(#REF!,Table4[[#This Row],[Commodity Title]],1),"")</f>
        <v/>
      </c>
      <c r="C2630" s="35">
        <v>42281515</v>
      </c>
      <c r="D2630" s="33" t="s">
        <v>1495</v>
      </c>
      <c r="E2630" s="33" t="s">
        <v>1496</v>
      </c>
      <c r="F2630" s="33" t="s">
        <v>1497</v>
      </c>
      <c r="G2630" s="33" t="s">
        <v>6855</v>
      </c>
      <c r="H2630" s="33" t="s">
        <v>6856</v>
      </c>
      <c r="I2630" s="33" t="s">
        <v>6857</v>
      </c>
      <c r="J2630" s="33">
        <v>142724</v>
      </c>
      <c r="K2630" s="33" t="s">
        <v>6858</v>
      </c>
      <c r="L2630" s="33" t="s">
        <v>6859</v>
      </c>
      <c r="M2630" s="33" t="s">
        <v>6860</v>
      </c>
      <c r="N2630" s="44">
        <v>42281515</v>
      </c>
      <c r="O2630" s="33" t="s">
        <v>6885</v>
      </c>
      <c r="P2630" s="33" t="s">
        <v>6886</v>
      </c>
      <c r="Q2630" s="34" t="s">
        <v>1494</v>
      </c>
      <c r="R2630" s="34" t="s">
        <v>1494</v>
      </c>
    </row>
    <row r="2631" spans="1:18" ht="15" customHeight="1" x14ac:dyDescent="0.25">
      <c r="A2631" t="str">
        <f>IFERROR(RANK(B2631,$B:$B,1)+COUNTIF($B$1:B2630,B2631),"")</f>
        <v/>
      </c>
      <c r="B2631" t="str">
        <f>IFERROR(SEARCH(#REF!,Table4[[#This Row],[Commodity Title]],1),"")</f>
        <v/>
      </c>
      <c r="C2631" s="35">
        <v>42281517</v>
      </c>
      <c r="D2631" s="33" t="s">
        <v>1495</v>
      </c>
      <c r="E2631" s="33" t="s">
        <v>1496</v>
      </c>
      <c r="F2631" s="33" t="s">
        <v>1497</v>
      </c>
      <c r="G2631" s="33" t="s">
        <v>6855</v>
      </c>
      <c r="H2631" s="33" t="s">
        <v>6856</v>
      </c>
      <c r="I2631" s="33" t="s">
        <v>6857</v>
      </c>
      <c r="J2631" s="33">
        <v>142726</v>
      </c>
      <c r="K2631" s="33" t="s">
        <v>6858</v>
      </c>
      <c r="L2631" s="33" t="s">
        <v>6859</v>
      </c>
      <c r="M2631" s="33" t="s">
        <v>6860</v>
      </c>
      <c r="N2631" s="44">
        <v>42281517</v>
      </c>
      <c r="O2631" s="33" t="s">
        <v>6887</v>
      </c>
      <c r="P2631" s="33" t="s">
        <v>6888</v>
      </c>
      <c r="Q2631" s="34" t="s">
        <v>1494</v>
      </c>
      <c r="R2631" s="34" t="s">
        <v>1494</v>
      </c>
    </row>
    <row r="2632" spans="1:18" ht="15" customHeight="1" x14ac:dyDescent="0.25">
      <c r="A2632" t="str">
        <f>IFERROR(RANK(B2632,$B:$B,1)+COUNTIF($B$1:B2631,B2632),"")</f>
        <v/>
      </c>
      <c r="B2632" t="str">
        <f>IFERROR(SEARCH(#REF!,Table4[[#This Row],[Commodity Title]],1),"")</f>
        <v/>
      </c>
      <c r="C2632" s="35">
        <v>42281518</v>
      </c>
      <c r="D2632" s="33" t="s">
        <v>1495</v>
      </c>
      <c r="E2632" s="33" t="s">
        <v>1496</v>
      </c>
      <c r="F2632" s="33" t="s">
        <v>1497</v>
      </c>
      <c r="G2632" s="33" t="s">
        <v>6855</v>
      </c>
      <c r="H2632" s="33" t="s">
        <v>6856</v>
      </c>
      <c r="I2632" s="33" t="s">
        <v>6857</v>
      </c>
      <c r="J2632" s="33">
        <v>142727</v>
      </c>
      <c r="K2632" s="33" t="s">
        <v>6858</v>
      </c>
      <c r="L2632" s="33" t="s">
        <v>6859</v>
      </c>
      <c r="M2632" s="33" t="s">
        <v>6860</v>
      </c>
      <c r="N2632" s="44">
        <v>42281518</v>
      </c>
      <c r="O2632" s="33" t="s">
        <v>6889</v>
      </c>
      <c r="P2632" s="33" t="s">
        <v>6890</v>
      </c>
      <c r="Q2632" s="34" t="s">
        <v>1494</v>
      </c>
      <c r="R2632" s="34" t="s">
        <v>1494</v>
      </c>
    </row>
    <row r="2633" spans="1:18" ht="15" customHeight="1" x14ac:dyDescent="0.25">
      <c r="A2633" t="str">
        <f>IFERROR(RANK(B2633,$B:$B,1)+COUNTIF($B$1:B2632,B2633),"")</f>
        <v/>
      </c>
      <c r="B2633" t="str">
        <f>IFERROR(SEARCH(#REF!,Table4[[#This Row],[Commodity Title]],1),"")</f>
        <v/>
      </c>
      <c r="C2633" s="35">
        <v>42281519</v>
      </c>
      <c r="D2633" s="33" t="s">
        <v>1495</v>
      </c>
      <c r="E2633" s="33" t="s">
        <v>1496</v>
      </c>
      <c r="F2633" s="33" t="s">
        <v>1497</v>
      </c>
      <c r="G2633" s="33" t="s">
        <v>6855</v>
      </c>
      <c r="H2633" s="33" t="s">
        <v>6856</v>
      </c>
      <c r="I2633" s="33" t="s">
        <v>6857</v>
      </c>
      <c r="J2633" s="33">
        <v>142728</v>
      </c>
      <c r="K2633" s="33" t="s">
        <v>6858</v>
      </c>
      <c r="L2633" s="33" t="s">
        <v>6859</v>
      </c>
      <c r="M2633" s="33" t="s">
        <v>6860</v>
      </c>
      <c r="N2633" s="44">
        <v>42281519</v>
      </c>
      <c r="O2633" s="33" t="s">
        <v>6891</v>
      </c>
      <c r="P2633" s="33" t="s">
        <v>6892</v>
      </c>
      <c r="Q2633" s="34" t="s">
        <v>1494</v>
      </c>
      <c r="R2633" s="34" t="s">
        <v>1494</v>
      </c>
    </row>
    <row r="2634" spans="1:18" ht="15" customHeight="1" x14ac:dyDescent="0.25">
      <c r="A2634" t="str">
        <f>IFERROR(RANK(B2634,$B:$B,1)+COUNTIF($B$1:B2633,B2634),"")</f>
        <v/>
      </c>
      <c r="B2634" t="str">
        <f>IFERROR(SEARCH(#REF!,Table4[[#This Row],[Commodity Title]],1),"")</f>
        <v/>
      </c>
      <c r="C2634" s="35">
        <v>42281521</v>
      </c>
      <c r="D2634" s="33" t="s">
        <v>1495</v>
      </c>
      <c r="E2634" s="33" t="s">
        <v>1496</v>
      </c>
      <c r="F2634" s="33" t="s">
        <v>1497</v>
      </c>
      <c r="G2634" s="33" t="s">
        <v>6855</v>
      </c>
      <c r="H2634" s="33" t="s">
        <v>6856</v>
      </c>
      <c r="I2634" s="33" t="s">
        <v>6857</v>
      </c>
      <c r="J2634" s="33">
        <v>142730</v>
      </c>
      <c r="K2634" s="33" t="s">
        <v>6858</v>
      </c>
      <c r="L2634" s="33" t="s">
        <v>6859</v>
      </c>
      <c r="M2634" s="33" t="s">
        <v>6860</v>
      </c>
      <c r="N2634" s="44">
        <v>42281521</v>
      </c>
      <c r="O2634" s="33" t="s">
        <v>6893</v>
      </c>
      <c r="P2634" s="33" t="s">
        <v>6894</v>
      </c>
      <c r="Q2634" s="34" t="s">
        <v>1494</v>
      </c>
      <c r="R2634" s="34" t="s">
        <v>1494</v>
      </c>
    </row>
    <row r="2635" spans="1:18" ht="15" customHeight="1" x14ac:dyDescent="0.25">
      <c r="A2635" t="str">
        <f>IFERROR(RANK(B2635,$B:$B,1)+COUNTIF($B$1:B2634,B2635),"")</f>
        <v/>
      </c>
      <c r="B2635" t="str">
        <f>IFERROR(SEARCH(#REF!,Table4[[#This Row],[Commodity Title]],1),"")</f>
        <v/>
      </c>
      <c r="C2635" s="35">
        <v>42281522</v>
      </c>
      <c r="D2635" s="33" t="s">
        <v>1495</v>
      </c>
      <c r="E2635" s="33" t="s">
        <v>1496</v>
      </c>
      <c r="F2635" s="33" t="s">
        <v>1497</v>
      </c>
      <c r="G2635" s="33" t="s">
        <v>6855</v>
      </c>
      <c r="H2635" s="33" t="s">
        <v>6856</v>
      </c>
      <c r="I2635" s="33" t="s">
        <v>6857</v>
      </c>
      <c r="J2635" s="33">
        <v>142731</v>
      </c>
      <c r="K2635" s="33" t="s">
        <v>6858</v>
      </c>
      <c r="L2635" s="33" t="s">
        <v>6859</v>
      </c>
      <c r="M2635" s="33" t="s">
        <v>6860</v>
      </c>
      <c r="N2635" s="44">
        <v>42281522</v>
      </c>
      <c r="O2635" s="33" t="s">
        <v>6895</v>
      </c>
      <c r="P2635" s="33" t="s">
        <v>6896</v>
      </c>
      <c r="Q2635" s="34" t="s">
        <v>1494</v>
      </c>
      <c r="R2635" s="34" t="s">
        <v>1494</v>
      </c>
    </row>
    <row r="2636" spans="1:18" ht="15" customHeight="1" x14ac:dyDescent="0.25">
      <c r="A2636" t="str">
        <f>IFERROR(RANK(B2636,$B:$B,1)+COUNTIF($B$1:B2635,B2636),"")</f>
        <v/>
      </c>
      <c r="B2636" t="str">
        <f>IFERROR(SEARCH(#REF!,Table4[[#This Row],[Commodity Title]],1),"")</f>
        <v/>
      </c>
      <c r="C2636" s="35">
        <v>42281523</v>
      </c>
      <c r="D2636" s="33" t="s">
        <v>1495</v>
      </c>
      <c r="E2636" s="33" t="s">
        <v>1496</v>
      </c>
      <c r="F2636" s="33" t="s">
        <v>1497</v>
      </c>
      <c r="G2636" s="33" t="s">
        <v>6855</v>
      </c>
      <c r="H2636" s="33" t="s">
        <v>6856</v>
      </c>
      <c r="I2636" s="33" t="s">
        <v>6857</v>
      </c>
      <c r="J2636" s="33">
        <v>142732</v>
      </c>
      <c r="K2636" s="33" t="s">
        <v>6858</v>
      </c>
      <c r="L2636" s="33" t="s">
        <v>6859</v>
      </c>
      <c r="M2636" s="33" t="s">
        <v>6860</v>
      </c>
      <c r="N2636" s="44">
        <v>42281523</v>
      </c>
      <c r="O2636" s="33" t="s">
        <v>6897</v>
      </c>
      <c r="P2636" s="33" t="s">
        <v>6898</v>
      </c>
      <c r="Q2636" s="34" t="s">
        <v>1494</v>
      </c>
      <c r="R2636" s="34" t="s">
        <v>1494</v>
      </c>
    </row>
    <row r="2637" spans="1:18" ht="15" customHeight="1" x14ac:dyDescent="0.25">
      <c r="A2637" t="str">
        <f>IFERROR(RANK(B2637,$B:$B,1)+COUNTIF($B$1:B2636,B2637),"")</f>
        <v/>
      </c>
      <c r="B2637" t="str">
        <f>IFERROR(SEARCH(#REF!,Table4[[#This Row],[Commodity Title]],1),"")</f>
        <v/>
      </c>
      <c r="C2637" s="35">
        <v>42281524</v>
      </c>
      <c r="D2637" s="33" t="s">
        <v>1495</v>
      </c>
      <c r="E2637" s="33" t="s">
        <v>1496</v>
      </c>
      <c r="F2637" s="33" t="s">
        <v>1497</v>
      </c>
      <c r="G2637" s="33" t="s">
        <v>6855</v>
      </c>
      <c r="H2637" s="33" t="s">
        <v>6856</v>
      </c>
      <c r="I2637" s="33" t="s">
        <v>6857</v>
      </c>
      <c r="J2637" s="33">
        <v>142733</v>
      </c>
      <c r="K2637" s="33" t="s">
        <v>6858</v>
      </c>
      <c r="L2637" s="33" t="s">
        <v>6859</v>
      </c>
      <c r="M2637" s="33" t="s">
        <v>6860</v>
      </c>
      <c r="N2637" s="44">
        <v>42281524</v>
      </c>
      <c r="O2637" s="33" t="s">
        <v>6899</v>
      </c>
      <c r="P2637" s="33" t="s">
        <v>6900</v>
      </c>
      <c r="Q2637" s="34" t="s">
        <v>1494</v>
      </c>
      <c r="R2637" s="34" t="s">
        <v>1494</v>
      </c>
    </row>
    <row r="2638" spans="1:18" ht="15" customHeight="1" x14ac:dyDescent="0.25">
      <c r="A2638" t="str">
        <f>IFERROR(RANK(B2638,$B:$B,1)+COUNTIF($B$1:B2637,B2638),"")</f>
        <v/>
      </c>
      <c r="B2638" t="str">
        <f>IFERROR(SEARCH(#REF!,Table4[[#This Row],[Commodity Title]],1),"")</f>
        <v/>
      </c>
      <c r="C2638" s="35">
        <v>42281525</v>
      </c>
      <c r="D2638" s="33" t="s">
        <v>1495</v>
      </c>
      <c r="E2638" s="33" t="s">
        <v>1496</v>
      </c>
      <c r="F2638" s="33" t="s">
        <v>1497</v>
      </c>
      <c r="G2638" s="33" t="s">
        <v>6855</v>
      </c>
      <c r="H2638" s="33" t="s">
        <v>6856</v>
      </c>
      <c r="I2638" s="33" t="s">
        <v>6857</v>
      </c>
      <c r="J2638" s="33">
        <v>146117</v>
      </c>
      <c r="K2638" s="33" t="s">
        <v>6858</v>
      </c>
      <c r="L2638" s="33" t="s">
        <v>6859</v>
      </c>
      <c r="M2638" s="33" t="s">
        <v>6860</v>
      </c>
      <c r="N2638" s="44">
        <v>42281525</v>
      </c>
      <c r="O2638" s="33" t="s">
        <v>6901</v>
      </c>
      <c r="P2638" s="33" t="s">
        <v>6902</v>
      </c>
      <c r="Q2638" s="34" t="s">
        <v>1494</v>
      </c>
      <c r="R2638" s="34" t="s">
        <v>1494</v>
      </c>
    </row>
    <row r="2639" spans="1:18" ht="15" customHeight="1" x14ac:dyDescent="0.25">
      <c r="A2639" t="str">
        <f>IFERROR(RANK(B2639,$B:$B,1)+COUNTIF($B$1:B2638,B2639),"")</f>
        <v/>
      </c>
      <c r="B2639" t="str">
        <f>IFERROR(SEARCH(#REF!,Table4[[#This Row],[Commodity Title]],1),"")</f>
        <v/>
      </c>
      <c r="C2639" s="35">
        <v>42281526</v>
      </c>
      <c r="D2639" s="33" t="s">
        <v>1495</v>
      </c>
      <c r="E2639" s="33" t="s">
        <v>1496</v>
      </c>
      <c r="F2639" s="33" t="s">
        <v>1497</v>
      </c>
      <c r="G2639" s="33" t="s">
        <v>6855</v>
      </c>
      <c r="H2639" s="33" t="s">
        <v>6856</v>
      </c>
      <c r="I2639" s="33" t="s">
        <v>6857</v>
      </c>
      <c r="J2639" s="33">
        <v>146130</v>
      </c>
      <c r="K2639" s="33" t="s">
        <v>6858</v>
      </c>
      <c r="L2639" s="33" t="s">
        <v>6859</v>
      </c>
      <c r="M2639" s="33" t="s">
        <v>6860</v>
      </c>
      <c r="N2639" s="44">
        <v>42281526</v>
      </c>
      <c r="O2639" s="33" t="s">
        <v>6903</v>
      </c>
      <c r="P2639" s="33" t="s">
        <v>6904</v>
      </c>
      <c r="Q2639" s="34" t="s">
        <v>1494</v>
      </c>
      <c r="R2639" s="34" t="s">
        <v>1494</v>
      </c>
    </row>
    <row r="2640" spans="1:18" ht="15" customHeight="1" x14ac:dyDescent="0.25">
      <c r="A2640" t="str">
        <f>IFERROR(RANK(B2640,$B:$B,1)+COUNTIF($B$1:B2639,B2640),"")</f>
        <v/>
      </c>
      <c r="B2640" t="str">
        <f>IFERROR(SEARCH(#REF!,Table4[[#This Row],[Commodity Title]],1),"")</f>
        <v/>
      </c>
      <c r="C2640" s="35">
        <v>42281527</v>
      </c>
      <c r="D2640" s="33" t="s">
        <v>1495</v>
      </c>
      <c r="E2640" s="33" t="s">
        <v>1496</v>
      </c>
      <c r="F2640" s="33" t="s">
        <v>1497</v>
      </c>
      <c r="G2640" s="33" t="s">
        <v>6855</v>
      </c>
      <c r="H2640" s="33" t="s">
        <v>6856</v>
      </c>
      <c r="I2640" s="33" t="s">
        <v>6857</v>
      </c>
      <c r="J2640" s="33">
        <v>150702</v>
      </c>
      <c r="K2640" s="33" t="s">
        <v>6858</v>
      </c>
      <c r="L2640" s="33" t="s">
        <v>6859</v>
      </c>
      <c r="M2640" s="33" t="s">
        <v>6860</v>
      </c>
      <c r="N2640" s="44">
        <v>42281527</v>
      </c>
      <c r="O2640" s="33" t="s">
        <v>6905</v>
      </c>
      <c r="P2640" s="33" t="s">
        <v>6906</v>
      </c>
      <c r="Q2640" s="34" t="s">
        <v>1494</v>
      </c>
      <c r="R2640" s="34" t="s">
        <v>1494</v>
      </c>
    </row>
    <row r="2641" spans="1:18" ht="15" customHeight="1" x14ac:dyDescent="0.25">
      <c r="A2641" t="str">
        <f>IFERROR(RANK(B2641,$B:$B,1)+COUNTIF($B$1:B2640,B2641),"")</f>
        <v/>
      </c>
      <c r="B2641" t="str">
        <f>IFERROR(SEARCH(#REF!,Table4[[#This Row],[Commodity Title]],1),"")</f>
        <v/>
      </c>
      <c r="C2641" s="35">
        <v>42281528</v>
      </c>
      <c r="D2641" s="33" t="s">
        <v>1495</v>
      </c>
      <c r="E2641" s="33" t="s">
        <v>1496</v>
      </c>
      <c r="F2641" s="33" t="s">
        <v>1497</v>
      </c>
      <c r="G2641" s="33" t="s">
        <v>6855</v>
      </c>
      <c r="H2641" s="33" t="s">
        <v>6856</v>
      </c>
      <c r="I2641" s="33" t="s">
        <v>6857</v>
      </c>
      <c r="J2641" s="33">
        <v>164872</v>
      </c>
      <c r="K2641" s="33" t="s">
        <v>6858</v>
      </c>
      <c r="L2641" s="33" t="s">
        <v>6859</v>
      </c>
      <c r="M2641" s="33" t="s">
        <v>6860</v>
      </c>
      <c r="N2641" s="44">
        <v>42281528</v>
      </c>
      <c r="O2641" s="33" t="s">
        <v>6907</v>
      </c>
      <c r="P2641" s="33" t="s">
        <v>6908</v>
      </c>
      <c r="Q2641" s="34" t="s">
        <v>1494</v>
      </c>
      <c r="R2641" s="34" t="s">
        <v>1494</v>
      </c>
    </row>
    <row r="2642" spans="1:18" ht="15" customHeight="1" x14ac:dyDescent="0.25">
      <c r="A2642" t="str">
        <f>IFERROR(RANK(B2642,$B:$B,1)+COUNTIF($B$1:B2641,B2642),"")</f>
        <v/>
      </c>
      <c r="B2642" t="str">
        <f>IFERROR(SEARCH(#REF!,Table4[[#This Row],[Commodity Title]],1),"")</f>
        <v/>
      </c>
      <c r="C2642" s="35">
        <v>42281529</v>
      </c>
      <c r="D2642" s="33" t="s">
        <v>1495</v>
      </c>
      <c r="E2642" s="33" t="s">
        <v>1496</v>
      </c>
      <c r="F2642" s="33" t="s">
        <v>1497</v>
      </c>
      <c r="G2642" s="33" t="s">
        <v>6855</v>
      </c>
      <c r="H2642" s="33" t="s">
        <v>6856</v>
      </c>
      <c r="I2642" s="33" t="s">
        <v>6857</v>
      </c>
      <c r="J2642" s="33">
        <v>164873</v>
      </c>
      <c r="K2642" s="33" t="s">
        <v>6858</v>
      </c>
      <c r="L2642" s="33" t="s">
        <v>6859</v>
      </c>
      <c r="M2642" s="33" t="s">
        <v>6860</v>
      </c>
      <c r="N2642" s="44">
        <v>42281529</v>
      </c>
      <c r="O2642" s="33" t="s">
        <v>6909</v>
      </c>
      <c r="P2642" s="33" t="s">
        <v>6910</v>
      </c>
      <c r="Q2642" s="34" t="s">
        <v>1494</v>
      </c>
      <c r="R2642" s="34" t="s">
        <v>1494</v>
      </c>
    </row>
    <row r="2643" spans="1:18" ht="15" customHeight="1" x14ac:dyDescent="0.25">
      <c r="A2643" t="str">
        <f>IFERROR(RANK(B2643,$B:$B,1)+COUNTIF($B$1:B2642,B2643),"")</f>
        <v/>
      </c>
      <c r="B2643" t="str">
        <f>IFERROR(SEARCH(#REF!,Table4[[#This Row],[Commodity Title]],1),"")</f>
        <v/>
      </c>
      <c r="C2643" s="35">
        <v>42281530</v>
      </c>
      <c r="D2643" s="33" t="s">
        <v>1495</v>
      </c>
      <c r="E2643" s="33" t="s">
        <v>1496</v>
      </c>
      <c r="F2643" s="33" t="s">
        <v>1497</v>
      </c>
      <c r="G2643" s="33" t="s">
        <v>6855</v>
      </c>
      <c r="H2643" s="33" t="s">
        <v>6856</v>
      </c>
      <c r="I2643" s="33" t="s">
        <v>6857</v>
      </c>
      <c r="J2643" s="33">
        <v>164874</v>
      </c>
      <c r="K2643" s="33" t="s">
        <v>6858</v>
      </c>
      <c r="L2643" s="33" t="s">
        <v>6859</v>
      </c>
      <c r="M2643" s="33" t="s">
        <v>6860</v>
      </c>
      <c r="N2643" s="44">
        <v>42281530</v>
      </c>
      <c r="O2643" s="33" t="s">
        <v>6911</v>
      </c>
      <c r="P2643" s="33" t="s">
        <v>6912</v>
      </c>
      <c r="Q2643" s="34" t="s">
        <v>1494</v>
      </c>
      <c r="R2643" s="34" t="s">
        <v>1494</v>
      </c>
    </row>
    <row r="2644" spans="1:18" ht="15" customHeight="1" x14ac:dyDescent="0.25">
      <c r="A2644" t="str">
        <f>IFERROR(RANK(B2644,$B:$B,1)+COUNTIF($B$1:B2643,B2644),"")</f>
        <v/>
      </c>
      <c r="B2644" t="str">
        <f>IFERROR(SEARCH(#REF!,Table4[[#This Row],[Commodity Title]],1),"")</f>
        <v/>
      </c>
      <c r="C2644" s="35">
        <v>42281531</v>
      </c>
      <c r="D2644" s="33" t="s">
        <v>1495</v>
      </c>
      <c r="E2644" s="33" t="s">
        <v>1496</v>
      </c>
      <c r="F2644" s="33" t="s">
        <v>1497</v>
      </c>
      <c r="G2644" s="33" t="s">
        <v>6855</v>
      </c>
      <c r="H2644" s="33" t="s">
        <v>6856</v>
      </c>
      <c r="I2644" s="33" t="s">
        <v>6857</v>
      </c>
      <c r="J2644" s="33">
        <v>174404</v>
      </c>
      <c r="K2644" s="33" t="s">
        <v>6858</v>
      </c>
      <c r="L2644" s="33" t="s">
        <v>6859</v>
      </c>
      <c r="M2644" s="33" t="s">
        <v>6860</v>
      </c>
      <c r="N2644" s="44">
        <v>42281531</v>
      </c>
      <c r="O2644" s="33" t="s">
        <v>6913</v>
      </c>
      <c r="P2644" s="33" t="s">
        <v>6914</v>
      </c>
      <c r="Q2644" s="34" t="s">
        <v>1494</v>
      </c>
      <c r="R2644" s="34" t="s">
        <v>1494</v>
      </c>
    </row>
    <row r="2645" spans="1:18" ht="15" customHeight="1" x14ac:dyDescent="0.25">
      <c r="A2645" t="str">
        <f>IFERROR(RANK(B2645,$B:$B,1)+COUNTIF($B$1:B2644,B2645),"")</f>
        <v/>
      </c>
      <c r="B2645" t="str">
        <f>IFERROR(SEARCH(#REF!,Table4[[#This Row],[Commodity Title]],1),"")</f>
        <v/>
      </c>
      <c r="C2645" s="35">
        <v>42281532</v>
      </c>
      <c r="D2645" s="33" t="s">
        <v>1495</v>
      </c>
      <c r="E2645" s="33" t="s">
        <v>1496</v>
      </c>
      <c r="F2645" s="33" t="s">
        <v>1497</v>
      </c>
      <c r="G2645" s="33" t="s">
        <v>6855</v>
      </c>
      <c r="H2645" s="33" t="s">
        <v>6856</v>
      </c>
      <c r="I2645" s="33" t="s">
        <v>6857</v>
      </c>
      <c r="J2645" s="33">
        <v>174405</v>
      </c>
      <c r="K2645" s="33" t="s">
        <v>6858</v>
      </c>
      <c r="L2645" s="33" t="s">
        <v>6859</v>
      </c>
      <c r="M2645" s="33" t="s">
        <v>6860</v>
      </c>
      <c r="N2645" s="44">
        <v>42281532</v>
      </c>
      <c r="O2645" s="33" t="s">
        <v>6915</v>
      </c>
      <c r="P2645" s="33" t="s">
        <v>6916</v>
      </c>
      <c r="Q2645" s="34" t="s">
        <v>1494</v>
      </c>
      <c r="R2645" s="34" t="s">
        <v>1494</v>
      </c>
    </row>
    <row r="2646" spans="1:18" ht="15" customHeight="1" x14ac:dyDescent="0.25">
      <c r="A2646" t="str">
        <f>IFERROR(RANK(B2646,$B:$B,1)+COUNTIF($B$1:B2645,B2646),"")</f>
        <v/>
      </c>
      <c r="B2646" t="str">
        <f>IFERROR(SEARCH(#REF!,Table4[[#This Row],[Commodity Title]],1),"")</f>
        <v/>
      </c>
      <c r="C2646" s="35">
        <v>42281533</v>
      </c>
      <c r="D2646" s="33" t="s">
        <v>1495</v>
      </c>
      <c r="E2646" s="33" t="s">
        <v>1496</v>
      </c>
      <c r="F2646" s="33" t="s">
        <v>1497</v>
      </c>
      <c r="G2646" s="33" t="s">
        <v>6855</v>
      </c>
      <c r="H2646" s="33" t="s">
        <v>6856</v>
      </c>
      <c r="I2646" s="33" t="s">
        <v>6857</v>
      </c>
      <c r="J2646" s="33">
        <v>203076</v>
      </c>
      <c r="K2646" s="33" t="s">
        <v>6858</v>
      </c>
      <c r="L2646" s="33" t="s">
        <v>6859</v>
      </c>
      <c r="M2646" s="33" t="s">
        <v>6860</v>
      </c>
      <c r="N2646" s="44">
        <v>42281533</v>
      </c>
      <c r="O2646" s="33" t="s">
        <v>6917</v>
      </c>
      <c r="P2646" s="33" t="s">
        <v>6904</v>
      </c>
      <c r="Q2646" s="34" t="s">
        <v>1494</v>
      </c>
      <c r="R2646" s="34" t="s">
        <v>1494</v>
      </c>
    </row>
    <row r="2647" spans="1:18" ht="15" customHeight="1" x14ac:dyDescent="0.25">
      <c r="A2647" t="str">
        <f>IFERROR(RANK(B2647,$B:$B,1)+COUNTIF($B$1:B2646,B2647),"")</f>
        <v/>
      </c>
      <c r="B2647" t="str">
        <f>IFERROR(SEARCH(#REF!,Table4[[#This Row],[Commodity Title]],1),"")</f>
        <v/>
      </c>
      <c r="C2647" s="35">
        <v>42281534</v>
      </c>
      <c r="D2647" s="33" t="s">
        <v>1495</v>
      </c>
      <c r="E2647" s="33" t="s">
        <v>1496</v>
      </c>
      <c r="F2647" s="33" t="s">
        <v>1497</v>
      </c>
      <c r="G2647" s="33" t="s">
        <v>6855</v>
      </c>
      <c r="H2647" s="33" t="s">
        <v>6856</v>
      </c>
      <c r="I2647" s="33" t="s">
        <v>6857</v>
      </c>
      <c r="J2647" s="33">
        <v>203077</v>
      </c>
      <c r="K2647" s="33" t="s">
        <v>6858</v>
      </c>
      <c r="L2647" s="33" t="s">
        <v>6859</v>
      </c>
      <c r="M2647" s="33" t="s">
        <v>6860</v>
      </c>
      <c r="N2647" s="44">
        <v>42281534</v>
      </c>
      <c r="O2647" s="33" t="s">
        <v>6918</v>
      </c>
      <c r="P2647" s="33" t="s">
        <v>6919</v>
      </c>
      <c r="Q2647" s="34" t="s">
        <v>1494</v>
      </c>
      <c r="R2647" s="34" t="s">
        <v>1494</v>
      </c>
    </row>
    <row r="2648" spans="1:18" ht="15" customHeight="1" x14ac:dyDescent="0.25">
      <c r="A2648" t="str">
        <f>IFERROR(RANK(B2648,$B:$B,1)+COUNTIF($B$1:B2647,B2648),"")</f>
        <v/>
      </c>
      <c r="B2648" t="str">
        <f>IFERROR(SEARCH(#REF!,Table4[[#This Row],[Commodity Title]],1),"")</f>
        <v/>
      </c>
      <c r="C2648" s="35">
        <v>42281536</v>
      </c>
      <c r="D2648" s="33" t="s">
        <v>1495</v>
      </c>
      <c r="E2648" s="33" t="s">
        <v>1496</v>
      </c>
      <c r="F2648" s="33" t="s">
        <v>1497</v>
      </c>
      <c r="G2648" s="33" t="s">
        <v>6855</v>
      </c>
      <c r="H2648" s="33" t="s">
        <v>6856</v>
      </c>
      <c r="I2648" s="33" t="s">
        <v>6857</v>
      </c>
      <c r="J2648" s="33">
        <v>203078</v>
      </c>
      <c r="K2648" s="33" t="s">
        <v>6858</v>
      </c>
      <c r="L2648" s="33" t="s">
        <v>6859</v>
      </c>
      <c r="M2648" s="33" t="s">
        <v>6860</v>
      </c>
      <c r="N2648" s="44">
        <v>42281536</v>
      </c>
      <c r="O2648" s="33" t="s">
        <v>6920</v>
      </c>
      <c r="P2648" s="33" t="s">
        <v>6921</v>
      </c>
      <c r="Q2648" s="34" t="s">
        <v>1494</v>
      </c>
      <c r="R2648" s="34" t="s">
        <v>1494</v>
      </c>
    </row>
    <row r="2649" spans="1:18" ht="15" customHeight="1" x14ac:dyDescent="0.25">
      <c r="A2649" t="str">
        <f>IFERROR(RANK(B2649,$B:$B,1)+COUNTIF($B$1:B2648,B2649),"")</f>
        <v/>
      </c>
      <c r="B2649" t="str">
        <f>IFERROR(SEARCH(#REF!,Table4[[#This Row],[Commodity Title]],1),"")</f>
        <v/>
      </c>
      <c r="C2649" s="35">
        <v>42281537</v>
      </c>
      <c r="D2649" s="33" t="s">
        <v>1495</v>
      </c>
      <c r="E2649" s="33" t="s">
        <v>1496</v>
      </c>
      <c r="F2649" s="33" t="s">
        <v>1497</v>
      </c>
      <c r="G2649" s="33" t="s">
        <v>6855</v>
      </c>
      <c r="H2649" s="33" t="s">
        <v>6856</v>
      </c>
      <c r="I2649" s="33" t="s">
        <v>6857</v>
      </c>
      <c r="J2649" s="33">
        <v>203079</v>
      </c>
      <c r="K2649" s="33" t="s">
        <v>6858</v>
      </c>
      <c r="L2649" s="33" t="s">
        <v>6859</v>
      </c>
      <c r="M2649" s="33" t="s">
        <v>6860</v>
      </c>
      <c r="N2649" s="44">
        <v>42281537</v>
      </c>
      <c r="O2649" s="33" t="s">
        <v>9131</v>
      </c>
      <c r="P2649" s="33" t="s">
        <v>6906</v>
      </c>
      <c r="Q2649" s="34" t="s">
        <v>1494</v>
      </c>
      <c r="R2649" s="34" t="s">
        <v>1494</v>
      </c>
    </row>
    <row r="2650" spans="1:18" ht="15" customHeight="1" x14ac:dyDescent="0.25">
      <c r="A2650" t="str">
        <f>IFERROR(RANK(B2650,$B:$B,1)+COUNTIF($B$1:B2649,B2650),"")</f>
        <v/>
      </c>
      <c r="B2650" t="str">
        <f>IFERROR(SEARCH(#REF!,Table4[[#This Row],[Commodity Title]],1),"")</f>
        <v/>
      </c>
      <c r="C2650" s="33" t="s">
        <v>1494</v>
      </c>
      <c r="D2650" s="33" t="s">
        <v>1495</v>
      </c>
      <c r="E2650" s="33" t="s">
        <v>1496</v>
      </c>
      <c r="F2650" s="33" t="s">
        <v>1497</v>
      </c>
      <c r="G2650" s="33" t="s">
        <v>6855</v>
      </c>
      <c r="H2650" s="33" t="s">
        <v>6856</v>
      </c>
      <c r="I2650" s="33" t="s">
        <v>6857</v>
      </c>
      <c r="J2650" s="33">
        <v>116094</v>
      </c>
      <c r="K2650" s="33" t="s">
        <v>6922</v>
      </c>
      <c r="L2650" s="33" t="s">
        <v>6923</v>
      </c>
      <c r="M2650" s="33" t="s">
        <v>6924</v>
      </c>
      <c r="N2650" s="44" t="s">
        <v>1494</v>
      </c>
      <c r="O2650" s="33" t="s">
        <v>1494</v>
      </c>
      <c r="P2650" s="33" t="s">
        <v>1494</v>
      </c>
      <c r="Q2650" s="34" t="s">
        <v>1494</v>
      </c>
      <c r="R2650" s="34" t="s">
        <v>1494</v>
      </c>
    </row>
    <row r="2651" spans="1:18" ht="15" customHeight="1" x14ac:dyDescent="0.25">
      <c r="A2651" t="str">
        <f>IFERROR(RANK(B2651,$B:$B,1)+COUNTIF($B$1:B2650,B2651),"")</f>
        <v/>
      </c>
      <c r="B2651" t="str">
        <f>IFERROR(SEARCH(#REF!,Table4[[#This Row],[Commodity Title]],1),"")</f>
        <v/>
      </c>
      <c r="C2651" s="35">
        <v>42281603</v>
      </c>
      <c r="D2651" s="33" t="s">
        <v>1495</v>
      </c>
      <c r="E2651" s="33" t="s">
        <v>1496</v>
      </c>
      <c r="F2651" s="33" t="s">
        <v>1497</v>
      </c>
      <c r="G2651" s="33" t="s">
        <v>6855</v>
      </c>
      <c r="H2651" s="33" t="s">
        <v>6856</v>
      </c>
      <c r="I2651" s="33" t="s">
        <v>6857</v>
      </c>
      <c r="J2651" s="33">
        <v>116097</v>
      </c>
      <c r="K2651" s="33" t="s">
        <v>6922</v>
      </c>
      <c r="L2651" s="33" t="s">
        <v>6923</v>
      </c>
      <c r="M2651" s="33" t="s">
        <v>6924</v>
      </c>
      <c r="N2651" s="44">
        <v>42281603</v>
      </c>
      <c r="O2651" s="33" t="s">
        <v>6925</v>
      </c>
      <c r="P2651" s="33" t="s">
        <v>6926</v>
      </c>
      <c r="Q2651" s="34" t="s">
        <v>1494</v>
      </c>
      <c r="R2651" s="34" t="s">
        <v>1494</v>
      </c>
    </row>
    <row r="2652" spans="1:18" ht="15" customHeight="1" x14ac:dyDescent="0.25">
      <c r="A2652" t="str">
        <f>IFERROR(RANK(B2652,$B:$B,1)+COUNTIF($B$1:B2651,B2652),"")</f>
        <v/>
      </c>
      <c r="B2652" t="str">
        <f>IFERROR(SEARCH(#REF!,Table4[[#This Row],[Commodity Title]],1),"")</f>
        <v/>
      </c>
      <c r="C2652" s="35">
        <v>42281604</v>
      </c>
      <c r="D2652" s="33" t="s">
        <v>1495</v>
      </c>
      <c r="E2652" s="33" t="s">
        <v>1496</v>
      </c>
      <c r="F2652" s="33" t="s">
        <v>1497</v>
      </c>
      <c r="G2652" s="33" t="s">
        <v>6855</v>
      </c>
      <c r="H2652" s="33" t="s">
        <v>6856</v>
      </c>
      <c r="I2652" s="33" t="s">
        <v>6857</v>
      </c>
      <c r="J2652" s="33">
        <v>116098</v>
      </c>
      <c r="K2652" s="33" t="s">
        <v>6922</v>
      </c>
      <c r="L2652" s="33" t="s">
        <v>6923</v>
      </c>
      <c r="M2652" s="33" t="s">
        <v>6924</v>
      </c>
      <c r="N2652" s="44">
        <v>42281604</v>
      </c>
      <c r="O2652" s="33" t="s">
        <v>6927</v>
      </c>
      <c r="P2652" s="33" t="s">
        <v>6928</v>
      </c>
      <c r="Q2652" s="34" t="s">
        <v>1494</v>
      </c>
      <c r="R2652" s="34" t="s">
        <v>1494</v>
      </c>
    </row>
    <row r="2653" spans="1:18" ht="15" customHeight="1" x14ac:dyDescent="0.25">
      <c r="A2653" t="str">
        <f>IFERROR(RANK(B2653,$B:$B,1)+COUNTIF($B$1:B2652,B2653),"")</f>
        <v/>
      </c>
      <c r="B2653" t="str">
        <f>IFERROR(SEARCH(#REF!,Table4[[#This Row],[Commodity Title]],1),"")</f>
        <v/>
      </c>
      <c r="C2653" s="35">
        <v>42281605</v>
      </c>
      <c r="D2653" s="33" t="s">
        <v>1495</v>
      </c>
      <c r="E2653" s="33" t="s">
        <v>1496</v>
      </c>
      <c r="F2653" s="33" t="s">
        <v>1497</v>
      </c>
      <c r="G2653" s="33" t="s">
        <v>6855</v>
      </c>
      <c r="H2653" s="33" t="s">
        <v>6856</v>
      </c>
      <c r="I2653" s="33" t="s">
        <v>6857</v>
      </c>
      <c r="J2653" s="33">
        <v>142734</v>
      </c>
      <c r="K2653" s="33" t="s">
        <v>6922</v>
      </c>
      <c r="L2653" s="33" t="s">
        <v>6923</v>
      </c>
      <c r="M2653" s="33" t="s">
        <v>6924</v>
      </c>
      <c r="N2653" s="44">
        <v>42281605</v>
      </c>
      <c r="O2653" s="33" t="s">
        <v>6929</v>
      </c>
      <c r="P2653" s="33" t="s">
        <v>6930</v>
      </c>
      <c r="Q2653" s="34" t="s">
        <v>1494</v>
      </c>
      <c r="R2653" s="34" t="s">
        <v>1494</v>
      </c>
    </row>
    <row r="2654" spans="1:18" ht="15" customHeight="1" x14ac:dyDescent="0.25">
      <c r="A2654" t="str">
        <f>IFERROR(RANK(B2654,$B:$B,1)+COUNTIF($B$1:B2653,B2654),"")</f>
        <v/>
      </c>
      <c r="B2654" t="str">
        <f>IFERROR(SEARCH(#REF!,Table4[[#This Row],[Commodity Title]],1),"")</f>
        <v/>
      </c>
      <c r="C2654" s="35">
        <v>42281606</v>
      </c>
      <c r="D2654" s="33" t="s">
        <v>1495</v>
      </c>
      <c r="E2654" s="33" t="s">
        <v>1496</v>
      </c>
      <c r="F2654" s="33" t="s">
        <v>1497</v>
      </c>
      <c r="G2654" s="33" t="s">
        <v>6855</v>
      </c>
      <c r="H2654" s="33" t="s">
        <v>6856</v>
      </c>
      <c r="I2654" s="33" t="s">
        <v>6857</v>
      </c>
      <c r="J2654" s="33">
        <v>142735</v>
      </c>
      <c r="K2654" s="33" t="s">
        <v>6922</v>
      </c>
      <c r="L2654" s="33" t="s">
        <v>6923</v>
      </c>
      <c r="M2654" s="33" t="s">
        <v>6924</v>
      </c>
      <c r="N2654" s="44">
        <v>42281606</v>
      </c>
      <c r="O2654" s="33" t="s">
        <v>6931</v>
      </c>
      <c r="P2654" s="33" t="s">
        <v>6932</v>
      </c>
      <c r="Q2654" s="34" t="s">
        <v>1494</v>
      </c>
      <c r="R2654" s="34" t="s">
        <v>1494</v>
      </c>
    </row>
    <row r="2655" spans="1:18" ht="15" customHeight="1" x14ac:dyDescent="0.25">
      <c r="A2655" t="str">
        <f>IFERROR(RANK(B2655,$B:$B,1)+COUNTIF($B$1:B2654,B2655),"")</f>
        <v/>
      </c>
      <c r="B2655" t="str">
        <f>IFERROR(SEARCH(#REF!,Table4[[#This Row],[Commodity Title]],1),"")</f>
        <v/>
      </c>
      <c r="C2655" s="35">
        <v>42281607</v>
      </c>
      <c r="D2655" s="33" t="s">
        <v>1495</v>
      </c>
      <c r="E2655" s="33" t="s">
        <v>1496</v>
      </c>
      <c r="F2655" s="33" t="s">
        <v>1497</v>
      </c>
      <c r="G2655" s="33" t="s">
        <v>6855</v>
      </c>
      <c r="H2655" s="33" t="s">
        <v>6856</v>
      </c>
      <c r="I2655" s="33" t="s">
        <v>6857</v>
      </c>
      <c r="J2655" s="33">
        <v>203080</v>
      </c>
      <c r="K2655" s="33" t="s">
        <v>6922</v>
      </c>
      <c r="L2655" s="33" t="s">
        <v>6923</v>
      </c>
      <c r="M2655" s="33" t="s">
        <v>6924</v>
      </c>
      <c r="N2655" s="44">
        <v>42281607</v>
      </c>
      <c r="O2655" s="33" t="s">
        <v>6933</v>
      </c>
      <c r="P2655" s="33" t="s">
        <v>6934</v>
      </c>
      <c r="Q2655" s="34" t="s">
        <v>1494</v>
      </c>
      <c r="R2655" s="34" t="s">
        <v>1494</v>
      </c>
    </row>
    <row r="2656" spans="1:18" ht="15" customHeight="1" x14ac:dyDescent="0.25">
      <c r="A2656" t="str">
        <f>IFERROR(RANK(B2656,$B:$B,1)+COUNTIF($B$1:B2655,B2656),"")</f>
        <v/>
      </c>
      <c r="B2656" t="str">
        <f>IFERROR(SEARCH(#REF!,Table4[[#This Row],[Commodity Title]],1),"")</f>
        <v/>
      </c>
      <c r="C2656" s="33" t="s">
        <v>1494</v>
      </c>
      <c r="D2656" s="33" t="s">
        <v>1495</v>
      </c>
      <c r="E2656" s="33" t="s">
        <v>1496</v>
      </c>
      <c r="F2656" s="33" t="s">
        <v>1497</v>
      </c>
      <c r="G2656" s="33" t="s">
        <v>6855</v>
      </c>
      <c r="H2656" s="33" t="s">
        <v>6856</v>
      </c>
      <c r="I2656" s="33" t="s">
        <v>6857</v>
      </c>
      <c r="J2656" s="33">
        <v>116099</v>
      </c>
      <c r="K2656" s="33" t="s">
        <v>6935</v>
      </c>
      <c r="L2656" s="33" t="s">
        <v>6936</v>
      </c>
      <c r="M2656" s="33" t="s">
        <v>6937</v>
      </c>
      <c r="N2656" s="44" t="s">
        <v>1494</v>
      </c>
      <c r="O2656" s="33" t="s">
        <v>1494</v>
      </c>
      <c r="P2656" s="33" t="s">
        <v>1494</v>
      </c>
      <c r="Q2656" s="34" t="s">
        <v>1494</v>
      </c>
      <c r="R2656" s="34" t="s">
        <v>1494</v>
      </c>
    </row>
    <row r="2657" spans="1:18" ht="15" customHeight="1" x14ac:dyDescent="0.25">
      <c r="A2657" t="str">
        <f>IFERROR(RANK(B2657,$B:$B,1)+COUNTIF($B$1:B2656,B2657),"")</f>
        <v/>
      </c>
      <c r="B2657" t="str">
        <f>IFERROR(SEARCH(#REF!,Table4[[#This Row],[Commodity Title]],1),"")</f>
        <v/>
      </c>
      <c r="C2657" s="35">
        <v>42281701</v>
      </c>
      <c r="D2657" s="33" t="s">
        <v>1495</v>
      </c>
      <c r="E2657" s="33" t="s">
        <v>1496</v>
      </c>
      <c r="F2657" s="33" t="s">
        <v>1497</v>
      </c>
      <c r="G2657" s="33" t="s">
        <v>6855</v>
      </c>
      <c r="H2657" s="33" t="s">
        <v>6856</v>
      </c>
      <c r="I2657" s="33" t="s">
        <v>6857</v>
      </c>
      <c r="J2657" s="33">
        <v>116100</v>
      </c>
      <c r="K2657" s="33" t="s">
        <v>6935</v>
      </c>
      <c r="L2657" s="33" t="s">
        <v>6936</v>
      </c>
      <c r="M2657" s="33" t="s">
        <v>6937</v>
      </c>
      <c r="N2657" s="44">
        <v>42281701</v>
      </c>
      <c r="O2657" s="33" t="s">
        <v>6938</v>
      </c>
      <c r="P2657" s="33" t="s">
        <v>6939</v>
      </c>
      <c r="Q2657" s="34" t="s">
        <v>1494</v>
      </c>
      <c r="R2657" s="34" t="s">
        <v>1494</v>
      </c>
    </row>
    <row r="2658" spans="1:18" ht="15" customHeight="1" x14ac:dyDescent="0.25">
      <c r="A2658" t="str">
        <f>IFERROR(RANK(B2658,$B:$B,1)+COUNTIF($B$1:B2657,B2658),"")</f>
        <v/>
      </c>
      <c r="B2658" t="str">
        <f>IFERROR(SEARCH(#REF!,Table4[[#This Row],[Commodity Title]],1),"")</f>
        <v/>
      </c>
      <c r="C2658" s="35">
        <v>42281703</v>
      </c>
      <c r="D2658" s="33" t="s">
        <v>1495</v>
      </c>
      <c r="E2658" s="33" t="s">
        <v>1496</v>
      </c>
      <c r="F2658" s="33" t="s">
        <v>1497</v>
      </c>
      <c r="G2658" s="33" t="s">
        <v>6855</v>
      </c>
      <c r="H2658" s="33" t="s">
        <v>6856</v>
      </c>
      <c r="I2658" s="33" t="s">
        <v>6857</v>
      </c>
      <c r="J2658" s="33">
        <v>116102</v>
      </c>
      <c r="K2658" s="33" t="s">
        <v>6935</v>
      </c>
      <c r="L2658" s="33" t="s">
        <v>6936</v>
      </c>
      <c r="M2658" s="33" t="s">
        <v>6937</v>
      </c>
      <c r="N2658" s="44">
        <v>42281703</v>
      </c>
      <c r="O2658" s="33" t="s">
        <v>6940</v>
      </c>
      <c r="P2658" s="33" t="s">
        <v>6941</v>
      </c>
      <c r="Q2658" s="34" t="s">
        <v>1494</v>
      </c>
      <c r="R2658" s="34" t="s">
        <v>1494</v>
      </c>
    </row>
    <row r="2659" spans="1:18" ht="15" customHeight="1" x14ac:dyDescent="0.25">
      <c r="A2659" t="str">
        <f>IFERROR(RANK(B2659,$B:$B,1)+COUNTIF($B$1:B2658,B2659),"")</f>
        <v/>
      </c>
      <c r="B2659" t="str">
        <f>IFERROR(SEARCH(#REF!,Table4[[#This Row],[Commodity Title]],1),"")</f>
        <v/>
      </c>
      <c r="C2659" s="35">
        <v>42281704</v>
      </c>
      <c r="D2659" s="33" t="s">
        <v>1495</v>
      </c>
      <c r="E2659" s="33" t="s">
        <v>1496</v>
      </c>
      <c r="F2659" s="33" t="s">
        <v>1497</v>
      </c>
      <c r="G2659" s="33" t="s">
        <v>6855</v>
      </c>
      <c r="H2659" s="33" t="s">
        <v>6856</v>
      </c>
      <c r="I2659" s="33" t="s">
        <v>6857</v>
      </c>
      <c r="J2659" s="33">
        <v>116103</v>
      </c>
      <c r="K2659" s="33" t="s">
        <v>6935</v>
      </c>
      <c r="L2659" s="33" t="s">
        <v>6936</v>
      </c>
      <c r="M2659" s="33" t="s">
        <v>6937</v>
      </c>
      <c r="N2659" s="44">
        <v>42281704</v>
      </c>
      <c r="O2659" s="33" t="s">
        <v>6942</v>
      </c>
      <c r="P2659" s="33" t="s">
        <v>6943</v>
      </c>
      <c r="Q2659" s="34" t="s">
        <v>1494</v>
      </c>
      <c r="R2659" s="34" t="s">
        <v>1494</v>
      </c>
    </row>
    <row r="2660" spans="1:18" ht="15" customHeight="1" x14ac:dyDescent="0.25">
      <c r="A2660" t="str">
        <f>IFERROR(RANK(B2660,$B:$B,1)+COUNTIF($B$1:B2659,B2660),"")</f>
        <v/>
      </c>
      <c r="B2660" t="str">
        <f>IFERROR(SEARCH(#REF!,Table4[[#This Row],[Commodity Title]],1),"")</f>
        <v/>
      </c>
      <c r="C2660" s="35">
        <v>42281706</v>
      </c>
      <c r="D2660" s="33" t="s">
        <v>1495</v>
      </c>
      <c r="E2660" s="33" t="s">
        <v>1496</v>
      </c>
      <c r="F2660" s="33" t="s">
        <v>1497</v>
      </c>
      <c r="G2660" s="33" t="s">
        <v>6855</v>
      </c>
      <c r="H2660" s="33" t="s">
        <v>6856</v>
      </c>
      <c r="I2660" s="33" t="s">
        <v>6857</v>
      </c>
      <c r="J2660" s="33">
        <v>116105</v>
      </c>
      <c r="K2660" s="33" t="s">
        <v>6935</v>
      </c>
      <c r="L2660" s="33" t="s">
        <v>6936</v>
      </c>
      <c r="M2660" s="33" t="s">
        <v>6937</v>
      </c>
      <c r="N2660" s="44">
        <v>42281706</v>
      </c>
      <c r="O2660" s="33" t="s">
        <v>6944</v>
      </c>
      <c r="P2660" s="33" t="s">
        <v>6945</v>
      </c>
      <c r="Q2660" s="34" t="s">
        <v>1494</v>
      </c>
      <c r="R2660" s="34" t="s">
        <v>1494</v>
      </c>
    </row>
    <row r="2661" spans="1:18" ht="15" customHeight="1" x14ac:dyDescent="0.25">
      <c r="A2661" t="str">
        <f>IFERROR(RANK(B2661,$B:$B,1)+COUNTIF($B$1:B2660,B2661),"")</f>
        <v/>
      </c>
      <c r="B2661" t="str">
        <f>IFERROR(SEARCH(#REF!,Table4[[#This Row],[Commodity Title]],1),"")</f>
        <v/>
      </c>
      <c r="C2661" s="35">
        <v>42281707</v>
      </c>
      <c r="D2661" s="33" t="s">
        <v>1495</v>
      </c>
      <c r="E2661" s="33" t="s">
        <v>1496</v>
      </c>
      <c r="F2661" s="33" t="s">
        <v>1497</v>
      </c>
      <c r="G2661" s="33" t="s">
        <v>6855</v>
      </c>
      <c r="H2661" s="33" t="s">
        <v>6856</v>
      </c>
      <c r="I2661" s="33" t="s">
        <v>6857</v>
      </c>
      <c r="J2661" s="33">
        <v>116106</v>
      </c>
      <c r="K2661" s="33" t="s">
        <v>6935</v>
      </c>
      <c r="L2661" s="33" t="s">
        <v>6936</v>
      </c>
      <c r="M2661" s="33" t="s">
        <v>6937</v>
      </c>
      <c r="N2661" s="44">
        <v>42281707</v>
      </c>
      <c r="O2661" s="33" t="s">
        <v>6946</v>
      </c>
      <c r="P2661" s="33" t="s">
        <v>6947</v>
      </c>
      <c r="Q2661" s="34" t="s">
        <v>1494</v>
      </c>
      <c r="R2661" s="34" t="s">
        <v>1494</v>
      </c>
    </row>
    <row r="2662" spans="1:18" ht="15" customHeight="1" x14ac:dyDescent="0.25">
      <c r="A2662" t="str">
        <f>IFERROR(RANK(B2662,$B:$B,1)+COUNTIF($B$1:B2661,B2662),"")</f>
        <v/>
      </c>
      <c r="B2662" t="str">
        <f>IFERROR(SEARCH(#REF!,Table4[[#This Row],[Commodity Title]],1),"")</f>
        <v/>
      </c>
      <c r="C2662" s="35">
        <v>42281708</v>
      </c>
      <c r="D2662" s="33" t="s">
        <v>1495</v>
      </c>
      <c r="E2662" s="33" t="s">
        <v>1496</v>
      </c>
      <c r="F2662" s="33" t="s">
        <v>1497</v>
      </c>
      <c r="G2662" s="33" t="s">
        <v>6855</v>
      </c>
      <c r="H2662" s="33" t="s">
        <v>6856</v>
      </c>
      <c r="I2662" s="33" t="s">
        <v>6857</v>
      </c>
      <c r="J2662" s="33">
        <v>116107</v>
      </c>
      <c r="K2662" s="33" t="s">
        <v>6935</v>
      </c>
      <c r="L2662" s="33" t="s">
        <v>6936</v>
      </c>
      <c r="M2662" s="33" t="s">
        <v>6937</v>
      </c>
      <c r="N2662" s="44">
        <v>42281708</v>
      </c>
      <c r="O2662" s="33" t="s">
        <v>6948</v>
      </c>
      <c r="P2662" s="33" t="s">
        <v>6949</v>
      </c>
      <c r="Q2662" s="34" t="s">
        <v>1494</v>
      </c>
      <c r="R2662" s="34" t="s">
        <v>1494</v>
      </c>
    </row>
    <row r="2663" spans="1:18" ht="15" customHeight="1" x14ac:dyDescent="0.25">
      <c r="A2663" t="str">
        <f>IFERROR(RANK(B2663,$B:$B,1)+COUNTIF($B$1:B2662,B2663),"")</f>
        <v/>
      </c>
      <c r="B2663" t="str">
        <f>IFERROR(SEARCH(#REF!,Table4[[#This Row],[Commodity Title]],1),"")</f>
        <v/>
      </c>
      <c r="C2663" s="35">
        <v>42281709</v>
      </c>
      <c r="D2663" s="33" t="s">
        <v>1495</v>
      </c>
      <c r="E2663" s="33" t="s">
        <v>1496</v>
      </c>
      <c r="F2663" s="33" t="s">
        <v>1497</v>
      </c>
      <c r="G2663" s="33" t="s">
        <v>6855</v>
      </c>
      <c r="H2663" s="33" t="s">
        <v>6856</v>
      </c>
      <c r="I2663" s="33" t="s">
        <v>6857</v>
      </c>
      <c r="J2663" s="33">
        <v>116108</v>
      </c>
      <c r="K2663" s="33" t="s">
        <v>6935</v>
      </c>
      <c r="L2663" s="33" t="s">
        <v>6936</v>
      </c>
      <c r="M2663" s="33" t="s">
        <v>6937</v>
      </c>
      <c r="N2663" s="44">
        <v>42281709</v>
      </c>
      <c r="O2663" s="33" t="s">
        <v>6950</v>
      </c>
      <c r="P2663" s="33" t="s">
        <v>6951</v>
      </c>
      <c r="Q2663" s="34" t="s">
        <v>1494</v>
      </c>
      <c r="R2663" s="34" t="s">
        <v>1494</v>
      </c>
    </row>
    <row r="2664" spans="1:18" ht="15" customHeight="1" x14ac:dyDescent="0.25">
      <c r="A2664" t="str">
        <f>IFERROR(RANK(B2664,$B:$B,1)+COUNTIF($B$1:B2663,B2664),"")</f>
        <v/>
      </c>
      <c r="B2664" t="str">
        <f>IFERROR(SEARCH(#REF!,Table4[[#This Row],[Commodity Title]],1),"")</f>
        <v/>
      </c>
      <c r="C2664" s="35">
        <v>42281710</v>
      </c>
      <c r="D2664" s="33" t="s">
        <v>1495</v>
      </c>
      <c r="E2664" s="33" t="s">
        <v>1496</v>
      </c>
      <c r="F2664" s="33" t="s">
        <v>1497</v>
      </c>
      <c r="G2664" s="33" t="s">
        <v>6855</v>
      </c>
      <c r="H2664" s="33" t="s">
        <v>6856</v>
      </c>
      <c r="I2664" s="33" t="s">
        <v>6857</v>
      </c>
      <c r="J2664" s="33">
        <v>116109</v>
      </c>
      <c r="K2664" s="33" t="s">
        <v>6935</v>
      </c>
      <c r="L2664" s="33" t="s">
        <v>6936</v>
      </c>
      <c r="M2664" s="33" t="s">
        <v>6937</v>
      </c>
      <c r="N2664" s="44">
        <v>42281710</v>
      </c>
      <c r="O2664" s="33" t="s">
        <v>6952</v>
      </c>
      <c r="P2664" s="33" t="s">
        <v>6953</v>
      </c>
      <c r="Q2664" s="34" t="s">
        <v>1494</v>
      </c>
      <c r="R2664" s="34" t="s">
        <v>1494</v>
      </c>
    </row>
    <row r="2665" spans="1:18" ht="15" customHeight="1" x14ac:dyDescent="0.25">
      <c r="A2665" t="str">
        <f>IFERROR(RANK(B2665,$B:$B,1)+COUNTIF($B$1:B2664,B2665),"")</f>
        <v/>
      </c>
      <c r="B2665" t="str">
        <f>IFERROR(SEARCH(#REF!,Table4[[#This Row],[Commodity Title]],1),"")</f>
        <v/>
      </c>
      <c r="C2665" s="35">
        <v>42281711</v>
      </c>
      <c r="D2665" s="33" t="s">
        <v>1495</v>
      </c>
      <c r="E2665" s="33" t="s">
        <v>1496</v>
      </c>
      <c r="F2665" s="33" t="s">
        <v>1497</v>
      </c>
      <c r="G2665" s="33" t="s">
        <v>6855</v>
      </c>
      <c r="H2665" s="33" t="s">
        <v>6856</v>
      </c>
      <c r="I2665" s="33" t="s">
        <v>6857</v>
      </c>
      <c r="J2665" s="33">
        <v>116110</v>
      </c>
      <c r="K2665" s="33" t="s">
        <v>6935</v>
      </c>
      <c r="L2665" s="33" t="s">
        <v>6936</v>
      </c>
      <c r="M2665" s="33" t="s">
        <v>6937</v>
      </c>
      <c r="N2665" s="44">
        <v>42281711</v>
      </c>
      <c r="O2665" s="33" t="s">
        <v>6954</v>
      </c>
      <c r="P2665" s="33" t="s">
        <v>6955</v>
      </c>
      <c r="Q2665" s="34" t="s">
        <v>1494</v>
      </c>
      <c r="R2665" s="34" t="s">
        <v>1494</v>
      </c>
    </row>
    <row r="2666" spans="1:18" ht="15" customHeight="1" x14ac:dyDescent="0.25">
      <c r="A2666" t="str">
        <f>IFERROR(RANK(B2666,$B:$B,1)+COUNTIF($B$1:B2665,B2666),"")</f>
        <v/>
      </c>
      <c r="B2666" t="str">
        <f>IFERROR(SEARCH(#REF!,Table4[[#This Row],[Commodity Title]],1),"")</f>
        <v/>
      </c>
      <c r="C2666" s="35">
        <v>42281713</v>
      </c>
      <c r="D2666" s="33" t="s">
        <v>1495</v>
      </c>
      <c r="E2666" s="33" t="s">
        <v>1496</v>
      </c>
      <c r="F2666" s="33" t="s">
        <v>1497</v>
      </c>
      <c r="G2666" s="33" t="s">
        <v>6855</v>
      </c>
      <c r="H2666" s="33" t="s">
        <v>6856</v>
      </c>
      <c r="I2666" s="33" t="s">
        <v>6857</v>
      </c>
      <c r="J2666" s="33">
        <v>142736</v>
      </c>
      <c r="K2666" s="33" t="s">
        <v>6935</v>
      </c>
      <c r="L2666" s="33" t="s">
        <v>6936</v>
      </c>
      <c r="M2666" s="33" t="s">
        <v>6937</v>
      </c>
      <c r="N2666" s="44">
        <v>42281713</v>
      </c>
      <c r="O2666" s="33" t="s">
        <v>6956</v>
      </c>
      <c r="P2666" s="33" t="s">
        <v>6957</v>
      </c>
      <c r="Q2666" s="34" t="s">
        <v>1494</v>
      </c>
      <c r="R2666" s="34" t="s">
        <v>1494</v>
      </c>
    </row>
    <row r="2667" spans="1:18" ht="15" customHeight="1" x14ac:dyDescent="0.25">
      <c r="A2667" t="str">
        <f>IFERROR(RANK(B2667,$B:$B,1)+COUNTIF($B$1:B2666,B2667),"")</f>
        <v/>
      </c>
      <c r="B2667" t="str">
        <f>IFERROR(SEARCH(#REF!,Table4[[#This Row],[Commodity Title]],1),"")</f>
        <v/>
      </c>
      <c r="C2667" s="35">
        <v>42281714</v>
      </c>
      <c r="D2667" s="33" t="s">
        <v>1495</v>
      </c>
      <c r="E2667" s="33" t="s">
        <v>1496</v>
      </c>
      <c r="F2667" s="33" t="s">
        <v>1497</v>
      </c>
      <c r="G2667" s="33" t="s">
        <v>6855</v>
      </c>
      <c r="H2667" s="33" t="s">
        <v>6856</v>
      </c>
      <c r="I2667" s="33" t="s">
        <v>6857</v>
      </c>
      <c r="J2667" s="33">
        <v>203081</v>
      </c>
      <c r="K2667" s="33" t="s">
        <v>6935</v>
      </c>
      <c r="L2667" s="33" t="s">
        <v>6936</v>
      </c>
      <c r="M2667" s="33" t="s">
        <v>6937</v>
      </c>
      <c r="N2667" s="44">
        <v>42281714</v>
      </c>
      <c r="O2667" s="33" t="s">
        <v>6958</v>
      </c>
      <c r="P2667" s="33" t="s">
        <v>6959</v>
      </c>
      <c r="Q2667" s="34" t="s">
        <v>1494</v>
      </c>
      <c r="R2667" s="34" t="s">
        <v>1494</v>
      </c>
    </row>
    <row r="2668" spans="1:18" ht="15" customHeight="1" x14ac:dyDescent="0.25">
      <c r="A2668" t="str">
        <f>IFERROR(RANK(B2668,$B:$B,1)+COUNTIF($B$1:B2667,B2668),"")</f>
        <v/>
      </c>
      <c r="B2668" t="str">
        <f>IFERROR(SEARCH(#REF!,Table4[[#This Row],[Commodity Title]],1),"")</f>
        <v/>
      </c>
      <c r="C2668" s="33" t="s">
        <v>1494</v>
      </c>
      <c r="D2668" s="33" t="s">
        <v>1495</v>
      </c>
      <c r="E2668" s="33" t="s">
        <v>1496</v>
      </c>
      <c r="F2668" s="33" t="s">
        <v>1497</v>
      </c>
      <c r="G2668" s="33" t="s">
        <v>6855</v>
      </c>
      <c r="H2668" s="33" t="s">
        <v>6856</v>
      </c>
      <c r="I2668" s="33" t="s">
        <v>6857</v>
      </c>
      <c r="J2668" s="33">
        <v>116112</v>
      </c>
      <c r="K2668" s="33" t="s">
        <v>6960</v>
      </c>
      <c r="L2668" s="33" t="s">
        <v>6961</v>
      </c>
      <c r="M2668" s="33" t="s">
        <v>6962</v>
      </c>
      <c r="N2668" s="44" t="s">
        <v>1494</v>
      </c>
      <c r="O2668" s="33" t="s">
        <v>1494</v>
      </c>
      <c r="P2668" s="33" t="s">
        <v>1494</v>
      </c>
      <c r="Q2668" s="34" t="s">
        <v>1494</v>
      </c>
      <c r="R2668" s="34" t="s">
        <v>1494</v>
      </c>
    </row>
    <row r="2669" spans="1:18" ht="15" customHeight="1" x14ac:dyDescent="0.25">
      <c r="A2669" t="str">
        <f>IFERROR(RANK(B2669,$B:$B,1)+COUNTIF($B$1:B2668,B2669),"")</f>
        <v/>
      </c>
      <c r="B2669" t="str">
        <f>IFERROR(SEARCH(#REF!,Table4[[#This Row],[Commodity Title]],1),"")</f>
        <v/>
      </c>
      <c r="C2669" s="35">
        <v>42281801</v>
      </c>
      <c r="D2669" s="33" t="s">
        <v>1495</v>
      </c>
      <c r="E2669" s="33" t="s">
        <v>1496</v>
      </c>
      <c r="F2669" s="33" t="s">
        <v>1497</v>
      </c>
      <c r="G2669" s="33" t="s">
        <v>6855</v>
      </c>
      <c r="H2669" s="33" t="s">
        <v>6856</v>
      </c>
      <c r="I2669" s="33" t="s">
        <v>6857</v>
      </c>
      <c r="J2669" s="33">
        <v>116113</v>
      </c>
      <c r="K2669" s="33" t="s">
        <v>6960</v>
      </c>
      <c r="L2669" s="33" t="s">
        <v>6961</v>
      </c>
      <c r="M2669" s="33" t="s">
        <v>6962</v>
      </c>
      <c r="N2669" s="44">
        <v>42281801</v>
      </c>
      <c r="O2669" s="33" t="s">
        <v>6963</v>
      </c>
      <c r="P2669" s="33" t="s">
        <v>6964</v>
      </c>
      <c r="Q2669" s="34" t="s">
        <v>1494</v>
      </c>
      <c r="R2669" s="34" t="s">
        <v>1494</v>
      </c>
    </row>
    <row r="2670" spans="1:18" ht="15" customHeight="1" x14ac:dyDescent="0.25">
      <c r="A2670" t="str">
        <f>IFERROR(RANK(B2670,$B:$B,1)+COUNTIF($B$1:B2669,B2670),"")</f>
        <v/>
      </c>
      <c r="B2670" t="str">
        <f>IFERROR(SEARCH(#REF!,Table4[[#This Row],[Commodity Title]],1),"")</f>
        <v/>
      </c>
      <c r="C2670" s="35">
        <v>42281802</v>
      </c>
      <c r="D2670" s="33" t="s">
        <v>1495</v>
      </c>
      <c r="E2670" s="33" t="s">
        <v>1496</v>
      </c>
      <c r="F2670" s="33" t="s">
        <v>1497</v>
      </c>
      <c r="G2670" s="33" t="s">
        <v>6855</v>
      </c>
      <c r="H2670" s="33" t="s">
        <v>6856</v>
      </c>
      <c r="I2670" s="33" t="s">
        <v>6857</v>
      </c>
      <c r="J2670" s="33">
        <v>116114</v>
      </c>
      <c r="K2670" s="33" t="s">
        <v>6960</v>
      </c>
      <c r="L2670" s="33" t="s">
        <v>6961</v>
      </c>
      <c r="M2670" s="33" t="s">
        <v>6962</v>
      </c>
      <c r="N2670" s="44">
        <v>42281802</v>
      </c>
      <c r="O2670" s="33" t="s">
        <v>6965</v>
      </c>
      <c r="P2670" s="33" t="s">
        <v>6966</v>
      </c>
      <c r="Q2670" s="34" t="s">
        <v>1494</v>
      </c>
      <c r="R2670" s="34" t="s">
        <v>1494</v>
      </c>
    </row>
    <row r="2671" spans="1:18" ht="15" customHeight="1" x14ac:dyDescent="0.25">
      <c r="A2671" t="str">
        <f>IFERROR(RANK(B2671,$B:$B,1)+COUNTIF($B$1:B2670,B2671),"")</f>
        <v/>
      </c>
      <c r="B2671" t="str">
        <f>IFERROR(SEARCH(#REF!,Table4[[#This Row],[Commodity Title]],1),"")</f>
        <v/>
      </c>
      <c r="C2671" s="35">
        <v>42281803</v>
      </c>
      <c r="D2671" s="33" t="s">
        <v>1495</v>
      </c>
      <c r="E2671" s="33" t="s">
        <v>1496</v>
      </c>
      <c r="F2671" s="33" t="s">
        <v>1497</v>
      </c>
      <c r="G2671" s="33" t="s">
        <v>6855</v>
      </c>
      <c r="H2671" s="33" t="s">
        <v>6856</v>
      </c>
      <c r="I2671" s="33" t="s">
        <v>6857</v>
      </c>
      <c r="J2671" s="33">
        <v>116115</v>
      </c>
      <c r="K2671" s="33" t="s">
        <v>6960</v>
      </c>
      <c r="L2671" s="33" t="s">
        <v>6961</v>
      </c>
      <c r="M2671" s="33" t="s">
        <v>6962</v>
      </c>
      <c r="N2671" s="44">
        <v>42281803</v>
      </c>
      <c r="O2671" s="33" t="s">
        <v>6967</v>
      </c>
      <c r="P2671" s="33" t="s">
        <v>6968</v>
      </c>
      <c r="Q2671" s="34" t="s">
        <v>1494</v>
      </c>
      <c r="R2671" s="34" t="s">
        <v>1494</v>
      </c>
    </row>
    <row r="2672" spans="1:18" ht="15" customHeight="1" x14ac:dyDescent="0.25">
      <c r="A2672" t="str">
        <f>IFERROR(RANK(B2672,$B:$B,1)+COUNTIF($B$1:B2671,B2672),"")</f>
        <v/>
      </c>
      <c r="B2672" t="str">
        <f>IFERROR(SEARCH(#REF!,Table4[[#This Row],[Commodity Title]],1),"")</f>
        <v/>
      </c>
      <c r="C2672" s="35">
        <v>42281804</v>
      </c>
      <c r="D2672" s="33" t="s">
        <v>1495</v>
      </c>
      <c r="E2672" s="33" t="s">
        <v>1496</v>
      </c>
      <c r="F2672" s="33" t="s">
        <v>1497</v>
      </c>
      <c r="G2672" s="33" t="s">
        <v>6855</v>
      </c>
      <c r="H2672" s="33" t="s">
        <v>6856</v>
      </c>
      <c r="I2672" s="33" t="s">
        <v>6857</v>
      </c>
      <c r="J2672" s="33">
        <v>116116</v>
      </c>
      <c r="K2672" s="33" t="s">
        <v>6960</v>
      </c>
      <c r="L2672" s="33" t="s">
        <v>6961</v>
      </c>
      <c r="M2672" s="33" t="s">
        <v>6962</v>
      </c>
      <c r="N2672" s="44">
        <v>42281804</v>
      </c>
      <c r="O2672" s="33" t="s">
        <v>6969</v>
      </c>
      <c r="P2672" s="33" t="s">
        <v>6970</v>
      </c>
      <c r="Q2672" s="34" t="s">
        <v>1494</v>
      </c>
      <c r="R2672" s="34" t="s">
        <v>1494</v>
      </c>
    </row>
    <row r="2673" spans="1:18" ht="15" customHeight="1" x14ac:dyDescent="0.25">
      <c r="A2673" t="str">
        <f>IFERROR(RANK(B2673,$B:$B,1)+COUNTIF($B$1:B2672,B2673),"")</f>
        <v/>
      </c>
      <c r="B2673" t="str">
        <f>IFERROR(SEARCH(#REF!,Table4[[#This Row],[Commodity Title]],1),"")</f>
        <v/>
      </c>
      <c r="C2673" s="35">
        <v>42281805</v>
      </c>
      <c r="D2673" s="33" t="s">
        <v>1495</v>
      </c>
      <c r="E2673" s="33" t="s">
        <v>1496</v>
      </c>
      <c r="F2673" s="33" t="s">
        <v>1497</v>
      </c>
      <c r="G2673" s="33" t="s">
        <v>6855</v>
      </c>
      <c r="H2673" s="33" t="s">
        <v>6856</v>
      </c>
      <c r="I2673" s="33" t="s">
        <v>6857</v>
      </c>
      <c r="J2673" s="33">
        <v>116117</v>
      </c>
      <c r="K2673" s="33" t="s">
        <v>6960</v>
      </c>
      <c r="L2673" s="33" t="s">
        <v>6961</v>
      </c>
      <c r="M2673" s="33" t="s">
        <v>6962</v>
      </c>
      <c r="N2673" s="44">
        <v>42281805</v>
      </c>
      <c r="O2673" s="33" t="s">
        <v>6971</v>
      </c>
      <c r="P2673" s="33" t="s">
        <v>6972</v>
      </c>
      <c r="Q2673" s="34" t="s">
        <v>1494</v>
      </c>
      <c r="R2673" s="34" t="s">
        <v>1494</v>
      </c>
    </row>
    <row r="2674" spans="1:18" ht="15" customHeight="1" x14ac:dyDescent="0.25">
      <c r="A2674" t="str">
        <f>IFERROR(RANK(B2674,$B:$B,1)+COUNTIF($B$1:B2673,B2674),"")</f>
        <v/>
      </c>
      <c r="B2674" t="str">
        <f>IFERROR(SEARCH(#REF!,Table4[[#This Row],[Commodity Title]],1),"")</f>
        <v/>
      </c>
      <c r="C2674" s="35">
        <v>42281806</v>
      </c>
      <c r="D2674" s="33" t="s">
        <v>1495</v>
      </c>
      <c r="E2674" s="33" t="s">
        <v>1496</v>
      </c>
      <c r="F2674" s="33" t="s">
        <v>1497</v>
      </c>
      <c r="G2674" s="33" t="s">
        <v>6855</v>
      </c>
      <c r="H2674" s="33" t="s">
        <v>6856</v>
      </c>
      <c r="I2674" s="33" t="s">
        <v>6857</v>
      </c>
      <c r="J2674" s="33">
        <v>116118</v>
      </c>
      <c r="K2674" s="33" t="s">
        <v>6960</v>
      </c>
      <c r="L2674" s="33" t="s">
        <v>6961</v>
      </c>
      <c r="M2674" s="33" t="s">
        <v>6962</v>
      </c>
      <c r="N2674" s="44">
        <v>42281806</v>
      </c>
      <c r="O2674" s="33" t="s">
        <v>6973</v>
      </c>
      <c r="P2674" s="33" t="s">
        <v>6974</v>
      </c>
      <c r="Q2674" s="34" t="s">
        <v>1494</v>
      </c>
      <c r="R2674" s="34" t="s">
        <v>1494</v>
      </c>
    </row>
    <row r="2675" spans="1:18" ht="15" customHeight="1" x14ac:dyDescent="0.25">
      <c r="A2675" t="str">
        <f>IFERROR(RANK(B2675,$B:$B,1)+COUNTIF($B$1:B2674,B2675),"")</f>
        <v/>
      </c>
      <c r="B2675" t="str">
        <f>IFERROR(SEARCH(#REF!,Table4[[#This Row],[Commodity Title]],1),"")</f>
        <v/>
      </c>
      <c r="C2675" s="35">
        <v>42281807</v>
      </c>
      <c r="D2675" s="33" t="s">
        <v>1495</v>
      </c>
      <c r="E2675" s="33" t="s">
        <v>1496</v>
      </c>
      <c r="F2675" s="33" t="s">
        <v>1497</v>
      </c>
      <c r="G2675" s="33" t="s">
        <v>6855</v>
      </c>
      <c r="H2675" s="33" t="s">
        <v>6856</v>
      </c>
      <c r="I2675" s="33" t="s">
        <v>6857</v>
      </c>
      <c r="J2675" s="33">
        <v>116119</v>
      </c>
      <c r="K2675" s="33" t="s">
        <v>6960</v>
      </c>
      <c r="L2675" s="33" t="s">
        <v>6961</v>
      </c>
      <c r="M2675" s="33" t="s">
        <v>6962</v>
      </c>
      <c r="N2675" s="44">
        <v>42281807</v>
      </c>
      <c r="O2675" s="33" t="s">
        <v>6975</v>
      </c>
      <c r="P2675" s="33" t="s">
        <v>6976</v>
      </c>
      <c r="Q2675" s="34" t="s">
        <v>1494</v>
      </c>
      <c r="R2675" s="34" t="s">
        <v>1494</v>
      </c>
    </row>
    <row r="2676" spans="1:18" ht="15" customHeight="1" x14ac:dyDescent="0.25">
      <c r="A2676" t="str">
        <f>IFERROR(RANK(B2676,$B:$B,1)+COUNTIF($B$1:B2675,B2676),"")</f>
        <v/>
      </c>
      <c r="B2676" t="str">
        <f>IFERROR(SEARCH(#REF!,Table4[[#This Row],[Commodity Title]],1),"")</f>
        <v/>
      </c>
      <c r="C2676" s="35">
        <v>42281808</v>
      </c>
      <c r="D2676" s="33" t="s">
        <v>1495</v>
      </c>
      <c r="E2676" s="33" t="s">
        <v>1496</v>
      </c>
      <c r="F2676" s="33" t="s">
        <v>1497</v>
      </c>
      <c r="G2676" s="33" t="s">
        <v>6855</v>
      </c>
      <c r="H2676" s="33" t="s">
        <v>6856</v>
      </c>
      <c r="I2676" s="33" t="s">
        <v>6857</v>
      </c>
      <c r="J2676" s="33">
        <v>142737</v>
      </c>
      <c r="K2676" s="33" t="s">
        <v>6960</v>
      </c>
      <c r="L2676" s="33" t="s">
        <v>6961</v>
      </c>
      <c r="M2676" s="33" t="s">
        <v>6962</v>
      </c>
      <c r="N2676" s="44">
        <v>42281808</v>
      </c>
      <c r="O2676" s="33" t="s">
        <v>6977</v>
      </c>
      <c r="P2676" s="33" t="s">
        <v>6978</v>
      </c>
      <c r="Q2676" s="34" t="s">
        <v>1494</v>
      </c>
      <c r="R2676" s="34" t="s">
        <v>1494</v>
      </c>
    </row>
    <row r="2677" spans="1:18" ht="15" customHeight="1" x14ac:dyDescent="0.25">
      <c r="A2677" t="str">
        <f>IFERROR(RANK(B2677,$B:$B,1)+COUNTIF($B$1:B2676,B2677),"")</f>
        <v/>
      </c>
      <c r="B2677" t="str">
        <f>IFERROR(SEARCH(#REF!,Table4[[#This Row],[Commodity Title]],1),"")</f>
        <v/>
      </c>
      <c r="C2677" s="35">
        <v>42281809</v>
      </c>
      <c r="D2677" s="33" t="s">
        <v>1495</v>
      </c>
      <c r="E2677" s="33" t="s">
        <v>1496</v>
      </c>
      <c r="F2677" s="33" t="s">
        <v>1497</v>
      </c>
      <c r="G2677" s="33" t="s">
        <v>6855</v>
      </c>
      <c r="H2677" s="33" t="s">
        <v>6856</v>
      </c>
      <c r="I2677" s="33" t="s">
        <v>6857</v>
      </c>
      <c r="J2677" s="33">
        <v>142738</v>
      </c>
      <c r="K2677" s="33" t="s">
        <v>6960</v>
      </c>
      <c r="L2677" s="33" t="s">
        <v>6961</v>
      </c>
      <c r="M2677" s="33" t="s">
        <v>6962</v>
      </c>
      <c r="N2677" s="44">
        <v>42281809</v>
      </c>
      <c r="O2677" s="33" t="s">
        <v>6979</v>
      </c>
      <c r="P2677" s="33" t="s">
        <v>6980</v>
      </c>
      <c r="Q2677" s="34" t="s">
        <v>1494</v>
      </c>
      <c r="R2677" s="34" t="s">
        <v>1494</v>
      </c>
    </row>
    <row r="2678" spans="1:18" ht="15" customHeight="1" x14ac:dyDescent="0.25">
      <c r="A2678" t="str">
        <f>IFERROR(RANK(B2678,$B:$B,1)+COUNTIF($B$1:B2677,B2678),"")</f>
        <v/>
      </c>
      <c r="B2678" t="str">
        <f>IFERROR(SEARCH(#REF!,Table4[[#This Row],[Commodity Title]],1),"")</f>
        <v/>
      </c>
      <c r="C2678" s="35">
        <v>42281810</v>
      </c>
      <c r="D2678" s="33" t="s">
        <v>1495</v>
      </c>
      <c r="E2678" s="33" t="s">
        <v>1496</v>
      </c>
      <c r="F2678" s="33" t="s">
        <v>1497</v>
      </c>
      <c r="G2678" s="33" t="s">
        <v>6855</v>
      </c>
      <c r="H2678" s="33" t="s">
        <v>6856</v>
      </c>
      <c r="I2678" s="33" t="s">
        <v>6857</v>
      </c>
      <c r="J2678" s="33">
        <v>143501</v>
      </c>
      <c r="K2678" s="33" t="s">
        <v>6960</v>
      </c>
      <c r="L2678" s="33" t="s">
        <v>6961</v>
      </c>
      <c r="M2678" s="33" t="s">
        <v>6962</v>
      </c>
      <c r="N2678" s="44">
        <v>42281810</v>
      </c>
      <c r="O2678" s="33" t="s">
        <v>6981</v>
      </c>
      <c r="P2678" s="33" t="s">
        <v>6982</v>
      </c>
      <c r="Q2678" s="34" t="s">
        <v>1494</v>
      </c>
      <c r="R2678" s="34" t="s">
        <v>1494</v>
      </c>
    </row>
    <row r="2679" spans="1:18" ht="15" customHeight="1" x14ac:dyDescent="0.25">
      <c r="A2679" t="str">
        <f>IFERROR(RANK(B2679,$B:$B,1)+COUNTIF($B$1:B2678,B2679),"")</f>
        <v/>
      </c>
      <c r="B2679" t="str">
        <f>IFERROR(SEARCH(#REF!,Table4[[#This Row],[Commodity Title]],1),"")</f>
        <v/>
      </c>
      <c r="C2679" s="35">
        <v>42281811</v>
      </c>
      <c r="D2679" s="33" t="s">
        <v>1495</v>
      </c>
      <c r="E2679" s="33" t="s">
        <v>1496</v>
      </c>
      <c r="F2679" s="33" t="s">
        <v>1497</v>
      </c>
      <c r="G2679" s="33" t="s">
        <v>6855</v>
      </c>
      <c r="H2679" s="33" t="s">
        <v>6856</v>
      </c>
      <c r="I2679" s="33" t="s">
        <v>6857</v>
      </c>
      <c r="J2679" s="33">
        <v>164901</v>
      </c>
      <c r="K2679" s="33" t="s">
        <v>6960</v>
      </c>
      <c r="L2679" s="33" t="s">
        <v>6961</v>
      </c>
      <c r="M2679" s="33" t="s">
        <v>6962</v>
      </c>
      <c r="N2679" s="44">
        <v>42281811</v>
      </c>
      <c r="O2679" s="33" t="s">
        <v>6983</v>
      </c>
      <c r="P2679" s="33" t="s">
        <v>6984</v>
      </c>
      <c r="Q2679" s="34" t="s">
        <v>1494</v>
      </c>
      <c r="R2679" s="34" t="s">
        <v>1494</v>
      </c>
    </row>
    <row r="2680" spans="1:18" ht="15" customHeight="1" x14ac:dyDescent="0.25">
      <c r="A2680" t="str">
        <f>IFERROR(RANK(B2680,$B:$B,1)+COUNTIF($B$1:B2679,B2680),"")</f>
        <v/>
      </c>
      <c r="B2680" t="str">
        <f>IFERROR(SEARCH(#REF!,Table4[[#This Row],[Commodity Title]],1),"")</f>
        <v/>
      </c>
      <c r="C2680" s="35">
        <v>42281812</v>
      </c>
      <c r="D2680" s="33" t="s">
        <v>1495</v>
      </c>
      <c r="E2680" s="33" t="s">
        <v>1496</v>
      </c>
      <c r="F2680" s="33" t="s">
        <v>1497</v>
      </c>
      <c r="G2680" s="33" t="s">
        <v>6855</v>
      </c>
      <c r="H2680" s="33" t="s">
        <v>6856</v>
      </c>
      <c r="I2680" s="33" t="s">
        <v>6857</v>
      </c>
      <c r="J2680" s="33">
        <v>203082</v>
      </c>
      <c r="K2680" s="33" t="s">
        <v>6960</v>
      </c>
      <c r="L2680" s="33" t="s">
        <v>6961</v>
      </c>
      <c r="M2680" s="33" t="s">
        <v>6962</v>
      </c>
      <c r="N2680" s="44">
        <v>42281812</v>
      </c>
      <c r="O2680" s="33" t="s">
        <v>6985</v>
      </c>
      <c r="P2680" s="33" t="s">
        <v>6986</v>
      </c>
      <c r="Q2680" s="34" t="s">
        <v>1494</v>
      </c>
      <c r="R2680" s="34" t="s">
        <v>1494</v>
      </c>
    </row>
    <row r="2681" spans="1:18" ht="15" customHeight="1" x14ac:dyDescent="0.25">
      <c r="A2681" t="str">
        <f>IFERROR(RANK(B2681,$B:$B,1)+COUNTIF($B$1:B2680,B2681),"")</f>
        <v/>
      </c>
      <c r="B2681" t="str">
        <f>IFERROR(SEARCH(#REF!,Table4[[#This Row],[Commodity Title]],1),"")</f>
        <v/>
      </c>
      <c r="C2681" s="35">
        <v>42281813</v>
      </c>
      <c r="D2681" s="33" t="s">
        <v>1495</v>
      </c>
      <c r="E2681" s="33" t="s">
        <v>1496</v>
      </c>
      <c r="F2681" s="33" t="s">
        <v>1497</v>
      </c>
      <c r="G2681" s="33" t="s">
        <v>6855</v>
      </c>
      <c r="H2681" s="33" t="s">
        <v>6856</v>
      </c>
      <c r="I2681" s="33" t="s">
        <v>6857</v>
      </c>
      <c r="J2681" s="33">
        <v>208430</v>
      </c>
      <c r="K2681" s="33" t="s">
        <v>6960</v>
      </c>
      <c r="L2681" s="33" t="s">
        <v>6961</v>
      </c>
      <c r="M2681" s="33" t="s">
        <v>6962</v>
      </c>
      <c r="N2681" s="44">
        <v>42281813</v>
      </c>
      <c r="O2681" s="33" t="s">
        <v>6987</v>
      </c>
      <c r="P2681" s="33" t="s">
        <v>6988</v>
      </c>
      <c r="Q2681" s="34" t="s">
        <v>1494</v>
      </c>
      <c r="R2681" s="34" t="s">
        <v>1494</v>
      </c>
    </row>
    <row r="2682" spans="1:18" ht="15" customHeight="1" x14ac:dyDescent="0.25">
      <c r="A2682" t="str">
        <f>IFERROR(RANK(B2682,$B:$B,1)+COUNTIF($B$1:B2681,B2682),"")</f>
        <v/>
      </c>
      <c r="B2682" t="str">
        <f>IFERROR(SEARCH(#REF!,Table4[[#This Row],[Commodity Title]],1),"")</f>
        <v/>
      </c>
      <c r="C2682" s="33" t="s">
        <v>1494</v>
      </c>
      <c r="D2682" s="33" t="s">
        <v>1495</v>
      </c>
      <c r="E2682" s="33" t="s">
        <v>1496</v>
      </c>
      <c r="F2682" s="33" t="s">
        <v>1497</v>
      </c>
      <c r="G2682" s="33" t="s">
        <v>6855</v>
      </c>
      <c r="H2682" s="33" t="s">
        <v>6856</v>
      </c>
      <c r="I2682" s="33" t="s">
        <v>6857</v>
      </c>
      <c r="J2682" s="33">
        <v>116120</v>
      </c>
      <c r="K2682" s="33" t="s">
        <v>6989</v>
      </c>
      <c r="L2682" s="33" t="s">
        <v>6990</v>
      </c>
      <c r="M2682" s="33" t="s">
        <v>6991</v>
      </c>
      <c r="N2682" s="44" t="s">
        <v>1494</v>
      </c>
      <c r="O2682" s="33" t="s">
        <v>1494</v>
      </c>
      <c r="P2682" s="33" t="s">
        <v>1494</v>
      </c>
      <c r="Q2682" s="34" t="s">
        <v>1494</v>
      </c>
      <c r="R2682" s="34" t="s">
        <v>1494</v>
      </c>
    </row>
    <row r="2683" spans="1:18" ht="15" customHeight="1" x14ac:dyDescent="0.25">
      <c r="A2683" t="str">
        <f>IFERROR(RANK(B2683,$B:$B,1)+COUNTIF($B$1:B2682,B2683),"")</f>
        <v/>
      </c>
      <c r="B2683" t="str">
        <f>IFERROR(SEARCH(#REF!,Table4[[#This Row],[Commodity Title]],1),"")</f>
        <v/>
      </c>
      <c r="C2683" s="35">
        <v>42281901</v>
      </c>
      <c r="D2683" s="33" t="s">
        <v>1495</v>
      </c>
      <c r="E2683" s="33" t="s">
        <v>1496</v>
      </c>
      <c r="F2683" s="33" t="s">
        <v>1497</v>
      </c>
      <c r="G2683" s="33" t="s">
        <v>6855</v>
      </c>
      <c r="H2683" s="33" t="s">
        <v>6856</v>
      </c>
      <c r="I2683" s="33" t="s">
        <v>6857</v>
      </c>
      <c r="J2683" s="33">
        <v>116121</v>
      </c>
      <c r="K2683" s="33" t="s">
        <v>6989</v>
      </c>
      <c r="L2683" s="33" t="s">
        <v>6990</v>
      </c>
      <c r="M2683" s="33" t="s">
        <v>6991</v>
      </c>
      <c r="N2683" s="44">
        <v>42281901</v>
      </c>
      <c r="O2683" s="33" t="s">
        <v>6992</v>
      </c>
      <c r="P2683" s="33" t="s">
        <v>6993</v>
      </c>
      <c r="Q2683" s="34" t="s">
        <v>1494</v>
      </c>
      <c r="R2683" s="34" t="s">
        <v>1494</v>
      </c>
    </row>
    <row r="2684" spans="1:18" ht="15" customHeight="1" x14ac:dyDescent="0.25">
      <c r="A2684" t="str">
        <f>IFERROR(RANK(B2684,$B:$B,1)+COUNTIF($B$1:B2683,B2684),"")</f>
        <v/>
      </c>
      <c r="B2684" t="str">
        <f>IFERROR(SEARCH(#REF!,Table4[[#This Row],[Commodity Title]],1),"")</f>
        <v/>
      </c>
      <c r="C2684" s="35">
        <v>42281902</v>
      </c>
      <c r="D2684" s="33" t="s">
        <v>1495</v>
      </c>
      <c r="E2684" s="33" t="s">
        <v>1496</v>
      </c>
      <c r="F2684" s="33" t="s">
        <v>1497</v>
      </c>
      <c r="G2684" s="33" t="s">
        <v>6855</v>
      </c>
      <c r="H2684" s="33" t="s">
        <v>6856</v>
      </c>
      <c r="I2684" s="33" t="s">
        <v>6857</v>
      </c>
      <c r="J2684" s="33">
        <v>116122</v>
      </c>
      <c r="K2684" s="33" t="s">
        <v>6989</v>
      </c>
      <c r="L2684" s="33" t="s">
        <v>6990</v>
      </c>
      <c r="M2684" s="33" t="s">
        <v>6991</v>
      </c>
      <c r="N2684" s="44">
        <v>42281902</v>
      </c>
      <c r="O2684" s="33" t="s">
        <v>6994</v>
      </c>
      <c r="P2684" s="33" t="s">
        <v>6995</v>
      </c>
      <c r="Q2684" s="34" t="s">
        <v>1494</v>
      </c>
      <c r="R2684" s="34" t="s">
        <v>1494</v>
      </c>
    </row>
    <row r="2685" spans="1:18" ht="15" customHeight="1" x14ac:dyDescent="0.25">
      <c r="A2685" t="str">
        <f>IFERROR(RANK(B2685,$B:$B,1)+COUNTIF($B$1:B2684,B2685),"")</f>
        <v/>
      </c>
      <c r="B2685" t="str">
        <f>IFERROR(SEARCH(#REF!,Table4[[#This Row],[Commodity Title]],1),"")</f>
        <v/>
      </c>
      <c r="C2685" s="35">
        <v>42281903</v>
      </c>
      <c r="D2685" s="33" t="s">
        <v>1495</v>
      </c>
      <c r="E2685" s="33" t="s">
        <v>1496</v>
      </c>
      <c r="F2685" s="33" t="s">
        <v>1497</v>
      </c>
      <c r="G2685" s="33" t="s">
        <v>6855</v>
      </c>
      <c r="H2685" s="33" t="s">
        <v>6856</v>
      </c>
      <c r="I2685" s="33" t="s">
        <v>6857</v>
      </c>
      <c r="J2685" s="33">
        <v>116123</v>
      </c>
      <c r="K2685" s="33" t="s">
        <v>6989</v>
      </c>
      <c r="L2685" s="33" t="s">
        <v>6990</v>
      </c>
      <c r="M2685" s="33" t="s">
        <v>6991</v>
      </c>
      <c r="N2685" s="44">
        <v>42281903</v>
      </c>
      <c r="O2685" s="33" t="s">
        <v>6996</v>
      </c>
      <c r="P2685" s="33" t="s">
        <v>6997</v>
      </c>
      <c r="Q2685" s="34" t="s">
        <v>1494</v>
      </c>
      <c r="R2685" s="34" t="s">
        <v>1494</v>
      </c>
    </row>
    <row r="2686" spans="1:18" ht="15" customHeight="1" x14ac:dyDescent="0.25">
      <c r="A2686" t="str">
        <f>IFERROR(RANK(B2686,$B:$B,1)+COUNTIF($B$1:B2685,B2686),"")</f>
        <v/>
      </c>
      <c r="B2686" t="str">
        <f>IFERROR(SEARCH(#REF!,Table4[[#This Row],[Commodity Title]],1),"")</f>
        <v/>
      </c>
      <c r="C2686" s="35">
        <v>42281904</v>
      </c>
      <c r="D2686" s="33" t="s">
        <v>1495</v>
      </c>
      <c r="E2686" s="33" t="s">
        <v>1496</v>
      </c>
      <c r="F2686" s="33" t="s">
        <v>1497</v>
      </c>
      <c r="G2686" s="33" t="s">
        <v>6855</v>
      </c>
      <c r="H2686" s="33" t="s">
        <v>6856</v>
      </c>
      <c r="I2686" s="33" t="s">
        <v>6857</v>
      </c>
      <c r="J2686" s="33">
        <v>116124</v>
      </c>
      <c r="K2686" s="33" t="s">
        <v>6989</v>
      </c>
      <c r="L2686" s="33" t="s">
        <v>6990</v>
      </c>
      <c r="M2686" s="33" t="s">
        <v>6991</v>
      </c>
      <c r="N2686" s="44">
        <v>42281904</v>
      </c>
      <c r="O2686" s="33" t="s">
        <v>6998</v>
      </c>
      <c r="P2686" s="33" t="s">
        <v>6999</v>
      </c>
      <c r="Q2686" s="34" t="s">
        <v>1494</v>
      </c>
      <c r="R2686" s="34" t="s">
        <v>1494</v>
      </c>
    </row>
    <row r="2687" spans="1:18" ht="15" customHeight="1" x14ac:dyDescent="0.25">
      <c r="A2687" t="str">
        <f>IFERROR(RANK(B2687,$B:$B,1)+COUNTIF($B$1:B2686,B2687),"")</f>
        <v/>
      </c>
      <c r="B2687" t="str">
        <f>IFERROR(SEARCH(#REF!,Table4[[#This Row],[Commodity Title]],1),"")</f>
        <v/>
      </c>
      <c r="C2687" s="35">
        <v>42281905</v>
      </c>
      <c r="D2687" s="33" t="s">
        <v>1495</v>
      </c>
      <c r="E2687" s="33" t="s">
        <v>1496</v>
      </c>
      <c r="F2687" s="33" t="s">
        <v>1497</v>
      </c>
      <c r="G2687" s="33" t="s">
        <v>6855</v>
      </c>
      <c r="H2687" s="33" t="s">
        <v>6856</v>
      </c>
      <c r="I2687" s="33" t="s">
        <v>6857</v>
      </c>
      <c r="J2687" s="33">
        <v>116125</v>
      </c>
      <c r="K2687" s="33" t="s">
        <v>6989</v>
      </c>
      <c r="L2687" s="33" t="s">
        <v>6990</v>
      </c>
      <c r="M2687" s="33" t="s">
        <v>6991</v>
      </c>
      <c r="N2687" s="44">
        <v>42281905</v>
      </c>
      <c r="O2687" s="33" t="s">
        <v>7000</v>
      </c>
      <c r="P2687" s="33" t="s">
        <v>7001</v>
      </c>
      <c r="Q2687" s="34" t="s">
        <v>1494</v>
      </c>
      <c r="R2687" s="34" t="s">
        <v>1494</v>
      </c>
    </row>
    <row r="2688" spans="1:18" ht="15" customHeight="1" x14ac:dyDescent="0.25">
      <c r="A2688" t="str">
        <f>IFERROR(RANK(B2688,$B:$B,1)+COUNTIF($B$1:B2687,B2688),"")</f>
        <v/>
      </c>
      <c r="B2688" t="str">
        <f>IFERROR(SEARCH(#REF!,Table4[[#This Row],[Commodity Title]],1),"")</f>
        <v/>
      </c>
      <c r="C2688" s="35">
        <v>42281906</v>
      </c>
      <c r="D2688" s="33" t="s">
        <v>1495</v>
      </c>
      <c r="E2688" s="33" t="s">
        <v>1496</v>
      </c>
      <c r="F2688" s="33" t="s">
        <v>1497</v>
      </c>
      <c r="G2688" s="33" t="s">
        <v>6855</v>
      </c>
      <c r="H2688" s="33" t="s">
        <v>6856</v>
      </c>
      <c r="I2688" s="33" t="s">
        <v>6857</v>
      </c>
      <c r="J2688" s="33">
        <v>116126</v>
      </c>
      <c r="K2688" s="33" t="s">
        <v>6989</v>
      </c>
      <c r="L2688" s="33" t="s">
        <v>6990</v>
      </c>
      <c r="M2688" s="33" t="s">
        <v>6991</v>
      </c>
      <c r="N2688" s="44">
        <v>42281906</v>
      </c>
      <c r="O2688" s="33" t="s">
        <v>7002</v>
      </c>
      <c r="P2688" s="33" t="s">
        <v>7003</v>
      </c>
      <c r="Q2688" s="34" t="s">
        <v>1494</v>
      </c>
      <c r="R2688" s="34" t="s">
        <v>1494</v>
      </c>
    </row>
    <row r="2689" spans="1:18" ht="15" customHeight="1" x14ac:dyDescent="0.25">
      <c r="A2689" t="str">
        <f>IFERROR(RANK(B2689,$B:$B,1)+COUNTIF($B$1:B2688,B2689),"")</f>
        <v/>
      </c>
      <c r="B2689" t="str">
        <f>IFERROR(SEARCH(#REF!,Table4[[#This Row],[Commodity Title]],1),"")</f>
        <v/>
      </c>
      <c r="C2689" s="35">
        <v>42281907</v>
      </c>
      <c r="D2689" s="33" t="s">
        <v>1495</v>
      </c>
      <c r="E2689" s="33" t="s">
        <v>1496</v>
      </c>
      <c r="F2689" s="33" t="s">
        <v>1497</v>
      </c>
      <c r="G2689" s="33" t="s">
        <v>6855</v>
      </c>
      <c r="H2689" s="33" t="s">
        <v>6856</v>
      </c>
      <c r="I2689" s="33" t="s">
        <v>6857</v>
      </c>
      <c r="J2689" s="33">
        <v>116127</v>
      </c>
      <c r="K2689" s="33" t="s">
        <v>6989</v>
      </c>
      <c r="L2689" s="33" t="s">
        <v>6990</v>
      </c>
      <c r="M2689" s="33" t="s">
        <v>6991</v>
      </c>
      <c r="N2689" s="44">
        <v>42281907</v>
      </c>
      <c r="O2689" s="33" t="s">
        <v>7004</v>
      </c>
      <c r="P2689" s="33" t="s">
        <v>7005</v>
      </c>
      <c r="Q2689" s="34" t="s">
        <v>1494</v>
      </c>
      <c r="R2689" s="34" t="s">
        <v>1494</v>
      </c>
    </row>
    <row r="2690" spans="1:18" ht="15" customHeight="1" x14ac:dyDescent="0.25">
      <c r="A2690" t="str">
        <f>IFERROR(RANK(B2690,$B:$B,1)+COUNTIF($B$1:B2689,B2690),"")</f>
        <v/>
      </c>
      <c r="B2690" t="str">
        <f>IFERROR(SEARCH(#REF!,Table4[[#This Row],[Commodity Title]],1),"")</f>
        <v/>
      </c>
      <c r="C2690" s="35">
        <v>42281908</v>
      </c>
      <c r="D2690" s="33" t="s">
        <v>1495</v>
      </c>
      <c r="E2690" s="33" t="s">
        <v>1496</v>
      </c>
      <c r="F2690" s="33" t="s">
        <v>1497</v>
      </c>
      <c r="G2690" s="33" t="s">
        <v>6855</v>
      </c>
      <c r="H2690" s="33" t="s">
        <v>6856</v>
      </c>
      <c r="I2690" s="33" t="s">
        <v>6857</v>
      </c>
      <c r="J2690" s="33">
        <v>116128</v>
      </c>
      <c r="K2690" s="33" t="s">
        <v>6989</v>
      </c>
      <c r="L2690" s="33" t="s">
        <v>6990</v>
      </c>
      <c r="M2690" s="33" t="s">
        <v>6991</v>
      </c>
      <c r="N2690" s="44">
        <v>42281908</v>
      </c>
      <c r="O2690" s="33" t="s">
        <v>7006</v>
      </c>
      <c r="P2690" s="33" t="s">
        <v>7007</v>
      </c>
      <c r="Q2690" s="34" t="s">
        <v>1494</v>
      </c>
      <c r="R2690" s="34" t="s">
        <v>1494</v>
      </c>
    </row>
    <row r="2691" spans="1:18" ht="15" customHeight="1" x14ac:dyDescent="0.25">
      <c r="A2691" t="str">
        <f>IFERROR(RANK(B2691,$B:$B,1)+COUNTIF($B$1:B2690,B2691),"")</f>
        <v/>
      </c>
      <c r="B2691" t="str">
        <f>IFERROR(SEARCH(#REF!,Table4[[#This Row],[Commodity Title]],1),"")</f>
        <v/>
      </c>
      <c r="C2691" s="35">
        <v>42281909</v>
      </c>
      <c r="D2691" s="33" t="s">
        <v>1495</v>
      </c>
      <c r="E2691" s="33" t="s">
        <v>1496</v>
      </c>
      <c r="F2691" s="33" t="s">
        <v>1497</v>
      </c>
      <c r="G2691" s="33" t="s">
        <v>6855</v>
      </c>
      <c r="H2691" s="33" t="s">
        <v>6856</v>
      </c>
      <c r="I2691" s="33" t="s">
        <v>6857</v>
      </c>
      <c r="J2691" s="33">
        <v>116129</v>
      </c>
      <c r="K2691" s="33" t="s">
        <v>6989</v>
      </c>
      <c r="L2691" s="33" t="s">
        <v>6990</v>
      </c>
      <c r="M2691" s="33" t="s">
        <v>6991</v>
      </c>
      <c r="N2691" s="44">
        <v>42281909</v>
      </c>
      <c r="O2691" s="33" t="s">
        <v>7008</v>
      </c>
      <c r="P2691" s="33" t="s">
        <v>7009</v>
      </c>
      <c r="Q2691" s="34" t="s">
        <v>1494</v>
      </c>
      <c r="R2691" s="34" t="s">
        <v>1494</v>
      </c>
    </row>
    <row r="2692" spans="1:18" ht="15" customHeight="1" x14ac:dyDescent="0.25">
      <c r="A2692" t="str">
        <f>IFERROR(RANK(B2692,$B:$B,1)+COUNTIF($B$1:B2691,B2692),"")</f>
        <v/>
      </c>
      <c r="B2692" t="str">
        <f>IFERROR(SEARCH(#REF!,Table4[[#This Row],[Commodity Title]],1),"")</f>
        <v/>
      </c>
      <c r="C2692" s="35">
        <v>42281912</v>
      </c>
      <c r="D2692" s="33" t="s">
        <v>1495</v>
      </c>
      <c r="E2692" s="33" t="s">
        <v>1496</v>
      </c>
      <c r="F2692" s="33" t="s">
        <v>1497</v>
      </c>
      <c r="G2692" s="33" t="s">
        <v>6855</v>
      </c>
      <c r="H2692" s="33" t="s">
        <v>6856</v>
      </c>
      <c r="I2692" s="33" t="s">
        <v>6857</v>
      </c>
      <c r="J2692" s="33">
        <v>116132</v>
      </c>
      <c r="K2692" s="33" t="s">
        <v>6989</v>
      </c>
      <c r="L2692" s="33" t="s">
        <v>6990</v>
      </c>
      <c r="M2692" s="33" t="s">
        <v>6991</v>
      </c>
      <c r="N2692" s="44">
        <v>42281912</v>
      </c>
      <c r="O2692" s="33" t="s">
        <v>7010</v>
      </c>
      <c r="P2692" s="33" t="s">
        <v>7011</v>
      </c>
      <c r="Q2692" s="34" t="s">
        <v>1494</v>
      </c>
      <c r="R2692" s="34" t="s">
        <v>1494</v>
      </c>
    </row>
    <row r="2693" spans="1:18" ht="15" customHeight="1" x14ac:dyDescent="0.25">
      <c r="A2693" t="str">
        <f>IFERROR(RANK(B2693,$B:$B,1)+COUNTIF($B$1:B2692,B2693),"")</f>
        <v/>
      </c>
      <c r="B2693" t="str">
        <f>IFERROR(SEARCH(#REF!,Table4[[#This Row],[Commodity Title]],1),"")</f>
        <v/>
      </c>
      <c r="C2693" s="35">
        <v>42281913</v>
      </c>
      <c r="D2693" s="33" t="s">
        <v>1495</v>
      </c>
      <c r="E2693" s="33" t="s">
        <v>1496</v>
      </c>
      <c r="F2693" s="33" t="s">
        <v>1497</v>
      </c>
      <c r="G2693" s="33" t="s">
        <v>6855</v>
      </c>
      <c r="H2693" s="33" t="s">
        <v>6856</v>
      </c>
      <c r="I2693" s="33" t="s">
        <v>6857</v>
      </c>
      <c r="J2693" s="33">
        <v>116133</v>
      </c>
      <c r="K2693" s="33" t="s">
        <v>6989</v>
      </c>
      <c r="L2693" s="33" t="s">
        <v>6990</v>
      </c>
      <c r="M2693" s="33" t="s">
        <v>6991</v>
      </c>
      <c r="N2693" s="44">
        <v>42281913</v>
      </c>
      <c r="O2693" s="33" t="s">
        <v>7012</v>
      </c>
      <c r="P2693" s="33" t="s">
        <v>7013</v>
      </c>
      <c r="Q2693" s="34" t="s">
        <v>1494</v>
      </c>
      <c r="R2693" s="34" t="s">
        <v>1494</v>
      </c>
    </row>
    <row r="2694" spans="1:18" ht="15" customHeight="1" x14ac:dyDescent="0.25">
      <c r="A2694" t="str">
        <f>IFERROR(RANK(B2694,$B:$B,1)+COUNTIF($B$1:B2693,B2694),"")</f>
        <v/>
      </c>
      <c r="B2694" t="str">
        <f>IFERROR(SEARCH(#REF!,Table4[[#This Row],[Commodity Title]],1),"")</f>
        <v/>
      </c>
      <c r="C2694" s="35">
        <v>42281914</v>
      </c>
      <c r="D2694" s="33" t="s">
        <v>1495</v>
      </c>
      <c r="E2694" s="33" t="s">
        <v>1496</v>
      </c>
      <c r="F2694" s="33" t="s">
        <v>1497</v>
      </c>
      <c r="G2694" s="33" t="s">
        <v>6855</v>
      </c>
      <c r="H2694" s="33" t="s">
        <v>6856</v>
      </c>
      <c r="I2694" s="33" t="s">
        <v>6857</v>
      </c>
      <c r="J2694" s="33">
        <v>142739</v>
      </c>
      <c r="K2694" s="33" t="s">
        <v>6989</v>
      </c>
      <c r="L2694" s="33" t="s">
        <v>6990</v>
      </c>
      <c r="M2694" s="33" t="s">
        <v>6991</v>
      </c>
      <c r="N2694" s="44">
        <v>42281914</v>
      </c>
      <c r="O2694" s="33" t="s">
        <v>7014</v>
      </c>
      <c r="P2694" s="33" t="s">
        <v>7015</v>
      </c>
      <c r="Q2694" s="34" t="s">
        <v>1494</v>
      </c>
      <c r="R2694" s="34" t="s">
        <v>1494</v>
      </c>
    </row>
    <row r="2695" spans="1:18" ht="15" customHeight="1" x14ac:dyDescent="0.25">
      <c r="A2695" t="str">
        <f>IFERROR(RANK(B2695,$B:$B,1)+COUNTIF($B$1:B2694,B2695),"")</f>
        <v/>
      </c>
      <c r="B2695" t="str">
        <f>IFERROR(SEARCH(#REF!,Table4[[#This Row],[Commodity Title]],1),"")</f>
        <v/>
      </c>
      <c r="C2695" s="35">
        <v>42281915</v>
      </c>
      <c r="D2695" s="33" t="s">
        <v>1495</v>
      </c>
      <c r="E2695" s="33" t="s">
        <v>1496</v>
      </c>
      <c r="F2695" s="33" t="s">
        <v>1497</v>
      </c>
      <c r="G2695" s="33" t="s">
        <v>6855</v>
      </c>
      <c r="H2695" s="33" t="s">
        <v>6856</v>
      </c>
      <c r="I2695" s="33" t="s">
        <v>6857</v>
      </c>
      <c r="J2695" s="33">
        <v>143855</v>
      </c>
      <c r="K2695" s="33" t="s">
        <v>6989</v>
      </c>
      <c r="L2695" s="33" t="s">
        <v>6990</v>
      </c>
      <c r="M2695" s="33" t="s">
        <v>6991</v>
      </c>
      <c r="N2695" s="44">
        <v>42281915</v>
      </c>
      <c r="O2695" s="33" t="s">
        <v>7016</v>
      </c>
      <c r="P2695" s="33" t="s">
        <v>7017</v>
      </c>
      <c r="Q2695" s="34" t="s">
        <v>1494</v>
      </c>
      <c r="R2695" s="34" t="s">
        <v>1494</v>
      </c>
    </row>
    <row r="2696" spans="1:18" ht="15" customHeight="1" x14ac:dyDescent="0.25">
      <c r="A2696" t="str">
        <f>IFERROR(RANK(B2696,$B:$B,1)+COUNTIF($B$1:B2695,B2696),"")</f>
        <v/>
      </c>
      <c r="B2696" t="str">
        <f>IFERROR(SEARCH(#REF!,Table4[[#This Row],[Commodity Title]],1),"")</f>
        <v/>
      </c>
      <c r="C2696" s="35">
        <v>42281916</v>
      </c>
      <c r="D2696" s="33" t="s">
        <v>1495</v>
      </c>
      <c r="E2696" s="33" t="s">
        <v>1496</v>
      </c>
      <c r="F2696" s="33" t="s">
        <v>1497</v>
      </c>
      <c r="G2696" s="33" t="s">
        <v>6855</v>
      </c>
      <c r="H2696" s="33" t="s">
        <v>6856</v>
      </c>
      <c r="I2696" s="33" t="s">
        <v>6857</v>
      </c>
      <c r="J2696" s="33">
        <v>143856</v>
      </c>
      <c r="K2696" s="33" t="s">
        <v>6989</v>
      </c>
      <c r="L2696" s="33" t="s">
        <v>6990</v>
      </c>
      <c r="M2696" s="33" t="s">
        <v>6991</v>
      </c>
      <c r="N2696" s="44">
        <v>42281916</v>
      </c>
      <c r="O2696" s="33" t="s">
        <v>7018</v>
      </c>
      <c r="P2696" s="33" t="s">
        <v>7019</v>
      </c>
      <c r="Q2696" s="34" t="s">
        <v>1494</v>
      </c>
      <c r="R2696" s="34" t="s">
        <v>1494</v>
      </c>
    </row>
    <row r="2697" spans="1:18" ht="15" customHeight="1" x14ac:dyDescent="0.25">
      <c r="A2697" t="str">
        <f>IFERROR(RANK(B2697,$B:$B,1)+COUNTIF($B$1:B2696,B2697),"")</f>
        <v/>
      </c>
      <c r="B2697" t="str">
        <f>IFERROR(SEARCH(#REF!,Table4[[#This Row],[Commodity Title]],1),"")</f>
        <v/>
      </c>
      <c r="C2697" s="35">
        <v>42281917</v>
      </c>
      <c r="D2697" s="33" t="s">
        <v>1495</v>
      </c>
      <c r="E2697" s="33" t="s">
        <v>1496</v>
      </c>
      <c r="F2697" s="33" t="s">
        <v>1497</v>
      </c>
      <c r="G2697" s="33" t="s">
        <v>6855</v>
      </c>
      <c r="H2697" s="33" t="s">
        <v>6856</v>
      </c>
      <c r="I2697" s="33" t="s">
        <v>6857</v>
      </c>
      <c r="J2697" s="33">
        <v>203083</v>
      </c>
      <c r="K2697" s="33" t="s">
        <v>6989</v>
      </c>
      <c r="L2697" s="33" t="s">
        <v>6990</v>
      </c>
      <c r="M2697" s="33" t="s">
        <v>6991</v>
      </c>
      <c r="N2697" s="44">
        <v>42281917</v>
      </c>
      <c r="O2697" s="33" t="s">
        <v>7020</v>
      </c>
      <c r="P2697" s="33" t="s">
        <v>7021</v>
      </c>
      <c r="Q2697" s="34" t="s">
        <v>1494</v>
      </c>
      <c r="R2697" s="34" t="s">
        <v>1494</v>
      </c>
    </row>
    <row r="2698" spans="1:18" ht="15" customHeight="1" x14ac:dyDescent="0.25">
      <c r="A2698" t="str">
        <f>IFERROR(RANK(B2698,$B:$B,1)+COUNTIF($B$1:B2697,B2698),"")</f>
        <v/>
      </c>
      <c r="B2698" t="str">
        <f>IFERROR(SEARCH(#REF!,Table4[[#This Row],[Commodity Title]],1),"")</f>
        <v/>
      </c>
      <c r="C2698" s="33" t="s">
        <v>1494</v>
      </c>
      <c r="D2698" s="33" t="s">
        <v>1495</v>
      </c>
      <c r="E2698" s="33" t="s">
        <v>1496</v>
      </c>
      <c r="F2698" s="33" t="s">
        <v>1497</v>
      </c>
      <c r="G2698" s="33" t="s">
        <v>6855</v>
      </c>
      <c r="H2698" s="33" t="s">
        <v>6856</v>
      </c>
      <c r="I2698" s="33" t="s">
        <v>6857</v>
      </c>
      <c r="J2698" s="33">
        <v>116086</v>
      </c>
      <c r="K2698" s="33" t="s">
        <v>7022</v>
      </c>
      <c r="L2698" s="33" t="s">
        <v>7023</v>
      </c>
      <c r="M2698" s="33" t="s">
        <v>7024</v>
      </c>
      <c r="N2698" s="44" t="s">
        <v>1494</v>
      </c>
      <c r="O2698" s="33" t="s">
        <v>1494</v>
      </c>
      <c r="P2698" s="33" t="s">
        <v>1494</v>
      </c>
      <c r="Q2698" s="34" t="s">
        <v>1494</v>
      </c>
      <c r="R2698" s="34" t="s">
        <v>1494</v>
      </c>
    </row>
    <row r="2699" spans="1:18" ht="15" customHeight="1" x14ac:dyDescent="0.25">
      <c r="A2699" t="str">
        <f>IFERROR(RANK(B2699,$B:$B,1)+COUNTIF($B$1:B2698,B2699),"")</f>
        <v/>
      </c>
      <c r="B2699" t="str">
        <f>IFERROR(SEARCH(#REF!,Table4[[#This Row],[Commodity Title]],1),"")</f>
        <v/>
      </c>
      <c r="C2699" s="35">
        <v>42282001</v>
      </c>
      <c r="D2699" s="33" t="s">
        <v>1495</v>
      </c>
      <c r="E2699" s="33" t="s">
        <v>1496</v>
      </c>
      <c r="F2699" s="33" t="s">
        <v>1497</v>
      </c>
      <c r="G2699" s="33" t="s">
        <v>6855</v>
      </c>
      <c r="H2699" s="33" t="s">
        <v>6856</v>
      </c>
      <c r="I2699" s="33" t="s">
        <v>6857</v>
      </c>
      <c r="J2699" s="33">
        <v>203084</v>
      </c>
      <c r="K2699" s="33" t="s">
        <v>7022</v>
      </c>
      <c r="L2699" s="33" t="s">
        <v>7023</v>
      </c>
      <c r="M2699" s="33" t="s">
        <v>7024</v>
      </c>
      <c r="N2699" s="44">
        <v>42282001</v>
      </c>
      <c r="O2699" s="33" t="s">
        <v>7025</v>
      </c>
      <c r="P2699" s="33" t="s">
        <v>7026</v>
      </c>
      <c r="Q2699" s="34" t="s">
        <v>1494</v>
      </c>
      <c r="R2699" s="34" t="s">
        <v>1494</v>
      </c>
    </row>
    <row r="2700" spans="1:18" ht="15" customHeight="1" x14ac:dyDescent="0.25">
      <c r="A2700" t="str">
        <f>IFERROR(RANK(B2700,$B:$B,1)+COUNTIF($B$1:B2699,B2700),"")</f>
        <v/>
      </c>
      <c r="B2700" t="str">
        <f>IFERROR(SEARCH(#REF!,Table4[[#This Row],[Commodity Title]],1),"")</f>
        <v/>
      </c>
      <c r="C2700" s="35">
        <v>42282002</v>
      </c>
      <c r="D2700" s="33" t="s">
        <v>1495</v>
      </c>
      <c r="E2700" s="33" t="s">
        <v>1496</v>
      </c>
      <c r="F2700" s="33" t="s">
        <v>1497</v>
      </c>
      <c r="G2700" s="33" t="s">
        <v>6855</v>
      </c>
      <c r="H2700" s="33" t="s">
        <v>6856</v>
      </c>
      <c r="I2700" s="33" t="s">
        <v>6857</v>
      </c>
      <c r="J2700" s="33">
        <v>116101</v>
      </c>
      <c r="K2700" s="33" t="s">
        <v>7022</v>
      </c>
      <c r="L2700" s="33" t="s">
        <v>7023</v>
      </c>
      <c r="M2700" s="33" t="s">
        <v>7024</v>
      </c>
      <c r="N2700" s="44">
        <v>42282002</v>
      </c>
      <c r="O2700" s="33" t="s">
        <v>7027</v>
      </c>
      <c r="P2700" s="33" t="s">
        <v>7028</v>
      </c>
      <c r="Q2700" s="34" t="s">
        <v>1494</v>
      </c>
      <c r="R2700" s="34" t="s">
        <v>1494</v>
      </c>
    </row>
    <row r="2701" spans="1:18" ht="15" customHeight="1" x14ac:dyDescent="0.25">
      <c r="A2701" t="str">
        <f>IFERROR(RANK(B2701,$B:$B,1)+COUNTIF($B$1:B2700,B2701),"")</f>
        <v/>
      </c>
      <c r="B2701" t="str">
        <f>IFERROR(SEARCH(#REF!,Table4[[#This Row],[Commodity Title]],1),"")</f>
        <v/>
      </c>
      <c r="C2701" s="35">
        <v>42282003</v>
      </c>
      <c r="D2701" s="33" t="s">
        <v>1495</v>
      </c>
      <c r="E2701" s="33" t="s">
        <v>1496</v>
      </c>
      <c r="F2701" s="33" t="s">
        <v>1497</v>
      </c>
      <c r="G2701" s="33" t="s">
        <v>6855</v>
      </c>
      <c r="H2701" s="33" t="s">
        <v>6856</v>
      </c>
      <c r="I2701" s="33" t="s">
        <v>6857</v>
      </c>
      <c r="J2701" s="33">
        <v>203085</v>
      </c>
      <c r="K2701" s="33" t="s">
        <v>7022</v>
      </c>
      <c r="L2701" s="33" t="s">
        <v>7023</v>
      </c>
      <c r="M2701" s="33" t="s">
        <v>7024</v>
      </c>
      <c r="N2701" s="44">
        <v>42282003</v>
      </c>
      <c r="O2701" s="33" t="s">
        <v>7029</v>
      </c>
      <c r="P2701" s="33" t="s">
        <v>7030</v>
      </c>
      <c r="Q2701" s="34" t="s">
        <v>1494</v>
      </c>
      <c r="R2701" s="34" t="s">
        <v>1494</v>
      </c>
    </row>
    <row r="2702" spans="1:18" ht="15" customHeight="1" x14ac:dyDescent="0.25">
      <c r="A2702" t="str">
        <f>IFERROR(RANK(B2702,$B:$B,1)+COUNTIF($B$1:B2701,B2702),"")</f>
        <v/>
      </c>
      <c r="B2702" t="str">
        <f>IFERROR(SEARCH(#REF!,Table4[[#This Row],[Commodity Title]],1),"")</f>
        <v/>
      </c>
      <c r="C2702" s="35">
        <v>42282004</v>
      </c>
      <c r="D2702" s="33" t="s">
        <v>1495</v>
      </c>
      <c r="E2702" s="33" t="s">
        <v>1496</v>
      </c>
      <c r="F2702" s="33" t="s">
        <v>1497</v>
      </c>
      <c r="G2702" s="33" t="s">
        <v>6855</v>
      </c>
      <c r="H2702" s="33" t="s">
        <v>6856</v>
      </c>
      <c r="I2702" s="33" t="s">
        <v>6857</v>
      </c>
      <c r="J2702" s="33">
        <v>203086</v>
      </c>
      <c r="K2702" s="33" t="s">
        <v>7022</v>
      </c>
      <c r="L2702" s="33" t="s">
        <v>7023</v>
      </c>
      <c r="M2702" s="33" t="s">
        <v>7024</v>
      </c>
      <c r="N2702" s="44">
        <v>42282004</v>
      </c>
      <c r="O2702" s="33" t="s">
        <v>7031</v>
      </c>
      <c r="P2702" s="33" t="s">
        <v>7032</v>
      </c>
      <c r="Q2702" s="34" t="s">
        <v>1494</v>
      </c>
      <c r="R2702" s="34" t="s">
        <v>1494</v>
      </c>
    </row>
    <row r="2703" spans="1:18" ht="15" customHeight="1" x14ac:dyDescent="0.25">
      <c r="A2703" t="str">
        <f>IFERROR(RANK(B2703,$B:$B,1)+COUNTIF($B$1:B2702,B2703),"")</f>
        <v/>
      </c>
      <c r="B2703" t="str">
        <f>IFERROR(SEARCH(#REF!,Table4[[#This Row],[Commodity Title]],1),"")</f>
        <v/>
      </c>
      <c r="C2703" s="35">
        <v>42282005</v>
      </c>
      <c r="D2703" s="33" t="s">
        <v>1495</v>
      </c>
      <c r="E2703" s="33" t="s">
        <v>1496</v>
      </c>
      <c r="F2703" s="33" t="s">
        <v>1497</v>
      </c>
      <c r="G2703" s="33" t="s">
        <v>6855</v>
      </c>
      <c r="H2703" s="33" t="s">
        <v>6856</v>
      </c>
      <c r="I2703" s="33" t="s">
        <v>6857</v>
      </c>
      <c r="J2703" s="33">
        <v>203087</v>
      </c>
      <c r="K2703" s="33" t="s">
        <v>7022</v>
      </c>
      <c r="L2703" s="33" t="s">
        <v>7023</v>
      </c>
      <c r="M2703" s="33" t="s">
        <v>7024</v>
      </c>
      <c r="N2703" s="44">
        <v>42282005</v>
      </c>
      <c r="O2703" s="33" t="s">
        <v>7033</v>
      </c>
      <c r="P2703" s="33" t="s">
        <v>7034</v>
      </c>
      <c r="Q2703" s="34" t="s">
        <v>1494</v>
      </c>
      <c r="R2703" s="34" t="s">
        <v>1494</v>
      </c>
    </row>
    <row r="2704" spans="1:18" ht="15" customHeight="1" x14ac:dyDescent="0.25">
      <c r="A2704" t="str">
        <f>IFERROR(RANK(B2704,$B:$B,1)+COUNTIF($B$1:B2703,B2704),"")</f>
        <v/>
      </c>
      <c r="B2704" t="str">
        <f>IFERROR(SEARCH(#REF!,Table4[[#This Row],[Commodity Title]],1),"")</f>
        <v/>
      </c>
      <c r="C2704" s="35">
        <v>42282006</v>
      </c>
      <c r="D2704" s="33" t="s">
        <v>1495</v>
      </c>
      <c r="E2704" s="33" t="s">
        <v>1496</v>
      </c>
      <c r="F2704" s="33" t="s">
        <v>1497</v>
      </c>
      <c r="G2704" s="33" t="s">
        <v>6855</v>
      </c>
      <c r="H2704" s="33" t="s">
        <v>6856</v>
      </c>
      <c r="I2704" s="33" t="s">
        <v>6857</v>
      </c>
      <c r="J2704" s="33">
        <v>203088</v>
      </c>
      <c r="K2704" s="33" t="s">
        <v>7022</v>
      </c>
      <c r="L2704" s="33" t="s">
        <v>7023</v>
      </c>
      <c r="M2704" s="33" t="s">
        <v>7024</v>
      </c>
      <c r="N2704" s="44">
        <v>42282006</v>
      </c>
      <c r="O2704" s="33" t="s">
        <v>7035</v>
      </c>
      <c r="P2704" s="33" t="s">
        <v>7036</v>
      </c>
      <c r="Q2704" s="34" t="s">
        <v>1494</v>
      </c>
      <c r="R2704" s="34" t="s">
        <v>1494</v>
      </c>
    </row>
    <row r="2705" spans="1:18" ht="15" customHeight="1" x14ac:dyDescent="0.25">
      <c r="A2705" t="str">
        <f>IFERROR(RANK(B2705,$B:$B,1)+COUNTIF($B$1:B2704,B2705),"")</f>
        <v/>
      </c>
      <c r="B2705" t="str">
        <f>IFERROR(SEARCH(#REF!,Table4[[#This Row],[Commodity Title]],1),"")</f>
        <v/>
      </c>
      <c r="C2705" s="35">
        <v>42282007</v>
      </c>
      <c r="D2705" s="33" t="s">
        <v>1495</v>
      </c>
      <c r="E2705" s="33" t="s">
        <v>1496</v>
      </c>
      <c r="F2705" s="33" t="s">
        <v>1497</v>
      </c>
      <c r="G2705" s="33" t="s">
        <v>6855</v>
      </c>
      <c r="H2705" s="33" t="s">
        <v>6856</v>
      </c>
      <c r="I2705" s="33" t="s">
        <v>6857</v>
      </c>
      <c r="J2705" s="33">
        <v>203089</v>
      </c>
      <c r="K2705" s="33" t="s">
        <v>7022</v>
      </c>
      <c r="L2705" s="33" t="s">
        <v>7023</v>
      </c>
      <c r="M2705" s="33" t="s">
        <v>7024</v>
      </c>
      <c r="N2705" s="44">
        <v>42282007</v>
      </c>
      <c r="O2705" s="33" t="s">
        <v>7037</v>
      </c>
      <c r="P2705" s="33" t="s">
        <v>7038</v>
      </c>
      <c r="Q2705" s="34" t="s">
        <v>1494</v>
      </c>
      <c r="R2705" s="34" t="s">
        <v>1494</v>
      </c>
    </row>
    <row r="2706" spans="1:18" ht="15" customHeight="1" x14ac:dyDescent="0.25">
      <c r="A2706" t="str">
        <f>IFERROR(RANK(B2706,$B:$B,1)+COUNTIF($B$1:B2705,B2706),"")</f>
        <v/>
      </c>
      <c r="B2706" t="str">
        <f>IFERROR(SEARCH(#REF!,Table4[[#This Row],[Commodity Title]],1),"")</f>
        <v/>
      </c>
      <c r="C2706" s="35">
        <v>42282008</v>
      </c>
      <c r="D2706" s="33" t="s">
        <v>1495</v>
      </c>
      <c r="E2706" s="33" t="s">
        <v>1496</v>
      </c>
      <c r="F2706" s="33" t="s">
        <v>1497</v>
      </c>
      <c r="G2706" s="33" t="s">
        <v>6855</v>
      </c>
      <c r="H2706" s="33" t="s">
        <v>6856</v>
      </c>
      <c r="I2706" s="33" t="s">
        <v>6857</v>
      </c>
      <c r="J2706" s="33">
        <v>203090</v>
      </c>
      <c r="K2706" s="33" t="s">
        <v>7022</v>
      </c>
      <c r="L2706" s="33" t="s">
        <v>7023</v>
      </c>
      <c r="M2706" s="33" t="s">
        <v>7024</v>
      </c>
      <c r="N2706" s="44">
        <v>42282008</v>
      </c>
      <c r="O2706" s="33" t="s">
        <v>7039</v>
      </c>
      <c r="P2706" s="33" t="s">
        <v>7040</v>
      </c>
      <c r="Q2706" s="34" t="s">
        <v>1494</v>
      </c>
      <c r="R2706" s="34" t="s">
        <v>1494</v>
      </c>
    </row>
    <row r="2707" spans="1:18" ht="15" customHeight="1" x14ac:dyDescent="0.25">
      <c r="A2707" t="str">
        <f>IFERROR(RANK(B2707,$B:$B,1)+COUNTIF($B$1:B2706,B2707),"")</f>
        <v/>
      </c>
      <c r="B2707" t="str">
        <f>IFERROR(SEARCH(#REF!,Table4[[#This Row],[Commodity Title]],1),"")</f>
        <v/>
      </c>
      <c r="C2707" s="35">
        <v>42282009</v>
      </c>
      <c r="D2707" s="33" t="s">
        <v>1495</v>
      </c>
      <c r="E2707" s="33" t="s">
        <v>1496</v>
      </c>
      <c r="F2707" s="33" t="s">
        <v>1497</v>
      </c>
      <c r="G2707" s="33" t="s">
        <v>6855</v>
      </c>
      <c r="H2707" s="33" t="s">
        <v>6856</v>
      </c>
      <c r="I2707" s="33" t="s">
        <v>6857</v>
      </c>
      <c r="J2707" s="33">
        <v>203091</v>
      </c>
      <c r="K2707" s="33" t="s">
        <v>7022</v>
      </c>
      <c r="L2707" s="33" t="s">
        <v>7023</v>
      </c>
      <c r="M2707" s="33" t="s">
        <v>7024</v>
      </c>
      <c r="N2707" s="44">
        <v>42282009</v>
      </c>
      <c r="O2707" s="33" t="s">
        <v>7041</v>
      </c>
      <c r="P2707" s="33" t="s">
        <v>7042</v>
      </c>
      <c r="Q2707" s="34" t="s">
        <v>1494</v>
      </c>
      <c r="R2707" s="34" t="s">
        <v>1494</v>
      </c>
    </row>
    <row r="2708" spans="1:18" ht="15" customHeight="1" x14ac:dyDescent="0.25">
      <c r="A2708" t="str">
        <f>IFERROR(RANK(B2708,$B:$B,1)+COUNTIF($B$1:B2707,B2708),"")</f>
        <v/>
      </c>
      <c r="B2708" t="str">
        <f>IFERROR(SEARCH(#REF!,Table4[[#This Row],[Commodity Title]],1),"")</f>
        <v/>
      </c>
      <c r="C2708" s="35">
        <v>42282010</v>
      </c>
      <c r="D2708" s="33" t="s">
        <v>1495</v>
      </c>
      <c r="E2708" s="33" t="s">
        <v>1496</v>
      </c>
      <c r="F2708" s="33" t="s">
        <v>1497</v>
      </c>
      <c r="G2708" s="33" t="s">
        <v>6855</v>
      </c>
      <c r="H2708" s="33" t="s">
        <v>6856</v>
      </c>
      <c r="I2708" s="33" t="s">
        <v>6857</v>
      </c>
      <c r="J2708" s="33">
        <v>116104</v>
      </c>
      <c r="K2708" s="33" t="s">
        <v>7022</v>
      </c>
      <c r="L2708" s="33" t="s">
        <v>7023</v>
      </c>
      <c r="M2708" s="33" t="s">
        <v>7024</v>
      </c>
      <c r="N2708" s="44">
        <v>42282010</v>
      </c>
      <c r="O2708" s="33" t="s">
        <v>7043</v>
      </c>
      <c r="P2708" s="33" t="s">
        <v>7044</v>
      </c>
      <c r="Q2708" s="34" t="s">
        <v>1494</v>
      </c>
      <c r="R2708" s="34" t="s">
        <v>1494</v>
      </c>
    </row>
    <row r="2709" spans="1:18" ht="15" customHeight="1" x14ac:dyDescent="0.25">
      <c r="A2709" t="str">
        <f>IFERROR(RANK(B2709,$B:$B,1)+COUNTIF($B$1:B2708,B2709),"")</f>
        <v/>
      </c>
      <c r="B2709" t="str">
        <f>IFERROR(SEARCH(#REF!,Table4[[#This Row],[Commodity Title]],1),"")</f>
        <v/>
      </c>
      <c r="C2709" s="35">
        <v>42282011</v>
      </c>
      <c r="D2709" s="33" t="s">
        <v>1495</v>
      </c>
      <c r="E2709" s="33" t="s">
        <v>1496</v>
      </c>
      <c r="F2709" s="33" t="s">
        <v>1497</v>
      </c>
      <c r="G2709" s="33" t="s">
        <v>6855</v>
      </c>
      <c r="H2709" s="33" t="s">
        <v>6856</v>
      </c>
      <c r="I2709" s="33" t="s">
        <v>6857</v>
      </c>
      <c r="J2709" s="33">
        <v>203092</v>
      </c>
      <c r="K2709" s="33" t="s">
        <v>7022</v>
      </c>
      <c r="L2709" s="33" t="s">
        <v>7023</v>
      </c>
      <c r="M2709" s="33" t="s">
        <v>7024</v>
      </c>
      <c r="N2709" s="44">
        <v>42282011</v>
      </c>
      <c r="O2709" s="33" t="s">
        <v>7045</v>
      </c>
      <c r="P2709" s="33" t="s">
        <v>7042</v>
      </c>
      <c r="Q2709" s="34" t="s">
        <v>1494</v>
      </c>
      <c r="R2709" s="34" t="s">
        <v>1494</v>
      </c>
    </row>
    <row r="2710" spans="1:18" ht="15" customHeight="1" x14ac:dyDescent="0.25">
      <c r="A2710" t="str">
        <f>IFERROR(RANK(B2710,$B:$B,1)+COUNTIF($B$1:B2709,B2710),"")</f>
        <v/>
      </c>
      <c r="B2710" t="str">
        <f>IFERROR(SEARCH(#REF!,Table4[[#This Row],[Commodity Title]],1),"")</f>
        <v/>
      </c>
      <c r="C2710" s="35">
        <v>42282012</v>
      </c>
      <c r="D2710" s="33" t="s">
        <v>1495</v>
      </c>
      <c r="E2710" s="33" t="s">
        <v>1496</v>
      </c>
      <c r="F2710" s="33" t="s">
        <v>1497</v>
      </c>
      <c r="G2710" s="33" t="s">
        <v>6855</v>
      </c>
      <c r="H2710" s="33" t="s">
        <v>6856</v>
      </c>
      <c r="I2710" s="33" t="s">
        <v>6857</v>
      </c>
      <c r="J2710" s="33">
        <v>203093</v>
      </c>
      <c r="K2710" s="33" t="s">
        <v>7022</v>
      </c>
      <c r="L2710" s="33" t="s">
        <v>7023</v>
      </c>
      <c r="M2710" s="33" t="s">
        <v>7024</v>
      </c>
      <c r="N2710" s="44">
        <v>42282012</v>
      </c>
      <c r="O2710" s="33" t="s">
        <v>7046</v>
      </c>
      <c r="P2710" s="33" t="s">
        <v>7047</v>
      </c>
      <c r="Q2710" s="34" t="s">
        <v>1494</v>
      </c>
      <c r="R2710" s="34" t="s">
        <v>1494</v>
      </c>
    </row>
    <row r="2711" spans="1:18" ht="15" customHeight="1" x14ac:dyDescent="0.25">
      <c r="A2711" t="str">
        <f>IFERROR(RANK(B2711,$B:$B,1)+COUNTIF($B$1:B2710,B2711),"")</f>
        <v/>
      </c>
      <c r="B2711" t="str">
        <f>IFERROR(SEARCH(#REF!,Table4[[#This Row],[Commodity Title]],1),"")</f>
        <v/>
      </c>
      <c r="C2711" s="35">
        <v>42282013</v>
      </c>
      <c r="D2711" s="33" t="s">
        <v>1495</v>
      </c>
      <c r="E2711" s="33" t="s">
        <v>1496</v>
      </c>
      <c r="F2711" s="33" t="s">
        <v>1497</v>
      </c>
      <c r="G2711" s="33" t="s">
        <v>6855</v>
      </c>
      <c r="H2711" s="33" t="s">
        <v>6856</v>
      </c>
      <c r="I2711" s="33" t="s">
        <v>6857</v>
      </c>
      <c r="J2711" s="33">
        <v>203094</v>
      </c>
      <c r="K2711" s="33" t="s">
        <v>7022</v>
      </c>
      <c r="L2711" s="33" t="s">
        <v>7023</v>
      </c>
      <c r="M2711" s="33" t="s">
        <v>7024</v>
      </c>
      <c r="N2711" s="44">
        <v>42282013</v>
      </c>
      <c r="O2711" s="33" t="s">
        <v>7048</v>
      </c>
      <c r="P2711" s="33" t="s">
        <v>7042</v>
      </c>
      <c r="Q2711" s="34" t="s">
        <v>1494</v>
      </c>
      <c r="R2711" s="34" t="s">
        <v>1494</v>
      </c>
    </row>
    <row r="2712" spans="1:18" ht="15" customHeight="1" x14ac:dyDescent="0.25">
      <c r="A2712" t="str">
        <f>IFERROR(RANK(B2712,$B:$B,1)+COUNTIF($B$1:B2711,B2712),"")</f>
        <v/>
      </c>
      <c r="B2712" t="str">
        <f>IFERROR(SEARCH(#REF!,Table4[[#This Row],[Commodity Title]],1),"")</f>
        <v/>
      </c>
      <c r="C2712" s="35">
        <v>42282014</v>
      </c>
      <c r="D2712" s="33" t="s">
        <v>1495</v>
      </c>
      <c r="E2712" s="33" t="s">
        <v>1496</v>
      </c>
      <c r="F2712" s="33" t="s">
        <v>1497</v>
      </c>
      <c r="G2712" s="33" t="s">
        <v>6855</v>
      </c>
      <c r="H2712" s="33" t="s">
        <v>6856</v>
      </c>
      <c r="I2712" s="33" t="s">
        <v>6857</v>
      </c>
      <c r="J2712" s="33">
        <v>203095</v>
      </c>
      <c r="K2712" s="33" t="s">
        <v>7022</v>
      </c>
      <c r="L2712" s="33" t="s">
        <v>7023</v>
      </c>
      <c r="M2712" s="33" t="s">
        <v>7024</v>
      </c>
      <c r="N2712" s="44">
        <v>42282014</v>
      </c>
      <c r="O2712" s="33" t="s">
        <v>7049</v>
      </c>
      <c r="P2712" s="33" t="s">
        <v>7050</v>
      </c>
      <c r="Q2712" s="34" t="s">
        <v>1494</v>
      </c>
      <c r="R2712" s="34" t="s">
        <v>1494</v>
      </c>
    </row>
    <row r="2713" spans="1:18" ht="15" customHeight="1" x14ac:dyDescent="0.25">
      <c r="A2713" t="str">
        <f>IFERROR(RANK(B2713,$B:$B,1)+COUNTIF($B$1:B2712,B2713),"")</f>
        <v/>
      </c>
      <c r="B2713" t="str">
        <f>IFERROR(SEARCH(#REF!,Table4[[#This Row],[Commodity Title]],1),"")</f>
        <v/>
      </c>
      <c r="C2713" s="35">
        <v>42282015</v>
      </c>
      <c r="D2713" s="33" t="s">
        <v>1495</v>
      </c>
      <c r="E2713" s="33" t="s">
        <v>1496</v>
      </c>
      <c r="F2713" s="33" t="s">
        <v>1497</v>
      </c>
      <c r="G2713" s="33" t="s">
        <v>6855</v>
      </c>
      <c r="H2713" s="33" t="s">
        <v>6856</v>
      </c>
      <c r="I2713" s="33" t="s">
        <v>6857</v>
      </c>
      <c r="J2713" s="33">
        <v>203096</v>
      </c>
      <c r="K2713" s="33" t="s">
        <v>7022</v>
      </c>
      <c r="L2713" s="33" t="s">
        <v>7023</v>
      </c>
      <c r="M2713" s="33" t="s">
        <v>7024</v>
      </c>
      <c r="N2713" s="44">
        <v>42282015</v>
      </c>
      <c r="O2713" s="33" t="s">
        <v>7051</v>
      </c>
      <c r="P2713" s="33" t="s">
        <v>7052</v>
      </c>
      <c r="Q2713" s="34" t="s">
        <v>1494</v>
      </c>
      <c r="R2713" s="34" t="s">
        <v>1494</v>
      </c>
    </row>
    <row r="2714" spans="1:18" ht="15" customHeight="1" x14ac:dyDescent="0.25">
      <c r="A2714" t="str">
        <f>IFERROR(RANK(B2714,$B:$B,1)+COUNTIF($B$1:B2713,B2714),"")</f>
        <v/>
      </c>
      <c r="B2714" t="str">
        <f>IFERROR(SEARCH(#REF!,Table4[[#This Row],[Commodity Title]],1),"")</f>
        <v/>
      </c>
      <c r="C2714" s="35">
        <v>42282016</v>
      </c>
      <c r="D2714" s="33" t="s">
        <v>1495</v>
      </c>
      <c r="E2714" s="33" t="s">
        <v>1496</v>
      </c>
      <c r="F2714" s="33" t="s">
        <v>1497</v>
      </c>
      <c r="G2714" s="33" t="s">
        <v>6855</v>
      </c>
      <c r="H2714" s="33" t="s">
        <v>6856</v>
      </c>
      <c r="I2714" s="33" t="s">
        <v>6857</v>
      </c>
      <c r="J2714" s="33">
        <v>203097</v>
      </c>
      <c r="K2714" s="33" t="s">
        <v>7022</v>
      </c>
      <c r="L2714" s="33" t="s">
        <v>7023</v>
      </c>
      <c r="M2714" s="33" t="s">
        <v>7024</v>
      </c>
      <c r="N2714" s="44">
        <v>42282016</v>
      </c>
      <c r="O2714" s="33" t="s">
        <v>7053</v>
      </c>
      <c r="P2714" s="33" t="s">
        <v>7054</v>
      </c>
      <c r="Q2714" s="34" t="s">
        <v>1494</v>
      </c>
      <c r="R2714" s="34" t="s">
        <v>1494</v>
      </c>
    </row>
    <row r="2715" spans="1:18" ht="15" customHeight="1" x14ac:dyDescent="0.25">
      <c r="A2715" t="str">
        <f>IFERROR(RANK(B2715,$B:$B,1)+COUNTIF($B$1:B2714,B2715),"")</f>
        <v/>
      </c>
      <c r="B2715" t="str">
        <f>IFERROR(SEARCH(#REF!,Table4[[#This Row],[Commodity Title]],1),"")</f>
        <v/>
      </c>
      <c r="C2715" s="35">
        <v>42282017</v>
      </c>
      <c r="D2715" s="33" t="s">
        <v>1495</v>
      </c>
      <c r="E2715" s="33" t="s">
        <v>1496</v>
      </c>
      <c r="F2715" s="33" t="s">
        <v>1497</v>
      </c>
      <c r="G2715" s="33" t="s">
        <v>6855</v>
      </c>
      <c r="H2715" s="33" t="s">
        <v>6856</v>
      </c>
      <c r="I2715" s="33" t="s">
        <v>6857</v>
      </c>
      <c r="J2715" s="33">
        <v>116111</v>
      </c>
      <c r="K2715" s="33" t="s">
        <v>7022</v>
      </c>
      <c r="L2715" s="33" t="s">
        <v>7023</v>
      </c>
      <c r="M2715" s="33" t="s">
        <v>7024</v>
      </c>
      <c r="N2715" s="44">
        <v>42282017</v>
      </c>
      <c r="O2715" s="33" t="s">
        <v>7055</v>
      </c>
      <c r="P2715" s="33" t="s">
        <v>7056</v>
      </c>
      <c r="Q2715" s="34" t="s">
        <v>1494</v>
      </c>
      <c r="R2715" s="34" t="s">
        <v>1494</v>
      </c>
    </row>
    <row r="2716" spans="1:18" ht="15" customHeight="1" x14ac:dyDescent="0.25">
      <c r="A2716" t="str">
        <f>IFERROR(RANK(B2716,$B:$B,1)+COUNTIF($B$1:B2715,B2716),"")</f>
        <v/>
      </c>
      <c r="B2716" t="str">
        <f>IFERROR(SEARCH(#REF!,Table4[[#This Row],[Commodity Title]],1),"")</f>
        <v/>
      </c>
      <c r="C2716" s="35">
        <v>42282018</v>
      </c>
      <c r="D2716" s="33" t="s">
        <v>1495</v>
      </c>
      <c r="E2716" s="33" t="s">
        <v>1496</v>
      </c>
      <c r="F2716" s="33" t="s">
        <v>1497</v>
      </c>
      <c r="G2716" s="33" t="s">
        <v>6855</v>
      </c>
      <c r="H2716" s="33" t="s">
        <v>6856</v>
      </c>
      <c r="I2716" s="33" t="s">
        <v>6857</v>
      </c>
      <c r="J2716" s="33">
        <v>203098</v>
      </c>
      <c r="K2716" s="33" t="s">
        <v>7022</v>
      </c>
      <c r="L2716" s="33" t="s">
        <v>7023</v>
      </c>
      <c r="M2716" s="33" t="s">
        <v>7024</v>
      </c>
      <c r="N2716" s="44">
        <v>42282018</v>
      </c>
      <c r="O2716" s="33" t="s">
        <v>7057</v>
      </c>
      <c r="P2716" s="33" t="s">
        <v>7058</v>
      </c>
      <c r="Q2716" s="34" t="s">
        <v>1494</v>
      </c>
      <c r="R2716" s="34" t="s">
        <v>1494</v>
      </c>
    </row>
    <row r="2717" spans="1:18" ht="15" customHeight="1" x14ac:dyDescent="0.25">
      <c r="A2717" t="str">
        <f>IFERROR(RANK(B2717,$B:$B,1)+COUNTIF($B$1:B2716,B2717),"")</f>
        <v/>
      </c>
      <c r="B2717" t="str">
        <f>IFERROR(SEARCH(#REF!,Table4[[#This Row],[Commodity Title]],1),"")</f>
        <v/>
      </c>
      <c r="C2717" s="35">
        <v>42282019</v>
      </c>
      <c r="D2717" s="33" t="s">
        <v>1495</v>
      </c>
      <c r="E2717" s="33" t="s">
        <v>1496</v>
      </c>
      <c r="F2717" s="33" t="s">
        <v>1497</v>
      </c>
      <c r="G2717" s="33" t="s">
        <v>6855</v>
      </c>
      <c r="H2717" s="33" t="s">
        <v>6856</v>
      </c>
      <c r="I2717" s="33" t="s">
        <v>6857</v>
      </c>
      <c r="J2717" s="33">
        <v>203099</v>
      </c>
      <c r="K2717" s="33" t="s">
        <v>7022</v>
      </c>
      <c r="L2717" s="33" t="s">
        <v>7023</v>
      </c>
      <c r="M2717" s="33" t="s">
        <v>7024</v>
      </c>
      <c r="N2717" s="44">
        <v>42282019</v>
      </c>
      <c r="O2717" s="33" t="s">
        <v>7059</v>
      </c>
      <c r="P2717" s="33" t="s">
        <v>7042</v>
      </c>
      <c r="Q2717" s="34" t="s">
        <v>1494</v>
      </c>
      <c r="R2717" s="34" t="s">
        <v>1494</v>
      </c>
    </row>
    <row r="2718" spans="1:18" ht="15" customHeight="1" x14ac:dyDescent="0.25">
      <c r="A2718" t="str">
        <f>IFERROR(RANK(B2718,$B:$B,1)+COUNTIF($B$1:B2717,B2718),"")</f>
        <v/>
      </c>
      <c r="B2718" t="str">
        <f>IFERROR(SEARCH(#REF!,Table4[[#This Row],[Commodity Title]],1),"")</f>
        <v/>
      </c>
      <c r="C2718" s="35">
        <v>42282020</v>
      </c>
      <c r="D2718" s="33" t="s">
        <v>1495</v>
      </c>
      <c r="E2718" s="33" t="s">
        <v>1496</v>
      </c>
      <c r="F2718" s="33" t="s">
        <v>1497</v>
      </c>
      <c r="G2718" s="33" t="s">
        <v>6855</v>
      </c>
      <c r="H2718" s="33" t="s">
        <v>6856</v>
      </c>
      <c r="I2718" s="33" t="s">
        <v>6857</v>
      </c>
      <c r="J2718" s="33">
        <v>208350</v>
      </c>
      <c r="K2718" s="33" t="s">
        <v>7022</v>
      </c>
      <c r="L2718" s="33" t="s">
        <v>7023</v>
      </c>
      <c r="M2718" s="33" t="s">
        <v>7024</v>
      </c>
      <c r="N2718" s="44">
        <v>42282020</v>
      </c>
      <c r="O2718" s="33" t="s">
        <v>7060</v>
      </c>
      <c r="P2718" s="33" t="s">
        <v>7061</v>
      </c>
      <c r="Q2718" s="34" t="s">
        <v>1494</v>
      </c>
      <c r="R2718" s="34" t="s">
        <v>1494</v>
      </c>
    </row>
    <row r="2719" spans="1:18" ht="15" customHeight="1" x14ac:dyDescent="0.25">
      <c r="A2719" t="str">
        <f>IFERROR(RANK(B2719,$B:$B,1)+COUNTIF($B$1:B2718,B2719),"")</f>
        <v/>
      </c>
      <c r="B2719" t="str">
        <f>IFERROR(SEARCH(#REF!,Table4[[#This Row],[Commodity Title]],1),"")</f>
        <v/>
      </c>
      <c r="C2719" s="33" t="s">
        <v>1494</v>
      </c>
      <c r="D2719" s="33" t="s">
        <v>1495</v>
      </c>
      <c r="E2719" s="33" t="s">
        <v>1496</v>
      </c>
      <c r="F2719" s="33" t="s">
        <v>1497</v>
      </c>
      <c r="G2719" s="33" t="s">
        <v>7062</v>
      </c>
      <c r="H2719" s="33" t="s">
        <v>7063</v>
      </c>
      <c r="I2719" s="33" t="s">
        <v>7064</v>
      </c>
      <c r="J2719" s="33">
        <v>116134</v>
      </c>
      <c r="K2719" s="33" t="s">
        <v>1494</v>
      </c>
      <c r="L2719" s="33" t="s">
        <v>1494</v>
      </c>
      <c r="M2719" s="33" t="s">
        <v>1494</v>
      </c>
      <c r="N2719" s="44" t="s">
        <v>1494</v>
      </c>
      <c r="O2719" s="33" t="s">
        <v>1494</v>
      </c>
      <c r="P2719" s="33" t="s">
        <v>1494</v>
      </c>
      <c r="Q2719" s="34" t="s">
        <v>1494</v>
      </c>
      <c r="R2719" s="34" t="s">
        <v>1494</v>
      </c>
    </row>
    <row r="2720" spans="1:18" ht="15" customHeight="1" x14ac:dyDescent="0.25">
      <c r="A2720" t="str">
        <f>IFERROR(RANK(B2720,$B:$B,1)+COUNTIF($B$1:B2719,B2720),"")</f>
        <v/>
      </c>
      <c r="B2720" t="str">
        <f>IFERROR(SEARCH(#REF!,Table4[[#This Row],[Commodity Title]],1),"")</f>
        <v/>
      </c>
      <c r="C2720" s="33" t="s">
        <v>1494</v>
      </c>
      <c r="D2720" s="33" t="s">
        <v>1495</v>
      </c>
      <c r="E2720" s="33" t="s">
        <v>1496</v>
      </c>
      <c r="F2720" s="33" t="s">
        <v>1497</v>
      </c>
      <c r="G2720" s="33" t="s">
        <v>7062</v>
      </c>
      <c r="H2720" s="33" t="s">
        <v>7063</v>
      </c>
      <c r="I2720" s="33" t="s">
        <v>7064</v>
      </c>
      <c r="J2720" s="33">
        <v>116135</v>
      </c>
      <c r="K2720" s="33" t="s">
        <v>7065</v>
      </c>
      <c r="L2720" s="33" t="s">
        <v>7066</v>
      </c>
      <c r="M2720" s="33" t="s">
        <v>7067</v>
      </c>
      <c r="N2720" s="44" t="s">
        <v>1494</v>
      </c>
      <c r="O2720" s="33" t="s">
        <v>1494</v>
      </c>
      <c r="P2720" s="33" t="s">
        <v>1494</v>
      </c>
      <c r="Q2720" s="34" t="s">
        <v>1494</v>
      </c>
      <c r="R2720" s="34" t="s">
        <v>1494</v>
      </c>
    </row>
    <row r="2721" spans="1:18" ht="15" customHeight="1" x14ac:dyDescent="0.25">
      <c r="A2721" t="str">
        <f>IFERROR(RANK(B2721,$B:$B,1)+COUNTIF($B$1:B2720,B2721),"")</f>
        <v/>
      </c>
      <c r="B2721" t="str">
        <f>IFERROR(SEARCH(#REF!,Table4[[#This Row],[Commodity Title]],1),"")</f>
        <v/>
      </c>
      <c r="C2721" s="35">
        <v>42291501</v>
      </c>
      <c r="D2721" s="33" t="s">
        <v>1495</v>
      </c>
      <c r="E2721" s="33" t="s">
        <v>1496</v>
      </c>
      <c r="F2721" s="33" t="s">
        <v>1497</v>
      </c>
      <c r="G2721" s="33" t="s">
        <v>7062</v>
      </c>
      <c r="H2721" s="33" t="s">
        <v>7063</v>
      </c>
      <c r="I2721" s="33" t="s">
        <v>7064</v>
      </c>
      <c r="J2721" s="33">
        <v>116136</v>
      </c>
      <c r="K2721" s="33" t="s">
        <v>7065</v>
      </c>
      <c r="L2721" s="33" t="s">
        <v>7066</v>
      </c>
      <c r="M2721" s="33" t="s">
        <v>7067</v>
      </c>
      <c r="N2721" s="44">
        <v>42291501</v>
      </c>
      <c r="O2721" s="33" t="s">
        <v>7068</v>
      </c>
      <c r="P2721" s="33" t="s">
        <v>7069</v>
      </c>
      <c r="Q2721" s="34" t="s">
        <v>1494</v>
      </c>
      <c r="R2721" s="34" t="s">
        <v>1494</v>
      </c>
    </row>
    <row r="2722" spans="1:18" ht="15" customHeight="1" x14ac:dyDescent="0.25">
      <c r="A2722" t="str">
        <f>IFERROR(RANK(B2722,$B:$B,1)+COUNTIF($B$1:B2721,B2722),"")</f>
        <v/>
      </c>
      <c r="B2722" t="str">
        <f>IFERROR(SEARCH(#REF!,Table4[[#This Row],[Commodity Title]],1),"")</f>
        <v/>
      </c>
      <c r="C2722" s="35">
        <v>42291502</v>
      </c>
      <c r="D2722" s="33" t="s">
        <v>1495</v>
      </c>
      <c r="E2722" s="33" t="s">
        <v>1496</v>
      </c>
      <c r="F2722" s="33" t="s">
        <v>1497</v>
      </c>
      <c r="G2722" s="33" t="s">
        <v>7062</v>
      </c>
      <c r="H2722" s="33" t="s">
        <v>7063</v>
      </c>
      <c r="I2722" s="33" t="s">
        <v>7064</v>
      </c>
      <c r="J2722" s="33">
        <v>116137</v>
      </c>
      <c r="K2722" s="33" t="s">
        <v>7065</v>
      </c>
      <c r="L2722" s="33" t="s">
        <v>7066</v>
      </c>
      <c r="M2722" s="33" t="s">
        <v>7067</v>
      </c>
      <c r="N2722" s="44">
        <v>42291502</v>
      </c>
      <c r="O2722" s="33" t="s">
        <v>7070</v>
      </c>
      <c r="P2722" s="33" t="s">
        <v>7071</v>
      </c>
      <c r="Q2722" s="34" t="s">
        <v>1494</v>
      </c>
      <c r="R2722" s="34" t="s">
        <v>1494</v>
      </c>
    </row>
    <row r="2723" spans="1:18" ht="15" customHeight="1" x14ac:dyDescent="0.25">
      <c r="A2723" t="str">
        <f>IFERROR(RANK(B2723,$B:$B,1)+COUNTIF($B$1:B2722,B2723),"")</f>
        <v/>
      </c>
      <c r="B2723" t="str">
        <f>IFERROR(SEARCH(#REF!,Table4[[#This Row],[Commodity Title]],1),"")</f>
        <v/>
      </c>
      <c r="C2723" s="35">
        <v>42291503</v>
      </c>
      <c r="D2723" s="33" t="s">
        <v>1495</v>
      </c>
      <c r="E2723" s="33" t="s">
        <v>1496</v>
      </c>
      <c r="F2723" s="33" t="s">
        <v>1497</v>
      </c>
      <c r="G2723" s="33" t="s">
        <v>7062</v>
      </c>
      <c r="H2723" s="33" t="s">
        <v>7063</v>
      </c>
      <c r="I2723" s="33" t="s">
        <v>7064</v>
      </c>
      <c r="J2723" s="33">
        <v>203100</v>
      </c>
      <c r="K2723" s="33" t="s">
        <v>7065</v>
      </c>
      <c r="L2723" s="33" t="s">
        <v>7066</v>
      </c>
      <c r="M2723" s="33" t="s">
        <v>7067</v>
      </c>
      <c r="N2723" s="44">
        <v>42291503</v>
      </c>
      <c r="O2723" s="33" t="s">
        <v>7072</v>
      </c>
      <c r="P2723" s="33" t="s">
        <v>7073</v>
      </c>
      <c r="Q2723" s="34" t="s">
        <v>1494</v>
      </c>
      <c r="R2723" s="34" t="s">
        <v>1494</v>
      </c>
    </row>
    <row r="2724" spans="1:18" ht="15" customHeight="1" x14ac:dyDescent="0.25">
      <c r="A2724" t="str">
        <f>IFERROR(RANK(B2724,$B:$B,1)+COUNTIF($B$1:B2723,B2724),"")</f>
        <v/>
      </c>
      <c r="B2724" t="str">
        <f>IFERROR(SEARCH(#REF!,Table4[[#This Row],[Commodity Title]],1),"")</f>
        <v/>
      </c>
      <c r="C2724" s="33" t="s">
        <v>1494</v>
      </c>
      <c r="D2724" s="33" t="s">
        <v>1495</v>
      </c>
      <c r="E2724" s="33" t="s">
        <v>1496</v>
      </c>
      <c r="F2724" s="33" t="s">
        <v>1497</v>
      </c>
      <c r="G2724" s="33" t="s">
        <v>7062</v>
      </c>
      <c r="H2724" s="33" t="s">
        <v>7063</v>
      </c>
      <c r="I2724" s="33" t="s">
        <v>7064</v>
      </c>
      <c r="J2724" s="33">
        <v>116138</v>
      </c>
      <c r="K2724" s="33" t="s">
        <v>7074</v>
      </c>
      <c r="L2724" s="33" t="s">
        <v>7075</v>
      </c>
      <c r="M2724" s="33" t="s">
        <v>7076</v>
      </c>
      <c r="N2724" s="44" t="s">
        <v>1494</v>
      </c>
      <c r="O2724" s="33" t="s">
        <v>1494</v>
      </c>
      <c r="P2724" s="33" t="s">
        <v>1494</v>
      </c>
      <c r="Q2724" s="34" t="s">
        <v>1494</v>
      </c>
      <c r="R2724" s="34" t="s">
        <v>1494</v>
      </c>
    </row>
    <row r="2725" spans="1:18" ht="15" customHeight="1" x14ac:dyDescent="0.25">
      <c r="A2725" t="str">
        <f>IFERROR(RANK(B2725,$B:$B,1)+COUNTIF($B$1:B2724,B2725),"")</f>
        <v/>
      </c>
      <c r="B2725" t="str">
        <f>IFERROR(SEARCH(#REF!,Table4[[#This Row],[Commodity Title]],1),"")</f>
        <v/>
      </c>
      <c r="C2725" s="35">
        <v>42291602</v>
      </c>
      <c r="D2725" s="33" t="s">
        <v>1495</v>
      </c>
      <c r="E2725" s="33" t="s">
        <v>1496</v>
      </c>
      <c r="F2725" s="33" t="s">
        <v>1497</v>
      </c>
      <c r="G2725" s="33" t="s">
        <v>7062</v>
      </c>
      <c r="H2725" s="33" t="s">
        <v>7063</v>
      </c>
      <c r="I2725" s="33" t="s">
        <v>7064</v>
      </c>
      <c r="J2725" s="33">
        <v>116140</v>
      </c>
      <c r="K2725" s="33" t="s">
        <v>7074</v>
      </c>
      <c r="L2725" s="33" t="s">
        <v>7075</v>
      </c>
      <c r="M2725" s="33" t="s">
        <v>7076</v>
      </c>
      <c r="N2725" s="44">
        <v>42291602</v>
      </c>
      <c r="O2725" s="33" t="s">
        <v>7077</v>
      </c>
      <c r="P2725" s="33" t="s">
        <v>7078</v>
      </c>
      <c r="Q2725" s="34" t="s">
        <v>1494</v>
      </c>
      <c r="R2725" s="34" t="s">
        <v>1494</v>
      </c>
    </row>
    <row r="2726" spans="1:18" ht="15" customHeight="1" x14ac:dyDescent="0.25">
      <c r="A2726" t="str">
        <f>IFERROR(RANK(B2726,$B:$B,1)+COUNTIF($B$1:B2725,B2726),"")</f>
        <v/>
      </c>
      <c r="B2726" t="str">
        <f>IFERROR(SEARCH(#REF!,Table4[[#This Row],[Commodity Title]],1),"")</f>
        <v/>
      </c>
      <c r="C2726" s="35">
        <v>42291603</v>
      </c>
      <c r="D2726" s="33" t="s">
        <v>1495</v>
      </c>
      <c r="E2726" s="33" t="s">
        <v>1496</v>
      </c>
      <c r="F2726" s="33" t="s">
        <v>1497</v>
      </c>
      <c r="G2726" s="33" t="s">
        <v>7062</v>
      </c>
      <c r="H2726" s="33" t="s">
        <v>7063</v>
      </c>
      <c r="I2726" s="33" t="s">
        <v>7064</v>
      </c>
      <c r="J2726" s="33">
        <v>116141</v>
      </c>
      <c r="K2726" s="33" t="s">
        <v>7074</v>
      </c>
      <c r="L2726" s="33" t="s">
        <v>7075</v>
      </c>
      <c r="M2726" s="33" t="s">
        <v>7076</v>
      </c>
      <c r="N2726" s="44">
        <v>42291603</v>
      </c>
      <c r="O2726" s="33" t="s">
        <v>171</v>
      </c>
      <c r="P2726" s="33" t="s">
        <v>7079</v>
      </c>
      <c r="Q2726" s="34" t="s">
        <v>1494</v>
      </c>
      <c r="R2726" s="34" t="s">
        <v>1494</v>
      </c>
    </row>
    <row r="2727" spans="1:18" ht="15" customHeight="1" x14ac:dyDescent="0.25">
      <c r="A2727" t="str">
        <f>IFERROR(RANK(B2727,$B:$B,1)+COUNTIF($B$1:B2726,B2727),"")</f>
        <v/>
      </c>
      <c r="B2727" t="str">
        <f>IFERROR(SEARCH(#REF!,Table4[[#This Row],[Commodity Title]],1),"")</f>
        <v/>
      </c>
      <c r="C2727" s="35">
        <v>42291604</v>
      </c>
      <c r="D2727" s="33" t="s">
        <v>1495</v>
      </c>
      <c r="E2727" s="33" t="s">
        <v>1496</v>
      </c>
      <c r="F2727" s="33" t="s">
        <v>1497</v>
      </c>
      <c r="G2727" s="33" t="s">
        <v>7062</v>
      </c>
      <c r="H2727" s="33" t="s">
        <v>7063</v>
      </c>
      <c r="I2727" s="33" t="s">
        <v>7064</v>
      </c>
      <c r="J2727" s="33">
        <v>116142</v>
      </c>
      <c r="K2727" s="33" t="s">
        <v>7074</v>
      </c>
      <c r="L2727" s="33" t="s">
        <v>7075</v>
      </c>
      <c r="M2727" s="33" t="s">
        <v>7076</v>
      </c>
      <c r="N2727" s="44">
        <v>42291604</v>
      </c>
      <c r="O2727" s="33" t="s">
        <v>7080</v>
      </c>
      <c r="P2727" s="33" t="s">
        <v>7081</v>
      </c>
      <c r="Q2727" s="34" t="s">
        <v>1494</v>
      </c>
      <c r="R2727" s="34" t="s">
        <v>1494</v>
      </c>
    </row>
    <row r="2728" spans="1:18" ht="15" customHeight="1" x14ac:dyDescent="0.25">
      <c r="A2728" t="str">
        <f>IFERROR(RANK(B2728,$B:$B,1)+COUNTIF($B$1:B2727,B2728),"")</f>
        <v/>
      </c>
      <c r="B2728" t="str">
        <f>IFERROR(SEARCH(#REF!,Table4[[#This Row],[Commodity Title]],1),"")</f>
        <v/>
      </c>
      <c r="C2728" s="35">
        <v>42291605</v>
      </c>
      <c r="D2728" s="33" t="s">
        <v>1495</v>
      </c>
      <c r="E2728" s="33" t="s">
        <v>1496</v>
      </c>
      <c r="F2728" s="33" t="s">
        <v>1497</v>
      </c>
      <c r="G2728" s="33" t="s">
        <v>7062</v>
      </c>
      <c r="H2728" s="33" t="s">
        <v>7063</v>
      </c>
      <c r="I2728" s="33" t="s">
        <v>7064</v>
      </c>
      <c r="J2728" s="33">
        <v>116143</v>
      </c>
      <c r="K2728" s="33" t="s">
        <v>7074</v>
      </c>
      <c r="L2728" s="33" t="s">
        <v>7075</v>
      </c>
      <c r="M2728" s="33" t="s">
        <v>7076</v>
      </c>
      <c r="N2728" s="44">
        <v>42291605</v>
      </c>
      <c r="O2728" s="33" t="s">
        <v>129</v>
      </c>
      <c r="P2728" s="33" t="s">
        <v>7082</v>
      </c>
      <c r="Q2728" s="34" t="s">
        <v>1494</v>
      </c>
      <c r="R2728" s="34" t="s">
        <v>1494</v>
      </c>
    </row>
    <row r="2729" spans="1:18" ht="15" customHeight="1" x14ac:dyDescent="0.25">
      <c r="A2729" t="str">
        <f>IFERROR(RANK(B2729,$B:$B,1)+COUNTIF($B$1:B2728,B2729),"")</f>
        <v/>
      </c>
      <c r="B2729" t="str">
        <f>IFERROR(SEARCH(#REF!,Table4[[#This Row],[Commodity Title]],1),"")</f>
        <v/>
      </c>
      <c r="C2729" s="35">
        <v>42291606</v>
      </c>
      <c r="D2729" s="33" t="s">
        <v>1495</v>
      </c>
      <c r="E2729" s="33" t="s">
        <v>1496</v>
      </c>
      <c r="F2729" s="33" t="s">
        <v>1497</v>
      </c>
      <c r="G2729" s="33" t="s">
        <v>7062</v>
      </c>
      <c r="H2729" s="33" t="s">
        <v>7063</v>
      </c>
      <c r="I2729" s="33" t="s">
        <v>7064</v>
      </c>
      <c r="J2729" s="33">
        <v>116144</v>
      </c>
      <c r="K2729" s="33" t="s">
        <v>7074</v>
      </c>
      <c r="L2729" s="33" t="s">
        <v>7075</v>
      </c>
      <c r="M2729" s="33" t="s">
        <v>7076</v>
      </c>
      <c r="N2729" s="44">
        <v>42291606</v>
      </c>
      <c r="O2729" s="33" t="s">
        <v>4</v>
      </c>
      <c r="P2729" s="33" t="s">
        <v>7083</v>
      </c>
      <c r="Q2729" s="34" t="s">
        <v>1494</v>
      </c>
      <c r="R2729" s="34" t="s">
        <v>1494</v>
      </c>
    </row>
    <row r="2730" spans="1:18" ht="15" customHeight="1" x14ac:dyDescent="0.25">
      <c r="A2730" t="str">
        <f>IFERROR(RANK(B2730,$B:$B,1)+COUNTIF($B$1:B2729,B2730),"")</f>
        <v/>
      </c>
      <c r="B2730" t="str">
        <f>IFERROR(SEARCH(#REF!,Table4[[#This Row],[Commodity Title]],1),"")</f>
        <v/>
      </c>
      <c r="C2730" s="35">
        <v>42291607</v>
      </c>
      <c r="D2730" s="33" t="s">
        <v>1495</v>
      </c>
      <c r="E2730" s="33" t="s">
        <v>1496</v>
      </c>
      <c r="F2730" s="33" t="s">
        <v>1497</v>
      </c>
      <c r="G2730" s="33" t="s">
        <v>7062</v>
      </c>
      <c r="H2730" s="33" t="s">
        <v>7063</v>
      </c>
      <c r="I2730" s="33" t="s">
        <v>7064</v>
      </c>
      <c r="J2730" s="33">
        <v>116145</v>
      </c>
      <c r="K2730" s="33" t="s">
        <v>7074</v>
      </c>
      <c r="L2730" s="33" t="s">
        <v>7075</v>
      </c>
      <c r="M2730" s="33" t="s">
        <v>7076</v>
      </c>
      <c r="N2730" s="44">
        <v>42291607</v>
      </c>
      <c r="O2730" s="33" t="s">
        <v>7084</v>
      </c>
      <c r="P2730" s="33" t="s">
        <v>7085</v>
      </c>
      <c r="Q2730" s="34" t="s">
        <v>1494</v>
      </c>
      <c r="R2730" s="34" t="s">
        <v>1494</v>
      </c>
    </row>
    <row r="2731" spans="1:18" ht="15" customHeight="1" x14ac:dyDescent="0.25">
      <c r="A2731" t="str">
        <f>IFERROR(RANK(B2731,$B:$B,1)+COUNTIF($B$1:B2730,B2731),"")</f>
        <v/>
      </c>
      <c r="B2731" t="str">
        <f>IFERROR(SEARCH(#REF!,Table4[[#This Row],[Commodity Title]],1),"")</f>
        <v/>
      </c>
      <c r="C2731" s="35">
        <v>42291608</v>
      </c>
      <c r="D2731" s="33" t="s">
        <v>1495</v>
      </c>
      <c r="E2731" s="33" t="s">
        <v>1496</v>
      </c>
      <c r="F2731" s="33" t="s">
        <v>1497</v>
      </c>
      <c r="G2731" s="33" t="s">
        <v>7062</v>
      </c>
      <c r="H2731" s="33" t="s">
        <v>7063</v>
      </c>
      <c r="I2731" s="33" t="s">
        <v>7064</v>
      </c>
      <c r="J2731" s="33">
        <v>116146</v>
      </c>
      <c r="K2731" s="33" t="s">
        <v>7074</v>
      </c>
      <c r="L2731" s="33" t="s">
        <v>7075</v>
      </c>
      <c r="M2731" s="33" t="s">
        <v>7076</v>
      </c>
      <c r="N2731" s="44">
        <v>42291608</v>
      </c>
      <c r="O2731" s="33" t="s">
        <v>7086</v>
      </c>
      <c r="P2731" s="33" t="s">
        <v>7087</v>
      </c>
      <c r="Q2731" s="34" t="s">
        <v>1494</v>
      </c>
      <c r="R2731" s="34" t="s">
        <v>1494</v>
      </c>
    </row>
    <row r="2732" spans="1:18" ht="15" customHeight="1" x14ac:dyDescent="0.25">
      <c r="A2732" t="str">
        <f>IFERROR(RANK(B2732,$B:$B,1)+COUNTIF($B$1:B2731,B2732),"")</f>
        <v/>
      </c>
      <c r="B2732" t="str">
        <f>IFERROR(SEARCH(#REF!,Table4[[#This Row],[Commodity Title]],1),"")</f>
        <v/>
      </c>
      <c r="C2732" s="35">
        <v>42291609</v>
      </c>
      <c r="D2732" s="33" t="s">
        <v>1495</v>
      </c>
      <c r="E2732" s="33" t="s">
        <v>1496</v>
      </c>
      <c r="F2732" s="33" t="s">
        <v>1497</v>
      </c>
      <c r="G2732" s="33" t="s">
        <v>7062</v>
      </c>
      <c r="H2732" s="33" t="s">
        <v>7063</v>
      </c>
      <c r="I2732" s="33" t="s">
        <v>7064</v>
      </c>
      <c r="J2732" s="33">
        <v>116147</v>
      </c>
      <c r="K2732" s="33" t="s">
        <v>7074</v>
      </c>
      <c r="L2732" s="33" t="s">
        <v>7075</v>
      </c>
      <c r="M2732" s="33" t="s">
        <v>7076</v>
      </c>
      <c r="N2732" s="44">
        <v>42291609</v>
      </c>
      <c r="O2732" s="33" t="s">
        <v>7088</v>
      </c>
      <c r="P2732" s="33" t="s">
        <v>7089</v>
      </c>
      <c r="Q2732" s="34" t="s">
        <v>1494</v>
      </c>
      <c r="R2732" s="34" t="s">
        <v>1494</v>
      </c>
    </row>
    <row r="2733" spans="1:18" ht="15" customHeight="1" x14ac:dyDescent="0.25">
      <c r="A2733" t="str">
        <f>IFERROR(RANK(B2733,$B:$B,1)+COUNTIF($B$1:B2732,B2733),"")</f>
        <v/>
      </c>
      <c r="B2733" t="str">
        <f>IFERROR(SEARCH(#REF!,Table4[[#This Row],[Commodity Title]],1),"")</f>
        <v/>
      </c>
      <c r="C2733" s="35">
        <v>42291610</v>
      </c>
      <c r="D2733" s="33" t="s">
        <v>1495</v>
      </c>
      <c r="E2733" s="33" t="s">
        <v>1496</v>
      </c>
      <c r="F2733" s="33" t="s">
        <v>1497</v>
      </c>
      <c r="G2733" s="33" t="s">
        <v>7062</v>
      </c>
      <c r="H2733" s="33" t="s">
        <v>7063</v>
      </c>
      <c r="I2733" s="33" t="s">
        <v>7064</v>
      </c>
      <c r="J2733" s="33">
        <v>116148</v>
      </c>
      <c r="K2733" s="33" t="s">
        <v>7074</v>
      </c>
      <c r="L2733" s="33" t="s">
        <v>7075</v>
      </c>
      <c r="M2733" s="33" t="s">
        <v>7076</v>
      </c>
      <c r="N2733" s="44">
        <v>42291610</v>
      </c>
      <c r="O2733" s="33" t="s">
        <v>7090</v>
      </c>
      <c r="P2733" s="33" t="s">
        <v>7091</v>
      </c>
      <c r="Q2733" s="34" t="s">
        <v>1494</v>
      </c>
      <c r="R2733" s="34" t="s">
        <v>1494</v>
      </c>
    </row>
    <row r="2734" spans="1:18" ht="15" customHeight="1" x14ac:dyDescent="0.25">
      <c r="A2734" t="str">
        <f>IFERROR(RANK(B2734,$B:$B,1)+COUNTIF($B$1:B2733,B2734),"")</f>
        <v/>
      </c>
      <c r="B2734" t="str">
        <f>IFERROR(SEARCH(#REF!,Table4[[#This Row],[Commodity Title]],1),"")</f>
        <v/>
      </c>
      <c r="C2734" s="35">
        <v>42291611</v>
      </c>
      <c r="D2734" s="33" t="s">
        <v>1495</v>
      </c>
      <c r="E2734" s="33" t="s">
        <v>1496</v>
      </c>
      <c r="F2734" s="33" t="s">
        <v>1497</v>
      </c>
      <c r="G2734" s="33" t="s">
        <v>7062</v>
      </c>
      <c r="H2734" s="33" t="s">
        <v>7063</v>
      </c>
      <c r="I2734" s="33" t="s">
        <v>7064</v>
      </c>
      <c r="J2734" s="33">
        <v>116149</v>
      </c>
      <c r="K2734" s="33" t="s">
        <v>7074</v>
      </c>
      <c r="L2734" s="33" t="s">
        <v>7075</v>
      </c>
      <c r="M2734" s="33" t="s">
        <v>7076</v>
      </c>
      <c r="N2734" s="44">
        <v>42291611</v>
      </c>
      <c r="O2734" s="33" t="s">
        <v>12</v>
      </c>
      <c r="P2734" s="33" t="s">
        <v>7092</v>
      </c>
      <c r="Q2734" s="34" t="s">
        <v>1494</v>
      </c>
      <c r="R2734" s="34" t="s">
        <v>1494</v>
      </c>
    </row>
    <row r="2735" spans="1:18" ht="15" customHeight="1" x14ac:dyDescent="0.25">
      <c r="A2735" t="str">
        <f>IFERROR(RANK(B2735,$B:$B,1)+COUNTIF($B$1:B2734,B2735),"")</f>
        <v/>
      </c>
      <c r="B2735" t="str">
        <f>IFERROR(SEARCH(#REF!,Table4[[#This Row],[Commodity Title]],1),"")</f>
        <v/>
      </c>
      <c r="C2735" s="35">
        <v>42291612</v>
      </c>
      <c r="D2735" s="33" t="s">
        <v>1495</v>
      </c>
      <c r="E2735" s="33" t="s">
        <v>1496</v>
      </c>
      <c r="F2735" s="33" t="s">
        <v>1497</v>
      </c>
      <c r="G2735" s="33" t="s">
        <v>7062</v>
      </c>
      <c r="H2735" s="33" t="s">
        <v>7063</v>
      </c>
      <c r="I2735" s="33" t="s">
        <v>7064</v>
      </c>
      <c r="J2735" s="33">
        <v>116150</v>
      </c>
      <c r="K2735" s="33" t="s">
        <v>7074</v>
      </c>
      <c r="L2735" s="33" t="s">
        <v>7075</v>
      </c>
      <c r="M2735" s="33" t="s">
        <v>7076</v>
      </c>
      <c r="N2735" s="44">
        <v>42291612</v>
      </c>
      <c r="O2735" s="33" t="s">
        <v>7093</v>
      </c>
      <c r="P2735" s="33" t="s">
        <v>7094</v>
      </c>
      <c r="Q2735" s="34" t="s">
        <v>1494</v>
      </c>
      <c r="R2735" s="34" t="s">
        <v>1494</v>
      </c>
    </row>
    <row r="2736" spans="1:18" ht="15" customHeight="1" x14ac:dyDescent="0.25">
      <c r="A2736" t="str">
        <f>IFERROR(RANK(B2736,$B:$B,1)+COUNTIF($B$1:B2735,B2736),"")</f>
        <v/>
      </c>
      <c r="B2736" t="str">
        <f>IFERROR(SEARCH(#REF!,Table4[[#This Row],[Commodity Title]],1),"")</f>
        <v/>
      </c>
      <c r="C2736" s="35">
        <v>42291613</v>
      </c>
      <c r="D2736" s="33" t="s">
        <v>1495</v>
      </c>
      <c r="E2736" s="33" t="s">
        <v>1496</v>
      </c>
      <c r="F2736" s="33" t="s">
        <v>1497</v>
      </c>
      <c r="G2736" s="33" t="s">
        <v>7062</v>
      </c>
      <c r="H2736" s="33" t="s">
        <v>7063</v>
      </c>
      <c r="I2736" s="33" t="s">
        <v>7064</v>
      </c>
      <c r="J2736" s="33">
        <v>116151</v>
      </c>
      <c r="K2736" s="33" t="s">
        <v>7074</v>
      </c>
      <c r="L2736" s="33" t="s">
        <v>7075</v>
      </c>
      <c r="M2736" s="33" t="s">
        <v>7076</v>
      </c>
      <c r="N2736" s="44">
        <v>42291613</v>
      </c>
      <c r="O2736" s="33" t="s">
        <v>7095</v>
      </c>
      <c r="P2736" s="33" t="s">
        <v>7096</v>
      </c>
      <c r="Q2736" s="34" t="s">
        <v>1494</v>
      </c>
      <c r="R2736" s="34" t="s">
        <v>1494</v>
      </c>
    </row>
    <row r="2737" spans="1:18" ht="15" customHeight="1" x14ac:dyDescent="0.25">
      <c r="A2737" t="str">
        <f>IFERROR(RANK(B2737,$B:$B,1)+COUNTIF($B$1:B2736,B2737),"")</f>
        <v/>
      </c>
      <c r="B2737" t="str">
        <f>IFERROR(SEARCH(#REF!,Table4[[#This Row],[Commodity Title]],1),"")</f>
        <v/>
      </c>
      <c r="C2737" s="35">
        <v>42291614</v>
      </c>
      <c r="D2737" s="33" t="s">
        <v>1495</v>
      </c>
      <c r="E2737" s="33" t="s">
        <v>1496</v>
      </c>
      <c r="F2737" s="33" t="s">
        <v>1497</v>
      </c>
      <c r="G2737" s="33" t="s">
        <v>7062</v>
      </c>
      <c r="H2737" s="33" t="s">
        <v>7063</v>
      </c>
      <c r="I2737" s="33" t="s">
        <v>7064</v>
      </c>
      <c r="J2737" s="33">
        <v>104382</v>
      </c>
      <c r="K2737" s="33" t="s">
        <v>7074</v>
      </c>
      <c r="L2737" s="33" t="s">
        <v>7075</v>
      </c>
      <c r="M2737" s="33" t="s">
        <v>7076</v>
      </c>
      <c r="N2737" s="44">
        <v>42291614</v>
      </c>
      <c r="O2737" s="33" t="s">
        <v>7097</v>
      </c>
      <c r="P2737" s="33" t="s">
        <v>7098</v>
      </c>
      <c r="Q2737" s="34" t="s">
        <v>1494</v>
      </c>
      <c r="R2737" s="34" t="s">
        <v>1494</v>
      </c>
    </row>
    <row r="2738" spans="1:18" ht="15" customHeight="1" x14ac:dyDescent="0.25">
      <c r="A2738" t="str">
        <f>IFERROR(RANK(B2738,$B:$B,1)+COUNTIF($B$1:B2737,B2738),"")</f>
        <v/>
      </c>
      <c r="B2738" t="str">
        <f>IFERROR(SEARCH(#REF!,Table4[[#This Row],[Commodity Title]],1),"")</f>
        <v/>
      </c>
      <c r="C2738" s="35">
        <v>42291615</v>
      </c>
      <c r="D2738" s="33" t="s">
        <v>1495</v>
      </c>
      <c r="E2738" s="33" t="s">
        <v>1496</v>
      </c>
      <c r="F2738" s="33" t="s">
        <v>1497</v>
      </c>
      <c r="G2738" s="33" t="s">
        <v>7062</v>
      </c>
      <c r="H2738" s="33" t="s">
        <v>7063</v>
      </c>
      <c r="I2738" s="33" t="s">
        <v>7064</v>
      </c>
      <c r="J2738" s="33">
        <v>104383</v>
      </c>
      <c r="K2738" s="33" t="s">
        <v>7074</v>
      </c>
      <c r="L2738" s="33" t="s">
        <v>7075</v>
      </c>
      <c r="M2738" s="33" t="s">
        <v>7076</v>
      </c>
      <c r="N2738" s="44">
        <v>42291615</v>
      </c>
      <c r="O2738" s="33" t="s">
        <v>7099</v>
      </c>
      <c r="P2738" s="33" t="s">
        <v>7100</v>
      </c>
      <c r="Q2738" s="34" t="s">
        <v>1494</v>
      </c>
      <c r="R2738" s="34" t="s">
        <v>1494</v>
      </c>
    </row>
    <row r="2739" spans="1:18" ht="15" customHeight="1" x14ac:dyDescent="0.25">
      <c r="A2739" t="str">
        <f>IFERROR(RANK(B2739,$B:$B,1)+COUNTIF($B$1:B2738,B2739),"")</f>
        <v/>
      </c>
      <c r="B2739" t="str">
        <f>IFERROR(SEARCH(#REF!,Table4[[#This Row],[Commodity Title]],1),"")</f>
        <v/>
      </c>
      <c r="C2739" s="35">
        <v>42291616</v>
      </c>
      <c r="D2739" s="33" t="s">
        <v>1495</v>
      </c>
      <c r="E2739" s="33" t="s">
        <v>1496</v>
      </c>
      <c r="F2739" s="33" t="s">
        <v>1497</v>
      </c>
      <c r="G2739" s="33" t="s">
        <v>7062</v>
      </c>
      <c r="H2739" s="33" t="s">
        <v>7063</v>
      </c>
      <c r="I2739" s="33" t="s">
        <v>7064</v>
      </c>
      <c r="J2739" s="33">
        <v>116154</v>
      </c>
      <c r="K2739" s="33" t="s">
        <v>7074</v>
      </c>
      <c r="L2739" s="33" t="s">
        <v>7075</v>
      </c>
      <c r="M2739" s="33" t="s">
        <v>7076</v>
      </c>
      <c r="N2739" s="44">
        <v>42291616</v>
      </c>
      <c r="O2739" s="33" t="s">
        <v>7101</v>
      </c>
      <c r="P2739" s="33" t="s">
        <v>7102</v>
      </c>
      <c r="Q2739" s="34" t="s">
        <v>1494</v>
      </c>
      <c r="R2739" s="34" t="s">
        <v>1494</v>
      </c>
    </row>
    <row r="2740" spans="1:18" ht="15" customHeight="1" x14ac:dyDescent="0.25">
      <c r="A2740" t="str">
        <f>IFERROR(RANK(B2740,$B:$B,1)+COUNTIF($B$1:B2739,B2740),"")</f>
        <v/>
      </c>
      <c r="B2740" t="str">
        <f>IFERROR(SEARCH(#REF!,Table4[[#This Row],[Commodity Title]],1),"")</f>
        <v/>
      </c>
      <c r="C2740" s="35">
        <v>42291617</v>
      </c>
      <c r="D2740" s="33" t="s">
        <v>1495</v>
      </c>
      <c r="E2740" s="33" t="s">
        <v>1496</v>
      </c>
      <c r="F2740" s="33" t="s">
        <v>1497</v>
      </c>
      <c r="G2740" s="33" t="s">
        <v>7062</v>
      </c>
      <c r="H2740" s="33" t="s">
        <v>7063</v>
      </c>
      <c r="I2740" s="33" t="s">
        <v>7064</v>
      </c>
      <c r="J2740" s="33">
        <v>116155</v>
      </c>
      <c r="K2740" s="33" t="s">
        <v>7074</v>
      </c>
      <c r="L2740" s="33" t="s">
        <v>7075</v>
      </c>
      <c r="M2740" s="33" t="s">
        <v>7076</v>
      </c>
      <c r="N2740" s="44">
        <v>42291617</v>
      </c>
      <c r="O2740" s="33" t="s">
        <v>7103</v>
      </c>
      <c r="P2740" s="33" t="s">
        <v>7104</v>
      </c>
      <c r="Q2740" s="34" t="s">
        <v>1494</v>
      </c>
      <c r="R2740" s="34" t="s">
        <v>1494</v>
      </c>
    </row>
    <row r="2741" spans="1:18" ht="15" customHeight="1" x14ac:dyDescent="0.25">
      <c r="A2741" t="str">
        <f>IFERROR(RANK(B2741,$B:$B,1)+COUNTIF($B$1:B2740,B2741),"")</f>
        <v/>
      </c>
      <c r="B2741" t="str">
        <f>IFERROR(SEARCH(#REF!,Table4[[#This Row],[Commodity Title]],1),"")</f>
        <v/>
      </c>
      <c r="C2741" s="35">
        <v>42291619</v>
      </c>
      <c r="D2741" s="33" t="s">
        <v>1495</v>
      </c>
      <c r="E2741" s="33" t="s">
        <v>1496</v>
      </c>
      <c r="F2741" s="33" t="s">
        <v>1497</v>
      </c>
      <c r="G2741" s="33" t="s">
        <v>7062</v>
      </c>
      <c r="H2741" s="33" t="s">
        <v>7063</v>
      </c>
      <c r="I2741" s="33" t="s">
        <v>7064</v>
      </c>
      <c r="J2741" s="33">
        <v>116157</v>
      </c>
      <c r="K2741" s="33" t="s">
        <v>7074</v>
      </c>
      <c r="L2741" s="33" t="s">
        <v>7075</v>
      </c>
      <c r="M2741" s="33" t="s">
        <v>7076</v>
      </c>
      <c r="N2741" s="44">
        <v>42291619</v>
      </c>
      <c r="O2741" s="33" t="s">
        <v>7105</v>
      </c>
      <c r="P2741" s="33" t="s">
        <v>7106</v>
      </c>
      <c r="Q2741" s="34" t="s">
        <v>1494</v>
      </c>
      <c r="R2741" s="34" t="s">
        <v>1494</v>
      </c>
    </row>
    <row r="2742" spans="1:18" ht="15" customHeight="1" x14ac:dyDescent="0.25">
      <c r="A2742" t="str">
        <f>IFERROR(RANK(B2742,$B:$B,1)+COUNTIF($B$1:B2741,B2742),"")</f>
        <v/>
      </c>
      <c r="B2742" t="str">
        <f>IFERROR(SEARCH(#REF!,Table4[[#This Row],[Commodity Title]],1),"")</f>
        <v/>
      </c>
      <c r="C2742" s="35">
        <v>42291621</v>
      </c>
      <c r="D2742" s="33" t="s">
        <v>1495</v>
      </c>
      <c r="E2742" s="33" t="s">
        <v>1496</v>
      </c>
      <c r="F2742" s="33" t="s">
        <v>1497</v>
      </c>
      <c r="G2742" s="33" t="s">
        <v>7062</v>
      </c>
      <c r="H2742" s="33" t="s">
        <v>7063</v>
      </c>
      <c r="I2742" s="33" t="s">
        <v>7064</v>
      </c>
      <c r="J2742" s="33">
        <v>142745</v>
      </c>
      <c r="K2742" s="33" t="s">
        <v>7074</v>
      </c>
      <c r="L2742" s="33" t="s">
        <v>7075</v>
      </c>
      <c r="M2742" s="33" t="s">
        <v>7076</v>
      </c>
      <c r="N2742" s="44">
        <v>42291621</v>
      </c>
      <c r="O2742" s="33" t="s">
        <v>7107</v>
      </c>
      <c r="P2742" s="33" t="s">
        <v>7108</v>
      </c>
      <c r="Q2742" s="34" t="s">
        <v>1494</v>
      </c>
      <c r="R2742" s="34" t="s">
        <v>1494</v>
      </c>
    </row>
    <row r="2743" spans="1:18" ht="15" customHeight="1" x14ac:dyDescent="0.25">
      <c r="A2743" t="str">
        <f>IFERROR(RANK(B2743,$B:$B,1)+COUNTIF($B$1:B2742,B2743),"")</f>
        <v/>
      </c>
      <c r="B2743" t="str">
        <f>IFERROR(SEARCH(#REF!,Table4[[#This Row],[Commodity Title]],1),"")</f>
        <v/>
      </c>
      <c r="C2743" s="35">
        <v>42291627</v>
      </c>
      <c r="D2743" s="33" t="s">
        <v>1495</v>
      </c>
      <c r="E2743" s="33" t="s">
        <v>1496</v>
      </c>
      <c r="F2743" s="33" t="s">
        <v>1497</v>
      </c>
      <c r="G2743" s="33" t="s">
        <v>7062</v>
      </c>
      <c r="H2743" s="33" t="s">
        <v>7063</v>
      </c>
      <c r="I2743" s="33" t="s">
        <v>7064</v>
      </c>
      <c r="J2743" s="33">
        <v>142750</v>
      </c>
      <c r="K2743" s="33" t="s">
        <v>7074</v>
      </c>
      <c r="L2743" s="33" t="s">
        <v>7075</v>
      </c>
      <c r="M2743" s="33" t="s">
        <v>7076</v>
      </c>
      <c r="N2743" s="44">
        <v>42291627</v>
      </c>
      <c r="O2743" s="33" t="s">
        <v>136</v>
      </c>
      <c r="P2743" s="33" t="s">
        <v>7109</v>
      </c>
      <c r="Q2743" s="34" t="s">
        <v>1494</v>
      </c>
      <c r="R2743" s="34" t="s">
        <v>1494</v>
      </c>
    </row>
    <row r="2744" spans="1:18" ht="15" customHeight="1" x14ac:dyDescent="0.25">
      <c r="A2744" t="str">
        <f>IFERROR(RANK(B2744,$B:$B,1)+COUNTIF($B$1:B2743,B2744),"")</f>
        <v/>
      </c>
      <c r="B2744" t="str">
        <f>IFERROR(SEARCH(#REF!,Table4[[#This Row],[Commodity Title]],1),"")</f>
        <v/>
      </c>
      <c r="C2744" s="35">
        <v>42291628</v>
      </c>
      <c r="D2744" s="33" t="s">
        <v>1495</v>
      </c>
      <c r="E2744" s="33" t="s">
        <v>1496</v>
      </c>
      <c r="F2744" s="33" t="s">
        <v>1497</v>
      </c>
      <c r="G2744" s="33" t="s">
        <v>7062</v>
      </c>
      <c r="H2744" s="33" t="s">
        <v>7063</v>
      </c>
      <c r="I2744" s="33" t="s">
        <v>7064</v>
      </c>
      <c r="J2744" s="33">
        <v>203101</v>
      </c>
      <c r="K2744" s="33" t="s">
        <v>7074</v>
      </c>
      <c r="L2744" s="33" t="s">
        <v>7075</v>
      </c>
      <c r="M2744" s="33" t="s">
        <v>7076</v>
      </c>
      <c r="N2744" s="44">
        <v>42291628</v>
      </c>
      <c r="O2744" s="33" t="s">
        <v>7110</v>
      </c>
      <c r="P2744" s="33" t="s">
        <v>7111</v>
      </c>
      <c r="Q2744" s="34" t="s">
        <v>1494</v>
      </c>
      <c r="R2744" s="34" t="s">
        <v>1494</v>
      </c>
    </row>
    <row r="2745" spans="1:18" ht="15" customHeight="1" x14ac:dyDescent="0.25">
      <c r="A2745" t="str">
        <f>IFERROR(RANK(B2745,$B:$B,1)+COUNTIF($B$1:B2744,B2745),"")</f>
        <v/>
      </c>
      <c r="B2745" t="str">
        <f>IFERROR(SEARCH(#REF!,Table4[[#This Row],[Commodity Title]],1),"")</f>
        <v/>
      </c>
      <c r="C2745" s="35">
        <v>42291629</v>
      </c>
      <c r="D2745" s="33" t="s">
        <v>1495</v>
      </c>
      <c r="E2745" s="33" t="s">
        <v>1496</v>
      </c>
      <c r="F2745" s="33" t="s">
        <v>1497</v>
      </c>
      <c r="G2745" s="33" t="s">
        <v>7062</v>
      </c>
      <c r="H2745" s="33" t="s">
        <v>7063</v>
      </c>
      <c r="I2745" s="33" t="s">
        <v>7064</v>
      </c>
      <c r="J2745" s="33">
        <v>203102</v>
      </c>
      <c r="K2745" s="33" t="s">
        <v>7074</v>
      </c>
      <c r="L2745" s="33" t="s">
        <v>7075</v>
      </c>
      <c r="M2745" s="33" t="s">
        <v>7076</v>
      </c>
      <c r="N2745" s="44">
        <v>42291629</v>
      </c>
      <c r="O2745" s="33" t="s">
        <v>7112</v>
      </c>
      <c r="P2745" s="33" t="s">
        <v>7113</v>
      </c>
      <c r="Q2745" s="34" t="s">
        <v>1494</v>
      </c>
      <c r="R2745" s="34" t="s">
        <v>1494</v>
      </c>
    </row>
    <row r="2746" spans="1:18" ht="15" customHeight="1" x14ac:dyDescent="0.25">
      <c r="A2746" t="str">
        <f>IFERROR(RANK(B2746,$B:$B,1)+COUNTIF($B$1:B2745,B2746),"")</f>
        <v/>
      </c>
      <c r="B2746" t="str">
        <f>IFERROR(SEARCH(#REF!,Table4[[#This Row],[Commodity Title]],1),"")</f>
        <v/>
      </c>
      <c r="C2746" s="35">
        <v>42291630</v>
      </c>
      <c r="D2746" s="33" t="s">
        <v>1495</v>
      </c>
      <c r="E2746" s="33" t="s">
        <v>1496</v>
      </c>
      <c r="F2746" s="33" t="s">
        <v>1497</v>
      </c>
      <c r="G2746" s="33" t="s">
        <v>7062</v>
      </c>
      <c r="H2746" s="33" t="s">
        <v>7063</v>
      </c>
      <c r="I2746" s="33" t="s">
        <v>7064</v>
      </c>
      <c r="J2746" s="33">
        <v>203103</v>
      </c>
      <c r="K2746" s="33" t="s">
        <v>7074</v>
      </c>
      <c r="L2746" s="33" t="s">
        <v>7075</v>
      </c>
      <c r="M2746" s="33" t="s">
        <v>7076</v>
      </c>
      <c r="N2746" s="44">
        <v>42291630</v>
      </c>
      <c r="O2746" s="33" t="s">
        <v>7114</v>
      </c>
      <c r="P2746" s="33" t="s">
        <v>7115</v>
      </c>
      <c r="Q2746" s="34" t="s">
        <v>1494</v>
      </c>
      <c r="R2746" s="34" t="s">
        <v>1494</v>
      </c>
    </row>
    <row r="2747" spans="1:18" ht="15" customHeight="1" x14ac:dyDescent="0.25">
      <c r="A2747" t="str">
        <f>IFERROR(RANK(B2747,$B:$B,1)+COUNTIF($B$1:B2746,B2747),"")</f>
        <v/>
      </c>
      <c r="B2747" t="str">
        <f>IFERROR(SEARCH(#REF!,Table4[[#This Row],[Commodity Title]],1),"")</f>
        <v/>
      </c>
      <c r="C2747" s="35">
        <v>42291631</v>
      </c>
      <c r="D2747" s="33" t="s">
        <v>1495</v>
      </c>
      <c r="E2747" s="33" t="s">
        <v>1496</v>
      </c>
      <c r="F2747" s="33" t="s">
        <v>1497</v>
      </c>
      <c r="G2747" s="33" t="s">
        <v>7062</v>
      </c>
      <c r="H2747" s="33" t="s">
        <v>7063</v>
      </c>
      <c r="I2747" s="33" t="s">
        <v>7064</v>
      </c>
      <c r="J2747" s="33">
        <v>203104</v>
      </c>
      <c r="K2747" s="33" t="s">
        <v>7074</v>
      </c>
      <c r="L2747" s="33" t="s">
        <v>7075</v>
      </c>
      <c r="M2747" s="33" t="s">
        <v>7076</v>
      </c>
      <c r="N2747" s="44">
        <v>42291631</v>
      </c>
      <c r="O2747" s="33" t="s">
        <v>7116</v>
      </c>
      <c r="P2747" s="33" t="s">
        <v>7117</v>
      </c>
      <c r="Q2747" s="34" t="s">
        <v>1494</v>
      </c>
      <c r="R2747" s="34" t="s">
        <v>1494</v>
      </c>
    </row>
    <row r="2748" spans="1:18" ht="15" customHeight="1" x14ac:dyDescent="0.25">
      <c r="A2748" t="str">
        <f>IFERROR(RANK(B2748,$B:$B,1)+COUNTIF($B$1:B2747,B2748),"")</f>
        <v/>
      </c>
      <c r="B2748" t="str">
        <f>IFERROR(SEARCH(#REF!,Table4[[#This Row],[Commodity Title]],1),"")</f>
        <v/>
      </c>
      <c r="C2748" s="35">
        <v>42291632</v>
      </c>
      <c r="D2748" s="33" t="s">
        <v>1495</v>
      </c>
      <c r="E2748" s="33" t="s">
        <v>1496</v>
      </c>
      <c r="F2748" s="33" t="s">
        <v>1497</v>
      </c>
      <c r="G2748" s="33" t="s">
        <v>7062</v>
      </c>
      <c r="H2748" s="33" t="s">
        <v>7063</v>
      </c>
      <c r="I2748" s="33" t="s">
        <v>7064</v>
      </c>
      <c r="J2748" s="33">
        <v>203105</v>
      </c>
      <c r="K2748" s="33" t="s">
        <v>7074</v>
      </c>
      <c r="L2748" s="33" t="s">
        <v>7075</v>
      </c>
      <c r="M2748" s="33" t="s">
        <v>7076</v>
      </c>
      <c r="N2748" s="44">
        <v>42291632</v>
      </c>
      <c r="O2748" s="33" t="s">
        <v>56</v>
      </c>
      <c r="P2748" s="33" t="s">
        <v>7118</v>
      </c>
      <c r="Q2748" s="34" t="s">
        <v>1494</v>
      </c>
      <c r="R2748" s="34" t="s">
        <v>1494</v>
      </c>
    </row>
    <row r="2749" spans="1:18" ht="15" customHeight="1" x14ac:dyDescent="0.25">
      <c r="A2749" t="str">
        <f>IFERROR(RANK(B2749,$B:$B,1)+COUNTIF($B$1:B2748,B2749),"")</f>
        <v/>
      </c>
      <c r="B2749" t="str">
        <f>IFERROR(SEARCH(#REF!,Table4[[#This Row],[Commodity Title]],1),"")</f>
        <v/>
      </c>
      <c r="C2749" s="35">
        <v>42291633</v>
      </c>
      <c r="D2749" s="33" t="s">
        <v>1495</v>
      </c>
      <c r="E2749" s="33" t="s">
        <v>1496</v>
      </c>
      <c r="F2749" s="33" t="s">
        <v>1497</v>
      </c>
      <c r="G2749" s="33" t="s">
        <v>7062</v>
      </c>
      <c r="H2749" s="33" t="s">
        <v>7063</v>
      </c>
      <c r="I2749" s="33" t="s">
        <v>7064</v>
      </c>
      <c r="J2749" s="33">
        <v>208431</v>
      </c>
      <c r="K2749" s="33" t="s">
        <v>7074</v>
      </c>
      <c r="L2749" s="33" t="s">
        <v>7075</v>
      </c>
      <c r="M2749" s="33" t="s">
        <v>7076</v>
      </c>
      <c r="N2749" s="44">
        <v>42291633</v>
      </c>
      <c r="O2749" s="33" t="s">
        <v>7119</v>
      </c>
      <c r="P2749" s="33" t="s">
        <v>7120</v>
      </c>
      <c r="Q2749" s="34" t="s">
        <v>1494</v>
      </c>
      <c r="R2749" s="34" t="s">
        <v>1494</v>
      </c>
    </row>
    <row r="2750" spans="1:18" ht="15" customHeight="1" x14ac:dyDescent="0.25">
      <c r="A2750" t="str">
        <f>IFERROR(RANK(B2750,$B:$B,1)+COUNTIF($B$1:B2749,B2750),"")</f>
        <v/>
      </c>
      <c r="B2750" t="str">
        <f>IFERROR(SEARCH(#REF!,Table4[[#This Row],[Commodity Title]],1),"")</f>
        <v/>
      </c>
      <c r="C2750" s="33" t="s">
        <v>1494</v>
      </c>
      <c r="D2750" s="33" t="s">
        <v>1495</v>
      </c>
      <c r="E2750" s="33" t="s">
        <v>1496</v>
      </c>
      <c r="F2750" s="33" t="s">
        <v>1497</v>
      </c>
      <c r="G2750" s="33" t="s">
        <v>7062</v>
      </c>
      <c r="H2750" s="33" t="s">
        <v>7063</v>
      </c>
      <c r="I2750" s="33" t="s">
        <v>7064</v>
      </c>
      <c r="J2750" s="33">
        <v>116159</v>
      </c>
      <c r="K2750" s="33" t="s">
        <v>7121</v>
      </c>
      <c r="L2750" s="33" t="s">
        <v>7122</v>
      </c>
      <c r="M2750" s="33" t="s">
        <v>7123</v>
      </c>
      <c r="N2750" s="44" t="s">
        <v>1494</v>
      </c>
      <c r="O2750" s="33" t="s">
        <v>1494</v>
      </c>
      <c r="P2750" s="33" t="s">
        <v>1494</v>
      </c>
      <c r="Q2750" s="34" t="s">
        <v>1494</v>
      </c>
      <c r="R2750" s="34" t="s">
        <v>1494</v>
      </c>
    </row>
    <row r="2751" spans="1:18" ht="15" customHeight="1" x14ac:dyDescent="0.25">
      <c r="A2751" t="str">
        <f>IFERROR(RANK(B2751,$B:$B,1)+COUNTIF($B$1:B2750,B2751),"")</f>
        <v/>
      </c>
      <c r="B2751" t="str">
        <f>IFERROR(SEARCH(#REF!,Table4[[#This Row],[Commodity Title]],1),"")</f>
        <v/>
      </c>
      <c r="C2751" s="35">
        <v>42291701</v>
      </c>
      <c r="D2751" s="33" t="s">
        <v>1495</v>
      </c>
      <c r="E2751" s="33" t="s">
        <v>1496</v>
      </c>
      <c r="F2751" s="33" t="s">
        <v>1497</v>
      </c>
      <c r="G2751" s="33" t="s">
        <v>7062</v>
      </c>
      <c r="H2751" s="33" t="s">
        <v>7063</v>
      </c>
      <c r="I2751" s="33" t="s">
        <v>7064</v>
      </c>
      <c r="J2751" s="33">
        <v>116160</v>
      </c>
      <c r="K2751" s="33" t="s">
        <v>7121</v>
      </c>
      <c r="L2751" s="33" t="s">
        <v>7122</v>
      </c>
      <c r="M2751" s="33" t="s">
        <v>7123</v>
      </c>
      <c r="N2751" s="44">
        <v>42291701</v>
      </c>
      <c r="O2751" s="33" t="s">
        <v>7124</v>
      </c>
      <c r="P2751" s="33" t="s">
        <v>7125</v>
      </c>
      <c r="Q2751" s="34" t="s">
        <v>1494</v>
      </c>
      <c r="R2751" s="34" t="s">
        <v>1494</v>
      </c>
    </row>
    <row r="2752" spans="1:18" ht="15" customHeight="1" x14ac:dyDescent="0.25">
      <c r="A2752" t="str">
        <f>IFERROR(RANK(B2752,$B:$B,1)+COUNTIF($B$1:B2751,B2752),"")</f>
        <v/>
      </c>
      <c r="B2752" t="str">
        <f>IFERROR(SEARCH(#REF!,Table4[[#This Row],[Commodity Title]],1),"")</f>
        <v/>
      </c>
      <c r="C2752" s="35">
        <v>42291702</v>
      </c>
      <c r="D2752" s="33" t="s">
        <v>1495</v>
      </c>
      <c r="E2752" s="33" t="s">
        <v>1496</v>
      </c>
      <c r="F2752" s="33" t="s">
        <v>1497</v>
      </c>
      <c r="G2752" s="33" t="s">
        <v>7062</v>
      </c>
      <c r="H2752" s="33" t="s">
        <v>7063</v>
      </c>
      <c r="I2752" s="33" t="s">
        <v>7064</v>
      </c>
      <c r="J2752" s="33">
        <v>116161</v>
      </c>
      <c r="K2752" s="33" t="s">
        <v>7121</v>
      </c>
      <c r="L2752" s="33" t="s">
        <v>7122</v>
      </c>
      <c r="M2752" s="33" t="s">
        <v>7123</v>
      </c>
      <c r="N2752" s="44">
        <v>42291702</v>
      </c>
      <c r="O2752" s="33" t="s">
        <v>27</v>
      </c>
      <c r="P2752" s="33" t="s">
        <v>7126</v>
      </c>
      <c r="Q2752" s="34" t="s">
        <v>1494</v>
      </c>
      <c r="R2752" s="34" t="s">
        <v>1494</v>
      </c>
    </row>
    <row r="2753" spans="1:18" ht="15" customHeight="1" x14ac:dyDescent="0.25">
      <c r="A2753" t="str">
        <f>IFERROR(RANK(B2753,$B:$B,1)+COUNTIF($B$1:B2752,B2753),"")</f>
        <v/>
      </c>
      <c r="B2753" t="str">
        <f>IFERROR(SEARCH(#REF!,Table4[[#This Row],[Commodity Title]],1),"")</f>
        <v/>
      </c>
      <c r="C2753" s="35">
        <v>42291703</v>
      </c>
      <c r="D2753" s="33" t="s">
        <v>1495</v>
      </c>
      <c r="E2753" s="33" t="s">
        <v>1496</v>
      </c>
      <c r="F2753" s="33" t="s">
        <v>1497</v>
      </c>
      <c r="G2753" s="33" t="s">
        <v>7062</v>
      </c>
      <c r="H2753" s="33" t="s">
        <v>7063</v>
      </c>
      <c r="I2753" s="33" t="s">
        <v>7064</v>
      </c>
      <c r="J2753" s="33">
        <v>104386</v>
      </c>
      <c r="K2753" s="33" t="s">
        <v>7121</v>
      </c>
      <c r="L2753" s="33" t="s">
        <v>7122</v>
      </c>
      <c r="M2753" s="33" t="s">
        <v>7123</v>
      </c>
      <c r="N2753" s="44">
        <v>42291703</v>
      </c>
      <c r="O2753" s="33" t="s">
        <v>7127</v>
      </c>
      <c r="P2753" s="33" t="s">
        <v>7128</v>
      </c>
      <c r="Q2753" s="34" t="s">
        <v>1494</v>
      </c>
      <c r="R2753" s="34" t="s">
        <v>1494</v>
      </c>
    </row>
    <row r="2754" spans="1:18" ht="15" customHeight="1" x14ac:dyDescent="0.25">
      <c r="A2754" t="str">
        <f>IFERROR(RANK(B2754,$B:$B,1)+COUNTIF($B$1:B2753,B2754),"")</f>
        <v/>
      </c>
      <c r="B2754" t="str">
        <f>IFERROR(SEARCH(#REF!,Table4[[#This Row],[Commodity Title]],1),"")</f>
        <v/>
      </c>
      <c r="C2754" s="35">
        <v>42291708</v>
      </c>
      <c r="D2754" s="33" t="s">
        <v>1495</v>
      </c>
      <c r="E2754" s="33" t="s">
        <v>1496</v>
      </c>
      <c r="F2754" s="33" t="s">
        <v>1497</v>
      </c>
      <c r="G2754" s="33" t="s">
        <v>7062</v>
      </c>
      <c r="H2754" s="33" t="s">
        <v>7063</v>
      </c>
      <c r="I2754" s="33" t="s">
        <v>7064</v>
      </c>
      <c r="J2754" s="33">
        <v>143857</v>
      </c>
      <c r="K2754" s="33" t="s">
        <v>7121</v>
      </c>
      <c r="L2754" s="33" t="s">
        <v>7122</v>
      </c>
      <c r="M2754" s="33" t="s">
        <v>7123</v>
      </c>
      <c r="N2754" s="44">
        <v>42291708</v>
      </c>
      <c r="O2754" s="33" t="s">
        <v>47</v>
      </c>
      <c r="P2754" s="33" t="s">
        <v>7129</v>
      </c>
      <c r="Q2754" s="34" t="s">
        <v>1494</v>
      </c>
      <c r="R2754" s="34" t="s">
        <v>1494</v>
      </c>
    </row>
    <row r="2755" spans="1:18" ht="15" customHeight="1" x14ac:dyDescent="0.25">
      <c r="A2755" t="str">
        <f>IFERROR(RANK(B2755,$B:$B,1)+COUNTIF($B$1:B2754,B2755),"")</f>
        <v/>
      </c>
      <c r="B2755" t="str">
        <f>IFERROR(SEARCH(#REF!,Table4[[#This Row],[Commodity Title]],1),"")</f>
        <v/>
      </c>
      <c r="C2755" s="35">
        <v>42291709</v>
      </c>
      <c r="D2755" s="33" t="s">
        <v>1495</v>
      </c>
      <c r="E2755" s="33" t="s">
        <v>1496</v>
      </c>
      <c r="F2755" s="33" t="s">
        <v>1497</v>
      </c>
      <c r="G2755" s="33" t="s">
        <v>7062</v>
      </c>
      <c r="H2755" s="33" t="s">
        <v>7063</v>
      </c>
      <c r="I2755" s="33" t="s">
        <v>7064</v>
      </c>
      <c r="J2755" s="33">
        <v>143858</v>
      </c>
      <c r="K2755" s="33" t="s">
        <v>7121</v>
      </c>
      <c r="L2755" s="33" t="s">
        <v>7122</v>
      </c>
      <c r="M2755" s="33" t="s">
        <v>7123</v>
      </c>
      <c r="N2755" s="44">
        <v>42291709</v>
      </c>
      <c r="O2755" s="33" t="s">
        <v>7130</v>
      </c>
      <c r="P2755" s="33" t="s">
        <v>7131</v>
      </c>
      <c r="Q2755" s="34" t="s">
        <v>1494</v>
      </c>
      <c r="R2755" s="34" t="s">
        <v>1494</v>
      </c>
    </row>
    <row r="2756" spans="1:18" ht="15" customHeight="1" x14ac:dyDescent="0.25">
      <c r="A2756" t="str">
        <f>IFERROR(RANK(B2756,$B:$B,1)+COUNTIF($B$1:B2755,B2756),"")</f>
        <v/>
      </c>
      <c r="B2756" t="str">
        <f>IFERROR(SEARCH(#REF!,Table4[[#This Row],[Commodity Title]],1),"")</f>
        <v/>
      </c>
      <c r="C2756" s="35">
        <v>42291711</v>
      </c>
      <c r="D2756" s="33" t="s">
        <v>1495</v>
      </c>
      <c r="E2756" s="33" t="s">
        <v>1496</v>
      </c>
      <c r="F2756" s="33" t="s">
        <v>1497</v>
      </c>
      <c r="G2756" s="33" t="s">
        <v>7062</v>
      </c>
      <c r="H2756" s="33" t="s">
        <v>7063</v>
      </c>
      <c r="I2756" s="33" t="s">
        <v>7064</v>
      </c>
      <c r="J2756" s="33">
        <v>203107</v>
      </c>
      <c r="K2756" s="33" t="s">
        <v>7121</v>
      </c>
      <c r="L2756" s="33" t="s">
        <v>7122</v>
      </c>
      <c r="M2756" s="33" t="s">
        <v>7123</v>
      </c>
      <c r="N2756" s="44">
        <v>42291711</v>
      </c>
      <c r="O2756" s="33" t="s">
        <v>7132</v>
      </c>
      <c r="P2756" s="33" t="s">
        <v>7133</v>
      </c>
      <c r="Q2756" s="34" t="s">
        <v>1494</v>
      </c>
      <c r="R2756" s="34" t="s">
        <v>1494</v>
      </c>
    </row>
    <row r="2757" spans="1:18" ht="15" customHeight="1" x14ac:dyDescent="0.25">
      <c r="A2757" t="str">
        <f>IFERROR(RANK(B2757,$B:$B,1)+COUNTIF($B$1:B2756,B2757),"")</f>
        <v/>
      </c>
      <c r="B2757" t="str">
        <f>IFERROR(SEARCH(#REF!,Table4[[#This Row],[Commodity Title]],1),"")</f>
        <v/>
      </c>
      <c r="C2757" s="35">
        <v>42291712</v>
      </c>
      <c r="D2757" s="33" t="s">
        <v>1495</v>
      </c>
      <c r="E2757" s="33" t="s">
        <v>1496</v>
      </c>
      <c r="F2757" s="33" t="s">
        <v>1497</v>
      </c>
      <c r="G2757" s="33" t="s">
        <v>7062</v>
      </c>
      <c r="H2757" s="33" t="s">
        <v>7063</v>
      </c>
      <c r="I2757" s="33" t="s">
        <v>7064</v>
      </c>
      <c r="J2757" s="33">
        <v>203108</v>
      </c>
      <c r="K2757" s="33" t="s">
        <v>7121</v>
      </c>
      <c r="L2757" s="33" t="s">
        <v>7122</v>
      </c>
      <c r="M2757" s="33" t="s">
        <v>7123</v>
      </c>
      <c r="N2757" s="44">
        <v>42291712</v>
      </c>
      <c r="O2757" s="33" t="s">
        <v>7134</v>
      </c>
      <c r="P2757" s="33" t="s">
        <v>7135</v>
      </c>
      <c r="Q2757" s="34" t="s">
        <v>1494</v>
      </c>
      <c r="R2757" s="34" t="s">
        <v>1494</v>
      </c>
    </row>
    <row r="2758" spans="1:18" ht="15" customHeight="1" x14ac:dyDescent="0.25">
      <c r="A2758" t="str">
        <f>IFERROR(RANK(B2758,$B:$B,1)+COUNTIF($B$1:B2757,B2758),"")</f>
        <v/>
      </c>
      <c r="B2758" t="str">
        <f>IFERROR(SEARCH(#REF!,Table4[[#This Row],[Commodity Title]],1),"")</f>
        <v/>
      </c>
      <c r="C2758" s="35">
        <v>42291713</v>
      </c>
      <c r="D2758" s="33" t="s">
        <v>1495</v>
      </c>
      <c r="E2758" s="33" t="s">
        <v>1496</v>
      </c>
      <c r="F2758" s="33" t="s">
        <v>1497</v>
      </c>
      <c r="G2758" s="33" t="s">
        <v>7062</v>
      </c>
      <c r="H2758" s="33" t="s">
        <v>7063</v>
      </c>
      <c r="I2758" s="33" t="s">
        <v>7064</v>
      </c>
      <c r="J2758" s="33">
        <v>116163</v>
      </c>
      <c r="K2758" s="33" t="s">
        <v>7121</v>
      </c>
      <c r="L2758" s="33" t="s">
        <v>7122</v>
      </c>
      <c r="M2758" s="33" t="s">
        <v>7123</v>
      </c>
      <c r="N2758" s="44">
        <v>42291713</v>
      </c>
      <c r="O2758" s="33" t="s">
        <v>7136</v>
      </c>
      <c r="P2758" s="33" t="s">
        <v>7137</v>
      </c>
      <c r="Q2758" s="34" t="s">
        <v>1494</v>
      </c>
      <c r="R2758" s="34" t="s">
        <v>1494</v>
      </c>
    </row>
    <row r="2759" spans="1:18" ht="15" customHeight="1" x14ac:dyDescent="0.25">
      <c r="A2759" t="str">
        <f>IFERROR(RANK(B2759,$B:$B,1)+COUNTIF($B$1:B2758,B2759),"")</f>
        <v/>
      </c>
      <c r="B2759" t="str">
        <f>IFERROR(SEARCH(#REF!,Table4[[#This Row],[Commodity Title]],1),"")</f>
        <v/>
      </c>
      <c r="C2759" s="35">
        <v>42291714</v>
      </c>
      <c r="D2759" s="33" t="s">
        <v>1495</v>
      </c>
      <c r="E2759" s="33" t="s">
        <v>1496</v>
      </c>
      <c r="F2759" s="33" t="s">
        <v>1497</v>
      </c>
      <c r="G2759" s="33" t="s">
        <v>7062</v>
      </c>
      <c r="H2759" s="33" t="s">
        <v>7063</v>
      </c>
      <c r="I2759" s="33" t="s">
        <v>7064</v>
      </c>
      <c r="J2759" s="33">
        <v>203109</v>
      </c>
      <c r="K2759" s="33" t="s">
        <v>7121</v>
      </c>
      <c r="L2759" s="33" t="s">
        <v>7122</v>
      </c>
      <c r="M2759" s="33" t="s">
        <v>7123</v>
      </c>
      <c r="N2759" s="44">
        <v>42291714</v>
      </c>
      <c r="O2759" s="33" t="s">
        <v>7138</v>
      </c>
      <c r="P2759" s="33" t="s">
        <v>7139</v>
      </c>
      <c r="Q2759" s="34" t="s">
        <v>1494</v>
      </c>
      <c r="R2759" s="34" t="s">
        <v>1494</v>
      </c>
    </row>
    <row r="2760" spans="1:18" ht="15" customHeight="1" x14ac:dyDescent="0.25">
      <c r="A2760" t="str">
        <f>IFERROR(RANK(B2760,$B:$B,1)+COUNTIF($B$1:B2759,B2760),"")</f>
        <v/>
      </c>
      <c r="B2760" t="str">
        <f>IFERROR(SEARCH(#REF!,Table4[[#This Row],[Commodity Title]],1),"")</f>
        <v/>
      </c>
      <c r="C2760" s="35">
        <v>42291715</v>
      </c>
      <c r="D2760" s="33" t="s">
        <v>1495</v>
      </c>
      <c r="E2760" s="33" t="s">
        <v>1496</v>
      </c>
      <c r="F2760" s="33" t="s">
        <v>1497</v>
      </c>
      <c r="G2760" s="33" t="s">
        <v>7062</v>
      </c>
      <c r="H2760" s="33" t="s">
        <v>7063</v>
      </c>
      <c r="I2760" s="33" t="s">
        <v>7064</v>
      </c>
      <c r="J2760" s="33">
        <v>203106</v>
      </c>
      <c r="K2760" s="33" t="s">
        <v>7121</v>
      </c>
      <c r="L2760" s="33" t="s">
        <v>7122</v>
      </c>
      <c r="M2760" s="33" t="s">
        <v>7123</v>
      </c>
      <c r="N2760" s="44">
        <v>42291715</v>
      </c>
      <c r="O2760" s="33" t="s">
        <v>7140</v>
      </c>
      <c r="P2760" s="33" t="s">
        <v>7141</v>
      </c>
      <c r="Q2760" s="34" t="s">
        <v>1494</v>
      </c>
      <c r="R2760" s="34" t="s">
        <v>1494</v>
      </c>
    </row>
    <row r="2761" spans="1:18" ht="15" customHeight="1" x14ac:dyDescent="0.25">
      <c r="A2761" t="str">
        <f>IFERROR(RANK(B2761,$B:$B,1)+COUNTIF($B$1:B2760,B2761),"")</f>
        <v/>
      </c>
      <c r="B2761" t="str">
        <f>IFERROR(SEARCH(#REF!,Table4[[#This Row],[Commodity Title]],1),"")</f>
        <v/>
      </c>
      <c r="C2761" s="35">
        <v>42291716</v>
      </c>
      <c r="D2761" s="33" t="s">
        <v>1495</v>
      </c>
      <c r="E2761" s="33" t="s">
        <v>1496</v>
      </c>
      <c r="F2761" s="33" t="s">
        <v>1497</v>
      </c>
      <c r="G2761" s="33" t="s">
        <v>7062</v>
      </c>
      <c r="H2761" s="33" t="s">
        <v>7063</v>
      </c>
      <c r="I2761" s="33" t="s">
        <v>7064</v>
      </c>
      <c r="J2761" s="33">
        <v>208351</v>
      </c>
      <c r="K2761" s="33" t="s">
        <v>7121</v>
      </c>
      <c r="L2761" s="33" t="s">
        <v>7122</v>
      </c>
      <c r="M2761" s="33" t="s">
        <v>7123</v>
      </c>
      <c r="N2761" s="44">
        <v>42291716</v>
      </c>
      <c r="O2761" s="33" t="s">
        <v>7142</v>
      </c>
      <c r="P2761" s="33" t="s">
        <v>7143</v>
      </c>
      <c r="Q2761" s="34" t="s">
        <v>1494</v>
      </c>
      <c r="R2761" s="34" t="s">
        <v>1494</v>
      </c>
    </row>
    <row r="2762" spans="1:18" ht="15" customHeight="1" x14ac:dyDescent="0.25">
      <c r="A2762" t="str">
        <f>IFERROR(RANK(B2762,$B:$B,1)+COUNTIF($B$1:B2761,B2762),"")</f>
        <v/>
      </c>
      <c r="B2762" t="str">
        <f>IFERROR(SEARCH(#REF!,Table4[[#This Row],[Commodity Title]],1),"")</f>
        <v/>
      </c>
      <c r="C2762" s="33" t="s">
        <v>1494</v>
      </c>
      <c r="D2762" s="33" t="s">
        <v>1495</v>
      </c>
      <c r="E2762" s="33" t="s">
        <v>1496</v>
      </c>
      <c r="F2762" s="33" t="s">
        <v>1497</v>
      </c>
      <c r="G2762" s="33" t="s">
        <v>7062</v>
      </c>
      <c r="H2762" s="33" t="s">
        <v>7063</v>
      </c>
      <c r="I2762" s="33" t="s">
        <v>7064</v>
      </c>
      <c r="J2762" s="33">
        <v>116164</v>
      </c>
      <c r="K2762" s="33" t="s">
        <v>7144</v>
      </c>
      <c r="L2762" s="33" t="s">
        <v>7145</v>
      </c>
      <c r="M2762" s="33" t="s">
        <v>7146</v>
      </c>
      <c r="N2762" s="44" t="s">
        <v>1494</v>
      </c>
      <c r="O2762" s="33" t="s">
        <v>1494</v>
      </c>
      <c r="P2762" s="33" t="s">
        <v>1494</v>
      </c>
      <c r="Q2762" s="34" t="s">
        <v>1494</v>
      </c>
      <c r="R2762" s="34" t="s">
        <v>1494</v>
      </c>
    </row>
    <row r="2763" spans="1:18" ht="15" customHeight="1" x14ac:dyDescent="0.25">
      <c r="A2763" t="str">
        <f>IFERROR(RANK(B2763,$B:$B,1)+COUNTIF($B$1:B2762,B2763),"")</f>
        <v/>
      </c>
      <c r="B2763" t="str">
        <f>IFERROR(SEARCH(#REF!,Table4[[#This Row],[Commodity Title]],1),"")</f>
        <v/>
      </c>
      <c r="C2763" s="35">
        <v>42291801</v>
      </c>
      <c r="D2763" s="33" t="s">
        <v>1495</v>
      </c>
      <c r="E2763" s="33" t="s">
        <v>1496</v>
      </c>
      <c r="F2763" s="33" t="s">
        <v>1497</v>
      </c>
      <c r="G2763" s="33" t="s">
        <v>7062</v>
      </c>
      <c r="H2763" s="33" t="s">
        <v>7063</v>
      </c>
      <c r="I2763" s="33" t="s">
        <v>7064</v>
      </c>
      <c r="J2763" s="33">
        <v>116165</v>
      </c>
      <c r="K2763" s="33" t="s">
        <v>7144</v>
      </c>
      <c r="L2763" s="33" t="s">
        <v>7145</v>
      </c>
      <c r="M2763" s="33" t="s">
        <v>7146</v>
      </c>
      <c r="N2763" s="44">
        <v>42291801</v>
      </c>
      <c r="O2763" s="33" t="s">
        <v>7147</v>
      </c>
      <c r="P2763" s="33" t="s">
        <v>7148</v>
      </c>
      <c r="Q2763" s="34" t="s">
        <v>1494</v>
      </c>
      <c r="R2763" s="34" t="s">
        <v>1494</v>
      </c>
    </row>
    <row r="2764" spans="1:18" ht="15" customHeight="1" x14ac:dyDescent="0.25">
      <c r="A2764" t="str">
        <f>IFERROR(RANK(B2764,$B:$B,1)+COUNTIF($B$1:B2763,B2764),"")</f>
        <v/>
      </c>
      <c r="B2764" t="str">
        <f>IFERROR(SEARCH(#REF!,Table4[[#This Row],[Commodity Title]],1),"")</f>
        <v/>
      </c>
      <c r="C2764" s="35">
        <v>42291802</v>
      </c>
      <c r="D2764" s="33" t="s">
        <v>1495</v>
      </c>
      <c r="E2764" s="33" t="s">
        <v>1496</v>
      </c>
      <c r="F2764" s="33" t="s">
        <v>1497</v>
      </c>
      <c r="G2764" s="33" t="s">
        <v>7062</v>
      </c>
      <c r="H2764" s="33" t="s">
        <v>7063</v>
      </c>
      <c r="I2764" s="33" t="s">
        <v>7064</v>
      </c>
      <c r="J2764" s="33">
        <v>116166</v>
      </c>
      <c r="K2764" s="33" t="s">
        <v>7144</v>
      </c>
      <c r="L2764" s="33" t="s">
        <v>7145</v>
      </c>
      <c r="M2764" s="33" t="s">
        <v>7146</v>
      </c>
      <c r="N2764" s="44">
        <v>42291802</v>
      </c>
      <c r="O2764" s="33" t="s">
        <v>7149</v>
      </c>
      <c r="P2764" s="33" t="s">
        <v>7150</v>
      </c>
      <c r="Q2764" s="34" t="s">
        <v>1494</v>
      </c>
      <c r="R2764" s="34" t="s">
        <v>1494</v>
      </c>
    </row>
    <row r="2765" spans="1:18" ht="15" customHeight="1" x14ac:dyDescent="0.25">
      <c r="A2765" t="str">
        <f>IFERROR(RANK(B2765,$B:$B,1)+COUNTIF($B$1:B2764,B2765),"")</f>
        <v/>
      </c>
      <c r="B2765" t="str">
        <f>IFERROR(SEARCH(#REF!,Table4[[#This Row],[Commodity Title]],1),"")</f>
        <v/>
      </c>
      <c r="C2765" s="35">
        <v>42291804</v>
      </c>
      <c r="D2765" s="33" t="s">
        <v>1495</v>
      </c>
      <c r="E2765" s="33" t="s">
        <v>1496</v>
      </c>
      <c r="F2765" s="33" t="s">
        <v>1497</v>
      </c>
      <c r="G2765" s="33" t="s">
        <v>7062</v>
      </c>
      <c r="H2765" s="33" t="s">
        <v>7063</v>
      </c>
      <c r="I2765" s="33" t="s">
        <v>7064</v>
      </c>
      <c r="J2765" s="33">
        <v>145858</v>
      </c>
      <c r="K2765" s="33" t="s">
        <v>7144</v>
      </c>
      <c r="L2765" s="33" t="s">
        <v>7145</v>
      </c>
      <c r="M2765" s="33" t="s">
        <v>7146</v>
      </c>
      <c r="N2765" s="44">
        <v>42291804</v>
      </c>
      <c r="O2765" s="33" t="s">
        <v>7151</v>
      </c>
      <c r="P2765" s="33" t="s">
        <v>7152</v>
      </c>
      <c r="Q2765" s="34" t="s">
        <v>1494</v>
      </c>
      <c r="R2765" s="34" t="s">
        <v>1494</v>
      </c>
    </row>
    <row r="2766" spans="1:18" ht="15" customHeight="1" x14ac:dyDescent="0.25">
      <c r="A2766" t="str">
        <f>IFERROR(RANK(B2766,$B:$B,1)+COUNTIF($B$1:B2765,B2766),"")</f>
        <v/>
      </c>
      <c r="B2766" t="str">
        <f>IFERROR(SEARCH(#REF!,Table4[[#This Row],[Commodity Title]],1),"")</f>
        <v/>
      </c>
      <c r="C2766" s="35">
        <v>42291805</v>
      </c>
      <c r="D2766" s="33" t="s">
        <v>1495</v>
      </c>
      <c r="E2766" s="33" t="s">
        <v>1496</v>
      </c>
      <c r="F2766" s="33" t="s">
        <v>1497</v>
      </c>
      <c r="G2766" s="33" t="s">
        <v>7062</v>
      </c>
      <c r="H2766" s="33" t="s">
        <v>7063</v>
      </c>
      <c r="I2766" s="33" t="s">
        <v>7064</v>
      </c>
      <c r="J2766" s="33">
        <v>146131</v>
      </c>
      <c r="K2766" s="33" t="s">
        <v>7144</v>
      </c>
      <c r="L2766" s="33" t="s">
        <v>7145</v>
      </c>
      <c r="M2766" s="33" t="s">
        <v>7146</v>
      </c>
      <c r="N2766" s="44">
        <v>42291805</v>
      </c>
      <c r="O2766" s="33" t="s">
        <v>7153</v>
      </c>
      <c r="P2766" s="33" t="s">
        <v>7154</v>
      </c>
      <c r="Q2766" s="34" t="s">
        <v>1494</v>
      </c>
      <c r="R2766" s="34" t="s">
        <v>1494</v>
      </c>
    </row>
    <row r="2767" spans="1:18" ht="15" customHeight="1" x14ac:dyDescent="0.25">
      <c r="A2767" t="str">
        <f>IFERROR(RANK(B2767,$B:$B,1)+COUNTIF($B$1:B2766,B2767),"")</f>
        <v/>
      </c>
      <c r="B2767" t="str">
        <f>IFERROR(SEARCH(#REF!,Table4[[#This Row],[Commodity Title]],1),"")</f>
        <v/>
      </c>
      <c r="C2767" s="35">
        <v>42291806</v>
      </c>
      <c r="D2767" s="33" t="s">
        <v>1495</v>
      </c>
      <c r="E2767" s="33" t="s">
        <v>1496</v>
      </c>
      <c r="F2767" s="33" t="s">
        <v>1497</v>
      </c>
      <c r="G2767" s="33" t="s">
        <v>7062</v>
      </c>
      <c r="H2767" s="33" t="s">
        <v>7063</v>
      </c>
      <c r="I2767" s="33" t="s">
        <v>7064</v>
      </c>
      <c r="J2767" s="33">
        <v>203110</v>
      </c>
      <c r="K2767" s="33" t="s">
        <v>7144</v>
      </c>
      <c r="L2767" s="33" t="s">
        <v>7145</v>
      </c>
      <c r="M2767" s="33" t="s">
        <v>7146</v>
      </c>
      <c r="N2767" s="44">
        <v>42291806</v>
      </c>
      <c r="O2767" s="33" t="s">
        <v>7155</v>
      </c>
      <c r="P2767" s="33" t="s">
        <v>7156</v>
      </c>
      <c r="Q2767" s="34" t="s">
        <v>1494</v>
      </c>
      <c r="R2767" s="34" t="s">
        <v>1494</v>
      </c>
    </row>
    <row r="2768" spans="1:18" ht="15" customHeight="1" x14ac:dyDescent="0.25">
      <c r="A2768" t="str">
        <f>IFERROR(RANK(B2768,$B:$B,1)+COUNTIF($B$1:B2767,B2768),"")</f>
        <v/>
      </c>
      <c r="B2768" t="str">
        <f>IFERROR(SEARCH(#REF!,Table4[[#This Row],[Commodity Title]],1),"")</f>
        <v/>
      </c>
      <c r="C2768" s="35">
        <v>42291807</v>
      </c>
      <c r="D2768" s="33" t="s">
        <v>1495</v>
      </c>
      <c r="E2768" s="33" t="s">
        <v>1496</v>
      </c>
      <c r="F2768" s="33" t="s">
        <v>1497</v>
      </c>
      <c r="G2768" s="33" t="s">
        <v>7062</v>
      </c>
      <c r="H2768" s="33" t="s">
        <v>7063</v>
      </c>
      <c r="I2768" s="33" t="s">
        <v>7064</v>
      </c>
      <c r="J2768" s="33">
        <v>203111</v>
      </c>
      <c r="K2768" s="33" t="s">
        <v>7144</v>
      </c>
      <c r="L2768" s="33" t="s">
        <v>7145</v>
      </c>
      <c r="M2768" s="33" t="s">
        <v>7146</v>
      </c>
      <c r="N2768" s="44">
        <v>42291807</v>
      </c>
      <c r="O2768" s="33" t="s">
        <v>7157</v>
      </c>
      <c r="P2768" s="33" t="s">
        <v>7158</v>
      </c>
      <c r="Q2768" s="34" t="s">
        <v>1494</v>
      </c>
      <c r="R2768" s="34" t="s">
        <v>1494</v>
      </c>
    </row>
    <row r="2769" spans="1:18" ht="15" customHeight="1" x14ac:dyDescent="0.25">
      <c r="A2769" t="str">
        <f>IFERROR(RANK(B2769,$B:$B,1)+COUNTIF($B$1:B2768,B2769),"")</f>
        <v/>
      </c>
      <c r="B2769" t="str">
        <f>IFERROR(SEARCH(#REF!,Table4[[#This Row],[Commodity Title]],1),"")</f>
        <v/>
      </c>
      <c r="C2769" s="35">
        <v>42291808</v>
      </c>
      <c r="D2769" s="33" t="s">
        <v>1495</v>
      </c>
      <c r="E2769" s="33" t="s">
        <v>1496</v>
      </c>
      <c r="F2769" s="33" t="s">
        <v>1497</v>
      </c>
      <c r="G2769" s="33" t="s">
        <v>7062</v>
      </c>
      <c r="H2769" s="33" t="s">
        <v>7063</v>
      </c>
      <c r="I2769" s="33" t="s">
        <v>7064</v>
      </c>
      <c r="J2769" s="33">
        <v>208352</v>
      </c>
      <c r="K2769" s="33" t="s">
        <v>7144</v>
      </c>
      <c r="L2769" s="33" t="s">
        <v>7145</v>
      </c>
      <c r="M2769" s="33" t="s">
        <v>7146</v>
      </c>
      <c r="N2769" s="44">
        <v>42291808</v>
      </c>
      <c r="O2769" s="33" t="s">
        <v>7159</v>
      </c>
      <c r="P2769" s="33" t="s">
        <v>7160</v>
      </c>
      <c r="Q2769" s="34" t="s">
        <v>1494</v>
      </c>
      <c r="R2769" s="34" t="s">
        <v>1494</v>
      </c>
    </row>
    <row r="2770" spans="1:18" ht="15" customHeight="1" x14ac:dyDescent="0.25">
      <c r="A2770" t="str">
        <f>IFERROR(RANK(B2770,$B:$B,1)+COUNTIF($B$1:B2769,B2770),"")</f>
        <v/>
      </c>
      <c r="B2770" t="str">
        <f>IFERROR(SEARCH(#REF!,Table4[[#This Row],[Commodity Title]],1),"")</f>
        <v/>
      </c>
      <c r="C2770" s="33" t="s">
        <v>1494</v>
      </c>
      <c r="D2770" s="33" t="s">
        <v>1495</v>
      </c>
      <c r="E2770" s="33" t="s">
        <v>1496</v>
      </c>
      <c r="F2770" s="33" t="s">
        <v>1497</v>
      </c>
      <c r="G2770" s="33" t="s">
        <v>7062</v>
      </c>
      <c r="H2770" s="33" t="s">
        <v>7063</v>
      </c>
      <c r="I2770" s="33" t="s">
        <v>7064</v>
      </c>
      <c r="J2770" s="33">
        <v>116168</v>
      </c>
      <c r="K2770" s="33" t="s">
        <v>7161</v>
      </c>
      <c r="L2770" s="33" t="s">
        <v>7162</v>
      </c>
      <c r="M2770" s="33" t="s">
        <v>7163</v>
      </c>
      <c r="N2770" s="44" t="s">
        <v>1494</v>
      </c>
      <c r="O2770" s="33" t="s">
        <v>1494</v>
      </c>
      <c r="P2770" s="33" t="s">
        <v>1494</v>
      </c>
      <c r="Q2770" s="34" t="s">
        <v>1494</v>
      </c>
      <c r="R2770" s="34" t="s">
        <v>1494</v>
      </c>
    </row>
    <row r="2771" spans="1:18" ht="15" customHeight="1" x14ac:dyDescent="0.25">
      <c r="A2771" t="str">
        <f>IFERROR(RANK(B2771,$B:$B,1)+COUNTIF($B$1:B2770,B2771),"")</f>
        <v/>
      </c>
      <c r="B2771" t="str">
        <f>IFERROR(SEARCH(#REF!,Table4[[#This Row],[Commodity Title]],1),"")</f>
        <v/>
      </c>
      <c r="C2771" s="35">
        <v>42291901</v>
      </c>
      <c r="D2771" s="33" t="s">
        <v>1495</v>
      </c>
      <c r="E2771" s="33" t="s">
        <v>1496</v>
      </c>
      <c r="F2771" s="33" t="s">
        <v>1497</v>
      </c>
      <c r="G2771" s="33" t="s">
        <v>7062</v>
      </c>
      <c r="H2771" s="33" t="s">
        <v>7063</v>
      </c>
      <c r="I2771" s="33" t="s">
        <v>7064</v>
      </c>
      <c r="J2771" s="33">
        <v>116169</v>
      </c>
      <c r="K2771" s="33" t="s">
        <v>7161</v>
      </c>
      <c r="L2771" s="33" t="s">
        <v>7162</v>
      </c>
      <c r="M2771" s="33" t="s">
        <v>7163</v>
      </c>
      <c r="N2771" s="44">
        <v>42291901</v>
      </c>
      <c r="O2771" s="33" t="s">
        <v>7164</v>
      </c>
      <c r="P2771" s="33" t="s">
        <v>7165</v>
      </c>
      <c r="Q2771" s="34" t="s">
        <v>1494</v>
      </c>
      <c r="R2771" s="34" t="s">
        <v>1494</v>
      </c>
    </row>
    <row r="2772" spans="1:18" ht="15" customHeight="1" x14ac:dyDescent="0.25">
      <c r="A2772" t="str">
        <f>IFERROR(RANK(B2772,$B:$B,1)+COUNTIF($B$1:B2771,B2772),"")</f>
        <v/>
      </c>
      <c r="B2772" t="str">
        <f>IFERROR(SEARCH(#REF!,Table4[[#This Row],[Commodity Title]],1),"")</f>
        <v/>
      </c>
      <c r="C2772" s="35">
        <v>42291902</v>
      </c>
      <c r="D2772" s="33" t="s">
        <v>1495</v>
      </c>
      <c r="E2772" s="33" t="s">
        <v>1496</v>
      </c>
      <c r="F2772" s="33" t="s">
        <v>1497</v>
      </c>
      <c r="G2772" s="33" t="s">
        <v>7062</v>
      </c>
      <c r="H2772" s="33" t="s">
        <v>7063</v>
      </c>
      <c r="I2772" s="33" t="s">
        <v>7064</v>
      </c>
      <c r="J2772" s="33">
        <v>116170</v>
      </c>
      <c r="K2772" s="33" t="s">
        <v>7161</v>
      </c>
      <c r="L2772" s="33" t="s">
        <v>7162</v>
      </c>
      <c r="M2772" s="33" t="s">
        <v>7163</v>
      </c>
      <c r="N2772" s="44">
        <v>42291902</v>
      </c>
      <c r="O2772" s="33" t="s">
        <v>7166</v>
      </c>
      <c r="P2772" s="33" t="s">
        <v>7167</v>
      </c>
      <c r="Q2772" s="34" t="s">
        <v>1494</v>
      </c>
      <c r="R2772" s="34" t="s">
        <v>1494</v>
      </c>
    </row>
    <row r="2773" spans="1:18" ht="15" customHeight="1" x14ac:dyDescent="0.25">
      <c r="A2773" t="str">
        <f>IFERROR(RANK(B2773,$B:$B,1)+COUNTIF($B$1:B2772,B2773),"")</f>
        <v/>
      </c>
      <c r="B2773" t="str">
        <f>IFERROR(SEARCH(#REF!,Table4[[#This Row],[Commodity Title]],1),"")</f>
        <v/>
      </c>
      <c r="C2773" s="33" t="s">
        <v>1494</v>
      </c>
      <c r="D2773" s="33" t="s">
        <v>1495</v>
      </c>
      <c r="E2773" s="33" t="s">
        <v>1496</v>
      </c>
      <c r="F2773" s="33" t="s">
        <v>1497</v>
      </c>
      <c r="G2773" s="33" t="s">
        <v>7062</v>
      </c>
      <c r="H2773" s="33" t="s">
        <v>7063</v>
      </c>
      <c r="I2773" s="33" t="s">
        <v>7064</v>
      </c>
      <c r="J2773" s="33">
        <v>116171</v>
      </c>
      <c r="K2773" s="33" t="s">
        <v>7168</v>
      </c>
      <c r="L2773" s="33" t="s">
        <v>7169</v>
      </c>
      <c r="M2773" s="33" t="s">
        <v>7170</v>
      </c>
      <c r="N2773" s="44" t="s">
        <v>1494</v>
      </c>
      <c r="O2773" s="33" t="s">
        <v>1494</v>
      </c>
      <c r="P2773" s="33" t="s">
        <v>1494</v>
      </c>
      <c r="Q2773" s="34" t="s">
        <v>1494</v>
      </c>
      <c r="R2773" s="34" t="s">
        <v>1494</v>
      </c>
    </row>
    <row r="2774" spans="1:18" ht="15" customHeight="1" x14ac:dyDescent="0.25">
      <c r="A2774" t="str">
        <f>IFERROR(RANK(B2774,$B:$B,1)+COUNTIF($B$1:B2773,B2774),"")</f>
        <v/>
      </c>
      <c r="B2774" t="str">
        <f>IFERROR(SEARCH(#REF!,Table4[[#This Row],[Commodity Title]],1),"")</f>
        <v/>
      </c>
      <c r="C2774" s="35">
        <v>42292001</v>
      </c>
      <c r="D2774" s="33" t="s">
        <v>1495</v>
      </c>
      <c r="E2774" s="33" t="s">
        <v>1496</v>
      </c>
      <c r="F2774" s="33" t="s">
        <v>1497</v>
      </c>
      <c r="G2774" s="33" t="s">
        <v>7062</v>
      </c>
      <c r="H2774" s="33" t="s">
        <v>7063</v>
      </c>
      <c r="I2774" s="33" t="s">
        <v>7064</v>
      </c>
      <c r="J2774" s="33">
        <v>116172</v>
      </c>
      <c r="K2774" s="33" t="s">
        <v>7168</v>
      </c>
      <c r="L2774" s="33" t="s">
        <v>7169</v>
      </c>
      <c r="M2774" s="33" t="s">
        <v>7170</v>
      </c>
      <c r="N2774" s="44">
        <v>42292001</v>
      </c>
      <c r="O2774" s="33" t="s">
        <v>7171</v>
      </c>
      <c r="P2774" s="33" t="s">
        <v>7172</v>
      </c>
      <c r="Q2774" s="34" t="s">
        <v>1494</v>
      </c>
      <c r="R2774" s="34" t="s">
        <v>1494</v>
      </c>
    </row>
    <row r="2775" spans="1:18" ht="15" customHeight="1" x14ac:dyDescent="0.25">
      <c r="A2775" t="str">
        <f>IFERROR(RANK(B2775,$B:$B,1)+COUNTIF($B$1:B2774,B2775),"")</f>
        <v/>
      </c>
      <c r="B2775" t="str">
        <f>IFERROR(SEARCH(#REF!,Table4[[#This Row],[Commodity Title]],1),"")</f>
        <v/>
      </c>
      <c r="C2775" s="35">
        <v>42292002</v>
      </c>
      <c r="D2775" s="33" t="s">
        <v>1495</v>
      </c>
      <c r="E2775" s="33" t="s">
        <v>1496</v>
      </c>
      <c r="F2775" s="33" t="s">
        <v>1497</v>
      </c>
      <c r="G2775" s="33" t="s">
        <v>7062</v>
      </c>
      <c r="H2775" s="33" t="s">
        <v>7063</v>
      </c>
      <c r="I2775" s="33" t="s">
        <v>7064</v>
      </c>
      <c r="J2775" s="33">
        <v>203112</v>
      </c>
      <c r="K2775" s="33" t="s">
        <v>7168</v>
      </c>
      <c r="L2775" s="33" t="s">
        <v>7169</v>
      </c>
      <c r="M2775" s="33" t="s">
        <v>7170</v>
      </c>
      <c r="N2775" s="44">
        <v>42292002</v>
      </c>
      <c r="O2775" s="33" t="s">
        <v>7173</v>
      </c>
      <c r="P2775" s="33" t="s">
        <v>7174</v>
      </c>
      <c r="Q2775" s="34" t="s">
        <v>1494</v>
      </c>
      <c r="R2775" s="34" t="s">
        <v>1494</v>
      </c>
    </row>
    <row r="2776" spans="1:18" ht="15" customHeight="1" x14ac:dyDescent="0.25">
      <c r="A2776" t="str">
        <f>IFERROR(RANK(B2776,$B:$B,1)+COUNTIF($B$1:B2775,B2776),"")</f>
        <v/>
      </c>
      <c r="B2776" t="str">
        <f>IFERROR(SEARCH(#REF!,Table4[[#This Row],[Commodity Title]],1),"")</f>
        <v/>
      </c>
      <c r="C2776" s="35">
        <v>42292003</v>
      </c>
      <c r="D2776" s="33" t="s">
        <v>1495</v>
      </c>
      <c r="E2776" s="33" t="s">
        <v>1496</v>
      </c>
      <c r="F2776" s="33" t="s">
        <v>1497</v>
      </c>
      <c r="G2776" s="33" t="s">
        <v>7062</v>
      </c>
      <c r="H2776" s="33" t="s">
        <v>7063</v>
      </c>
      <c r="I2776" s="33" t="s">
        <v>7064</v>
      </c>
      <c r="J2776" s="33">
        <v>203113</v>
      </c>
      <c r="K2776" s="33" t="s">
        <v>7168</v>
      </c>
      <c r="L2776" s="33" t="s">
        <v>7169</v>
      </c>
      <c r="M2776" s="33" t="s">
        <v>7170</v>
      </c>
      <c r="N2776" s="44">
        <v>42292003</v>
      </c>
      <c r="O2776" s="33" t="s">
        <v>7175</v>
      </c>
      <c r="P2776" s="33" t="s">
        <v>7176</v>
      </c>
      <c r="Q2776" s="34" t="s">
        <v>1494</v>
      </c>
      <c r="R2776" s="34" t="s">
        <v>1494</v>
      </c>
    </row>
    <row r="2777" spans="1:18" ht="15" customHeight="1" x14ac:dyDescent="0.25">
      <c r="A2777" t="str">
        <f>IFERROR(RANK(B2777,$B:$B,1)+COUNTIF($B$1:B2776,B2777),"")</f>
        <v/>
      </c>
      <c r="B2777" t="str">
        <f>IFERROR(SEARCH(#REF!,Table4[[#This Row],[Commodity Title]],1),"")</f>
        <v/>
      </c>
      <c r="C2777" s="33" t="s">
        <v>1494</v>
      </c>
      <c r="D2777" s="33" t="s">
        <v>1495</v>
      </c>
      <c r="E2777" s="33" t="s">
        <v>1496</v>
      </c>
      <c r="F2777" s="33" t="s">
        <v>1497</v>
      </c>
      <c r="G2777" s="33" t="s">
        <v>7062</v>
      </c>
      <c r="H2777" s="33" t="s">
        <v>7063</v>
      </c>
      <c r="I2777" s="33" t="s">
        <v>7064</v>
      </c>
      <c r="J2777" s="33">
        <v>116173</v>
      </c>
      <c r="K2777" s="33" t="s">
        <v>7177</v>
      </c>
      <c r="L2777" s="33" t="s">
        <v>7178</v>
      </c>
      <c r="M2777" s="33" t="s">
        <v>7179</v>
      </c>
      <c r="N2777" s="44" t="s">
        <v>1494</v>
      </c>
      <c r="O2777" s="33" t="s">
        <v>1494</v>
      </c>
      <c r="P2777" s="33" t="s">
        <v>1494</v>
      </c>
      <c r="Q2777" s="34" t="s">
        <v>1494</v>
      </c>
      <c r="R2777" s="34" t="s">
        <v>1494</v>
      </c>
    </row>
    <row r="2778" spans="1:18" ht="15" customHeight="1" x14ac:dyDescent="0.25">
      <c r="A2778" t="str">
        <f>IFERROR(RANK(B2778,$B:$B,1)+COUNTIF($B$1:B2777,B2778),"")</f>
        <v/>
      </c>
      <c r="B2778" t="str">
        <f>IFERROR(SEARCH(#REF!,Table4[[#This Row],[Commodity Title]],1),"")</f>
        <v/>
      </c>
      <c r="C2778" s="35">
        <v>42292101</v>
      </c>
      <c r="D2778" s="33" t="s">
        <v>1495</v>
      </c>
      <c r="E2778" s="33" t="s">
        <v>1496</v>
      </c>
      <c r="F2778" s="33" t="s">
        <v>1497</v>
      </c>
      <c r="G2778" s="33" t="s">
        <v>7062</v>
      </c>
      <c r="H2778" s="33" t="s">
        <v>7063</v>
      </c>
      <c r="I2778" s="33" t="s">
        <v>7064</v>
      </c>
      <c r="J2778" s="33">
        <v>116174</v>
      </c>
      <c r="K2778" s="33" t="s">
        <v>7177</v>
      </c>
      <c r="L2778" s="33" t="s">
        <v>7178</v>
      </c>
      <c r="M2778" s="33" t="s">
        <v>7179</v>
      </c>
      <c r="N2778" s="44">
        <v>42292101</v>
      </c>
      <c r="O2778" s="33" t="s">
        <v>7180</v>
      </c>
      <c r="P2778" s="33" t="s">
        <v>7181</v>
      </c>
      <c r="Q2778" s="34" t="s">
        <v>1494</v>
      </c>
      <c r="R2778" s="34" t="s">
        <v>1494</v>
      </c>
    </row>
    <row r="2779" spans="1:18" ht="15" customHeight="1" x14ac:dyDescent="0.25">
      <c r="A2779" t="str">
        <f>IFERROR(RANK(B2779,$B:$B,1)+COUNTIF($B$1:B2778,B2779),"")</f>
        <v/>
      </c>
      <c r="B2779" t="str">
        <f>IFERROR(SEARCH(#REF!,Table4[[#This Row],[Commodity Title]],1),"")</f>
        <v/>
      </c>
      <c r="C2779" s="35">
        <v>42292102</v>
      </c>
      <c r="D2779" s="33" t="s">
        <v>1495</v>
      </c>
      <c r="E2779" s="33" t="s">
        <v>1496</v>
      </c>
      <c r="F2779" s="33" t="s">
        <v>1497</v>
      </c>
      <c r="G2779" s="33" t="s">
        <v>7062</v>
      </c>
      <c r="H2779" s="33" t="s">
        <v>7063</v>
      </c>
      <c r="I2779" s="33" t="s">
        <v>7064</v>
      </c>
      <c r="J2779" s="33">
        <v>116175</v>
      </c>
      <c r="K2779" s="33" t="s">
        <v>7177</v>
      </c>
      <c r="L2779" s="33" t="s">
        <v>7178</v>
      </c>
      <c r="M2779" s="33" t="s">
        <v>7179</v>
      </c>
      <c r="N2779" s="44">
        <v>42292102</v>
      </c>
      <c r="O2779" s="33" t="s">
        <v>16</v>
      </c>
      <c r="P2779" s="33" t="s">
        <v>7182</v>
      </c>
      <c r="Q2779" s="34" t="s">
        <v>1494</v>
      </c>
      <c r="R2779" s="34" t="s">
        <v>1494</v>
      </c>
    </row>
    <row r="2780" spans="1:18" ht="15" customHeight="1" x14ac:dyDescent="0.25">
      <c r="A2780" t="str">
        <f>IFERROR(RANK(B2780,$B:$B,1)+COUNTIF($B$1:B2779,B2780),"")</f>
        <v/>
      </c>
      <c r="B2780" t="str">
        <f>IFERROR(SEARCH(#REF!,Table4[[#This Row],[Commodity Title]],1),"")</f>
        <v/>
      </c>
      <c r="C2780" s="35">
        <v>42292104</v>
      </c>
      <c r="D2780" s="33" t="s">
        <v>1495</v>
      </c>
      <c r="E2780" s="33" t="s">
        <v>1496</v>
      </c>
      <c r="F2780" s="33" t="s">
        <v>1497</v>
      </c>
      <c r="G2780" s="33" t="s">
        <v>7062</v>
      </c>
      <c r="H2780" s="33" t="s">
        <v>7063</v>
      </c>
      <c r="I2780" s="33" t="s">
        <v>7064</v>
      </c>
      <c r="J2780" s="33">
        <v>203115</v>
      </c>
      <c r="K2780" s="33" t="s">
        <v>7177</v>
      </c>
      <c r="L2780" s="33" t="s">
        <v>7178</v>
      </c>
      <c r="M2780" s="33" t="s">
        <v>7179</v>
      </c>
      <c r="N2780" s="44">
        <v>42292104</v>
      </c>
      <c r="O2780" s="33" t="s">
        <v>7183</v>
      </c>
      <c r="P2780" s="33" t="s">
        <v>7184</v>
      </c>
      <c r="Q2780" s="34" t="s">
        <v>1494</v>
      </c>
      <c r="R2780" s="34" t="s">
        <v>1494</v>
      </c>
    </row>
    <row r="2781" spans="1:18" ht="15" customHeight="1" x14ac:dyDescent="0.25">
      <c r="A2781" t="str">
        <f>IFERROR(RANK(B2781,$B:$B,1)+COUNTIF($B$1:B2780,B2781),"")</f>
        <v/>
      </c>
      <c r="B2781" t="str">
        <f>IFERROR(SEARCH(#REF!,Table4[[#This Row],[Commodity Title]],1),"")</f>
        <v/>
      </c>
      <c r="C2781" s="35">
        <v>42292105</v>
      </c>
      <c r="D2781" s="33" t="s">
        <v>1495</v>
      </c>
      <c r="E2781" s="33" t="s">
        <v>1496</v>
      </c>
      <c r="F2781" s="33" t="s">
        <v>1497</v>
      </c>
      <c r="G2781" s="33" t="s">
        <v>7062</v>
      </c>
      <c r="H2781" s="33" t="s">
        <v>7063</v>
      </c>
      <c r="I2781" s="33" t="s">
        <v>7064</v>
      </c>
      <c r="J2781" s="33">
        <v>203116</v>
      </c>
      <c r="K2781" s="33" t="s">
        <v>7177</v>
      </c>
      <c r="L2781" s="33" t="s">
        <v>7178</v>
      </c>
      <c r="M2781" s="33" t="s">
        <v>7179</v>
      </c>
      <c r="N2781" s="44">
        <v>42292105</v>
      </c>
      <c r="O2781" s="33" t="s">
        <v>7185</v>
      </c>
      <c r="P2781" s="33" t="s">
        <v>7186</v>
      </c>
      <c r="Q2781" s="34" t="s">
        <v>1494</v>
      </c>
      <c r="R2781" s="34" t="s">
        <v>1494</v>
      </c>
    </row>
    <row r="2782" spans="1:18" ht="15" customHeight="1" x14ac:dyDescent="0.25">
      <c r="A2782" t="str">
        <f>IFERROR(RANK(B2782,$B:$B,1)+COUNTIF($B$1:B2781,B2782),"")</f>
        <v/>
      </c>
      <c r="B2782" t="str">
        <f>IFERROR(SEARCH(#REF!,Table4[[#This Row],[Commodity Title]],1),"")</f>
        <v/>
      </c>
      <c r="C2782" s="35">
        <v>42292106</v>
      </c>
      <c r="D2782" s="33" t="s">
        <v>1495</v>
      </c>
      <c r="E2782" s="33" t="s">
        <v>1496</v>
      </c>
      <c r="F2782" s="33" t="s">
        <v>1497</v>
      </c>
      <c r="G2782" s="33" t="s">
        <v>7062</v>
      </c>
      <c r="H2782" s="33" t="s">
        <v>7063</v>
      </c>
      <c r="I2782" s="33" t="s">
        <v>7064</v>
      </c>
      <c r="J2782" s="33">
        <v>203114</v>
      </c>
      <c r="K2782" s="33" t="s">
        <v>7177</v>
      </c>
      <c r="L2782" s="33" t="s">
        <v>7178</v>
      </c>
      <c r="M2782" s="33" t="s">
        <v>7179</v>
      </c>
      <c r="N2782" s="44">
        <v>42292106</v>
      </c>
      <c r="O2782" s="33" t="s">
        <v>7187</v>
      </c>
      <c r="P2782" s="33" t="s">
        <v>7188</v>
      </c>
      <c r="Q2782" s="34" t="s">
        <v>1494</v>
      </c>
      <c r="R2782" s="34" t="s">
        <v>1494</v>
      </c>
    </row>
    <row r="2783" spans="1:18" ht="15" customHeight="1" x14ac:dyDescent="0.25">
      <c r="A2783" t="str">
        <f>IFERROR(RANK(B2783,$B:$B,1)+COUNTIF($B$1:B2782,B2783),"")</f>
        <v/>
      </c>
      <c r="B2783" t="str">
        <f>IFERROR(SEARCH(#REF!,Table4[[#This Row],[Commodity Title]],1),"")</f>
        <v/>
      </c>
      <c r="C2783" s="33" t="s">
        <v>1494</v>
      </c>
      <c r="D2783" s="33" t="s">
        <v>1495</v>
      </c>
      <c r="E2783" s="33" t="s">
        <v>1496</v>
      </c>
      <c r="F2783" s="33" t="s">
        <v>1497</v>
      </c>
      <c r="G2783" s="33" t="s">
        <v>7062</v>
      </c>
      <c r="H2783" s="33" t="s">
        <v>7063</v>
      </c>
      <c r="I2783" s="33" t="s">
        <v>7064</v>
      </c>
      <c r="J2783" s="33">
        <v>116180</v>
      </c>
      <c r="K2783" s="33" t="s">
        <v>7189</v>
      </c>
      <c r="L2783" s="33" t="s">
        <v>7190</v>
      </c>
      <c r="M2783" s="33" t="s">
        <v>7191</v>
      </c>
      <c r="N2783" s="44" t="s">
        <v>1494</v>
      </c>
      <c r="O2783" s="33" t="s">
        <v>1494</v>
      </c>
      <c r="P2783" s="33" t="s">
        <v>1494</v>
      </c>
      <c r="Q2783" s="34" t="s">
        <v>1494</v>
      </c>
      <c r="R2783" s="34" t="s">
        <v>1494</v>
      </c>
    </row>
    <row r="2784" spans="1:18" ht="15" customHeight="1" x14ac:dyDescent="0.25">
      <c r="A2784" t="str">
        <f>IFERROR(RANK(B2784,$B:$B,1)+COUNTIF($B$1:B2783,B2784),"")</f>
        <v/>
      </c>
      <c r="B2784" t="str">
        <f>IFERROR(SEARCH(#REF!,Table4[[#This Row],[Commodity Title]],1),"")</f>
        <v/>
      </c>
      <c r="C2784" s="35">
        <v>42292301</v>
      </c>
      <c r="D2784" s="33" t="s">
        <v>1495</v>
      </c>
      <c r="E2784" s="33" t="s">
        <v>1496</v>
      </c>
      <c r="F2784" s="33" t="s">
        <v>1497</v>
      </c>
      <c r="G2784" s="33" t="s">
        <v>7062</v>
      </c>
      <c r="H2784" s="33" t="s">
        <v>7063</v>
      </c>
      <c r="I2784" s="33" t="s">
        <v>7064</v>
      </c>
      <c r="J2784" s="33">
        <v>116181</v>
      </c>
      <c r="K2784" s="33" t="s">
        <v>7189</v>
      </c>
      <c r="L2784" s="33" t="s">
        <v>7190</v>
      </c>
      <c r="M2784" s="33" t="s">
        <v>7191</v>
      </c>
      <c r="N2784" s="44">
        <v>42292301</v>
      </c>
      <c r="O2784" s="33" t="s">
        <v>7192</v>
      </c>
      <c r="P2784" s="33" t="s">
        <v>7193</v>
      </c>
      <c r="Q2784" s="34" t="s">
        <v>1494</v>
      </c>
      <c r="R2784" s="34" t="s">
        <v>1494</v>
      </c>
    </row>
    <row r="2785" spans="1:18" ht="15" customHeight="1" x14ac:dyDescent="0.25">
      <c r="A2785" t="str">
        <f>IFERROR(RANK(B2785,$B:$B,1)+COUNTIF($B$1:B2784,B2785),"")</f>
        <v/>
      </c>
      <c r="B2785" t="str">
        <f>IFERROR(SEARCH(#REF!,Table4[[#This Row],[Commodity Title]],1),"")</f>
        <v/>
      </c>
      <c r="C2785" s="35">
        <v>42292302</v>
      </c>
      <c r="D2785" s="33" t="s">
        <v>1495</v>
      </c>
      <c r="E2785" s="33" t="s">
        <v>1496</v>
      </c>
      <c r="F2785" s="33" t="s">
        <v>1497</v>
      </c>
      <c r="G2785" s="33" t="s">
        <v>7062</v>
      </c>
      <c r="H2785" s="33" t="s">
        <v>7063</v>
      </c>
      <c r="I2785" s="33" t="s">
        <v>7064</v>
      </c>
      <c r="J2785" s="33">
        <v>116182</v>
      </c>
      <c r="K2785" s="33" t="s">
        <v>7189</v>
      </c>
      <c r="L2785" s="33" t="s">
        <v>7190</v>
      </c>
      <c r="M2785" s="33" t="s">
        <v>7191</v>
      </c>
      <c r="N2785" s="44">
        <v>42292302</v>
      </c>
      <c r="O2785" s="33" t="s">
        <v>7194</v>
      </c>
      <c r="P2785" s="33" t="s">
        <v>7195</v>
      </c>
      <c r="Q2785" s="34" t="s">
        <v>1494</v>
      </c>
      <c r="R2785" s="34" t="s">
        <v>1494</v>
      </c>
    </row>
    <row r="2786" spans="1:18" ht="15" customHeight="1" x14ac:dyDescent="0.25">
      <c r="A2786" t="str">
        <f>IFERROR(RANK(B2786,$B:$B,1)+COUNTIF($B$1:B2785,B2786),"")</f>
        <v/>
      </c>
      <c r="B2786" t="str">
        <f>IFERROR(SEARCH(#REF!,Table4[[#This Row],[Commodity Title]],1),"")</f>
        <v/>
      </c>
      <c r="C2786" s="35">
        <v>42292303</v>
      </c>
      <c r="D2786" s="33" t="s">
        <v>1495</v>
      </c>
      <c r="E2786" s="33" t="s">
        <v>1496</v>
      </c>
      <c r="F2786" s="33" t="s">
        <v>1497</v>
      </c>
      <c r="G2786" s="33" t="s">
        <v>7062</v>
      </c>
      <c r="H2786" s="33" t="s">
        <v>7063</v>
      </c>
      <c r="I2786" s="33" t="s">
        <v>7064</v>
      </c>
      <c r="J2786" s="33">
        <v>116183</v>
      </c>
      <c r="K2786" s="33" t="s">
        <v>7189</v>
      </c>
      <c r="L2786" s="33" t="s">
        <v>7190</v>
      </c>
      <c r="M2786" s="33" t="s">
        <v>7191</v>
      </c>
      <c r="N2786" s="44">
        <v>42292303</v>
      </c>
      <c r="O2786" s="33" t="s">
        <v>7196</v>
      </c>
      <c r="P2786" s="33" t="s">
        <v>7197</v>
      </c>
      <c r="Q2786" s="34" t="s">
        <v>1494</v>
      </c>
      <c r="R2786" s="34" t="s">
        <v>1494</v>
      </c>
    </row>
    <row r="2787" spans="1:18" ht="15" customHeight="1" x14ac:dyDescent="0.25">
      <c r="A2787" t="str">
        <f>IFERROR(RANK(B2787,$B:$B,1)+COUNTIF($B$1:B2786,B2787),"")</f>
        <v/>
      </c>
      <c r="B2787" t="str">
        <f>IFERROR(SEARCH(#REF!,Table4[[#This Row],[Commodity Title]],1),"")</f>
        <v/>
      </c>
      <c r="C2787" s="35">
        <v>42292304</v>
      </c>
      <c r="D2787" s="33" t="s">
        <v>1495</v>
      </c>
      <c r="E2787" s="33" t="s">
        <v>1496</v>
      </c>
      <c r="F2787" s="33" t="s">
        <v>1497</v>
      </c>
      <c r="G2787" s="33" t="s">
        <v>7062</v>
      </c>
      <c r="H2787" s="33" t="s">
        <v>7063</v>
      </c>
      <c r="I2787" s="33" t="s">
        <v>7064</v>
      </c>
      <c r="J2787" s="33">
        <v>116184</v>
      </c>
      <c r="K2787" s="33" t="s">
        <v>7189</v>
      </c>
      <c r="L2787" s="33" t="s">
        <v>7190</v>
      </c>
      <c r="M2787" s="33" t="s">
        <v>7191</v>
      </c>
      <c r="N2787" s="44">
        <v>42292304</v>
      </c>
      <c r="O2787" s="33" t="s">
        <v>7198</v>
      </c>
      <c r="P2787" s="33" t="s">
        <v>7199</v>
      </c>
      <c r="Q2787" s="34" t="s">
        <v>1494</v>
      </c>
      <c r="R2787" s="34" t="s">
        <v>1494</v>
      </c>
    </row>
    <row r="2788" spans="1:18" ht="15" customHeight="1" x14ac:dyDescent="0.25">
      <c r="A2788" t="str">
        <f>IFERROR(RANK(B2788,$B:$B,1)+COUNTIF($B$1:B2787,B2788),"")</f>
        <v/>
      </c>
      <c r="B2788" t="str">
        <f>IFERROR(SEARCH(#REF!,Table4[[#This Row],[Commodity Title]],1),"")</f>
        <v/>
      </c>
      <c r="C2788" s="35">
        <v>42292305</v>
      </c>
      <c r="D2788" s="33" t="s">
        <v>1495</v>
      </c>
      <c r="E2788" s="33" t="s">
        <v>1496</v>
      </c>
      <c r="F2788" s="33" t="s">
        <v>1497</v>
      </c>
      <c r="G2788" s="33" t="s">
        <v>7062</v>
      </c>
      <c r="H2788" s="33" t="s">
        <v>7063</v>
      </c>
      <c r="I2788" s="33" t="s">
        <v>7064</v>
      </c>
      <c r="J2788" s="33">
        <v>116185</v>
      </c>
      <c r="K2788" s="33" t="s">
        <v>7189</v>
      </c>
      <c r="L2788" s="33" t="s">
        <v>7190</v>
      </c>
      <c r="M2788" s="33" t="s">
        <v>7191</v>
      </c>
      <c r="N2788" s="44">
        <v>42292305</v>
      </c>
      <c r="O2788" s="33" t="s">
        <v>7200</v>
      </c>
      <c r="P2788" s="33" t="s">
        <v>7201</v>
      </c>
      <c r="Q2788" s="34" t="s">
        <v>1494</v>
      </c>
      <c r="R2788" s="34" t="s">
        <v>1494</v>
      </c>
    </row>
    <row r="2789" spans="1:18" ht="15" customHeight="1" x14ac:dyDescent="0.25">
      <c r="A2789" t="str">
        <f>IFERROR(RANK(B2789,$B:$B,1)+COUNTIF($B$1:B2788,B2789),"")</f>
        <v/>
      </c>
      <c r="B2789" t="str">
        <f>IFERROR(SEARCH(#REF!,Table4[[#This Row],[Commodity Title]],1),"")</f>
        <v/>
      </c>
      <c r="C2789" s="35">
        <v>42292306</v>
      </c>
      <c r="D2789" s="33" t="s">
        <v>1495</v>
      </c>
      <c r="E2789" s="33" t="s">
        <v>1496</v>
      </c>
      <c r="F2789" s="33" t="s">
        <v>1497</v>
      </c>
      <c r="G2789" s="33" t="s">
        <v>7062</v>
      </c>
      <c r="H2789" s="33" t="s">
        <v>7063</v>
      </c>
      <c r="I2789" s="33" t="s">
        <v>7064</v>
      </c>
      <c r="J2789" s="33">
        <v>116186</v>
      </c>
      <c r="K2789" s="33" t="s">
        <v>7189</v>
      </c>
      <c r="L2789" s="33" t="s">
        <v>7190</v>
      </c>
      <c r="M2789" s="33" t="s">
        <v>7191</v>
      </c>
      <c r="N2789" s="44">
        <v>42292306</v>
      </c>
      <c r="O2789" s="33" t="s">
        <v>7202</v>
      </c>
      <c r="P2789" s="33" t="s">
        <v>7203</v>
      </c>
      <c r="Q2789" s="34" t="s">
        <v>1494</v>
      </c>
      <c r="R2789" s="34" t="s">
        <v>1494</v>
      </c>
    </row>
    <row r="2790" spans="1:18" ht="15" customHeight="1" x14ac:dyDescent="0.25">
      <c r="A2790" t="str">
        <f>IFERROR(RANK(B2790,$B:$B,1)+COUNTIF($B$1:B2789,B2790),"")</f>
        <v/>
      </c>
      <c r="B2790" t="str">
        <f>IFERROR(SEARCH(#REF!,Table4[[#This Row],[Commodity Title]],1),"")</f>
        <v/>
      </c>
      <c r="C2790" s="35">
        <v>42292307</v>
      </c>
      <c r="D2790" s="33" t="s">
        <v>1495</v>
      </c>
      <c r="E2790" s="33" t="s">
        <v>1496</v>
      </c>
      <c r="F2790" s="33" t="s">
        <v>1497</v>
      </c>
      <c r="G2790" s="33" t="s">
        <v>7062</v>
      </c>
      <c r="H2790" s="33" t="s">
        <v>7063</v>
      </c>
      <c r="I2790" s="33" t="s">
        <v>7064</v>
      </c>
      <c r="J2790" s="33">
        <v>116187</v>
      </c>
      <c r="K2790" s="33" t="s">
        <v>7189</v>
      </c>
      <c r="L2790" s="33" t="s">
        <v>7190</v>
      </c>
      <c r="M2790" s="33" t="s">
        <v>7191</v>
      </c>
      <c r="N2790" s="44">
        <v>42292307</v>
      </c>
      <c r="O2790" s="33" t="s">
        <v>62</v>
      </c>
      <c r="P2790" s="33" t="s">
        <v>7204</v>
      </c>
      <c r="Q2790" s="34" t="s">
        <v>1494</v>
      </c>
      <c r="R2790" s="34" t="s">
        <v>1494</v>
      </c>
    </row>
    <row r="2791" spans="1:18" ht="15" customHeight="1" x14ac:dyDescent="0.25">
      <c r="A2791" t="str">
        <f>IFERROR(RANK(B2791,$B:$B,1)+COUNTIF($B$1:B2790,B2791),"")</f>
        <v/>
      </c>
      <c r="B2791" t="str">
        <f>IFERROR(SEARCH(#REF!,Table4[[#This Row],[Commodity Title]],1),"")</f>
        <v/>
      </c>
      <c r="C2791" s="35">
        <v>42292308</v>
      </c>
      <c r="D2791" s="33" t="s">
        <v>1495</v>
      </c>
      <c r="E2791" s="33" t="s">
        <v>1496</v>
      </c>
      <c r="F2791" s="33" t="s">
        <v>1497</v>
      </c>
      <c r="G2791" s="33" t="s">
        <v>7062</v>
      </c>
      <c r="H2791" s="33" t="s">
        <v>7063</v>
      </c>
      <c r="I2791" s="33" t="s">
        <v>7064</v>
      </c>
      <c r="J2791" s="33">
        <v>203117</v>
      </c>
      <c r="K2791" s="33" t="s">
        <v>7189</v>
      </c>
      <c r="L2791" s="33" t="s">
        <v>7190</v>
      </c>
      <c r="M2791" s="33" t="s">
        <v>7191</v>
      </c>
      <c r="N2791" s="44">
        <v>42292308</v>
      </c>
      <c r="O2791" s="33" t="s">
        <v>7205</v>
      </c>
      <c r="P2791" s="33" t="s">
        <v>7206</v>
      </c>
      <c r="Q2791" s="34" t="s">
        <v>1494</v>
      </c>
      <c r="R2791" s="34" t="s">
        <v>1494</v>
      </c>
    </row>
    <row r="2792" spans="1:18" ht="15" customHeight="1" x14ac:dyDescent="0.25">
      <c r="A2792" t="str">
        <f>IFERROR(RANK(B2792,$B:$B,1)+COUNTIF($B$1:B2791,B2792),"")</f>
        <v/>
      </c>
      <c r="B2792" t="str">
        <f>IFERROR(SEARCH(#REF!,Table4[[#This Row],[Commodity Title]],1),"")</f>
        <v/>
      </c>
      <c r="C2792" s="33" t="s">
        <v>1494</v>
      </c>
      <c r="D2792" s="33" t="s">
        <v>1495</v>
      </c>
      <c r="E2792" s="33" t="s">
        <v>1496</v>
      </c>
      <c r="F2792" s="33" t="s">
        <v>1497</v>
      </c>
      <c r="G2792" s="33" t="s">
        <v>7062</v>
      </c>
      <c r="H2792" s="33" t="s">
        <v>7063</v>
      </c>
      <c r="I2792" s="33" t="s">
        <v>7064</v>
      </c>
      <c r="J2792" s="33">
        <v>116188</v>
      </c>
      <c r="K2792" s="33" t="s">
        <v>7207</v>
      </c>
      <c r="L2792" s="33" t="s">
        <v>7208</v>
      </c>
      <c r="M2792" s="33" t="s">
        <v>7209</v>
      </c>
      <c r="N2792" s="44" t="s">
        <v>1494</v>
      </c>
      <c r="O2792" s="33" t="s">
        <v>1494</v>
      </c>
      <c r="P2792" s="33" t="s">
        <v>1494</v>
      </c>
      <c r="Q2792" s="34" t="s">
        <v>1494</v>
      </c>
      <c r="R2792" s="34" t="s">
        <v>1494</v>
      </c>
    </row>
    <row r="2793" spans="1:18" ht="15" customHeight="1" x14ac:dyDescent="0.25">
      <c r="A2793" t="str">
        <f>IFERROR(RANK(B2793,$B:$B,1)+COUNTIF($B$1:B2792,B2793),"")</f>
        <v/>
      </c>
      <c r="B2793" t="str">
        <f>IFERROR(SEARCH(#REF!,Table4[[#This Row],[Commodity Title]],1),"")</f>
        <v/>
      </c>
      <c r="C2793" s="35">
        <v>42292401</v>
      </c>
      <c r="D2793" s="33" t="s">
        <v>1495</v>
      </c>
      <c r="E2793" s="33" t="s">
        <v>1496</v>
      </c>
      <c r="F2793" s="33" t="s">
        <v>1497</v>
      </c>
      <c r="G2793" s="33" t="s">
        <v>7062</v>
      </c>
      <c r="H2793" s="33" t="s">
        <v>7063</v>
      </c>
      <c r="I2793" s="33" t="s">
        <v>7064</v>
      </c>
      <c r="J2793" s="33">
        <v>116189</v>
      </c>
      <c r="K2793" s="33" t="s">
        <v>7207</v>
      </c>
      <c r="L2793" s="33" t="s">
        <v>7208</v>
      </c>
      <c r="M2793" s="33" t="s">
        <v>7209</v>
      </c>
      <c r="N2793" s="44">
        <v>42292401</v>
      </c>
      <c r="O2793" s="33" t="s">
        <v>37</v>
      </c>
      <c r="P2793" s="33" t="s">
        <v>7210</v>
      </c>
      <c r="Q2793" s="34" t="s">
        <v>1494</v>
      </c>
      <c r="R2793" s="34" t="s">
        <v>1494</v>
      </c>
    </row>
    <row r="2794" spans="1:18" ht="15" customHeight="1" x14ac:dyDescent="0.25">
      <c r="A2794" t="str">
        <f>IFERROR(RANK(B2794,$B:$B,1)+COUNTIF($B$1:B2793,B2794),"")</f>
        <v/>
      </c>
      <c r="B2794" t="str">
        <f>IFERROR(SEARCH(#REF!,Table4[[#This Row],[Commodity Title]],1),"")</f>
        <v/>
      </c>
      <c r="C2794" s="35">
        <v>42292402</v>
      </c>
      <c r="D2794" s="33" t="s">
        <v>1495</v>
      </c>
      <c r="E2794" s="33" t="s">
        <v>1496</v>
      </c>
      <c r="F2794" s="33" t="s">
        <v>1497</v>
      </c>
      <c r="G2794" s="33" t="s">
        <v>7062</v>
      </c>
      <c r="H2794" s="33" t="s">
        <v>7063</v>
      </c>
      <c r="I2794" s="33" t="s">
        <v>7064</v>
      </c>
      <c r="J2794" s="33">
        <v>116190</v>
      </c>
      <c r="K2794" s="33" t="s">
        <v>7207</v>
      </c>
      <c r="L2794" s="33" t="s">
        <v>7208</v>
      </c>
      <c r="M2794" s="33" t="s">
        <v>7209</v>
      </c>
      <c r="N2794" s="44">
        <v>42292402</v>
      </c>
      <c r="O2794" s="33" t="s">
        <v>88</v>
      </c>
      <c r="P2794" s="33" t="s">
        <v>7211</v>
      </c>
      <c r="Q2794" s="34" t="s">
        <v>1494</v>
      </c>
      <c r="R2794" s="34" t="s">
        <v>1494</v>
      </c>
    </row>
    <row r="2795" spans="1:18" ht="15" customHeight="1" x14ac:dyDescent="0.25">
      <c r="A2795" t="str">
        <f>IFERROR(RANK(B2795,$B:$B,1)+COUNTIF($B$1:B2794,B2795),"")</f>
        <v/>
      </c>
      <c r="B2795" t="str">
        <f>IFERROR(SEARCH(#REF!,Table4[[#This Row],[Commodity Title]],1),"")</f>
        <v/>
      </c>
      <c r="C2795" s="35">
        <v>42292403</v>
      </c>
      <c r="D2795" s="33" t="s">
        <v>1495</v>
      </c>
      <c r="E2795" s="33" t="s">
        <v>1496</v>
      </c>
      <c r="F2795" s="33" t="s">
        <v>1497</v>
      </c>
      <c r="G2795" s="33" t="s">
        <v>7062</v>
      </c>
      <c r="H2795" s="33" t="s">
        <v>7063</v>
      </c>
      <c r="I2795" s="33" t="s">
        <v>7064</v>
      </c>
      <c r="J2795" s="33">
        <v>116191</v>
      </c>
      <c r="K2795" s="33" t="s">
        <v>7207</v>
      </c>
      <c r="L2795" s="33" t="s">
        <v>7208</v>
      </c>
      <c r="M2795" s="33" t="s">
        <v>7209</v>
      </c>
      <c r="N2795" s="44">
        <v>42292403</v>
      </c>
      <c r="O2795" s="33" t="s">
        <v>7212</v>
      </c>
      <c r="P2795" s="33" t="s">
        <v>7213</v>
      </c>
      <c r="Q2795" s="34" t="s">
        <v>1494</v>
      </c>
      <c r="R2795" s="34" t="s">
        <v>1494</v>
      </c>
    </row>
    <row r="2796" spans="1:18" ht="15" customHeight="1" x14ac:dyDescent="0.25">
      <c r="A2796" t="str">
        <f>IFERROR(RANK(B2796,$B:$B,1)+COUNTIF($B$1:B2795,B2796),"")</f>
        <v/>
      </c>
      <c r="B2796" t="str">
        <f>IFERROR(SEARCH(#REF!,Table4[[#This Row],[Commodity Title]],1),"")</f>
        <v/>
      </c>
      <c r="C2796" s="35">
        <v>42292404</v>
      </c>
      <c r="D2796" s="33" t="s">
        <v>1495</v>
      </c>
      <c r="E2796" s="33" t="s">
        <v>1496</v>
      </c>
      <c r="F2796" s="33" t="s">
        <v>1497</v>
      </c>
      <c r="G2796" s="33" t="s">
        <v>7062</v>
      </c>
      <c r="H2796" s="33" t="s">
        <v>7063</v>
      </c>
      <c r="I2796" s="33" t="s">
        <v>7064</v>
      </c>
      <c r="J2796" s="33">
        <v>203118</v>
      </c>
      <c r="K2796" s="33" t="s">
        <v>7207</v>
      </c>
      <c r="L2796" s="33" t="s">
        <v>7208</v>
      </c>
      <c r="M2796" s="33" t="s">
        <v>7209</v>
      </c>
      <c r="N2796" s="44">
        <v>42292404</v>
      </c>
      <c r="O2796" s="33" t="s">
        <v>7214</v>
      </c>
      <c r="P2796" s="33" t="s">
        <v>7215</v>
      </c>
      <c r="Q2796" s="34" t="s">
        <v>1494</v>
      </c>
      <c r="R2796" s="34" t="s">
        <v>1494</v>
      </c>
    </row>
    <row r="2797" spans="1:18" ht="15" customHeight="1" x14ac:dyDescent="0.25">
      <c r="A2797" t="str">
        <f>IFERROR(RANK(B2797,$B:$B,1)+COUNTIF($B$1:B2796,B2797),"")</f>
        <v/>
      </c>
      <c r="B2797" t="str">
        <f>IFERROR(SEARCH(#REF!,Table4[[#This Row],[Commodity Title]],1),"")</f>
        <v/>
      </c>
      <c r="C2797" s="35">
        <v>42292405</v>
      </c>
      <c r="D2797" s="33" t="s">
        <v>1495</v>
      </c>
      <c r="E2797" s="33" t="s">
        <v>1496</v>
      </c>
      <c r="F2797" s="33" t="s">
        <v>1497</v>
      </c>
      <c r="G2797" s="33" t="s">
        <v>7062</v>
      </c>
      <c r="H2797" s="33" t="s">
        <v>7063</v>
      </c>
      <c r="I2797" s="33" t="s">
        <v>7064</v>
      </c>
      <c r="J2797" s="33">
        <v>203119</v>
      </c>
      <c r="K2797" s="33" t="s">
        <v>7207</v>
      </c>
      <c r="L2797" s="33" t="s">
        <v>7208</v>
      </c>
      <c r="M2797" s="33" t="s">
        <v>7209</v>
      </c>
      <c r="N2797" s="44">
        <v>42292405</v>
      </c>
      <c r="O2797" s="33" t="s">
        <v>7216</v>
      </c>
      <c r="P2797" s="33" t="s">
        <v>7217</v>
      </c>
      <c r="Q2797" s="34" t="s">
        <v>1494</v>
      </c>
      <c r="R2797" s="34" t="s">
        <v>1494</v>
      </c>
    </row>
    <row r="2798" spans="1:18" ht="15" customHeight="1" x14ac:dyDescent="0.25">
      <c r="A2798" t="str">
        <f>IFERROR(RANK(B2798,$B:$B,1)+COUNTIF($B$1:B2797,B2798),"")</f>
        <v/>
      </c>
      <c r="B2798" t="str">
        <f>IFERROR(SEARCH(#REF!,Table4[[#This Row],[Commodity Title]],1),"")</f>
        <v/>
      </c>
      <c r="C2798" s="33" t="s">
        <v>1494</v>
      </c>
      <c r="D2798" s="33" t="s">
        <v>1495</v>
      </c>
      <c r="E2798" s="33" t="s">
        <v>1496</v>
      </c>
      <c r="F2798" s="33" t="s">
        <v>1497</v>
      </c>
      <c r="G2798" s="33" t="s">
        <v>7062</v>
      </c>
      <c r="H2798" s="33" t="s">
        <v>7063</v>
      </c>
      <c r="I2798" s="33" t="s">
        <v>7064</v>
      </c>
      <c r="J2798" s="33">
        <v>116192</v>
      </c>
      <c r="K2798" s="33" t="s">
        <v>7218</v>
      </c>
      <c r="L2798" s="33" t="s">
        <v>7219</v>
      </c>
      <c r="M2798" s="33" t="s">
        <v>7220</v>
      </c>
      <c r="N2798" s="44" t="s">
        <v>1494</v>
      </c>
      <c r="O2798" s="33" t="s">
        <v>1494</v>
      </c>
      <c r="P2798" s="33" t="s">
        <v>1494</v>
      </c>
      <c r="Q2798" s="34" t="s">
        <v>1494</v>
      </c>
      <c r="R2798" s="34" t="s">
        <v>1494</v>
      </c>
    </row>
    <row r="2799" spans="1:18" ht="15" customHeight="1" x14ac:dyDescent="0.25">
      <c r="A2799" t="str">
        <f>IFERROR(RANK(B2799,$B:$B,1)+COUNTIF($B$1:B2798,B2799),"")</f>
        <v/>
      </c>
      <c r="B2799" t="str">
        <f>IFERROR(SEARCH(#REF!,Table4[[#This Row],[Commodity Title]],1),"")</f>
        <v/>
      </c>
      <c r="C2799" s="35">
        <v>42292501</v>
      </c>
      <c r="D2799" s="33" t="s">
        <v>1495</v>
      </c>
      <c r="E2799" s="33" t="s">
        <v>1496</v>
      </c>
      <c r="F2799" s="33" t="s">
        <v>1497</v>
      </c>
      <c r="G2799" s="33" t="s">
        <v>7062</v>
      </c>
      <c r="H2799" s="33" t="s">
        <v>7063</v>
      </c>
      <c r="I2799" s="33" t="s">
        <v>7064</v>
      </c>
      <c r="J2799" s="33">
        <v>116193</v>
      </c>
      <c r="K2799" s="33" t="s">
        <v>7218</v>
      </c>
      <c r="L2799" s="33" t="s">
        <v>7219</v>
      </c>
      <c r="M2799" s="33" t="s">
        <v>7220</v>
      </c>
      <c r="N2799" s="44">
        <v>42292501</v>
      </c>
      <c r="O2799" s="33" t="s">
        <v>64</v>
      </c>
      <c r="P2799" s="33" t="s">
        <v>7221</v>
      </c>
      <c r="Q2799" s="34" t="s">
        <v>1494</v>
      </c>
      <c r="R2799" s="34" t="s">
        <v>1494</v>
      </c>
    </row>
    <row r="2800" spans="1:18" ht="15" customHeight="1" x14ac:dyDescent="0.25">
      <c r="A2800" t="str">
        <f>IFERROR(RANK(B2800,$B:$B,1)+COUNTIF($B$1:B2799,B2800),"")</f>
        <v/>
      </c>
      <c r="B2800" t="str">
        <f>IFERROR(SEARCH(#REF!,Table4[[#This Row],[Commodity Title]],1),"")</f>
        <v/>
      </c>
      <c r="C2800" s="35">
        <v>42292502</v>
      </c>
      <c r="D2800" s="33" t="s">
        <v>1495</v>
      </c>
      <c r="E2800" s="33" t="s">
        <v>1496</v>
      </c>
      <c r="F2800" s="33" t="s">
        <v>1497</v>
      </c>
      <c r="G2800" s="33" t="s">
        <v>7062</v>
      </c>
      <c r="H2800" s="33" t="s">
        <v>7063</v>
      </c>
      <c r="I2800" s="33" t="s">
        <v>7064</v>
      </c>
      <c r="J2800" s="33">
        <v>116194</v>
      </c>
      <c r="K2800" s="33" t="s">
        <v>7218</v>
      </c>
      <c r="L2800" s="33" t="s">
        <v>7219</v>
      </c>
      <c r="M2800" s="33" t="s">
        <v>7220</v>
      </c>
      <c r="N2800" s="44">
        <v>42292502</v>
      </c>
      <c r="O2800" s="33" t="s">
        <v>45</v>
      </c>
      <c r="P2800" s="33" t="s">
        <v>7222</v>
      </c>
      <c r="Q2800" s="34" t="s">
        <v>1494</v>
      </c>
      <c r="R2800" s="34" t="s">
        <v>1494</v>
      </c>
    </row>
    <row r="2801" spans="1:18" ht="15" customHeight="1" x14ac:dyDescent="0.25">
      <c r="A2801" t="str">
        <f>IFERROR(RANK(B2801,$B:$B,1)+COUNTIF($B$1:B2800,B2801),"")</f>
        <v/>
      </c>
      <c r="B2801" t="str">
        <f>IFERROR(SEARCH(#REF!,Table4[[#This Row],[Commodity Title]],1),"")</f>
        <v/>
      </c>
      <c r="C2801" s="35">
        <v>42292503</v>
      </c>
      <c r="D2801" s="33" t="s">
        <v>1495</v>
      </c>
      <c r="E2801" s="33" t="s">
        <v>1496</v>
      </c>
      <c r="F2801" s="33" t="s">
        <v>1497</v>
      </c>
      <c r="G2801" s="33" t="s">
        <v>7062</v>
      </c>
      <c r="H2801" s="33" t="s">
        <v>7063</v>
      </c>
      <c r="I2801" s="33" t="s">
        <v>7064</v>
      </c>
      <c r="J2801" s="33">
        <v>116195</v>
      </c>
      <c r="K2801" s="33" t="s">
        <v>7218</v>
      </c>
      <c r="L2801" s="33" t="s">
        <v>7219</v>
      </c>
      <c r="M2801" s="33" t="s">
        <v>7220</v>
      </c>
      <c r="N2801" s="44">
        <v>42292503</v>
      </c>
      <c r="O2801" s="33" t="s">
        <v>60</v>
      </c>
      <c r="P2801" s="33" t="s">
        <v>7223</v>
      </c>
      <c r="Q2801" s="34" t="s">
        <v>1494</v>
      </c>
      <c r="R2801" s="34" t="s">
        <v>1494</v>
      </c>
    </row>
    <row r="2802" spans="1:18" ht="15" customHeight="1" x14ac:dyDescent="0.25">
      <c r="A2802" t="str">
        <f>IFERROR(RANK(B2802,$B:$B,1)+COUNTIF($B$1:B2801,B2802),"")</f>
        <v/>
      </c>
      <c r="B2802" t="str">
        <f>IFERROR(SEARCH(#REF!,Table4[[#This Row],[Commodity Title]],1),"")</f>
        <v/>
      </c>
      <c r="C2802" s="35">
        <v>42292504</v>
      </c>
      <c r="D2802" s="33" t="s">
        <v>1495</v>
      </c>
      <c r="E2802" s="33" t="s">
        <v>1496</v>
      </c>
      <c r="F2802" s="33" t="s">
        <v>1497</v>
      </c>
      <c r="G2802" s="33" t="s">
        <v>7062</v>
      </c>
      <c r="H2802" s="33" t="s">
        <v>7063</v>
      </c>
      <c r="I2802" s="33" t="s">
        <v>7064</v>
      </c>
      <c r="J2802" s="33">
        <v>116196</v>
      </c>
      <c r="K2802" s="33" t="s">
        <v>7218</v>
      </c>
      <c r="L2802" s="33" t="s">
        <v>7219</v>
      </c>
      <c r="M2802" s="33" t="s">
        <v>7220</v>
      </c>
      <c r="N2802" s="44">
        <v>42292504</v>
      </c>
      <c r="O2802" s="33" t="s">
        <v>7224</v>
      </c>
      <c r="P2802" s="33" t="s">
        <v>7225</v>
      </c>
      <c r="Q2802" s="34" t="s">
        <v>1494</v>
      </c>
      <c r="R2802" s="34" t="s">
        <v>1494</v>
      </c>
    </row>
    <row r="2803" spans="1:18" ht="15" customHeight="1" x14ac:dyDescent="0.25">
      <c r="A2803" t="str">
        <f>IFERROR(RANK(B2803,$B:$B,1)+COUNTIF($B$1:B2802,B2803),"")</f>
        <v/>
      </c>
      <c r="B2803" t="str">
        <f>IFERROR(SEARCH(#REF!,Table4[[#This Row],[Commodity Title]],1),"")</f>
        <v/>
      </c>
      <c r="C2803" s="35">
        <v>42292505</v>
      </c>
      <c r="D2803" s="33" t="s">
        <v>1495</v>
      </c>
      <c r="E2803" s="33" t="s">
        <v>1496</v>
      </c>
      <c r="F2803" s="33" t="s">
        <v>1497</v>
      </c>
      <c r="G2803" s="33" t="s">
        <v>7062</v>
      </c>
      <c r="H2803" s="33" t="s">
        <v>7063</v>
      </c>
      <c r="I2803" s="33" t="s">
        <v>7064</v>
      </c>
      <c r="J2803" s="33">
        <v>142753</v>
      </c>
      <c r="K2803" s="33" t="s">
        <v>7218</v>
      </c>
      <c r="L2803" s="33" t="s">
        <v>7219</v>
      </c>
      <c r="M2803" s="33" t="s">
        <v>7220</v>
      </c>
      <c r="N2803" s="44">
        <v>42292505</v>
      </c>
      <c r="O2803" s="33" t="s">
        <v>7226</v>
      </c>
      <c r="P2803" s="33" t="s">
        <v>7227</v>
      </c>
      <c r="Q2803" s="34" t="s">
        <v>1494</v>
      </c>
      <c r="R2803" s="34" t="s">
        <v>1494</v>
      </c>
    </row>
    <row r="2804" spans="1:18" ht="15" customHeight="1" x14ac:dyDescent="0.25">
      <c r="A2804" t="str">
        <f>IFERROR(RANK(B2804,$B:$B,1)+COUNTIF($B$1:B2803,B2804),"")</f>
        <v/>
      </c>
      <c r="B2804" t="str">
        <f>IFERROR(SEARCH(#REF!,Table4[[#This Row],[Commodity Title]],1),"")</f>
        <v/>
      </c>
      <c r="C2804" s="35">
        <v>42292506</v>
      </c>
      <c r="D2804" s="33" t="s">
        <v>1495</v>
      </c>
      <c r="E2804" s="33" t="s">
        <v>1496</v>
      </c>
      <c r="F2804" s="33" t="s">
        <v>1497</v>
      </c>
      <c r="G2804" s="33" t="s">
        <v>7062</v>
      </c>
      <c r="H2804" s="33" t="s">
        <v>7063</v>
      </c>
      <c r="I2804" s="33" t="s">
        <v>7064</v>
      </c>
      <c r="J2804" s="33">
        <v>203120</v>
      </c>
      <c r="K2804" s="33" t="s">
        <v>7218</v>
      </c>
      <c r="L2804" s="33" t="s">
        <v>7219</v>
      </c>
      <c r="M2804" s="33" t="s">
        <v>7220</v>
      </c>
      <c r="N2804" s="44">
        <v>42292506</v>
      </c>
      <c r="O2804" s="33" t="s">
        <v>7228</v>
      </c>
      <c r="P2804" s="33" t="s">
        <v>7229</v>
      </c>
      <c r="Q2804" s="34" t="s">
        <v>1494</v>
      </c>
      <c r="R2804" s="34" t="s">
        <v>1494</v>
      </c>
    </row>
    <row r="2805" spans="1:18" ht="15" customHeight="1" x14ac:dyDescent="0.25">
      <c r="A2805" t="str">
        <f>IFERROR(RANK(B2805,$B:$B,1)+COUNTIF($B$1:B2804,B2805),"")</f>
        <v/>
      </c>
      <c r="B2805" t="str">
        <f>IFERROR(SEARCH(#REF!,Table4[[#This Row],[Commodity Title]],1),"")</f>
        <v/>
      </c>
      <c r="C2805" s="35">
        <v>42292507</v>
      </c>
      <c r="D2805" s="33" t="s">
        <v>1495</v>
      </c>
      <c r="E2805" s="33" t="s">
        <v>1496</v>
      </c>
      <c r="F2805" s="33" t="s">
        <v>1497</v>
      </c>
      <c r="G2805" s="33" t="s">
        <v>7062</v>
      </c>
      <c r="H2805" s="33" t="s">
        <v>7063</v>
      </c>
      <c r="I2805" s="33" t="s">
        <v>7064</v>
      </c>
      <c r="J2805" s="33">
        <v>203121</v>
      </c>
      <c r="K2805" s="33" t="s">
        <v>7218</v>
      </c>
      <c r="L2805" s="33" t="s">
        <v>7219</v>
      </c>
      <c r="M2805" s="33" t="s">
        <v>7220</v>
      </c>
      <c r="N2805" s="44">
        <v>42292507</v>
      </c>
      <c r="O2805" s="33" t="s">
        <v>7230</v>
      </c>
      <c r="P2805" s="33" t="s">
        <v>7231</v>
      </c>
      <c r="Q2805" s="34" t="s">
        <v>1494</v>
      </c>
      <c r="R2805" s="34" t="s">
        <v>1494</v>
      </c>
    </row>
    <row r="2806" spans="1:18" ht="15" customHeight="1" x14ac:dyDescent="0.25">
      <c r="A2806" t="str">
        <f>IFERROR(RANK(B2806,$B:$B,1)+COUNTIF($B$1:B2805,B2806),"")</f>
        <v/>
      </c>
      <c r="B2806" t="str">
        <f>IFERROR(SEARCH(#REF!,Table4[[#This Row],[Commodity Title]],1),"")</f>
        <v/>
      </c>
      <c r="C2806" s="33" t="s">
        <v>1494</v>
      </c>
      <c r="D2806" s="33" t="s">
        <v>1495</v>
      </c>
      <c r="E2806" s="33" t="s">
        <v>1496</v>
      </c>
      <c r="F2806" s="33" t="s">
        <v>1497</v>
      </c>
      <c r="G2806" s="33" t="s">
        <v>7062</v>
      </c>
      <c r="H2806" s="33" t="s">
        <v>7063</v>
      </c>
      <c r="I2806" s="33" t="s">
        <v>7064</v>
      </c>
      <c r="J2806" s="33">
        <v>116197</v>
      </c>
      <c r="K2806" s="33" t="s">
        <v>7232</v>
      </c>
      <c r="L2806" s="33" t="s">
        <v>7233</v>
      </c>
      <c r="M2806" s="33" t="s">
        <v>7234</v>
      </c>
      <c r="N2806" s="44" t="s">
        <v>1494</v>
      </c>
      <c r="O2806" s="33" t="s">
        <v>1494</v>
      </c>
      <c r="P2806" s="33" t="s">
        <v>1494</v>
      </c>
      <c r="Q2806" s="34" t="s">
        <v>1494</v>
      </c>
      <c r="R2806" s="34" t="s">
        <v>1494</v>
      </c>
    </row>
    <row r="2807" spans="1:18" ht="15" customHeight="1" x14ac:dyDescent="0.25">
      <c r="A2807" t="str">
        <f>IFERROR(RANK(B2807,$B:$B,1)+COUNTIF($B$1:B2806,B2807),"")</f>
        <v/>
      </c>
      <c r="B2807" t="str">
        <f>IFERROR(SEARCH(#REF!,Table4[[#This Row],[Commodity Title]],1),"")</f>
        <v/>
      </c>
      <c r="C2807" s="35">
        <v>42292601</v>
      </c>
      <c r="D2807" s="33" t="s">
        <v>1495</v>
      </c>
      <c r="E2807" s="33" t="s">
        <v>1496</v>
      </c>
      <c r="F2807" s="33" t="s">
        <v>1497</v>
      </c>
      <c r="G2807" s="33" t="s">
        <v>7062</v>
      </c>
      <c r="H2807" s="33" t="s">
        <v>7063</v>
      </c>
      <c r="I2807" s="33" t="s">
        <v>7064</v>
      </c>
      <c r="J2807" s="33">
        <v>104396</v>
      </c>
      <c r="K2807" s="33" t="s">
        <v>7232</v>
      </c>
      <c r="L2807" s="33" t="s">
        <v>7233</v>
      </c>
      <c r="M2807" s="33" t="s">
        <v>7234</v>
      </c>
      <c r="N2807" s="44">
        <v>42292601</v>
      </c>
      <c r="O2807" s="33" t="s">
        <v>7235</v>
      </c>
      <c r="P2807" s="33" t="s">
        <v>7236</v>
      </c>
      <c r="Q2807" s="34" t="s">
        <v>1494</v>
      </c>
      <c r="R2807" s="34" t="s">
        <v>1494</v>
      </c>
    </row>
    <row r="2808" spans="1:18" ht="15" customHeight="1" x14ac:dyDescent="0.25">
      <c r="A2808" t="str">
        <f>IFERROR(RANK(B2808,$B:$B,1)+COUNTIF($B$1:B2807,B2808),"")</f>
        <v/>
      </c>
      <c r="B2808" t="str">
        <f>IFERROR(SEARCH(#REF!,Table4[[#This Row],[Commodity Title]],1),"")</f>
        <v/>
      </c>
      <c r="C2808" s="35">
        <v>42292602</v>
      </c>
      <c r="D2808" s="33" t="s">
        <v>1495</v>
      </c>
      <c r="E2808" s="33" t="s">
        <v>1496</v>
      </c>
      <c r="F2808" s="33" t="s">
        <v>1497</v>
      </c>
      <c r="G2808" s="33" t="s">
        <v>7062</v>
      </c>
      <c r="H2808" s="33" t="s">
        <v>7063</v>
      </c>
      <c r="I2808" s="33" t="s">
        <v>7064</v>
      </c>
      <c r="J2808" s="33">
        <v>116199</v>
      </c>
      <c r="K2808" s="33" t="s">
        <v>7232</v>
      </c>
      <c r="L2808" s="33" t="s">
        <v>7233</v>
      </c>
      <c r="M2808" s="33" t="s">
        <v>7234</v>
      </c>
      <c r="N2808" s="44">
        <v>42292602</v>
      </c>
      <c r="O2808" s="33" t="s">
        <v>7237</v>
      </c>
      <c r="P2808" s="33" t="s">
        <v>7238</v>
      </c>
      <c r="Q2808" s="34" t="s">
        <v>1494</v>
      </c>
      <c r="R2808" s="34" t="s">
        <v>1494</v>
      </c>
    </row>
    <row r="2809" spans="1:18" ht="15" customHeight="1" x14ac:dyDescent="0.25">
      <c r="A2809" t="str">
        <f>IFERROR(RANK(B2809,$B:$B,1)+COUNTIF($B$1:B2808,B2809),"")</f>
        <v/>
      </c>
      <c r="B2809" t="str">
        <f>IFERROR(SEARCH(#REF!,Table4[[#This Row],[Commodity Title]],1),"")</f>
        <v/>
      </c>
      <c r="C2809" s="35">
        <v>42292603</v>
      </c>
      <c r="D2809" s="33" t="s">
        <v>1495</v>
      </c>
      <c r="E2809" s="33" t="s">
        <v>1496</v>
      </c>
      <c r="F2809" s="33" t="s">
        <v>1497</v>
      </c>
      <c r="G2809" s="33" t="s">
        <v>7062</v>
      </c>
      <c r="H2809" s="33" t="s">
        <v>7063</v>
      </c>
      <c r="I2809" s="33" t="s">
        <v>7064</v>
      </c>
      <c r="J2809" s="33">
        <v>116200</v>
      </c>
      <c r="K2809" s="33" t="s">
        <v>7232</v>
      </c>
      <c r="L2809" s="33" t="s">
        <v>7233</v>
      </c>
      <c r="M2809" s="33" t="s">
        <v>7234</v>
      </c>
      <c r="N2809" s="44">
        <v>42292603</v>
      </c>
      <c r="O2809" s="33" t="s">
        <v>7239</v>
      </c>
      <c r="P2809" s="33" t="s">
        <v>7240</v>
      </c>
      <c r="Q2809" s="34" t="s">
        <v>1494</v>
      </c>
      <c r="R2809" s="34" t="s">
        <v>1494</v>
      </c>
    </row>
    <row r="2810" spans="1:18" ht="15" customHeight="1" x14ac:dyDescent="0.25">
      <c r="A2810" t="str">
        <f>IFERROR(RANK(B2810,$B:$B,1)+COUNTIF($B$1:B2809,B2810),"")</f>
        <v/>
      </c>
      <c r="B2810" t="str">
        <f>IFERROR(SEARCH(#REF!,Table4[[#This Row],[Commodity Title]],1),"")</f>
        <v/>
      </c>
      <c r="C2810" s="35">
        <v>42292604</v>
      </c>
      <c r="D2810" s="33" t="s">
        <v>1495</v>
      </c>
      <c r="E2810" s="33" t="s">
        <v>1496</v>
      </c>
      <c r="F2810" s="33" t="s">
        <v>1497</v>
      </c>
      <c r="G2810" s="33" t="s">
        <v>7062</v>
      </c>
      <c r="H2810" s="33" t="s">
        <v>7063</v>
      </c>
      <c r="I2810" s="33" t="s">
        <v>7064</v>
      </c>
      <c r="J2810" s="33">
        <v>208353</v>
      </c>
      <c r="K2810" s="33" t="s">
        <v>7232</v>
      </c>
      <c r="L2810" s="33" t="s">
        <v>7233</v>
      </c>
      <c r="M2810" s="33" t="s">
        <v>7234</v>
      </c>
      <c r="N2810" s="44">
        <v>42292604</v>
      </c>
      <c r="O2810" s="33" t="s">
        <v>7241</v>
      </c>
      <c r="P2810" s="33" t="s">
        <v>7242</v>
      </c>
      <c r="Q2810" s="34" t="s">
        <v>1494</v>
      </c>
      <c r="R2810" s="34" t="s">
        <v>1494</v>
      </c>
    </row>
    <row r="2811" spans="1:18" ht="15" customHeight="1" x14ac:dyDescent="0.25">
      <c r="A2811" t="str">
        <f>IFERROR(RANK(B2811,$B:$B,1)+COUNTIF($B$1:B2810,B2811),"")</f>
        <v/>
      </c>
      <c r="B2811" t="str">
        <f>IFERROR(SEARCH(#REF!,Table4[[#This Row],[Commodity Title]],1),"")</f>
        <v/>
      </c>
      <c r="C2811" s="33" t="s">
        <v>1494</v>
      </c>
      <c r="D2811" s="33" t="s">
        <v>1495</v>
      </c>
      <c r="E2811" s="33" t="s">
        <v>1496</v>
      </c>
      <c r="F2811" s="33" t="s">
        <v>1497</v>
      </c>
      <c r="G2811" s="33" t="s">
        <v>7062</v>
      </c>
      <c r="H2811" s="33" t="s">
        <v>7063</v>
      </c>
      <c r="I2811" s="33" t="s">
        <v>7064</v>
      </c>
      <c r="J2811" s="33">
        <v>116201</v>
      </c>
      <c r="K2811" s="33" t="s">
        <v>7243</v>
      </c>
      <c r="L2811" s="33" t="s">
        <v>7244</v>
      </c>
      <c r="M2811" s="33" t="s">
        <v>7245</v>
      </c>
      <c r="N2811" s="44" t="s">
        <v>1494</v>
      </c>
      <c r="O2811" s="33" t="s">
        <v>1494</v>
      </c>
      <c r="P2811" s="33" t="s">
        <v>1494</v>
      </c>
      <c r="Q2811" s="34" t="s">
        <v>1494</v>
      </c>
      <c r="R2811" s="34" t="s">
        <v>1494</v>
      </c>
    </row>
    <row r="2812" spans="1:18" ht="15" customHeight="1" x14ac:dyDescent="0.25">
      <c r="A2812" t="str">
        <f>IFERROR(RANK(B2812,$B:$B,1)+COUNTIF($B$1:B2811,B2812),"")</f>
        <v/>
      </c>
      <c r="B2812" t="str">
        <f>IFERROR(SEARCH(#REF!,Table4[[#This Row],[Commodity Title]],1),"")</f>
        <v/>
      </c>
      <c r="C2812" s="35">
        <v>42292701</v>
      </c>
      <c r="D2812" s="33" t="s">
        <v>1495</v>
      </c>
      <c r="E2812" s="33" t="s">
        <v>1496</v>
      </c>
      <c r="F2812" s="33" t="s">
        <v>1497</v>
      </c>
      <c r="G2812" s="33" t="s">
        <v>7062</v>
      </c>
      <c r="H2812" s="33" t="s">
        <v>7063</v>
      </c>
      <c r="I2812" s="33" t="s">
        <v>7064</v>
      </c>
      <c r="J2812" s="33">
        <v>116202</v>
      </c>
      <c r="K2812" s="33" t="s">
        <v>7243</v>
      </c>
      <c r="L2812" s="33" t="s">
        <v>7244</v>
      </c>
      <c r="M2812" s="33" t="s">
        <v>7245</v>
      </c>
      <c r="N2812" s="44">
        <v>42292701</v>
      </c>
      <c r="O2812" s="33" t="s">
        <v>6</v>
      </c>
      <c r="P2812" s="33" t="s">
        <v>7246</v>
      </c>
      <c r="Q2812" s="34" t="s">
        <v>1494</v>
      </c>
      <c r="R2812" s="34" t="s">
        <v>1494</v>
      </c>
    </row>
    <row r="2813" spans="1:18" ht="15" customHeight="1" x14ac:dyDescent="0.25">
      <c r="A2813" t="str">
        <f>IFERROR(RANK(B2813,$B:$B,1)+COUNTIF($B$1:B2812,B2813),"")</f>
        <v/>
      </c>
      <c r="B2813" t="str">
        <f>IFERROR(SEARCH(#REF!,Table4[[#This Row],[Commodity Title]],1),"")</f>
        <v/>
      </c>
      <c r="C2813" s="35">
        <v>42292702</v>
      </c>
      <c r="D2813" s="33" t="s">
        <v>1495</v>
      </c>
      <c r="E2813" s="33" t="s">
        <v>1496</v>
      </c>
      <c r="F2813" s="33" t="s">
        <v>1497</v>
      </c>
      <c r="G2813" s="33" t="s">
        <v>7062</v>
      </c>
      <c r="H2813" s="33" t="s">
        <v>7063</v>
      </c>
      <c r="I2813" s="33" t="s">
        <v>7064</v>
      </c>
      <c r="J2813" s="33">
        <v>116203</v>
      </c>
      <c r="K2813" s="33" t="s">
        <v>7243</v>
      </c>
      <c r="L2813" s="33" t="s">
        <v>7244</v>
      </c>
      <c r="M2813" s="33" t="s">
        <v>7245</v>
      </c>
      <c r="N2813" s="44">
        <v>42292702</v>
      </c>
      <c r="O2813" s="33" t="s">
        <v>7247</v>
      </c>
      <c r="P2813" s="33" t="s">
        <v>7248</v>
      </c>
      <c r="Q2813" s="34" t="s">
        <v>1494</v>
      </c>
      <c r="R2813" s="34" t="s">
        <v>1494</v>
      </c>
    </row>
    <row r="2814" spans="1:18" ht="15" customHeight="1" x14ac:dyDescent="0.25">
      <c r="A2814" t="str">
        <f>IFERROR(RANK(B2814,$B:$B,1)+COUNTIF($B$1:B2813,B2814),"")</f>
        <v/>
      </c>
      <c r="B2814" t="str">
        <f>IFERROR(SEARCH(#REF!,Table4[[#This Row],[Commodity Title]],1),"")</f>
        <v/>
      </c>
      <c r="C2814" s="35">
        <v>42292703</v>
      </c>
      <c r="D2814" s="33" t="s">
        <v>1495</v>
      </c>
      <c r="E2814" s="33" t="s">
        <v>1496</v>
      </c>
      <c r="F2814" s="33" t="s">
        <v>1497</v>
      </c>
      <c r="G2814" s="33" t="s">
        <v>7062</v>
      </c>
      <c r="H2814" s="33" t="s">
        <v>7063</v>
      </c>
      <c r="I2814" s="33" t="s">
        <v>7064</v>
      </c>
      <c r="J2814" s="33">
        <v>116204</v>
      </c>
      <c r="K2814" s="33" t="s">
        <v>7243</v>
      </c>
      <c r="L2814" s="33" t="s">
        <v>7244</v>
      </c>
      <c r="M2814" s="33" t="s">
        <v>7245</v>
      </c>
      <c r="N2814" s="44">
        <v>42292703</v>
      </c>
      <c r="O2814" s="33" t="s">
        <v>7249</v>
      </c>
      <c r="P2814" s="33" t="s">
        <v>7250</v>
      </c>
      <c r="Q2814" s="34" t="s">
        <v>1494</v>
      </c>
      <c r="R2814" s="34" t="s">
        <v>1494</v>
      </c>
    </row>
    <row r="2815" spans="1:18" ht="15" customHeight="1" x14ac:dyDescent="0.25">
      <c r="A2815" t="str">
        <f>IFERROR(RANK(B2815,$B:$B,1)+COUNTIF($B$1:B2814,B2815),"")</f>
        <v/>
      </c>
      <c r="B2815" t="str">
        <f>IFERROR(SEARCH(#REF!,Table4[[#This Row],[Commodity Title]],1),"")</f>
        <v/>
      </c>
      <c r="C2815" s="35">
        <v>42292704</v>
      </c>
      <c r="D2815" s="33" t="s">
        <v>1495</v>
      </c>
      <c r="E2815" s="33" t="s">
        <v>1496</v>
      </c>
      <c r="F2815" s="33" t="s">
        <v>1497</v>
      </c>
      <c r="G2815" s="33" t="s">
        <v>7062</v>
      </c>
      <c r="H2815" s="33" t="s">
        <v>7063</v>
      </c>
      <c r="I2815" s="33" t="s">
        <v>7064</v>
      </c>
      <c r="J2815" s="33">
        <v>116205</v>
      </c>
      <c r="K2815" s="33" t="s">
        <v>7243</v>
      </c>
      <c r="L2815" s="33" t="s">
        <v>7244</v>
      </c>
      <c r="M2815" s="33" t="s">
        <v>7245</v>
      </c>
      <c r="N2815" s="44">
        <v>42292704</v>
      </c>
      <c r="O2815" s="33" t="s">
        <v>7251</v>
      </c>
      <c r="P2815" s="33" t="s">
        <v>7252</v>
      </c>
      <c r="Q2815" s="34" t="s">
        <v>1494</v>
      </c>
      <c r="R2815" s="34" t="s">
        <v>1494</v>
      </c>
    </row>
    <row r="2816" spans="1:18" ht="15" customHeight="1" x14ac:dyDescent="0.25">
      <c r="A2816" t="str">
        <f>IFERROR(RANK(B2816,$B:$B,1)+COUNTIF($B$1:B2815,B2816),"")</f>
        <v/>
      </c>
      <c r="B2816" t="str">
        <f>IFERROR(SEARCH(#REF!,Table4[[#This Row],[Commodity Title]],1),"")</f>
        <v/>
      </c>
      <c r="C2816" s="33" t="s">
        <v>1494</v>
      </c>
      <c r="D2816" s="33" t="s">
        <v>1495</v>
      </c>
      <c r="E2816" s="33" t="s">
        <v>1496</v>
      </c>
      <c r="F2816" s="33" t="s">
        <v>1497</v>
      </c>
      <c r="G2816" s="33" t="s">
        <v>7062</v>
      </c>
      <c r="H2816" s="33" t="s">
        <v>7063</v>
      </c>
      <c r="I2816" s="33" t="s">
        <v>7064</v>
      </c>
      <c r="J2816" s="33">
        <v>116206</v>
      </c>
      <c r="K2816" s="33" t="s">
        <v>7253</v>
      </c>
      <c r="L2816" s="33" t="s">
        <v>7254</v>
      </c>
      <c r="M2816" s="33" t="s">
        <v>7255</v>
      </c>
      <c r="N2816" s="44" t="s">
        <v>1494</v>
      </c>
      <c r="O2816" s="33" t="s">
        <v>1494</v>
      </c>
      <c r="P2816" s="33" t="s">
        <v>1494</v>
      </c>
      <c r="Q2816" s="34" t="s">
        <v>1494</v>
      </c>
      <c r="R2816" s="34" t="s">
        <v>1494</v>
      </c>
    </row>
    <row r="2817" spans="1:18" ht="15" customHeight="1" x14ac:dyDescent="0.25">
      <c r="A2817" t="str">
        <f>IFERROR(RANK(B2817,$B:$B,1)+COUNTIF($B$1:B2816,B2817),"")</f>
        <v/>
      </c>
      <c r="B2817" t="str">
        <f>IFERROR(SEARCH(#REF!,Table4[[#This Row],[Commodity Title]],1),"")</f>
        <v/>
      </c>
      <c r="C2817" s="35">
        <v>42292801</v>
      </c>
      <c r="D2817" s="33" t="s">
        <v>1495</v>
      </c>
      <c r="E2817" s="33" t="s">
        <v>1496</v>
      </c>
      <c r="F2817" s="33" t="s">
        <v>1497</v>
      </c>
      <c r="G2817" s="33" t="s">
        <v>7062</v>
      </c>
      <c r="H2817" s="33" t="s">
        <v>7063</v>
      </c>
      <c r="I2817" s="33" t="s">
        <v>7064</v>
      </c>
      <c r="J2817" s="33">
        <v>116207</v>
      </c>
      <c r="K2817" s="33" t="s">
        <v>7253</v>
      </c>
      <c r="L2817" s="33" t="s">
        <v>7254</v>
      </c>
      <c r="M2817" s="33" t="s">
        <v>7255</v>
      </c>
      <c r="N2817" s="44">
        <v>42292801</v>
      </c>
      <c r="O2817" s="33" t="s">
        <v>7256</v>
      </c>
      <c r="P2817" s="33" t="s">
        <v>7257</v>
      </c>
      <c r="Q2817" s="34" t="s">
        <v>1494</v>
      </c>
      <c r="R2817" s="34" t="s">
        <v>1494</v>
      </c>
    </row>
    <row r="2818" spans="1:18" ht="15" customHeight="1" x14ac:dyDescent="0.25">
      <c r="A2818" t="str">
        <f>IFERROR(RANK(B2818,$B:$B,1)+COUNTIF($B$1:B2817,B2818),"")</f>
        <v/>
      </c>
      <c r="B2818" t="str">
        <f>IFERROR(SEARCH(#REF!,Table4[[#This Row],[Commodity Title]],1),"")</f>
        <v/>
      </c>
      <c r="C2818" s="35">
        <v>42292802</v>
      </c>
      <c r="D2818" s="33" t="s">
        <v>1495</v>
      </c>
      <c r="E2818" s="33" t="s">
        <v>1496</v>
      </c>
      <c r="F2818" s="33" t="s">
        <v>1497</v>
      </c>
      <c r="G2818" s="33" t="s">
        <v>7062</v>
      </c>
      <c r="H2818" s="33" t="s">
        <v>7063</v>
      </c>
      <c r="I2818" s="33" t="s">
        <v>7064</v>
      </c>
      <c r="J2818" s="33">
        <v>116208</v>
      </c>
      <c r="K2818" s="33" t="s">
        <v>7253</v>
      </c>
      <c r="L2818" s="33" t="s">
        <v>7254</v>
      </c>
      <c r="M2818" s="33" t="s">
        <v>7255</v>
      </c>
      <c r="N2818" s="44">
        <v>42292802</v>
      </c>
      <c r="O2818" s="33" t="s">
        <v>7258</v>
      </c>
      <c r="P2818" s="33" t="s">
        <v>7259</v>
      </c>
      <c r="Q2818" s="34" t="s">
        <v>1494</v>
      </c>
      <c r="R2818" s="34" t="s">
        <v>1494</v>
      </c>
    </row>
    <row r="2819" spans="1:18" ht="15" customHeight="1" x14ac:dyDescent="0.25">
      <c r="A2819" t="str">
        <f>IFERROR(RANK(B2819,$B:$B,1)+COUNTIF($B$1:B2818,B2819),"")</f>
        <v/>
      </c>
      <c r="B2819" t="str">
        <f>IFERROR(SEARCH(#REF!,Table4[[#This Row],[Commodity Title]],1),"")</f>
        <v/>
      </c>
      <c r="C2819" s="35">
        <v>42292803</v>
      </c>
      <c r="D2819" s="33" t="s">
        <v>1495</v>
      </c>
      <c r="E2819" s="33" t="s">
        <v>1496</v>
      </c>
      <c r="F2819" s="33" t="s">
        <v>1497</v>
      </c>
      <c r="G2819" s="33" t="s">
        <v>7062</v>
      </c>
      <c r="H2819" s="33" t="s">
        <v>7063</v>
      </c>
      <c r="I2819" s="33" t="s">
        <v>7064</v>
      </c>
      <c r="J2819" s="33">
        <v>177421</v>
      </c>
      <c r="K2819" s="33" t="s">
        <v>7253</v>
      </c>
      <c r="L2819" s="33" t="s">
        <v>7254</v>
      </c>
      <c r="M2819" s="33" t="s">
        <v>7255</v>
      </c>
      <c r="N2819" s="44">
        <v>42292803</v>
      </c>
      <c r="O2819" s="33" t="s">
        <v>7260</v>
      </c>
      <c r="P2819" s="33" t="s">
        <v>7261</v>
      </c>
      <c r="Q2819" s="34" t="s">
        <v>1494</v>
      </c>
      <c r="R2819" s="34" t="s">
        <v>1494</v>
      </c>
    </row>
    <row r="2820" spans="1:18" ht="15" customHeight="1" x14ac:dyDescent="0.25">
      <c r="A2820" t="str">
        <f>IFERROR(RANK(B2820,$B:$B,1)+COUNTIF($B$1:B2819,B2820),"")</f>
        <v/>
      </c>
      <c r="B2820" t="str">
        <f>IFERROR(SEARCH(#REF!,Table4[[#This Row],[Commodity Title]],1),"")</f>
        <v/>
      </c>
      <c r="C2820" s="33" t="s">
        <v>1494</v>
      </c>
      <c r="D2820" s="33" t="s">
        <v>1495</v>
      </c>
      <c r="E2820" s="33" t="s">
        <v>1496</v>
      </c>
      <c r="F2820" s="33" t="s">
        <v>1497</v>
      </c>
      <c r="G2820" s="33" t="s">
        <v>7062</v>
      </c>
      <c r="H2820" s="33" t="s">
        <v>7063</v>
      </c>
      <c r="I2820" s="33" t="s">
        <v>7064</v>
      </c>
      <c r="J2820" s="33">
        <v>116209</v>
      </c>
      <c r="K2820" s="33" t="s">
        <v>7262</v>
      </c>
      <c r="L2820" s="33" t="s">
        <v>7263</v>
      </c>
      <c r="M2820" s="33" t="s">
        <v>7264</v>
      </c>
      <c r="N2820" s="44" t="s">
        <v>1494</v>
      </c>
      <c r="O2820" s="33" t="s">
        <v>1494</v>
      </c>
      <c r="P2820" s="33" t="s">
        <v>1494</v>
      </c>
      <c r="Q2820" s="34" t="s">
        <v>1494</v>
      </c>
      <c r="R2820" s="34" t="s">
        <v>1494</v>
      </c>
    </row>
    <row r="2821" spans="1:18" ht="15" customHeight="1" x14ac:dyDescent="0.25">
      <c r="A2821" t="str">
        <f>IFERROR(RANK(B2821,$B:$B,1)+COUNTIF($B$1:B2820,B2821),"")</f>
        <v/>
      </c>
      <c r="B2821" t="str">
        <f>IFERROR(SEARCH(#REF!,Table4[[#This Row],[Commodity Title]],1),"")</f>
        <v/>
      </c>
      <c r="C2821" s="35">
        <v>42292901</v>
      </c>
      <c r="D2821" s="33" t="s">
        <v>1495</v>
      </c>
      <c r="E2821" s="33" t="s">
        <v>1496</v>
      </c>
      <c r="F2821" s="33" t="s">
        <v>1497</v>
      </c>
      <c r="G2821" s="33" t="s">
        <v>7062</v>
      </c>
      <c r="H2821" s="33" t="s">
        <v>7063</v>
      </c>
      <c r="I2821" s="33" t="s">
        <v>7064</v>
      </c>
      <c r="J2821" s="33">
        <v>116210</v>
      </c>
      <c r="K2821" s="33" t="s">
        <v>7262</v>
      </c>
      <c r="L2821" s="33" t="s">
        <v>7263</v>
      </c>
      <c r="M2821" s="33" t="s">
        <v>7264</v>
      </c>
      <c r="N2821" s="44">
        <v>42292901</v>
      </c>
      <c r="O2821" s="33" t="s">
        <v>7265</v>
      </c>
      <c r="P2821" s="33" t="s">
        <v>7266</v>
      </c>
      <c r="Q2821" s="34" t="s">
        <v>1494</v>
      </c>
      <c r="R2821" s="34" t="s">
        <v>1494</v>
      </c>
    </row>
    <row r="2822" spans="1:18" ht="15" customHeight="1" x14ac:dyDescent="0.25">
      <c r="A2822" t="str">
        <f>IFERROR(RANK(B2822,$B:$B,1)+COUNTIF($B$1:B2821,B2822),"")</f>
        <v/>
      </c>
      <c r="B2822" t="str">
        <f>IFERROR(SEARCH(#REF!,Table4[[#This Row],[Commodity Title]],1),"")</f>
        <v/>
      </c>
      <c r="C2822" s="35">
        <v>42292903</v>
      </c>
      <c r="D2822" s="33" t="s">
        <v>1495</v>
      </c>
      <c r="E2822" s="33" t="s">
        <v>1496</v>
      </c>
      <c r="F2822" s="33" t="s">
        <v>1497</v>
      </c>
      <c r="G2822" s="33" t="s">
        <v>7062</v>
      </c>
      <c r="H2822" s="33" t="s">
        <v>7063</v>
      </c>
      <c r="I2822" s="33" t="s">
        <v>7064</v>
      </c>
      <c r="J2822" s="33">
        <v>116212</v>
      </c>
      <c r="K2822" s="33" t="s">
        <v>7262</v>
      </c>
      <c r="L2822" s="33" t="s">
        <v>7263</v>
      </c>
      <c r="M2822" s="33" t="s">
        <v>7264</v>
      </c>
      <c r="N2822" s="44">
        <v>42292903</v>
      </c>
      <c r="O2822" s="33" t="s">
        <v>7267</v>
      </c>
      <c r="P2822" s="33" t="s">
        <v>7268</v>
      </c>
      <c r="Q2822" s="34" t="s">
        <v>1494</v>
      </c>
      <c r="R2822" s="34" t="s">
        <v>1494</v>
      </c>
    </row>
    <row r="2823" spans="1:18" ht="15" customHeight="1" x14ac:dyDescent="0.25">
      <c r="A2823" t="str">
        <f>IFERROR(RANK(B2823,$B:$B,1)+COUNTIF($B$1:B2822,B2823),"")</f>
        <v/>
      </c>
      <c r="B2823" t="str">
        <f>IFERROR(SEARCH(#REF!,Table4[[#This Row],[Commodity Title]],1),"")</f>
        <v/>
      </c>
      <c r="C2823" s="35">
        <v>42292904</v>
      </c>
      <c r="D2823" s="33" t="s">
        <v>1495</v>
      </c>
      <c r="E2823" s="33" t="s">
        <v>1496</v>
      </c>
      <c r="F2823" s="33" t="s">
        <v>1497</v>
      </c>
      <c r="G2823" s="33" t="s">
        <v>7062</v>
      </c>
      <c r="H2823" s="33" t="s">
        <v>7063</v>
      </c>
      <c r="I2823" s="33" t="s">
        <v>7064</v>
      </c>
      <c r="J2823" s="33">
        <v>116213</v>
      </c>
      <c r="K2823" s="33" t="s">
        <v>7262</v>
      </c>
      <c r="L2823" s="33" t="s">
        <v>7263</v>
      </c>
      <c r="M2823" s="33" t="s">
        <v>7264</v>
      </c>
      <c r="N2823" s="44">
        <v>42292904</v>
      </c>
      <c r="O2823" s="33" t="s">
        <v>144</v>
      </c>
      <c r="P2823" s="33" t="s">
        <v>7269</v>
      </c>
      <c r="Q2823" s="34" t="s">
        <v>1494</v>
      </c>
      <c r="R2823" s="34" t="s">
        <v>1494</v>
      </c>
    </row>
    <row r="2824" spans="1:18" ht="15" customHeight="1" x14ac:dyDescent="0.25">
      <c r="A2824" t="str">
        <f>IFERROR(RANK(B2824,$B:$B,1)+COUNTIF($B$1:B2823,B2824),"")</f>
        <v/>
      </c>
      <c r="B2824" t="str">
        <f>IFERROR(SEARCH(#REF!,Table4[[#This Row],[Commodity Title]],1),"")</f>
        <v/>
      </c>
      <c r="C2824" s="35">
        <v>42292907</v>
      </c>
      <c r="D2824" s="33" t="s">
        <v>1495</v>
      </c>
      <c r="E2824" s="33" t="s">
        <v>1496</v>
      </c>
      <c r="F2824" s="33" t="s">
        <v>1497</v>
      </c>
      <c r="G2824" s="33" t="s">
        <v>7062</v>
      </c>
      <c r="H2824" s="33" t="s">
        <v>7063</v>
      </c>
      <c r="I2824" s="33" t="s">
        <v>7064</v>
      </c>
      <c r="J2824" s="33">
        <v>142756</v>
      </c>
      <c r="K2824" s="33" t="s">
        <v>7262</v>
      </c>
      <c r="L2824" s="33" t="s">
        <v>7263</v>
      </c>
      <c r="M2824" s="33" t="s">
        <v>7264</v>
      </c>
      <c r="N2824" s="44">
        <v>42292907</v>
      </c>
      <c r="O2824" s="33" t="s">
        <v>7270</v>
      </c>
      <c r="P2824" s="33" t="s">
        <v>7271</v>
      </c>
      <c r="Q2824" s="34" t="s">
        <v>1494</v>
      </c>
      <c r="R2824" s="34" t="s">
        <v>1494</v>
      </c>
    </row>
    <row r="2825" spans="1:18" ht="15" customHeight="1" x14ac:dyDescent="0.25">
      <c r="A2825" t="str">
        <f>IFERROR(RANK(B2825,$B:$B,1)+COUNTIF($B$1:B2824,B2825),"")</f>
        <v/>
      </c>
      <c r="B2825" t="str">
        <f>IFERROR(SEARCH(#REF!,Table4[[#This Row],[Commodity Title]],1),"")</f>
        <v/>
      </c>
      <c r="C2825" s="35">
        <v>42292908</v>
      </c>
      <c r="D2825" s="33" t="s">
        <v>1495</v>
      </c>
      <c r="E2825" s="33" t="s">
        <v>1496</v>
      </c>
      <c r="F2825" s="33" t="s">
        <v>1497</v>
      </c>
      <c r="G2825" s="33" t="s">
        <v>7062</v>
      </c>
      <c r="H2825" s="33" t="s">
        <v>7063</v>
      </c>
      <c r="I2825" s="33" t="s">
        <v>7064</v>
      </c>
      <c r="J2825" s="33">
        <v>143502</v>
      </c>
      <c r="K2825" s="33" t="s">
        <v>7262</v>
      </c>
      <c r="L2825" s="33" t="s">
        <v>7263</v>
      </c>
      <c r="M2825" s="33" t="s">
        <v>7264</v>
      </c>
      <c r="N2825" s="44">
        <v>42292908</v>
      </c>
      <c r="O2825" s="33" t="s">
        <v>7272</v>
      </c>
      <c r="P2825" s="33" t="s">
        <v>7273</v>
      </c>
      <c r="Q2825" s="34" t="s">
        <v>1494</v>
      </c>
      <c r="R2825" s="34" t="s">
        <v>1494</v>
      </c>
    </row>
    <row r="2826" spans="1:18" ht="15" customHeight="1" x14ac:dyDescent="0.25">
      <c r="A2826" t="str">
        <f>IFERROR(RANK(B2826,$B:$B,1)+COUNTIF($B$1:B2825,B2826),"")</f>
        <v/>
      </c>
      <c r="B2826" t="str">
        <f>IFERROR(SEARCH(#REF!,Table4[[#This Row],[Commodity Title]],1),"")</f>
        <v/>
      </c>
      <c r="C2826" s="35">
        <v>42292909</v>
      </c>
      <c r="D2826" s="33" t="s">
        <v>1495</v>
      </c>
      <c r="E2826" s="33" t="s">
        <v>1496</v>
      </c>
      <c r="F2826" s="33" t="s">
        <v>1497</v>
      </c>
      <c r="G2826" s="33" t="s">
        <v>7062</v>
      </c>
      <c r="H2826" s="33" t="s">
        <v>7063</v>
      </c>
      <c r="I2826" s="33" t="s">
        <v>7064</v>
      </c>
      <c r="J2826" s="33">
        <v>203122</v>
      </c>
      <c r="K2826" s="33" t="s">
        <v>7262</v>
      </c>
      <c r="L2826" s="33" t="s">
        <v>7263</v>
      </c>
      <c r="M2826" s="33" t="s">
        <v>7264</v>
      </c>
      <c r="N2826" s="44">
        <v>42292909</v>
      </c>
      <c r="O2826" s="33" t="s">
        <v>7274</v>
      </c>
      <c r="P2826" s="33" t="s">
        <v>7275</v>
      </c>
      <c r="Q2826" s="34" t="s">
        <v>1494</v>
      </c>
      <c r="R2826" s="34" t="s">
        <v>1494</v>
      </c>
    </row>
    <row r="2827" spans="1:18" ht="15" customHeight="1" x14ac:dyDescent="0.25">
      <c r="A2827" t="str">
        <f>IFERROR(RANK(B2827,$B:$B,1)+COUNTIF($B$1:B2826,B2827),"")</f>
        <v/>
      </c>
      <c r="B2827" t="str">
        <f>IFERROR(SEARCH(#REF!,Table4[[#This Row],[Commodity Title]],1),"")</f>
        <v/>
      </c>
      <c r="C2827" s="35">
        <v>42292910</v>
      </c>
      <c r="D2827" s="33" t="s">
        <v>1495</v>
      </c>
      <c r="E2827" s="33" t="s">
        <v>1496</v>
      </c>
      <c r="F2827" s="33" t="s">
        <v>1497</v>
      </c>
      <c r="G2827" s="33" t="s">
        <v>7062</v>
      </c>
      <c r="H2827" s="33" t="s">
        <v>7063</v>
      </c>
      <c r="I2827" s="33" t="s">
        <v>7064</v>
      </c>
      <c r="J2827" s="33">
        <v>203123</v>
      </c>
      <c r="K2827" s="33" t="s">
        <v>7262</v>
      </c>
      <c r="L2827" s="33" t="s">
        <v>7263</v>
      </c>
      <c r="M2827" s="33" t="s">
        <v>7264</v>
      </c>
      <c r="N2827" s="44">
        <v>42292910</v>
      </c>
      <c r="O2827" s="33" t="s">
        <v>7276</v>
      </c>
      <c r="P2827" s="33" t="s">
        <v>7277</v>
      </c>
      <c r="Q2827" s="34" t="s">
        <v>1494</v>
      </c>
      <c r="R2827" s="34" t="s">
        <v>1494</v>
      </c>
    </row>
    <row r="2828" spans="1:18" ht="15" customHeight="1" x14ac:dyDescent="0.25">
      <c r="A2828" t="str">
        <f>IFERROR(RANK(B2828,$B:$B,1)+COUNTIF($B$1:B2827,B2828),"")</f>
        <v/>
      </c>
      <c r="B2828" t="str">
        <f>IFERROR(SEARCH(#REF!,Table4[[#This Row],[Commodity Title]],1),"")</f>
        <v/>
      </c>
      <c r="C2828" s="35">
        <v>42292911</v>
      </c>
      <c r="D2828" s="33" t="s">
        <v>1495</v>
      </c>
      <c r="E2828" s="33" t="s">
        <v>1496</v>
      </c>
      <c r="F2828" s="33" t="s">
        <v>1497</v>
      </c>
      <c r="G2828" s="33" t="s">
        <v>7062</v>
      </c>
      <c r="H2828" s="33" t="s">
        <v>7063</v>
      </c>
      <c r="I2828" s="33" t="s">
        <v>7064</v>
      </c>
      <c r="J2828" s="33">
        <v>203124</v>
      </c>
      <c r="K2828" s="33" t="s">
        <v>7262</v>
      </c>
      <c r="L2828" s="33" t="s">
        <v>7263</v>
      </c>
      <c r="M2828" s="33" t="s">
        <v>7264</v>
      </c>
      <c r="N2828" s="44">
        <v>42292911</v>
      </c>
      <c r="O2828" s="33" t="s">
        <v>7278</v>
      </c>
      <c r="P2828" s="33" t="s">
        <v>7279</v>
      </c>
      <c r="Q2828" s="34" t="s">
        <v>1494</v>
      </c>
      <c r="R2828" s="34" t="s">
        <v>1494</v>
      </c>
    </row>
    <row r="2829" spans="1:18" ht="15" customHeight="1" x14ac:dyDescent="0.25">
      <c r="A2829" t="str">
        <f>IFERROR(RANK(B2829,$B:$B,1)+COUNTIF($B$1:B2828,B2829),"")</f>
        <v/>
      </c>
      <c r="B2829" t="str">
        <f>IFERROR(SEARCH(#REF!,Table4[[#This Row],[Commodity Title]],1),"")</f>
        <v/>
      </c>
      <c r="C2829" s="35">
        <v>42292912</v>
      </c>
      <c r="D2829" s="33" t="s">
        <v>1495</v>
      </c>
      <c r="E2829" s="33" t="s">
        <v>1496</v>
      </c>
      <c r="F2829" s="33" t="s">
        <v>1497</v>
      </c>
      <c r="G2829" s="33" t="s">
        <v>7062</v>
      </c>
      <c r="H2829" s="33" t="s">
        <v>7063</v>
      </c>
      <c r="I2829" s="33" t="s">
        <v>7064</v>
      </c>
      <c r="J2829" s="33">
        <v>203125</v>
      </c>
      <c r="K2829" s="33" t="s">
        <v>7262</v>
      </c>
      <c r="L2829" s="33" t="s">
        <v>7263</v>
      </c>
      <c r="M2829" s="33" t="s">
        <v>7264</v>
      </c>
      <c r="N2829" s="44">
        <v>42292912</v>
      </c>
      <c r="O2829" s="33" t="s">
        <v>7280</v>
      </c>
      <c r="P2829" s="33" t="s">
        <v>7281</v>
      </c>
      <c r="Q2829" s="34" t="s">
        <v>1494</v>
      </c>
      <c r="R2829" s="34" t="s">
        <v>1494</v>
      </c>
    </row>
    <row r="2830" spans="1:18" ht="15" customHeight="1" x14ac:dyDescent="0.25">
      <c r="A2830" t="str">
        <f>IFERROR(RANK(B2830,$B:$B,1)+COUNTIF($B$1:B2829,B2830),"")</f>
        <v/>
      </c>
      <c r="B2830" t="str">
        <f>IFERROR(SEARCH(#REF!,Table4[[#This Row],[Commodity Title]],1),"")</f>
        <v/>
      </c>
      <c r="C2830" s="35">
        <v>42292913</v>
      </c>
      <c r="D2830" s="33" t="s">
        <v>1495</v>
      </c>
      <c r="E2830" s="33" t="s">
        <v>1496</v>
      </c>
      <c r="F2830" s="33" t="s">
        <v>1497</v>
      </c>
      <c r="G2830" s="33" t="s">
        <v>7062</v>
      </c>
      <c r="H2830" s="33" t="s">
        <v>7063</v>
      </c>
      <c r="I2830" s="33" t="s">
        <v>7064</v>
      </c>
      <c r="J2830" s="33">
        <v>203126</v>
      </c>
      <c r="K2830" s="33" t="s">
        <v>7262</v>
      </c>
      <c r="L2830" s="33" t="s">
        <v>7263</v>
      </c>
      <c r="M2830" s="33" t="s">
        <v>7264</v>
      </c>
      <c r="N2830" s="44">
        <v>42292913</v>
      </c>
      <c r="O2830" s="33" t="s">
        <v>7282</v>
      </c>
      <c r="P2830" s="33" t="s">
        <v>7283</v>
      </c>
      <c r="Q2830" s="34" t="s">
        <v>1494</v>
      </c>
      <c r="R2830" s="34" t="s">
        <v>1494</v>
      </c>
    </row>
    <row r="2831" spans="1:18" ht="15" customHeight="1" x14ac:dyDescent="0.25">
      <c r="A2831" t="str">
        <f>IFERROR(RANK(B2831,$B:$B,1)+COUNTIF($B$1:B2830,B2831),"")</f>
        <v/>
      </c>
      <c r="B2831" t="str">
        <f>IFERROR(SEARCH(#REF!,Table4[[#This Row],[Commodity Title]],1),"")</f>
        <v/>
      </c>
      <c r="C2831" s="35">
        <v>42292914</v>
      </c>
      <c r="D2831" s="33" t="s">
        <v>1495</v>
      </c>
      <c r="E2831" s="33" t="s">
        <v>1496</v>
      </c>
      <c r="F2831" s="33" t="s">
        <v>1497</v>
      </c>
      <c r="G2831" s="33" t="s">
        <v>7062</v>
      </c>
      <c r="H2831" s="33" t="s">
        <v>7063</v>
      </c>
      <c r="I2831" s="33" t="s">
        <v>7064</v>
      </c>
      <c r="J2831" s="33">
        <v>203127</v>
      </c>
      <c r="K2831" s="33" t="s">
        <v>7262</v>
      </c>
      <c r="L2831" s="33" t="s">
        <v>7263</v>
      </c>
      <c r="M2831" s="33" t="s">
        <v>7264</v>
      </c>
      <c r="N2831" s="44">
        <v>42292914</v>
      </c>
      <c r="O2831" s="33" t="s">
        <v>7284</v>
      </c>
      <c r="P2831" s="33" t="s">
        <v>7285</v>
      </c>
      <c r="Q2831" s="34" t="s">
        <v>1494</v>
      </c>
      <c r="R2831" s="34" t="s">
        <v>1494</v>
      </c>
    </row>
    <row r="2832" spans="1:18" ht="15" customHeight="1" x14ac:dyDescent="0.25">
      <c r="A2832" t="str">
        <f>IFERROR(RANK(B2832,$B:$B,1)+COUNTIF($B$1:B2831,B2832),"")</f>
        <v/>
      </c>
      <c r="B2832" t="str">
        <f>IFERROR(SEARCH(#REF!,Table4[[#This Row],[Commodity Title]],1),"")</f>
        <v/>
      </c>
      <c r="C2832" s="33" t="s">
        <v>1494</v>
      </c>
      <c r="D2832" s="33" t="s">
        <v>1495</v>
      </c>
      <c r="E2832" s="33" t="s">
        <v>1496</v>
      </c>
      <c r="F2832" s="33" t="s">
        <v>1497</v>
      </c>
      <c r="G2832" s="33" t="s">
        <v>7062</v>
      </c>
      <c r="H2832" s="33" t="s">
        <v>7063</v>
      </c>
      <c r="I2832" s="33" t="s">
        <v>7064</v>
      </c>
      <c r="J2832" s="33">
        <v>116214</v>
      </c>
      <c r="K2832" s="33" t="s">
        <v>7286</v>
      </c>
      <c r="L2832" s="33" t="s">
        <v>7287</v>
      </c>
      <c r="M2832" s="33" t="s">
        <v>7288</v>
      </c>
      <c r="N2832" s="44" t="s">
        <v>1494</v>
      </c>
      <c r="O2832" s="33" t="s">
        <v>1494</v>
      </c>
      <c r="P2832" s="33" t="s">
        <v>1494</v>
      </c>
      <c r="Q2832" s="34" t="s">
        <v>1494</v>
      </c>
      <c r="R2832" s="34" t="s">
        <v>1494</v>
      </c>
    </row>
    <row r="2833" spans="1:18" ht="15" customHeight="1" x14ac:dyDescent="0.25">
      <c r="A2833" t="str">
        <f>IFERROR(RANK(B2833,$B:$B,1)+COUNTIF($B$1:B2832,B2833),"")</f>
        <v/>
      </c>
      <c r="B2833" t="str">
        <f>IFERROR(SEARCH(#REF!,Table4[[#This Row],[Commodity Title]],1),"")</f>
        <v/>
      </c>
      <c r="C2833" s="35">
        <v>42293001</v>
      </c>
      <c r="D2833" s="33" t="s">
        <v>1495</v>
      </c>
      <c r="E2833" s="33" t="s">
        <v>1496</v>
      </c>
      <c r="F2833" s="33" t="s">
        <v>1497</v>
      </c>
      <c r="G2833" s="33" t="s">
        <v>7062</v>
      </c>
      <c r="H2833" s="33" t="s">
        <v>7063</v>
      </c>
      <c r="I2833" s="33" t="s">
        <v>7064</v>
      </c>
      <c r="J2833" s="33">
        <v>116215</v>
      </c>
      <c r="K2833" s="33" t="s">
        <v>7286</v>
      </c>
      <c r="L2833" s="33" t="s">
        <v>7287</v>
      </c>
      <c r="M2833" s="33" t="s">
        <v>7288</v>
      </c>
      <c r="N2833" s="44">
        <v>42293001</v>
      </c>
      <c r="O2833" s="33" t="s">
        <v>7289</v>
      </c>
      <c r="P2833" s="33" t="s">
        <v>7290</v>
      </c>
      <c r="Q2833" s="34" t="s">
        <v>1494</v>
      </c>
      <c r="R2833" s="34" t="s">
        <v>1494</v>
      </c>
    </row>
    <row r="2834" spans="1:18" ht="15" customHeight="1" x14ac:dyDescent="0.25">
      <c r="A2834" t="str">
        <f>IFERROR(RANK(B2834,$B:$B,1)+COUNTIF($B$1:B2833,B2834),"")</f>
        <v/>
      </c>
      <c r="B2834" t="str">
        <f>IFERROR(SEARCH(#REF!,Table4[[#This Row],[Commodity Title]],1),"")</f>
        <v/>
      </c>
      <c r="C2834" s="35">
        <v>42293002</v>
      </c>
      <c r="D2834" s="33" t="s">
        <v>1495</v>
      </c>
      <c r="E2834" s="33" t="s">
        <v>1496</v>
      </c>
      <c r="F2834" s="33" t="s">
        <v>1497</v>
      </c>
      <c r="G2834" s="33" t="s">
        <v>7062</v>
      </c>
      <c r="H2834" s="33" t="s">
        <v>7063</v>
      </c>
      <c r="I2834" s="33" t="s">
        <v>7064</v>
      </c>
      <c r="J2834" s="33">
        <v>116216</v>
      </c>
      <c r="K2834" s="33" t="s">
        <v>7286</v>
      </c>
      <c r="L2834" s="33" t="s">
        <v>7287</v>
      </c>
      <c r="M2834" s="33" t="s">
        <v>7288</v>
      </c>
      <c r="N2834" s="44">
        <v>42293002</v>
      </c>
      <c r="O2834" s="33" t="s">
        <v>7291</v>
      </c>
      <c r="P2834" s="33" t="s">
        <v>7292</v>
      </c>
      <c r="Q2834" s="34" t="s">
        <v>1494</v>
      </c>
      <c r="R2834" s="34" t="s">
        <v>1494</v>
      </c>
    </row>
    <row r="2835" spans="1:18" ht="15" customHeight="1" x14ac:dyDescent="0.25">
      <c r="A2835" t="str">
        <f>IFERROR(RANK(B2835,$B:$B,1)+COUNTIF($B$1:B2834,B2835),"")</f>
        <v/>
      </c>
      <c r="B2835" t="str">
        <f>IFERROR(SEARCH(#REF!,Table4[[#This Row],[Commodity Title]],1),"")</f>
        <v/>
      </c>
      <c r="C2835" s="35">
        <v>42293003</v>
      </c>
      <c r="D2835" s="33" t="s">
        <v>1495</v>
      </c>
      <c r="E2835" s="33" t="s">
        <v>1496</v>
      </c>
      <c r="F2835" s="33" t="s">
        <v>1497</v>
      </c>
      <c r="G2835" s="33" t="s">
        <v>7062</v>
      </c>
      <c r="H2835" s="33" t="s">
        <v>7063</v>
      </c>
      <c r="I2835" s="33" t="s">
        <v>7064</v>
      </c>
      <c r="J2835" s="33">
        <v>116217</v>
      </c>
      <c r="K2835" s="33" t="s">
        <v>7286</v>
      </c>
      <c r="L2835" s="33" t="s">
        <v>7287</v>
      </c>
      <c r="M2835" s="33" t="s">
        <v>7288</v>
      </c>
      <c r="N2835" s="44">
        <v>42293003</v>
      </c>
      <c r="O2835" s="33" t="s">
        <v>181</v>
      </c>
      <c r="P2835" s="33" t="s">
        <v>7293</v>
      </c>
      <c r="Q2835" s="34" t="s">
        <v>1494</v>
      </c>
      <c r="R2835" s="34" t="s">
        <v>1494</v>
      </c>
    </row>
    <row r="2836" spans="1:18" ht="15" customHeight="1" x14ac:dyDescent="0.25">
      <c r="A2836" t="str">
        <f>IFERROR(RANK(B2836,$B:$B,1)+COUNTIF($B$1:B2835,B2836),"")</f>
        <v/>
      </c>
      <c r="B2836" t="str">
        <f>IFERROR(SEARCH(#REF!,Table4[[#This Row],[Commodity Title]],1),"")</f>
        <v/>
      </c>
      <c r="C2836" s="35">
        <v>42293004</v>
      </c>
      <c r="D2836" s="33" t="s">
        <v>1495</v>
      </c>
      <c r="E2836" s="33" t="s">
        <v>1496</v>
      </c>
      <c r="F2836" s="33" t="s">
        <v>1497</v>
      </c>
      <c r="G2836" s="33" t="s">
        <v>7062</v>
      </c>
      <c r="H2836" s="33" t="s">
        <v>7063</v>
      </c>
      <c r="I2836" s="33" t="s">
        <v>7064</v>
      </c>
      <c r="J2836" s="33">
        <v>116218</v>
      </c>
      <c r="K2836" s="33" t="s">
        <v>7286</v>
      </c>
      <c r="L2836" s="33" t="s">
        <v>7287</v>
      </c>
      <c r="M2836" s="33" t="s">
        <v>7288</v>
      </c>
      <c r="N2836" s="44">
        <v>42293004</v>
      </c>
      <c r="O2836" s="33" t="s">
        <v>206</v>
      </c>
      <c r="P2836" s="33" t="s">
        <v>7294</v>
      </c>
      <c r="Q2836" s="34" t="s">
        <v>1494</v>
      </c>
      <c r="R2836" s="34" t="s">
        <v>1494</v>
      </c>
    </row>
    <row r="2837" spans="1:18" ht="15" customHeight="1" x14ac:dyDescent="0.25">
      <c r="A2837" t="str">
        <f>IFERROR(RANK(B2837,$B:$B,1)+COUNTIF($B$1:B2836,B2837),"")</f>
        <v/>
      </c>
      <c r="B2837" t="str">
        <f>IFERROR(SEARCH(#REF!,Table4[[#This Row],[Commodity Title]],1),"")</f>
        <v/>
      </c>
      <c r="C2837" s="35">
        <v>42293005</v>
      </c>
      <c r="D2837" s="33" t="s">
        <v>1495</v>
      </c>
      <c r="E2837" s="33" t="s">
        <v>1496</v>
      </c>
      <c r="F2837" s="33" t="s">
        <v>1497</v>
      </c>
      <c r="G2837" s="33" t="s">
        <v>7062</v>
      </c>
      <c r="H2837" s="33" t="s">
        <v>7063</v>
      </c>
      <c r="I2837" s="33" t="s">
        <v>7064</v>
      </c>
      <c r="J2837" s="33">
        <v>116219</v>
      </c>
      <c r="K2837" s="33" t="s">
        <v>7286</v>
      </c>
      <c r="L2837" s="33" t="s">
        <v>7287</v>
      </c>
      <c r="M2837" s="33" t="s">
        <v>7288</v>
      </c>
      <c r="N2837" s="44">
        <v>42293005</v>
      </c>
      <c r="O2837" s="33" t="s">
        <v>7295</v>
      </c>
      <c r="P2837" s="33" t="s">
        <v>7296</v>
      </c>
      <c r="Q2837" s="34" t="s">
        <v>1494</v>
      </c>
      <c r="R2837" s="34" t="s">
        <v>1494</v>
      </c>
    </row>
    <row r="2838" spans="1:18" ht="15" customHeight="1" x14ac:dyDescent="0.25">
      <c r="A2838" t="str">
        <f>IFERROR(RANK(B2838,$B:$B,1)+COUNTIF($B$1:B2837,B2838),"")</f>
        <v/>
      </c>
      <c r="B2838" t="str">
        <f>IFERROR(SEARCH(#REF!,Table4[[#This Row],[Commodity Title]],1),"")</f>
        <v/>
      </c>
      <c r="C2838" s="35">
        <v>42293006</v>
      </c>
      <c r="D2838" s="33" t="s">
        <v>1495</v>
      </c>
      <c r="E2838" s="33" t="s">
        <v>1496</v>
      </c>
      <c r="F2838" s="33" t="s">
        <v>1497</v>
      </c>
      <c r="G2838" s="33" t="s">
        <v>7062</v>
      </c>
      <c r="H2838" s="33" t="s">
        <v>7063</v>
      </c>
      <c r="I2838" s="33" t="s">
        <v>7064</v>
      </c>
      <c r="J2838" s="33">
        <v>142757</v>
      </c>
      <c r="K2838" s="33" t="s">
        <v>7286</v>
      </c>
      <c r="L2838" s="33" t="s">
        <v>7287</v>
      </c>
      <c r="M2838" s="33" t="s">
        <v>7288</v>
      </c>
      <c r="N2838" s="44">
        <v>42293006</v>
      </c>
      <c r="O2838" s="33" t="s">
        <v>7297</v>
      </c>
      <c r="P2838" s="33" t="s">
        <v>7298</v>
      </c>
      <c r="Q2838" s="34" t="s">
        <v>1494</v>
      </c>
      <c r="R2838" s="34" t="s">
        <v>1494</v>
      </c>
    </row>
    <row r="2839" spans="1:18" ht="15" customHeight="1" x14ac:dyDescent="0.25">
      <c r="A2839" t="str">
        <f>IFERROR(RANK(B2839,$B:$B,1)+COUNTIF($B$1:B2838,B2839),"")</f>
        <v/>
      </c>
      <c r="B2839" t="str">
        <f>IFERROR(SEARCH(#REF!,Table4[[#This Row],[Commodity Title]],1),"")</f>
        <v/>
      </c>
      <c r="C2839" s="35">
        <v>42293007</v>
      </c>
      <c r="D2839" s="33" t="s">
        <v>1495</v>
      </c>
      <c r="E2839" s="33" t="s">
        <v>1496</v>
      </c>
      <c r="F2839" s="33" t="s">
        <v>1497</v>
      </c>
      <c r="G2839" s="33" t="s">
        <v>7062</v>
      </c>
      <c r="H2839" s="33" t="s">
        <v>7063</v>
      </c>
      <c r="I2839" s="33" t="s">
        <v>7064</v>
      </c>
      <c r="J2839" s="33">
        <v>203128</v>
      </c>
      <c r="K2839" s="33" t="s">
        <v>7286</v>
      </c>
      <c r="L2839" s="33" t="s">
        <v>7287</v>
      </c>
      <c r="M2839" s="33" t="s">
        <v>7288</v>
      </c>
      <c r="N2839" s="44">
        <v>42293007</v>
      </c>
      <c r="O2839" s="33" t="s">
        <v>7299</v>
      </c>
      <c r="P2839" s="33" t="s">
        <v>7300</v>
      </c>
      <c r="Q2839" s="34" t="s">
        <v>1494</v>
      </c>
      <c r="R2839" s="34" t="s">
        <v>1494</v>
      </c>
    </row>
    <row r="2840" spans="1:18" ht="15" customHeight="1" x14ac:dyDescent="0.25">
      <c r="A2840" t="str">
        <f>IFERROR(RANK(B2840,$B:$B,1)+COUNTIF($B$1:B2839,B2840),"")</f>
        <v/>
      </c>
      <c r="B2840" t="str">
        <f>IFERROR(SEARCH(#REF!,Table4[[#This Row],[Commodity Title]],1),"")</f>
        <v/>
      </c>
      <c r="C2840" s="35">
        <v>42293008</v>
      </c>
      <c r="D2840" s="33" t="s">
        <v>1495</v>
      </c>
      <c r="E2840" s="33" t="s">
        <v>1496</v>
      </c>
      <c r="F2840" s="33" t="s">
        <v>1497</v>
      </c>
      <c r="G2840" s="33" t="s">
        <v>7062</v>
      </c>
      <c r="H2840" s="33" t="s">
        <v>7063</v>
      </c>
      <c r="I2840" s="33" t="s">
        <v>7064</v>
      </c>
      <c r="J2840" s="33">
        <v>203129</v>
      </c>
      <c r="K2840" s="33" t="s">
        <v>7286</v>
      </c>
      <c r="L2840" s="33" t="s">
        <v>7287</v>
      </c>
      <c r="M2840" s="33" t="s">
        <v>7288</v>
      </c>
      <c r="N2840" s="44">
        <v>42293008</v>
      </c>
      <c r="O2840" s="33" t="s">
        <v>7301</v>
      </c>
      <c r="P2840" s="33" t="s">
        <v>7302</v>
      </c>
      <c r="Q2840" s="34" t="s">
        <v>1494</v>
      </c>
      <c r="R2840" s="34" t="s">
        <v>1494</v>
      </c>
    </row>
    <row r="2841" spans="1:18" ht="15" customHeight="1" x14ac:dyDescent="0.25">
      <c r="A2841" t="str">
        <f>IFERROR(RANK(B2841,$B:$B,1)+COUNTIF($B$1:B2840,B2841),"")</f>
        <v/>
      </c>
      <c r="B2841" t="str">
        <f>IFERROR(SEARCH(#REF!,Table4[[#This Row],[Commodity Title]],1),"")</f>
        <v/>
      </c>
      <c r="C2841" s="33" t="s">
        <v>1494</v>
      </c>
      <c r="D2841" s="33" t="s">
        <v>1495</v>
      </c>
      <c r="E2841" s="33" t="s">
        <v>1496</v>
      </c>
      <c r="F2841" s="33" t="s">
        <v>1497</v>
      </c>
      <c r="G2841" s="33" t="s">
        <v>7062</v>
      </c>
      <c r="H2841" s="33" t="s">
        <v>7063</v>
      </c>
      <c r="I2841" s="33" t="s">
        <v>7064</v>
      </c>
      <c r="J2841" s="33">
        <v>104393</v>
      </c>
      <c r="K2841" s="33" t="s">
        <v>7303</v>
      </c>
      <c r="L2841" s="33" t="s">
        <v>7304</v>
      </c>
      <c r="M2841" s="33" t="s">
        <v>7305</v>
      </c>
      <c r="N2841" s="44" t="s">
        <v>1494</v>
      </c>
      <c r="O2841" s="33" t="s">
        <v>1494</v>
      </c>
      <c r="P2841" s="33" t="s">
        <v>1494</v>
      </c>
      <c r="Q2841" s="34" t="s">
        <v>1494</v>
      </c>
      <c r="R2841" s="34" t="s">
        <v>1494</v>
      </c>
    </row>
    <row r="2842" spans="1:18" ht="15" customHeight="1" x14ac:dyDescent="0.25">
      <c r="A2842" t="str">
        <f>IFERROR(RANK(B2842,$B:$B,1)+COUNTIF($B$1:B2841,B2842),"")</f>
        <v/>
      </c>
      <c r="B2842" t="str">
        <f>IFERROR(SEARCH(#REF!,Table4[[#This Row],[Commodity Title]],1),"")</f>
        <v/>
      </c>
      <c r="C2842" s="35">
        <v>42293102</v>
      </c>
      <c r="D2842" s="33" t="s">
        <v>1495</v>
      </c>
      <c r="E2842" s="33" t="s">
        <v>1496</v>
      </c>
      <c r="F2842" s="33" t="s">
        <v>1497</v>
      </c>
      <c r="G2842" s="33" t="s">
        <v>7062</v>
      </c>
      <c r="H2842" s="33" t="s">
        <v>7063</v>
      </c>
      <c r="I2842" s="33" t="s">
        <v>7064</v>
      </c>
      <c r="J2842" s="33">
        <v>116222</v>
      </c>
      <c r="K2842" s="33" t="s">
        <v>7303</v>
      </c>
      <c r="L2842" s="33" t="s">
        <v>7304</v>
      </c>
      <c r="M2842" s="33" t="s">
        <v>7305</v>
      </c>
      <c r="N2842" s="44">
        <v>42293102</v>
      </c>
      <c r="O2842" s="33" t="s">
        <v>7306</v>
      </c>
      <c r="P2842" s="33" t="s">
        <v>7307</v>
      </c>
      <c r="Q2842" s="34" t="s">
        <v>1494</v>
      </c>
      <c r="R2842" s="34" t="s">
        <v>1494</v>
      </c>
    </row>
    <row r="2843" spans="1:18" ht="15" customHeight="1" x14ac:dyDescent="0.25">
      <c r="A2843" t="str">
        <f>IFERROR(RANK(B2843,$B:$B,1)+COUNTIF($B$1:B2842,B2843),"")</f>
        <v/>
      </c>
      <c r="B2843" t="str">
        <f>IFERROR(SEARCH(#REF!,Table4[[#This Row],[Commodity Title]],1),"")</f>
        <v/>
      </c>
      <c r="C2843" s="35">
        <v>42293104</v>
      </c>
      <c r="D2843" s="33" t="s">
        <v>1495</v>
      </c>
      <c r="E2843" s="33" t="s">
        <v>1496</v>
      </c>
      <c r="F2843" s="33" t="s">
        <v>1497</v>
      </c>
      <c r="G2843" s="33" t="s">
        <v>7062</v>
      </c>
      <c r="H2843" s="33" t="s">
        <v>7063</v>
      </c>
      <c r="I2843" s="33" t="s">
        <v>7064</v>
      </c>
      <c r="J2843" s="33">
        <v>116224</v>
      </c>
      <c r="K2843" s="33" t="s">
        <v>7303</v>
      </c>
      <c r="L2843" s="33" t="s">
        <v>7304</v>
      </c>
      <c r="M2843" s="33" t="s">
        <v>7305</v>
      </c>
      <c r="N2843" s="44">
        <v>42293104</v>
      </c>
      <c r="O2843" s="33" t="s">
        <v>7308</v>
      </c>
      <c r="P2843" s="33" t="s">
        <v>7309</v>
      </c>
      <c r="Q2843" s="34" t="s">
        <v>1494</v>
      </c>
      <c r="R2843" s="34" t="s">
        <v>1494</v>
      </c>
    </row>
    <row r="2844" spans="1:18" ht="15" customHeight="1" x14ac:dyDescent="0.25">
      <c r="A2844" t="str">
        <f>IFERROR(RANK(B2844,$B:$B,1)+COUNTIF($B$1:B2843,B2844),"")</f>
        <v/>
      </c>
      <c r="B2844" t="str">
        <f>IFERROR(SEARCH(#REF!,Table4[[#This Row],[Commodity Title]],1),"")</f>
        <v/>
      </c>
      <c r="C2844" s="35">
        <v>42293106</v>
      </c>
      <c r="D2844" s="33" t="s">
        <v>1495</v>
      </c>
      <c r="E2844" s="33" t="s">
        <v>1496</v>
      </c>
      <c r="F2844" s="33" t="s">
        <v>1497</v>
      </c>
      <c r="G2844" s="33" t="s">
        <v>7062</v>
      </c>
      <c r="H2844" s="33" t="s">
        <v>7063</v>
      </c>
      <c r="I2844" s="33" t="s">
        <v>7064</v>
      </c>
      <c r="J2844" s="33">
        <v>116226</v>
      </c>
      <c r="K2844" s="33" t="s">
        <v>7303</v>
      </c>
      <c r="L2844" s="33" t="s">
        <v>7304</v>
      </c>
      <c r="M2844" s="33" t="s">
        <v>7305</v>
      </c>
      <c r="N2844" s="44">
        <v>42293106</v>
      </c>
      <c r="O2844" s="33" t="s">
        <v>7310</v>
      </c>
      <c r="P2844" s="33" t="s">
        <v>7311</v>
      </c>
      <c r="Q2844" s="34" t="s">
        <v>1494</v>
      </c>
      <c r="R2844" s="34" t="s">
        <v>1494</v>
      </c>
    </row>
    <row r="2845" spans="1:18" ht="15" customHeight="1" x14ac:dyDescent="0.25">
      <c r="A2845" t="str">
        <f>IFERROR(RANK(B2845,$B:$B,1)+COUNTIF($B$1:B2844,B2845),"")</f>
        <v/>
      </c>
      <c r="B2845" t="str">
        <f>IFERROR(SEARCH(#REF!,Table4[[#This Row],[Commodity Title]],1),"")</f>
        <v/>
      </c>
      <c r="C2845" s="35">
        <v>42293107</v>
      </c>
      <c r="D2845" s="33" t="s">
        <v>1495</v>
      </c>
      <c r="E2845" s="33" t="s">
        <v>1496</v>
      </c>
      <c r="F2845" s="33" t="s">
        <v>1497</v>
      </c>
      <c r="G2845" s="33" t="s">
        <v>7062</v>
      </c>
      <c r="H2845" s="33" t="s">
        <v>7063</v>
      </c>
      <c r="I2845" s="33" t="s">
        <v>7064</v>
      </c>
      <c r="J2845" s="33">
        <v>116227</v>
      </c>
      <c r="K2845" s="33" t="s">
        <v>7303</v>
      </c>
      <c r="L2845" s="33" t="s">
        <v>7304</v>
      </c>
      <c r="M2845" s="33" t="s">
        <v>7305</v>
      </c>
      <c r="N2845" s="44">
        <v>42293107</v>
      </c>
      <c r="O2845" s="33" t="s">
        <v>112</v>
      </c>
      <c r="P2845" s="33" t="s">
        <v>7312</v>
      </c>
      <c r="Q2845" s="34" t="s">
        <v>1494</v>
      </c>
      <c r="R2845" s="34" t="s">
        <v>1494</v>
      </c>
    </row>
    <row r="2846" spans="1:18" ht="15" customHeight="1" x14ac:dyDescent="0.25">
      <c r="A2846" t="str">
        <f>IFERROR(RANK(B2846,$B:$B,1)+COUNTIF($B$1:B2845,B2846),"")</f>
        <v/>
      </c>
      <c r="B2846" t="str">
        <f>IFERROR(SEARCH(#REF!,Table4[[#This Row],[Commodity Title]],1),"")</f>
        <v/>
      </c>
      <c r="C2846" s="35">
        <v>42293108</v>
      </c>
      <c r="D2846" s="33" t="s">
        <v>1495</v>
      </c>
      <c r="E2846" s="33" t="s">
        <v>1496</v>
      </c>
      <c r="F2846" s="33" t="s">
        <v>1497</v>
      </c>
      <c r="G2846" s="33" t="s">
        <v>7062</v>
      </c>
      <c r="H2846" s="33" t="s">
        <v>7063</v>
      </c>
      <c r="I2846" s="33" t="s">
        <v>7064</v>
      </c>
      <c r="J2846" s="33">
        <v>116228</v>
      </c>
      <c r="K2846" s="33" t="s">
        <v>7303</v>
      </c>
      <c r="L2846" s="33" t="s">
        <v>7304</v>
      </c>
      <c r="M2846" s="33" t="s">
        <v>7305</v>
      </c>
      <c r="N2846" s="44">
        <v>42293108</v>
      </c>
      <c r="O2846" s="33" t="s">
        <v>7313</v>
      </c>
      <c r="P2846" s="33" t="s">
        <v>7314</v>
      </c>
      <c r="Q2846" s="34" t="s">
        <v>1494</v>
      </c>
      <c r="R2846" s="34" t="s">
        <v>1494</v>
      </c>
    </row>
    <row r="2847" spans="1:18" ht="15" customHeight="1" x14ac:dyDescent="0.25">
      <c r="A2847" t="str">
        <f>IFERROR(RANK(B2847,$B:$B,1)+COUNTIF($B$1:B2846,B2847),"")</f>
        <v/>
      </c>
      <c r="B2847" t="str">
        <f>IFERROR(SEARCH(#REF!,Table4[[#This Row],[Commodity Title]],1),"")</f>
        <v/>
      </c>
      <c r="C2847" s="35">
        <v>42293109</v>
      </c>
      <c r="D2847" s="33" t="s">
        <v>1495</v>
      </c>
      <c r="E2847" s="33" t="s">
        <v>1496</v>
      </c>
      <c r="F2847" s="33" t="s">
        <v>1497</v>
      </c>
      <c r="G2847" s="33" t="s">
        <v>7062</v>
      </c>
      <c r="H2847" s="33" t="s">
        <v>7063</v>
      </c>
      <c r="I2847" s="33" t="s">
        <v>7064</v>
      </c>
      <c r="J2847" s="33">
        <v>116229</v>
      </c>
      <c r="K2847" s="33" t="s">
        <v>7303</v>
      </c>
      <c r="L2847" s="33" t="s">
        <v>7304</v>
      </c>
      <c r="M2847" s="33" t="s">
        <v>7305</v>
      </c>
      <c r="N2847" s="44">
        <v>42293109</v>
      </c>
      <c r="O2847" s="33" t="s">
        <v>7315</v>
      </c>
      <c r="P2847" s="33" t="s">
        <v>7316</v>
      </c>
      <c r="Q2847" s="34" t="s">
        <v>1494</v>
      </c>
      <c r="R2847" s="34" t="s">
        <v>1494</v>
      </c>
    </row>
    <row r="2848" spans="1:18" ht="15" customHeight="1" x14ac:dyDescent="0.25">
      <c r="A2848" t="str">
        <f>IFERROR(RANK(B2848,$B:$B,1)+COUNTIF($B$1:B2847,B2848),"")</f>
        <v/>
      </c>
      <c r="B2848" t="str">
        <f>IFERROR(SEARCH(#REF!,Table4[[#This Row],[Commodity Title]],1),"")</f>
        <v/>
      </c>
      <c r="C2848" s="35">
        <v>42293133</v>
      </c>
      <c r="D2848" s="33" t="s">
        <v>1495</v>
      </c>
      <c r="E2848" s="33" t="s">
        <v>1496</v>
      </c>
      <c r="F2848" s="33" t="s">
        <v>1497</v>
      </c>
      <c r="G2848" s="33" t="s">
        <v>7062</v>
      </c>
      <c r="H2848" s="33" t="s">
        <v>7063</v>
      </c>
      <c r="I2848" s="33" t="s">
        <v>7064</v>
      </c>
      <c r="J2848" s="33">
        <v>142758</v>
      </c>
      <c r="K2848" s="33" t="s">
        <v>7303</v>
      </c>
      <c r="L2848" s="33" t="s">
        <v>7304</v>
      </c>
      <c r="M2848" s="33" t="s">
        <v>7305</v>
      </c>
      <c r="N2848" s="44">
        <v>42293133</v>
      </c>
      <c r="O2848" s="33" t="s">
        <v>7317</v>
      </c>
      <c r="P2848" s="33" t="s">
        <v>7318</v>
      </c>
      <c r="Q2848" s="34" t="s">
        <v>1494</v>
      </c>
      <c r="R2848" s="34" t="s">
        <v>1494</v>
      </c>
    </row>
    <row r="2849" spans="1:18" ht="15" customHeight="1" x14ac:dyDescent="0.25">
      <c r="A2849" t="str">
        <f>IFERROR(RANK(B2849,$B:$B,1)+COUNTIF($B$1:B2848,B2849),"")</f>
        <v/>
      </c>
      <c r="B2849" t="str">
        <f>IFERROR(SEARCH(#REF!,Table4[[#This Row],[Commodity Title]],1),"")</f>
        <v/>
      </c>
      <c r="C2849" s="35">
        <v>42293139</v>
      </c>
      <c r="D2849" s="33" t="s">
        <v>1495</v>
      </c>
      <c r="E2849" s="33" t="s">
        <v>1496</v>
      </c>
      <c r="F2849" s="33" t="s">
        <v>1497</v>
      </c>
      <c r="G2849" s="33" t="s">
        <v>7062</v>
      </c>
      <c r="H2849" s="33" t="s">
        <v>7063</v>
      </c>
      <c r="I2849" s="33" t="s">
        <v>7064</v>
      </c>
      <c r="J2849" s="33">
        <v>142764</v>
      </c>
      <c r="K2849" s="33" t="s">
        <v>7303</v>
      </c>
      <c r="L2849" s="33" t="s">
        <v>7304</v>
      </c>
      <c r="M2849" s="33" t="s">
        <v>7305</v>
      </c>
      <c r="N2849" s="44">
        <v>42293139</v>
      </c>
      <c r="O2849" s="33" t="s">
        <v>7319</v>
      </c>
      <c r="P2849" s="33" t="s">
        <v>7320</v>
      </c>
      <c r="Q2849" s="34" t="s">
        <v>1494</v>
      </c>
      <c r="R2849" s="34" t="s">
        <v>1494</v>
      </c>
    </row>
    <row r="2850" spans="1:18" ht="15" customHeight="1" x14ac:dyDescent="0.25">
      <c r="A2850" t="str">
        <f>IFERROR(RANK(B2850,$B:$B,1)+COUNTIF($B$1:B2849,B2850),"")</f>
        <v/>
      </c>
      <c r="B2850" t="str">
        <f>IFERROR(SEARCH(#REF!,Table4[[#This Row],[Commodity Title]],1),"")</f>
        <v/>
      </c>
      <c r="C2850" s="35">
        <v>42293140</v>
      </c>
      <c r="D2850" s="33" t="s">
        <v>1495</v>
      </c>
      <c r="E2850" s="33" t="s">
        <v>1496</v>
      </c>
      <c r="F2850" s="33" t="s">
        <v>1497</v>
      </c>
      <c r="G2850" s="33" t="s">
        <v>7062</v>
      </c>
      <c r="H2850" s="33" t="s">
        <v>7063</v>
      </c>
      <c r="I2850" s="33" t="s">
        <v>7064</v>
      </c>
      <c r="J2850" s="33">
        <v>203130</v>
      </c>
      <c r="K2850" s="33" t="s">
        <v>7303</v>
      </c>
      <c r="L2850" s="33" t="s">
        <v>7304</v>
      </c>
      <c r="M2850" s="33" t="s">
        <v>7305</v>
      </c>
      <c r="N2850" s="44">
        <v>42293140</v>
      </c>
      <c r="O2850" s="33" t="s">
        <v>7321</v>
      </c>
      <c r="P2850" s="33" t="s">
        <v>7322</v>
      </c>
      <c r="Q2850" s="34" t="s">
        <v>1494</v>
      </c>
      <c r="R2850" s="34" t="s">
        <v>1494</v>
      </c>
    </row>
    <row r="2851" spans="1:18" ht="15" customHeight="1" x14ac:dyDescent="0.25">
      <c r="A2851" t="str">
        <f>IFERROR(RANK(B2851,$B:$B,1)+COUNTIF($B$1:B2850,B2851),"")</f>
        <v/>
      </c>
      <c r="B2851" t="str">
        <f>IFERROR(SEARCH(#REF!,Table4[[#This Row],[Commodity Title]],1),"")</f>
        <v/>
      </c>
      <c r="C2851" s="33" t="s">
        <v>1494</v>
      </c>
      <c r="D2851" s="33" t="s">
        <v>1495</v>
      </c>
      <c r="E2851" s="33" t="s">
        <v>1496</v>
      </c>
      <c r="F2851" s="33" t="s">
        <v>1497</v>
      </c>
      <c r="G2851" s="33" t="s">
        <v>7062</v>
      </c>
      <c r="H2851" s="33" t="s">
        <v>7063</v>
      </c>
      <c r="I2851" s="33" t="s">
        <v>7064</v>
      </c>
      <c r="J2851" s="33">
        <v>116232</v>
      </c>
      <c r="K2851" s="33" t="s">
        <v>7323</v>
      </c>
      <c r="L2851" s="33" t="s">
        <v>7324</v>
      </c>
      <c r="M2851" s="33" t="s">
        <v>7325</v>
      </c>
      <c r="N2851" s="44" t="s">
        <v>1494</v>
      </c>
      <c r="O2851" s="33" t="s">
        <v>1494</v>
      </c>
      <c r="P2851" s="33" t="s">
        <v>1494</v>
      </c>
      <c r="Q2851" s="34" t="s">
        <v>1494</v>
      </c>
      <c r="R2851" s="34" t="s">
        <v>1494</v>
      </c>
    </row>
    <row r="2852" spans="1:18" ht="15" customHeight="1" x14ac:dyDescent="0.25">
      <c r="A2852" t="str">
        <f>IFERROR(RANK(B2852,$B:$B,1)+COUNTIF($B$1:B2851,B2852),"")</f>
        <v/>
      </c>
      <c r="B2852" t="str">
        <f>IFERROR(SEARCH(#REF!,Table4[[#This Row],[Commodity Title]],1),"")</f>
        <v/>
      </c>
      <c r="C2852" s="35">
        <v>42293301</v>
      </c>
      <c r="D2852" s="33" t="s">
        <v>1495</v>
      </c>
      <c r="E2852" s="33" t="s">
        <v>1496</v>
      </c>
      <c r="F2852" s="33" t="s">
        <v>1497</v>
      </c>
      <c r="G2852" s="33" t="s">
        <v>7062</v>
      </c>
      <c r="H2852" s="33" t="s">
        <v>7063</v>
      </c>
      <c r="I2852" s="33" t="s">
        <v>7064</v>
      </c>
      <c r="J2852" s="33">
        <v>116233</v>
      </c>
      <c r="K2852" s="33" t="s">
        <v>7323</v>
      </c>
      <c r="L2852" s="33" t="s">
        <v>7324</v>
      </c>
      <c r="M2852" s="33" t="s">
        <v>7325</v>
      </c>
      <c r="N2852" s="44">
        <v>42293301</v>
      </c>
      <c r="O2852" s="33" t="s">
        <v>7326</v>
      </c>
      <c r="P2852" s="33" t="s">
        <v>7327</v>
      </c>
      <c r="Q2852" s="34" t="s">
        <v>1494</v>
      </c>
      <c r="R2852" s="34" t="s">
        <v>1494</v>
      </c>
    </row>
    <row r="2853" spans="1:18" ht="15" customHeight="1" x14ac:dyDescent="0.25">
      <c r="A2853" t="str">
        <f>IFERROR(RANK(B2853,$B:$B,1)+COUNTIF($B$1:B2852,B2853),"")</f>
        <v/>
      </c>
      <c r="B2853" t="str">
        <f>IFERROR(SEARCH(#REF!,Table4[[#This Row],[Commodity Title]],1),"")</f>
        <v/>
      </c>
      <c r="C2853" s="35">
        <v>42293302</v>
      </c>
      <c r="D2853" s="33" t="s">
        <v>1495</v>
      </c>
      <c r="E2853" s="33" t="s">
        <v>1496</v>
      </c>
      <c r="F2853" s="33" t="s">
        <v>1497</v>
      </c>
      <c r="G2853" s="33" t="s">
        <v>7062</v>
      </c>
      <c r="H2853" s="33" t="s">
        <v>7063</v>
      </c>
      <c r="I2853" s="33" t="s">
        <v>7064</v>
      </c>
      <c r="J2853" s="33">
        <v>116234</v>
      </c>
      <c r="K2853" s="33" t="s">
        <v>7323</v>
      </c>
      <c r="L2853" s="33" t="s">
        <v>7324</v>
      </c>
      <c r="M2853" s="33" t="s">
        <v>7325</v>
      </c>
      <c r="N2853" s="44">
        <v>42293302</v>
      </c>
      <c r="O2853" s="33" t="s">
        <v>7328</v>
      </c>
      <c r="P2853" s="33" t="s">
        <v>7329</v>
      </c>
      <c r="Q2853" s="34" t="s">
        <v>1494</v>
      </c>
      <c r="R2853" s="34" t="s">
        <v>1494</v>
      </c>
    </row>
    <row r="2854" spans="1:18" ht="15" customHeight="1" x14ac:dyDescent="0.25">
      <c r="A2854" t="str">
        <f>IFERROR(RANK(B2854,$B:$B,1)+COUNTIF($B$1:B2853,B2854),"")</f>
        <v/>
      </c>
      <c r="B2854" t="str">
        <f>IFERROR(SEARCH(#REF!,Table4[[#This Row],[Commodity Title]],1),"")</f>
        <v/>
      </c>
      <c r="C2854" s="35">
        <v>42293303</v>
      </c>
      <c r="D2854" s="33" t="s">
        <v>1495</v>
      </c>
      <c r="E2854" s="33" t="s">
        <v>1496</v>
      </c>
      <c r="F2854" s="33" t="s">
        <v>1497</v>
      </c>
      <c r="G2854" s="33" t="s">
        <v>7062</v>
      </c>
      <c r="H2854" s="33" t="s">
        <v>7063</v>
      </c>
      <c r="I2854" s="33" t="s">
        <v>7064</v>
      </c>
      <c r="J2854" s="33">
        <v>116235</v>
      </c>
      <c r="K2854" s="33" t="s">
        <v>7323</v>
      </c>
      <c r="L2854" s="33" t="s">
        <v>7324</v>
      </c>
      <c r="M2854" s="33" t="s">
        <v>7325</v>
      </c>
      <c r="N2854" s="44">
        <v>42293303</v>
      </c>
      <c r="O2854" s="33" t="s">
        <v>7330</v>
      </c>
      <c r="P2854" s="33" t="s">
        <v>7331</v>
      </c>
      <c r="Q2854" s="34" t="s">
        <v>1494</v>
      </c>
      <c r="R2854" s="34" t="s">
        <v>1494</v>
      </c>
    </row>
    <row r="2855" spans="1:18" ht="15" customHeight="1" x14ac:dyDescent="0.25">
      <c r="A2855" t="str">
        <f>IFERROR(RANK(B2855,$B:$B,1)+COUNTIF($B$1:B2854,B2855),"")</f>
        <v/>
      </c>
      <c r="B2855" t="str">
        <f>IFERROR(SEARCH(#REF!,Table4[[#This Row],[Commodity Title]],1),"")</f>
        <v/>
      </c>
      <c r="C2855" s="35">
        <v>42293304</v>
      </c>
      <c r="D2855" s="33" t="s">
        <v>1495</v>
      </c>
      <c r="E2855" s="33" t="s">
        <v>1496</v>
      </c>
      <c r="F2855" s="33" t="s">
        <v>1497</v>
      </c>
      <c r="G2855" s="33" t="s">
        <v>7062</v>
      </c>
      <c r="H2855" s="33" t="s">
        <v>7063</v>
      </c>
      <c r="I2855" s="33" t="s">
        <v>7064</v>
      </c>
      <c r="J2855" s="33">
        <v>104394</v>
      </c>
      <c r="K2855" s="33" t="s">
        <v>7323</v>
      </c>
      <c r="L2855" s="33" t="s">
        <v>7324</v>
      </c>
      <c r="M2855" s="33" t="s">
        <v>7325</v>
      </c>
      <c r="N2855" s="44">
        <v>42293304</v>
      </c>
      <c r="O2855" s="33" t="s">
        <v>7332</v>
      </c>
      <c r="P2855" s="33" t="s">
        <v>7333</v>
      </c>
      <c r="Q2855" s="34" t="s">
        <v>1494</v>
      </c>
      <c r="R2855" s="34" t="s">
        <v>1494</v>
      </c>
    </row>
    <row r="2856" spans="1:18" ht="15" customHeight="1" x14ac:dyDescent="0.25">
      <c r="A2856" t="str">
        <f>IFERROR(RANK(B2856,$B:$B,1)+COUNTIF($B$1:B2855,B2856),"")</f>
        <v/>
      </c>
      <c r="B2856" t="str">
        <f>IFERROR(SEARCH(#REF!,Table4[[#This Row],[Commodity Title]],1),"")</f>
        <v/>
      </c>
      <c r="C2856" s="35">
        <v>42293305</v>
      </c>
      <c r="D2856" s="33" t="s">
        <v>1495</v>
      </c>
      <c r="E2856" s="33" t="s">
        <v>1496</v>
      </c>
      <c r="F2856" s="33" t="s">
        <v>1497</v>
      </c>
      <c r="G2856" s="33" t="s">
        <v>7062</v>
      </c>
      <c r="H2856" s="33" t="s">
        <v>7063</v>
      </c>
      <c r="I2856" s="33" t="s">
        <v>7064</v>
      </c>
      <c r="J2856" s="33">
        <v>203131</v>
      </c>
      <c r="K2856" s="33" t="s">
        <v>7323</v>
      </c>
      <c r="L2856" s="33" t="s">
        <v>7324</v>
      </c>
      <c r="M2856" s="33" t="s">
        <v>7325</v>
      </c>
      <c r="N2856" s="44">
        <v>42293305</v>
      </c>
      <c r="O2856" s="33" t="s">
        <v>7334</v>
      </c>
      <c r="P2856" s="33" t="s">
        <v>7335</v>
      </c>
      <c r="Q2856" s="34" t="s">
        <v>1494</v>
      </c>
      <c r="R2856" s="34" t="s">
        <v>1494</v>
      </c>
    </row>
    <row r="2857" spans="1:18" ht="15" customHeight="1" x14ac:dyDescent="0.25">
      <c r="A2857" t="str">
        <f>IFERROR(RANK(B2857,$B:$B,1)+COUNTIF($B$1:B2856,B2857),"")</f>
        <v/>
      </c>
      <c r="B2857" t="str">
        <f>IFERROR(SEARCH(#REF!,Table4[[#This Row],[Commodity Title]],1),"")</f>
        <v/>
      </c>
      <c r="C2857" s="35">
        <v>42293306</v>
      </c>
      <c r="D2857" s="33" t="s">
        <v>1495</v>
      </c>
      <c r="E2857" s="33" t="s">
        <v>1496</v>
      </c>
      <c r="F2857" s="33" t="s">
        <v>1497</v>
      </c>
      <c r="G2857" s="33" t="s">
        <v>7062</v>
      </c>
      <c r="H2857" s="33" t="s">
        <v>7063</v>
      </c>
      <c r="I2857" s="33" t="s">
        <v>7064</v>
      </c>
      <c r="J2857" s="33">
        <v>203132</v>
      </c>
      <c r="K2857" s="33" t="s">
        <v>7323</v>
      </c>
      <c r="L2857" s="33" t="s">
        <v>7324</v>
      </c>
      <c r="M2857" s="33" t="s">
        <v>7325</v>
      </c>
      <c r="N2857" s="44">
        <v>42293306</v>
      </c>
      <c r="O2857" s="33" t="s">
        <v>7336</v>
      </c>
      <c r="P2857" s="33" t="s">
        <v>7337</v>
      </c>
      <c r="Q2857" s="34" t="s">
        <v>1494</v>
      </c>
      <c r="R2857" s="34" t="s">
        <v>1494</v>
      </c>
    </row>
    <row r="2858" spans="1:18" ht="15" customHeight="1" x14ac:dyDescent="0.25">
      <c r="A2858" t="str">
        <f>IFERROR(RANK(B2858,$B:$B,1)+COUNTIF($B$1:B2857,B2858),"")</f>
        <v/>
      </c>
      <c r="B2858" t="str">
        <f>IFERROR(SEARCH(#REF!,Table4[[#This Row],[Commodity Title]],1),"")</f>
        <v/>
      </c>
      <c r="C2858" s="35">
        <v>42293307</v>
      </c>
      <c r="D2858" s="33" t="s">
        <v>1495</v>
      </c>
      <c r="E2858" s="33" t="s">
        <v>1496</v>
      </c>
      <c r="F2858" s="33" t="s">
        <v>1497</v>
      </c>
      <c r="G2858" s="33" t="s">
        <v>7062</v>
      </c>
      <c r="H2858" s="33" t="s">
        <v>7063</v>
      </c>
      <c r="I2858" s="33" t="s">
        <v>7064</v>
      </c>
      <c r="J2858" s="33">
        <v>116177</v>
      </c>
      <c r="K2858" s="33" t="s">
        <v>7323</v>
      </c>
      <c r="L2858" s="33" t="s">
        <v>7324</v>
      </c>
      <c r="M2858" s="33" t="s">
        <v>7325</v>
      </c>
      <c r="N2858" s="44">
        <v>42293307</v>
      </c>
      <c r="O2858" s="33" t="s">
        <v>7338</v>
      </c>
      <c r="P2858" s="33" t="s">
        <v>7339</v>
      </c>
      <c r="Q2858" s="34" t="s">
        <v>1494</v>
      </c>
      <c r="R2858" s="34" t="s">
        <v>1494</v>
      </c>
    </row>
    <row r="2859" spans="1:18" ht="15" customHeight="1" x14ac:dyDescent="0.25">
      <c r="A2859" t="str">
        <f>IFERROR(RANK(B2859,$B:$B,1)+COUNTIF($B$1:B2858,B2859),"")</f>
        <v/>
      </c>
      <c r="B2859" t="str">
        <f>IFERROR(SEARCH(#REF!,Table4[[#This Row],[Commodity Title]],1),"")</f>
        <v/>
      </c>
      <c r="C2859" s="35">
        <v>42293308</v>
      </c>
      <c r="D2859" s="33" t="s">
        <v>1495</v>
      </c>
      <c r="E2859" s="33" t="s">
        <v>1496</v>
      </c>
      <c r="F2859" s="33" t="s">
        <v>1497</v>
      </c>
      <c r="G2859" s="33" t="s">
        <v>7062</v>
      </c>
      <c r="H2859" s="33" t="s">
        <v>7063</v>
      </c>
      <c r="I2859" s="33" t="s">
        <v>7064</v>
      </c>
      <c r="J2859" s="33">
        <v>116178</v>
      </c>
      <c r="K2859" s="33" t="s">
        <v>7323</v>
      </c>
      <c r="L2859" s="33" t="s">
        <v>7324</v>
      </c>
      <c r="M2859" s="33" t="s">
        <v>7325</v>
      </c>
      <c r="N2859" s="44">
        <v>42293308</v>
      </c>
      <c r="O2859" s="33" t="s">
        <v>7340</v>
      </c>
      <c r="P2859" s="33" t="s">
        <v>7341</v>
      </c>
      <c r="Q2859" s="34" t="s">
        <v>1494</v>
      </c>
      <c r="R2859" s="34" t="s">
        <v>1494</v>
      </c>
    </row>
    <row r="2860" spans="1:18" ht="15" customHeight="1" x14ac:dyDescent="0.25">
      <c r="A2860" t="str">
        <f>IFERROR(RANK(B2860,$B:$B,1)+COUNTIF($B$1:B2859,B2860),"")</f>
        <v/>
      </c>
      <c r="B2860" t="str">
        <f>IFERROR(SEARCH(#REF!,Table4[[#This Row],[Commodity Title]],1),"")</f>
        <v/>
      </c>
      <c r="C2860" s="35">
        <v>42293309</v>
      </c>
      <c r="D2860" s="33" t="s">
        <v>1495</v>
      </c>
      <c r="E2860" s="33" t="s">
        <v>1496</v>
      </c>
      <c r="F2860" s="33" t="s">
        <v>1497</v>
      </c>
      <c r="G2860" s="33" t="s">
        <v>7062</v>
      </c>
      <c r="H2860" s="33" t="s">
        <v>7063</v>
      </c>
      <c r="I2860" s="33" t="s">
        <v>7064</v>
      </c>
      <c r="J2860" s="33">
        <v>116179</v>
      </c>
      <c r="K2860" s="33" t="s">
        <v>7323</v>
      </c>
      <c r="L2860" s="33" t="s">
        <v>7324</v>
      </c>
      <c r="M2860" s="33" t="s">
        <v>7325</v>
      </c>
      <c r="N2860" s="44">
        <v>42293309</v>
      </c>
      <c r="O2860" s="33" t="s">
        <v>7342</v>
      </c>
      <c r="P2860" s="33" t="s">
        <v>7343</v>
      </c>
      <c r="Q2860" s="34" t="s">
        <v>1494</v>
      </c>
      <c r="R2860" s="34" t="s">
        <v>1494</v>
      </c>
    </row>
    <row r="2861" spans="1:18" ht="15" customHeight="1" x14ac:dyDescent="0.25">
      <c r="A2861" t="str">
        <f>IFERROR(RANK(B2861,$B:$B,1)+COUNTIF($B$1:B2860,B2861),"")</f>
        <v/>
      </c>
      <c r="B2861" t="str">
        <f>IFERROR(SEARCH(#REF!,Table4[[#This Row],[Commodity Title]],1),"")</f>
        <v/>
      </c>
      <c r="C2861" s="33" t="s">
        <v>1494</v>
      </c>
      <c r="D2861" s="33" t="s">
        <v>1495</v>
      </c>
      <c r="E2861" s="33" t="s">
        <v>1496</v>
      </c>
      <c r="F2861" s="33" t="s">
        <v>1497</v>
      </c>
      <c r="G2861" s="33" t="s">
        <v>7062</v>
      </c>
      <c r="H2861" s="33" t="s">
        <v>7063</v>
      </c>
      <c r="I2861" s="33" t="s">
        <v>7064</v>
      </c>
      <c r="J2861" s="33">
        <v>116237</v>
      </c>
      <c r="K2861" s="33" t="s">
        <v>7344</v>
      </c>
      <c r="L2861" s="33" t="s">
        <v>7345</v>
      </c>
      <c r="M2861" s="33" t="s">
        <v>7346</v>
      </c>
      <c r="N2861" s="44" t="s">
        <v>1494</v>
      </c>
      <c r="O2861" s="33" t="s">
        <v>1494</v>
      </c>
      <c r="P2861" s="33" t="s">
        <v>1494</v>
      </c>
      <c r="Q2861" s="34" t="s">
        <v>1494</v>
      </c>
      <c r="R2861" s="34" t="s">
        <v>1494</v>
      </c>
    </row>
    <row r="2862" spans="1:18" ht="15" customHeight="1" x14ac:dyDescent="0.25">
      <c r="A2862" t="str">
        <f>IFERROR(RANK(B2862,$B:$B,1)+COUNTIF($B$1:B2861,B2862),"")</f>
        <v/>
      </c>
      <c r="B2862" t="str">
        <f>IFERROR(SEARCH(#REF!,Table4[[#This Row],[Commodity Title]],1),"")</f>
        <v/>
      </c>
      <c r="C2862" s="35">
        <v>42293401</v>
      </c>
      <c r="D2862" s="33" t="s">
        <v>1495</v>
      </c>
      <c r="E2862" s="33" t="s">
        <v>1496</v>
      </c>
      <c r="F2862" s="33" t="s">
        <v>1497</v>
      </c>
      <c r="G2862" s="33" t="s">
        <v>7062</v>
      </c>
      <c r="H2862" s="33" t="s">
        <v>7063</v>
      </c>
      <c r="I2862" s="33" t="s">
        <v>7064</v>
      </c>
      <c r="J2862" s="33">
        <v>116238</v>
      </c>
      <c r="K2862" s="33" t="s">
        <v>7344</v>
      </c>
      <c r="L2862" s="33" t="s">
        <v>7345</v>
      </c>
      <c r="M2862" s="33" t="s">
        <v>7346</v>
      </c>
      <c r="N2862" s="44">
        <v>42293401</v>
      </c>
      <c r="O2862" s="33" t="s">
        <v>7347</v>
      </c>
      <c r="P2862" s="33" t="s">
        <v>7348</v>
      </c>
      <c r="Q2862" s="34" t="s">
        <v>1494</v>
      </c>
      <c r="R2862" s="34" t="s">
        <v>1494</v>
      </c>
    </row>
    <row r="2863" spans="1:18" ht="15" customHeight="1" x14ac:dyDescent="0.25">
      <c r="A2863" t="str">
        <f>IFERROR(RANK(B2863,$B:$B,1)+COUNTIF($B$1:B2862,B2863),"")</f>
        <v/>
      </c>
      <c r="B2863" t="str">
        <f>IFERROR(SEARCH(#REF!,Table4[[#This Row],[Commodity Title]],1),"")</f>
        <v/>
      </c>
      <c r="C2863" s="35">
        <v>42293404</v>
      </c>
      <c r="D2863" s="33" t="s">
        <v>1495</v>
      </c>
      <c r="E2863" s="33" t="s">
        <v>1496</v>
      </c>
      <c r="F2863" s="33" t="s">
        <v>1497</v>
      </c>
      <c r="G2863" s="33" t="s">
        <v>7062</v>
      </c>
      <c r="H2863" s="33" t="s">
        <v>7063</v>
      </c>
      <c r="I2863" s="33" t="s">
        <v>7064</v>
      </c>
      <c r="J2863" s="33">
        <v>116241</v>
      </c>
      <c r="K2863" s="33" t="s">
        <v>7344</v>
      </c>
      <c r="L2863" s="33" t="s">
        <v>7345</v>
      </c>
      <c r="M2863" s="33" t="s">
        <v>7346</v>
      </c>
      <c r="N2863" s="44">
        <v>42293404</v>
      </c>
      <c r="O2863" s="33" t="s">
        <v>7349</v>
      </c>
      <c r="P2863" s="33" t="s">
        <v>7350</v>
      </c>
      <c r="Q2863" s="34" t="s">
        <v>1494</v>
      </c>
      <c r="R2863" s="34" t="s">
        <v>1494</v>
      </c>
    </row>
    <row r="2864" spans="1:18" ht="15" customHeight="1" x14ac:dyDescent="0.25">
      <c r="A2864" t="str">
        <f>IFERROR(RANK(B2864,$B:$B,1)+COUNTIF($B$1:B2863,B2864),"")</f>
        <v/>
      </c>
      <c r="B2864" t="str">
        <f>IFERROR(SEARCH(#REF!,Table4[[#This Row],[Commodity Title]],1),"")</f>
        <v/>
      </c>
      <c r="C2864" s="35">
        <v>42293405</v>
      </c>
      <c r="D2864" s="33" t="s">
        <v>1495</v>
      </c>
      <c r="E2864" s="33" t="s">
        <v>1496</v>
      </c>
      <c r="F2864" s="33" t="s">
        <v>1497</v>
      </c>
      <c r="G2864" s="33" t="s">
        <v>7062</v>
      </c>
      <c r="H2864" s="33" t="s">
        <v>7063</v>
      </c>
      <c r="I2864" s="33" t="s">
        <v>7064</v>
      </c>
      <c r="J2864" s="33">
        <v>116242</v>
      </c>
      <c r="K2864" s="33" t="s">
        <v>7344</v>
      </c>
      <c r="L2864" s="33" t="s">
        <v>7345</v>
      </c>
      <c r="M2864" s="33" t="s">
        <v>7346</v>
      </c>
      <c r="N2864" s="44">
        <v>42293405</v>
      </c>
      <c r="O2864" s="33" t="s">
        <v>7351</v>
      </c>
      <c r="P2864" s="33" t="s">
        <v>7352</v>
      </c>
      <c r="Q2864" s="34" t="s">
        <v>1494</v>
      </c>
      <c r="R2864" s="34" t="s">
        <v>1494</v>
      </c>
    </row>
    <row r="2865" spans="1:18" ht="15" customHeight="1" x14ac:dyDescent="0.25">
      <c r="A2865" t="str">
        <f>IFERROR(RANK(B2865,$B:$B,1)+COUNTIF($B$1:B2864,B2865),"")</f>
        <v/>
      </c>
      <c r="B2865" t="str">
        <f>IFERROR(SEARCH(#REF!,Table4[[#This Row],[Commodity Title]],1),"")</f>
        <v/>
      </c>
      <c r="C2865" s="35">
        <v>42293406</v>
      </c>
      <c r="D2865" s="33" t="s">
        <v>1495</v>
      </c>
      <c r="E2865" s="33" t="s">
        <v>1496</v>
      </c>
      <c r="F2865" s="33" t="s">
        <v>1497</v>
      </c>
      <c r="G2865" s="33" t="s">
        <v>7062</v>
      </c>
      <c r="H2865" s="33" t="s">
        <v>7063</v>
      </c>
      <c r="I2865" s="33" t="s">
        <v>7064</v>
      </c>
      <c r="J2865" s="33">
        <v>116243</v>
      </c>
      <c r="K2865" s="33" t="s">
        <v>7344</v>
      </c>
      <c r="L2865" s="33" t="s">
        <v>7345</v>
      </c>
      <c r="M2865" s="33" t="s">
        <v>7346</v>
      </c>
      <c r="N2865" s="44">
        <v>42293406</v>
      </c>
      <c r="O2865" s="33" t="s">
        <v>174</v>
      </c>
      <c r="P2865" s="33" t="s">
        <v>7353</v>
      </c>
      <c r="Q2865" s="34" t="s">
        <v>1494</v>
      </c>
      <c r="R2865" s="34" t="s">
        <v>1494</v>
      </c>
    </row>
    <row r="2866" spans="1:18" ht="15" customHeight="1" x14ac:dyDescent="0.25">
      <c r="A2866" t="str">
        <f>IFERROR(RANK(B2866,$B:$B,1)+COUNTIF($B$1:B2865,B2866),"")</f>
        <v/>
      </c>
      <c r="B2866" t="str">
        <f>IFERROR(SEARCH(#REF!,Table4[[#This Row],[Commodity Title]],1),"")</f>
        <v/>
      </c>
      <c r="C2866" s="35">
        <v>42293407</v>
      </c>
      <c r="D2866" s="33" t="s">
        <v>1495</v>
      </c>
      <c r="E2866" s="33" t="s">
        <v>1496</v>
      </c>
      <c r="F2866" s="33" t="s">
        <v>1497</v>
      </c>
      <c r="G2866" s="33" t="s">
        <v>7062</v>
      </c>
      <c r="H2866" s="33" t="s">
        <v>7063</v>
      </c>
      <c r="I2866" s="33" t="s">
        <v>7064</v>
      </c>
      <c r="J2866" s="33">
        <v>142048</v>
      </c>
      <c r="K2866" s="33" t="s">
        <v>7344</v>
      </c>
      <c r="L2866" s="33" t="s">
        <v>7345</v>
      </c>
      <c r="M2866" s="33" t="s">
        <v>7346</v>
      </c>
      <c r="N2866" s="44">
        <v>42293407</v>
      </c>
      <c r="O2866" s="33" t="s">
        <v>7354</v>
      </c>
      <c r="P2866" s="33" t="s">
        <v>7355</v>
      </c>
      <c r="Q2866" s="34" t="s">
        <v>1494</v>
      </c>
      <c r="R2866" s="34" t="s">
        <v>1494</v>
      </c>
    </row>
    <row r="2867" spans="1:18" ht="15" customHeight="1" x14ac:dyDescent="0.25">
      <c r="A2867" t="str">
        <f>IFERROR(RANK(B2867,$B:$B,1)+COUNTIF($B$1:B2866,B2867),"")</f>
        <v/>
      </c>
      <c r="B2867" t="str">
        <f>IFERROR(SEARCH(#REF!,Table4[[#This Row],[Commodity Title]],1),"")</f>
        <v/>
      </c>
      <c r="C2867" s="35">
        <v>42293408</v>
      </c>
      <c r="D2867" s="33" t="s">
        <v>1495</v>
      </c>
      <c r="E2867" s="33" t="s">
        <v>1496</v>
      </c>
      <c r="F2867" s="33" t="s">
        <v>1497</v>
      </c>
      <c r="G2867" s="33" t="s">
        <v>7062</v>
      </c>
      <c r="H2867" s="33" t="s">
        <v>7063</v>
      </c>
      <c r="I2867" s="33" t="s">
        <v>7064</v>
      </c>
      <c r="J2867" s="33">
        <v>174406</v>
      </c>
      <c r="K2867" s="33" t="s">
        <v>7344</v>
      </c>
      <c r="L2867" s="33" t="s">
        <v>7345</v>
      </c>
      <c r="M2867" s="33" t="s">
        <v>7346</v>
      </c>
      <c r="N2867" s="44">
        <v>42293408</v>
      </c>
      <c r="O2867" s="33" t="s">
        <v>7356</v>
      </c>
      <c r="P2867" s="33" t="s">
        <v>7357</v>
      </c>
      <c r="Q2867" s="34" t="s">
        <v>1494</v>
      </c>
      <c r="R2867" s="34" t="s">
        <v>1494</v>
      </c>
    </row>
    <row r="2868" spans="1:18" ht="15" customHeight="1" x14ac:dyDescent="0.25">
      <c r="A2868" t="str">
        <f>IFERROR(RANK(B2868,$B:$B,1)+COUNTIF($B$1:B2867,B2868),"")</f>
        <v/>
      </c>
      <c r="B2868" t="str">
        <f>IFERROR(SEARCH(#REF!,Table4[[#This Row],[Commodity Title]],1),"")</f>
        <v/>
      </c>
      <c r="C2868" s="35">
        <v>42293409</v>
      </c>
      <c r="D2868" s="33" t="s">
        <v>1495</v>
      </c>
      <c r="E2868" s="33" t="s">
        <v>1496</v>
      </c>
      <c r="F2868" s="33" t="s">
        <v>1497</v>
      </c>
      <c r="G2868" s="33" t="s">
        <v>7062</v>
      </c>
      <c r="H2868" s="33" t="s">
        <v>7063</v>
      </c>
      <c r="I2868" s="33" t="s">
        <v>7064</v>
      </c>
      <c r="J2868" s="33">
        <v>203133</v>
      </c>
      <c r="K2868" s="33" t="s">
        <v>7344</v>
      </c>
      <c r="L2868" s="33" t="s">
        <v>7345</v>
      </c>
      <c r="M2868" s="33" t="s">
        <v>7346</v>
      </c>
      <c r="N2868" s="44">
        <v>42293409</v>
      </c>
      <c r="O2868" s="33" t="s">
        <v>7358</v>
      </c>
      <c r="P2868" s="33" t="s">
        <v>7359</v>
      </c>
      <c r="Q2868" s="34" t="s">
        <v>1494</v>
      </c>
      <c r="R2868" s="34" t="s">
        <v>1494</v>
      </c>
    </row>
    <row r="2869" spans="1:18" ht="15" customHeight="1" x14ac:dyDescent="0.25">
      <c r="A2869" t="str">
        <f>IFERROR(RANK(B2869,$B:$B,1)+COUNTIF($B$1:B2868,B2869),"")</f>
        <v/>
      </c>
      <c r="B2869" t="str">
        <f>IFERROR(SEARCH(#REF!,Table4[[#This Row],[Commodity Title]],1),"")</f>
        <v/>
      </c>
      <c r="C2869" s="35">
        <v>42293410</v>
      </c>
      <c r="D2869" s="33" t="s">
        <v>1495</v>
      </c>
      <c r="E2869" s="33" t="s">
        <v>1496</v>
      </c>
      <c r="F2869" s="33" t="s">
        <v>1497</v>
      </c>
      <c r="G2869" s="33" t="s">
        <v>7062</v>
      </c>
      <c r="H2869" s="33" t="s">
        <v>7063</v>
      </c>
      <c r="I2869" s="33" t="s">
        <v>7064</v>
      </c>
      <c r="J2869" s="33">
        <v>203134</v>
      </c>
      <c r="K2869" s="33" t="s">
        <v>7344</v>
      </c>
      <c r="L2869" s="33" t="s">
        <v>7345</v>
      </c>
      <c r="M2869" s="33" t="s">
        <v>7346</v>
      </c>
      <c r="N2869" s="44">
        <v>42293410</v>
      </c>
      <c r="O2869" s="33" t="s">
        <v>7360</v>
      </c>
      <c r="P2869" s="33" t="s">
        <v>7361</v>
      </c>
      <c r="Q2869" s="34" t="s">
        <v>1494</v>
      </c>
      <c r="R2869" s="34" t="s">
        <v>1494</v>
      </c>
    </row>
    <row r="2870" spans="1:18" ht="15" customHeight="1" x14ac:dyDescent="0.25">
      <c r="A2870" t="str">
        <f>IFERROR(RANK(B2870,$B:$B,1)+COUNTIF($B$1:B2869,B2870),"")</f>
        <v/>
      </c>
      <c r="B2870" t="str">
        <f>IFERROR(SEARCH(#REF!,Table4[[#This Row],[Commodity Title]],1),"")</f>
        <v/>
      </c>
      <c r="C2870" s="35">
        <v>42293411</v>
      </c>
      <c r="D2870" s="33" t="s">
        <v>1495</v>
      </c>
      <c r="E2870" s="33" t="s">
        <v>1496</v>
      </c>
      <c r="F2870" s="33" t="s">
        <v>1497</v>
      </c>
      <c r="G2870" s="33" t="s">
        <v>7062</v>
      </c>
      <c r="H2870" s="33" t="s">
        <v>7063</v>
      </c>
      <c r="I2870" s="33" t="s">
        <v>7064</v>
      </c>
      <c r="J2870" s="33">
        <v>203135</v>
      </c>
      <c r="K2870" s="33" t="s">
        <v>7344</v>
      </c>
      <c r="L2870" s="33" t="s">
        <v>7345</v>
      </c>
      <c r="M2870" s="33" t="s">
        <v>7346</v>
      </c>
      <c r="N2870" s="44">
        <v>42293411</v>
      </c>
      <c r="O2870" s="33" t="s">
        <v>7362</v>
      </c>
      <c r="P2870" s="33" t="s">
        <v>7363</v>
      </c>
      <c r="Q2870" s="34" t="s">
        <v>1494</v>
      </c>
      <c r="R2870" s="34" t="s">
        <v>1494</v>
      </c>
    </row>
    <row r="2871" spans="1:18" ht="15" customHeight="1" x14ac:dyDescent="0.25">
      <c r="A2871" t="str">
        <f>IFERROR(RANK(B2871,$B:$B,1)+COUNTIF($B$1:B2870,B2871),"")</f>
        <v/>
      </c>
      <c r="B2871" t="str">
        <f>IFERROR(SEARCH(#REF!,Table4[[#This Row],[Commodity Title]],1),"")</f>
        <v/>
      </c>
      <c r="C2871" s="35">
        <v>42293412</v>
      </c>
      <c r="D2871" s="33" t="s">
        <v>1495</v>
      </c>
      <c r="E2871" s="33" t="s">
        <v>1496</v>
      </c>
      <c r="F2871" s="33" t="s">
        <v>1497</v>
      </c>
      <c r="G2871" s="33" t="s">
        <v>7062</v>
      </c>
      <c r="H2871" s="33" t="s">
        <v>7063</v>
      </c>
      <c r="I2871" s="33" t="s">
        <v>7064</v>
      </c>
      <c r="J2871" s="33">
        <v>116231</v>
      </c>
      <c r="K2871" s="33" t="s">
        <v>7344</v>
      </c>
      <c r="L2871" s="33" t="s">
        <v>7345</v>
      </c>
      <c r="M2871" s="33" t="s">
        <v>7346</v>
      </c>
      <c r="N2871" s="44">
        <v>42293412</v>
      </c>
      <c r="O2871" s="33" t="s">
        <v>7364</v>
      </c>
      <c r="P2871" s="33" t="s">
        <v>7365</v>
      </c>
      <c r="Q2871" s="34" t="s">
        <v>1494</v>
      </c>
      <c r="R2871" s="34" t="s">
        <v>1494</v>
      </c>
    </row>
    <row r="2872" spans="1:18" ht="15" customHeight="1" x14ac:dyDescent="0.25">
      <c r="A2872" t="str">
        <f>IFERROR(RANK(B2872,$B:$B,1)+COUNTIF($B$1:B2871,B2872),"")</f>
        <v/>
      </c>
      <c r="B2872" t="str">
        <f>IFERROR(SEARCH(#REF!,Table4[[#This Row],[Commodity Title]],1),"")</f>
        <v/>
      </c>
      <c r="C2872" s="33" t="s">
        <v>1494</v>
      </c>
      <c r="D2872" s="33" t="s">
        <v>1495</v>
      </c>
      <c r="E2872" s="33" t="s">
        <v>1496</v>
      </c>
      <c r="F2872" s="33" t="s">
        <v>1497</v>
      </c>
      <c r="G2872" s="33" t="s">
        <v>7062</v>
      </c>
      <c r="H2872" s="33" t="s">
        <v>7063</v>
      </c>
      <c r="I2872" s="33" t="s">
        <v>7064</v>
      </c>
      <c r="J2872" s="33">
        <v>116244</v>
      </c>
      <c r="K2872" s="33" t="s">
        <v>7366</v>
      </c>
      <c r="L2872" s="33" t="s">
        <v>7367</v>
      </c>
      <c r="M2872" s="33" t="s">
        <v>7368</v>
      </c>
      <c r="N2872" s="44" t="s">
        <v>1494</v>
      </c>
      <c r="O2872" s="33" t="s">
        <v>1494</v>
      </c>
      <c r="P2872" s="33" t="s">
        <v>1494</v>
      </c>
      <c r="Q2872" s="34" t="s">
        <v>1494</v>
      </c>
      <c r="R2872" s="34" t="s">
        <v>1494</v>
      </c>
    </row>
    <row r="2873" spans="1:18" ht="15" customHeight="1" x14ac:dyDescent="0.25">
      <c r="A2873" t="str">
        <f>IFERROR(RANK(B2873,$B:$B,1)+COUNTIF($B$1:B2872,B2873),"")</f>
        <v/>
      </c>
      <c r="B2873" t="str">
        <f>IFERROR(SEARCH(#REF!,Table4[[#This Row],[Commodity Title]],1),"")</f>
        <v/>
      </c>
      <c r="C2873" s="35">
        <v>42293501</v>
      </c>
      <c r="D2873" s="33" t="s">
        <v>1495</v>
      </c>
      <c r="E2873" s="33" t="s">
        <v>1496</v>
      </c>
      <c r="F2873" s="33" t="s">
        <v>1497</v>
      </c>
      <c r="G2873" s="33" t="s">
        <v>7062</v>
      </c>
      <c r="H2873" s="33" t="s">
        <v>7063</v>
      </c>
      <c r="I2873" s="33" t="s">
        <v>7064</v>
      </c>
      <c r="J2873" s="33">
        <v>116245</v>
      </c>
      <c r="K2873" s="33" t="s">
        <v>7366</v>
      </c>
      <c r="L2873" s="33" t="s">
        <v>7367</v>
      </c>
      <c r="M2873" s="33" t="s">
        <v>7368</v>
      </c>
      <c r="N2873" s="44">
        <v>42293501</v>
      </c>
      <c r="O2873" s="33" t="s">
        <v>7369</v>
      </c>
      <c r="P2873" s="33" t="s">
        <v>7370</v>
      </c>
      <c r="Q2873" s="34" t="s">
        <v>1494</v>
      </c>
      <c r="R2873" s="34" t="s">
        <v>1494</v>
      </c>
    </row>
    <row r="2874" spans="1:18" ht="15" customHeight="1" x14ac:dyDescent="0.25">
      <c r="A2874" t="str">
        <f>IFERROR(RANK(B2874,$B:$B,1)+COUNTIF($B$1:B2873,B2874),"")</f>
        <v/>
      </c>
      <c r="B2874" t="str">
        <f>IFERROR(SEARCH(#REF!,Table4[[#This Row],[Commodity Title]],1),"")</f>
        <v/>
      </c>
      <c r="C2874" s="35">
        <v>42293503</v>
      </c>
      <c r="D2874" s="33" t="s">
        <v>1495</v>
      </c>
      <c r="E2874" s="33" t="s">
        <v>1496</v>
      </c>
      <c r="F2874" s="33" t="s">
        <v>1497</v>
      </c>
      <c r="G2874" s="33" t="s">
        <v>7062</v>
      </c>
      <c r="H2874" s="33" t="s">
        <v>7063</v>
      </c>
      <c r="I2874" s="33" t="s">
        <v>7064</v>
      </c>
      <c r="J2874" s="33">
        <v>116247</v>
      </c>
      <c r="K2874" s="33" t="s">
        <v>7366</v>
      </c>
      <c r="L2874" s="33" t="s">
        <v>7367</v>
      </c>
      <c r="M2874" s="33" t="s">
        <v>7368</v>
      </c>
      <c r="N2874" s="44">
        <v>42293503</v>
      </c>
      <c r="O2874" s="33" t="s">
        <v>7371</v>
      </c>
      <c r="P2874" s="33" t="s">
        <v>7372</v>
      </c>
      <c r="Q2874" s="34" t="s">
        <v>1494</v>
      </c>
      <c r="R2874" s="34" t="s">
        <v>1494</v>
      </c>
    </row>
    <row r="2875" spans="1:18" ht="15" customHeight="1" x14ac:dyDescent="0.25">
      <c r="A2875" t="str">
        <f>IFERROR(RANK(B2875,$B:$B,1)+COUNTIF($B$1:B2874,B2875),"")</f>
        <v/>
      </c>
      <c r="B2875" t="str">
        <f>IFERROR(SEARCH(#REF!,Table4[[#This Row],[Commodity Title]],1),"")</f>
        <v/>
      </c>
      <c r="C2875" s="35">
        <v>42293504</v>
      </c>
      <c r="D2875" s="33" t="s">
        <v>1495</v>
      </c>
      <c r="E2875" s="33" t="s">
        <v>1496</v>
      </c>
      <c r="F2875" s="33" t="s">
        <v>1497</v>
      </c>
      <c r="G2875" s="33" t="s">
        <v>7062</v>
      </c>
      <c r="H2875" s="33" t="s">
        <v>7063</v>
      </c>
      <c r="I2875" s="33" t="s">
        <v>7064</v>
      </c>
      <c r="J2875" s="33">
        <v>116248</v>
      </c>
      <c r="K2875" s="33" t="s">
        <v>7366</v>
      </c>
      <c r="L2875" s="33" t="s">
        <v>7367</v>
      </c>
      <c r="M2875" s="33" t="s">
        <v>7368</v>
      </c>
      <c r="N2875" s="44">
        <v>42293504</v>
      </c>
      <c r="O2875" s="33" t="s">
        <v>7373</v>
      </c>
      <c r="P2875" s="33" t="s">
        <v>7374</v>
      </c>
      <c r="Q2875" s="34" t="s">
        <v>1494</v>
      </c>
      <c r="R2875" s="34" t="s">
        <v>1494</v>
      </c>
    </row>
    <row r="2876" spans="1:18" ht="15" customHeight="1" x14ac:dyDescent="0.25">
      <c r="A2876" t="str">
        <f>IFERROR(RANK(B2876,$B:$B,1)+COUNTIF($B$1:B2875,B2876),"")</f>
        <v/>
      </c>
      <c r="B2876" t="str">
        <f>IFERROR(SEARCH(#REF!,Table4[[#This Row],[Commodity Title]],1),"")</f>
        <v/>
      </c>
      <c r="C2876" s="35">
        <v>42293505</v>
      </c>
      <c r="D2876" s="33" t="s">
        <v>1495</v>
      </c>
      <c r="E2876" s="33" t="s">
        <v>1496</v>
      </c>
      <c r="F2876" s="33" t="s">
        <v>1497</v>
      </c>
      <c r="G2876" s="33" t="s">
        <v>7062</v>
      </c>
      <c r="H2876" s="33" t="s">
        <v>7063</v>
      </c>
      <c r="I2876" s="33" t="s">
        <v>7064</v>
      </c>
      <c r="J2876" s="33">
        <v>142765</v>
      </c>
      <c r="K2876" s="33" t="s">
        <v>7366</v>
      </c>
      <c r="L2876" s="33" t="s">
        <v>7367</v>
      </c>
      <c r="M2876" s="33" t="s">
        <v>7368</v>
      </c>
      <c r="N2876" s="44">
        <v>42293505</v>
      </c>
      <c r="O2876" s="33" t="s">
        <v>7375</v>
      </c>
      <c r="P2876" s="33" t="s">
        <v>7376</v>
      </c>
      <c r="Q2876" s="34" t="s">
        <v>1494</v>
      </c>
      <c r="R2876" s="34" t="s">
        <v>1494</v>
      </c>
    </row>
    <row r="2877" spans="1:18" ht="15" customHeight="1" x14ac:dyDescent="0.25">
      <c r="A2877" t="str">
        <f>IFERROR(RANK(B2877,$B:$B,1)+COUNTIF($B$1:B2876,B2877),"")</f>
        <v/>
      </c>
      <c r="B2877" t="str">
        <f>IFERROR(SEARCH(#REF!,Table4[[#This Row],[Commodity Title]],1),"")</f>
        <v/>
      </c>
      <c r="C2877" s="35">
        <v>42293506</v>
      </c>
      <c r="D2877" s="33" t="s">
        <v>1495</v>
      </c>
      <c r="E2877" s="33" t="s">
        <v>1496</v>
      </c>
      <c r="F2877" s="33" t="s">
        <v>1497</v>
      </c>
      <c r="G2877" s="33" t="s">
        <v>7062</v>
      </c>
      <c r="H2877" s="33" t="s">
        <v>7063</v>
      </c>
      <c r="I2877" s="33" t="s">
        <v>7064</v>
      </c>
      <c r="J2877" s="33">
        <v>142766</v>
      </c>
      <c r="K2877" s="33" t="s">
        <v>7366</v>
      </c>
      <c r="L2877" s="33" t="s">
        <v>7367</v>
      </c>
      <c r="M2877" s="33" t="s">
        <v>7368</v>
      </c>
      <c r="N2877" s="44">
        <v>42293506</v>
      </c>
      <c r="O2877" s="33" t="s">
        <v>7377</v>
      </c>
      <c r="P2877" s="33" t="s">
        <v>7378</v>
      </c>
      <c r="Q2877" s="34" t="s">
        <v>1494</v>
      </c>
      <c r="R2877" s="34" t="s">
        <v>1494</v>
      </c>
    </row>
    <row r="2878" spans="1:18" ht="15" customHeight="1" x14ac:dyDescent="0.25">
      <c r="A2878" t="str">
        <f>IFERROR(RANK(B2878,$B:$B,1)+COUNTIF($B$1:B2877,B2878),"")</f>
        <v/>
      </c>
      <c r="B2878" t="str">
        <f>IFERROR(SEARCH(#REF!,Table4[[#This Row],[Commodity Title]],1),"")</f>
        <v/>
      </c>
      <c r="C2878" s="35">
        <v>42293507</v>
      </c>
      <c r="D2878" s="33" t="s">
        <v>1495</v>
      </c>
      <c r="E2878" s="33" t="s">
        <v>1496</v>
      </c>
      <c r="F2878" s="33" t="s">
        <v>1497</v>
      </c>
      <c r="G2878" s="33" t="s">
        <v>7062</v>
      </c>
      <c r="H2878" s="33" t="s">
        <v>7063</v>
      </c>
      <c r="I2878" s="33" t="s">
        <v>7064</v>
      </c>
      <c r="J2878" s="33">
        <v>142767</v>
      </c>
      <c r="K2878" s="33" t="s">
        <v>7366</v>
      </c>
      <c r="L2878" s="33" t="s">
        <v>7367</v>
      </c>
      <c r="M2878" s="33" t="s">
        <v>7368</v>
      </c>
      <c r="N2878" s="44">
        <v>42293507</v>
      </c>
      <c r="O2878" s="33" t="s">
        <v>7379</v>
      </c>
      <c r="P2878" s="33" t="s">
        <v>7380</v>
      </c>
      <c r="Q2878" s="34" t="s">
        <v>1494</v>
      </c>
      <c r="R2878" s="34" t="s">
        <v>1494</v>
      </c>
    </row>
    <row r="2879" spans="1:18" ht="15" customHeight="1" x14ac:dyDescent="0.25">
      <c r="A2879" t="str">
        <f>IFERROR(RANK(B2879,$B:$B,1)+COUNTIF($B$1:B2878,B2879),"")</f>
        <v/>
      </c>
      <c r="B2879" t="str">
        <f>IFERROR(SEARCH(#REF!,Table4[[#This Row],[Commodity Title]],1),"")</f>
        <v/>
      </c>
      <c r="C2879" s="35">
        <v>42293509</v>
      </c>
      <c r="D2879" s="33" t="s">
        <v>1495</v>
      </c>
      <c r="E2879" s="33" t="s">
        <v>1496</v>
      </c>
      <c r="F2879" s="33" t="s">
        <v>1497</v>
      </c>
      <c r="G2879" s="33" t="s">
        <v>7062</v>
      </c>
      <c r="H2879" s="33" t="s">
        <v>7063</v>
      </c>
      <c r="I2879" s="33" t="s">
        <v>7064</v>
      </c>
      <c r="J2879" s="33">
        <v>142858</v>
      </c>
      <c r="K2879" s="33" t="s">
        <v>7366</v>
      </c>
      <c r="L2879" s="33" t="s">
        <v>7367</v>
      </c>
      <c r="M2879" s="33" t="s">
        <v>7368</v>
      </c>
      <c r="N2879" s="44">
        <v>42293509</v>
      </c>
      <c r="O2879" s="33" t="s">
        <v>7381</v>
      </c>
      <c r="P2879" s="33" t="s">
        <v>7382</v>
      </c>
      <c r="Q2879" s="34" t="s">
        <v>1494</v>
      </c>
      <c r="R2879" s="34" t="s">
        <v>1494</v>
      </c>
    </row>
    <row r="2880" spans="1:18" ht="15" customHeight="1" x14ac:dyDescent="0.25">
      <c r="A2880" t="str">
        <f>IFERROR(RANK(B2880,$B:$B,1)+COUNTIF($B$1:B2879,B2880),"")</f>
        <v/>
      </c>
      <c r="B2880" t="str">
        <f>IFERROR(SEARCH(#REF!,Table4[[#This Row],[Commodity Title]],1),"")</f>
        <v/>
      </c>
      <c r="C2880" s="35">
        <v>42293510</v>
      </c>
      <c r="D2880" s="33" t="s">
        <v>1495</v>
      </c>
      <c r="E2880" s="33" t="s">
        <v>1496</v>
      </c>
      <c r="F2880" s="33" t="s">
        <v>1497</v>
      </c>
      <c r="G2880" s="33" t="s">
        <v>7062</v>
      </c>
      <c r="H2880" s="33" t="s">
        <v>7063</v>
      </c>
      <c r="I2880" s="33" t="s">
        <v>7064</v>
      </c>
      <c r="J2880" s="33">
        <v>203136</v>
      </c>
      <c r="K2880" s="33" t="s">
        <v>7366</v>
      </c>
      <c r="L2880" s="33" t="s">
        <v>7367</v>
      </c>
      <c r="M2880" s="33" t="s">
        <v>7368</v>
      </c>
      <c r="N2880" s="44">
        <v>42293510</v>
      </c>
      <c r="O2880" s="33" t="s">
        <v>7383</v>
      </c>
      <c r="P2880" s="33" t="s">
        <v>7384</v>
      </c>
      <c r="Q2880" s="34" t="s">
        <v>1494</v>
      </c>
      <c r="R2880" s="34" t="s">
        <v>1494</v>
      </c>
    </row>
    <row r="2881" spans="1:18" ht="15" customHeight="1" x14ac:dyDescent="0.25">
      <c r="A2881" t="str">
        <f>IFERROR(RANK(B2881,$B:$B,1)+COUNTIF($B$1:B2880,B2881),"")</f>
        <v/>
      </c>
      <c r="B2881" t="str">
        <f>IFERROR(SEARCH(#REF!,Table4[[#This Row],[Commodity Title]],1),"")</f>
        <v/>
      </c>
      <c r="C2881" s="35">
        <v>42293511</v>
      </c>
      <c r="D2881" s="33" t="s">
        <v>1495</v>
      </c>
      <c r="E2881" s="33" t="s">
        <v>1496</v>
      </c>
      <c r="F2881" s="33" t="s">
        <v>1497</v>
      </c>
      <c r="G2881" s="33" t="s">
        <v>7062</v>
      </c>
      <c r="H2881" s="33" t="s">
        <v>7063</v>
      </c>
      <c r="I2881" s="33" t="s">
        <v>7064</v>
      </c>
      <c r="J2881" s="33">
        <v>203137</v>
      </c>
      <c r="K2881" s="33" t="s">
        <v>7366</v>
      </c>
      <c r="L2881" s="33" t="s">
        <v>7367</v>
      </c>
      <c r="M2881" s="33" t="s">
        <v>7368</v>
      </c>
      <c r="N2881" s="44">
        <v>42293511</v>
      </c>
      <c r="O2881" s="33" t="s">
        <v>7385</v>
      </c>
      <c r="P2881" s="33" t="s">
        <v>7386</v>
      </c>
      <c r="Q2881" s="34" t="s">
        <v>1494</v>
      </c>
      <c r="R2881" s="34" t="s">
        <v>1494</v>
      </c>
    </row>
    <row r="2882" spans="1:18" ht="15" customHeight="1" x14ac:dyDescent="0.25">
      <c r="A2882" t="str">
        <f>IFERROR(RANK(B2882,$B:$B,1)+COUNTIF($B$1:B2881,B2882),"")</f>
        <v/>
      </c>
      <c r="B2882" t="str">
        <f>IFERROR(SEARCH(#REF!,Table4[[#This Row],[Commodity Title]],1),"")</f>
        <v/>
      </c>
      <c r="C2882" s="35">
        <v>42293512</v>
      </c>
      <c r="D2882" s="33" t="s">
        <v>1495</v>
      </c>
      <c r="E2882" s="33" t="s">
        <v>1496</v>
      </c>
      <c r="F2882" s="33" t="s">
        <v>1497</v>
      </c>
      <c r="G2882" s="33" t="s">
        <v>7062</v>
      </c>
      <c r="H2882" s="33" t="s">
        <v>7063</v>
      </c>
      <c r="I2882" s="33" t="s">
        <v>7064</v>
      </c>
      <c r="J2882" s="33">
        <v>203138</v>
      </c>
      <c r="K2882" s="33" t="s">
        <v>7366</v>
      </c>
      <c r="L2882" s="33" t="s">
        <v>7367</v>
      </c>
      <c r="M2882" s="33" t="s">
        <v>7368</v>
      </c>
      <c r="N2882" s="44">
        <v>42293512</v>
      </c>
      <c r="O2882" s="33" t="s">
        <v>7387</v>
      </c>
      <c r="P2882" s="33" t="s">
        <v>7388</v>
      </c>
      <c r="Q2882" s="34" t="s">
        <v>1494</v>
      </c>
      <c r="R2882" s="34" t="s">
        <v>1494</v>
      </c>
    </row>
    <row r="2883" spans="1:18" ht="15" customHeight="1" x14ac:dyDescent="0.25">
      <c r="A2883" t="str">
        <f>IFERROR(RANK(B2883,$B:$B,1)+COUNTIF($B$1:B2882,B2883),"")</f>
        <v/>
      </c>
      <c r="B2883" t="str">
        <f>IFERROR(SEARCH(#REF!,Table4[[#This Row],[Commodity Title]],1),"")</f>
        <v/>
      </c>
      <c r="C2883" s="35">
        <v>42293513</v>
      </c>
      <c r="D2883" s="33" t="s">
        <v>1495</v>
      </c>
      <c r="E2883" s="33" t="s">
        <v>1496</v>
      </c>
      <c r="F2883" s="33" t="s">
        <v>1497</v>
      </c>
      <c r="G2883" s="33" t="s">
        <v>7062</v>
      </c>
      <c r="H2883" s="33" t="s">
        <v>7063</v>
      </c>
      <c r="I2883" s="33" t="s">
        <v>7064</v>
      </c>
      <c r="J2883" s="33">
        <v>203139</v>
      </c>
      <c r="K2883" s="33" t="s">
        <v>7366</v>
      </c>
      <c r="L2883" s="33" t="s">
        <v>7367</v>
      </c>
      <c r="M2883" s="33" t="s">
        <v>7368</v>
      </c>
      <c r="N2883" s="44">
        <v>42293513</v>
      </c>
      <c r="O2883" s="33" t="s">
        <v>7389</v>
      </c>
      <c r="P2883" s="33" t="s">
        <v>7390</v>
      </c>
      <c r="Q2883" s="34" t="s">
        <v>1494</v>
      </c>
      <c r="R2883" s="34" t="s">
        <v>1494</v>
      </c>
    </row>
    <row r="2884" spans="1:18" ht="15" customHeight="1" x14ac:dyDescent="0.25">
      <c r="A2884" t="str">
        <f>IFERROR(RANK(B2884,$B:$B,1)+COUNTIF($B$1:B2883,B2884),"")</f>
        <v/>
      </c>
      <c r="B2884" t="str">
        <f>IFERROR(SEARCH(#REF!,Table4[[#This Row],[Commodity Title]],1),"")</f>
        <v/>
      </c>
      <c r="C2884" s="35">
        <v>42293514</v>
      </c>
      <c r="D2884" s="33" t="s">
        <v>1495</v>
      </c>
      <c r="E2884" s="33" t="s">
        <v>1496</v>
      </c>
      <c r="F2884" s="33" t="s">
        <v>1497</v>
      </c>
      <c r="G2884" s="33" t="s">
        <v>7062</v>
      </c>
      <c r="H2884" s="33" t="s">
        <v>7063</v>
      </c>
      <c r="I2884" s="33" t="s">
        <v>7064</v>
      </c>
      <c r="J2884" s="33">
        <v>203140</v>
      </c>
      <c r="K2884" s="33" t="s">
        <v>7366</v>
      </c>
      <c r="L2884" s="33" t="s">
        <v>7367</v>
      </c>
      <c r="M2884" s="33" t="s">
        <v>7368</v>
      </c>
      <c r="N2884" s="44">
        <v>42293514</v>
      </c>
      <c r="O2884" s="33" t="s">
        <v>7391</v>
      </c>
      <c r="P2884" s="33" t="s">
        <v>7392</v>
      </c>
      <c r="Q2884" s="34" t="s">
        <v>1494</v>
      </c>
      <c r="R2884" s="34" t="s">
        <v>1494</v>
      </c>
    </row>
    <row r="2885" spans="1:18" ht="15" customHeight="1" x14ac:dyDescent="0.25">
      <c r="A2885" t="str">
        <f>IFERROR(RANK(B2885,$B:$B,1)+COUNTIF($B$1:B2884,B2885),"")</f>
        <v/>
      </c>
      <c r="B2885" t="str">
        <f>IFERROR(SEARCH(#REF!,Table4[[#This Row],[Commodity Title]],1),"")</f>
        <v/>
      </c>
      <c r="C2885" s="35">
        <v>42293515</v>
      </c>
      <c r="D2885" s="33" t="s">
        <v>1495</v>
      </c>
      <c r="E2885" s="33" t="s">
        <v>1496</v>
      </c>
      <c r="F2885" s="33" t="s">
        <v>1497</v>
      </c>
      <c r="G2885" s="33" t="s">
        <v>7062</v>
      </c>
      <c r="H2885" s="33" t="s">
        <v>7063</v>
      </c>
      <c r="I2885" s="33" t="s">
        <v>7064</v>
      </c>
      <c r="J2885" s="33">
        <v>203141</v>
      </c>
      <c r="K2885" s="33" t="s">
        <v>7366</v>
      </c>
      <c r="L2885" s="33" t="s">
        <v>7367</v>
      </c>
      <c r="M2885" s="33" t="s">
        <v>7368</v>
      </c>
      <c r="N2885" s="44">
        <v>42293515</v>
      </c>
      <c r="O2885" s="33" t="s">
        <v>7393</v>
      </c>
      <c r="P2885" s="33" t="s">
        <v>7394</v>
      </c>
      <c r="Q2885" s="34" t="s">
        <v>1494</v>
      </c>
      <c r="R2885" s="34" t="s">
        <v>1494</v>
      </c>
    </row>
    <row r="2886" spans="1:18" ht="15" customHeight="1" x14ac:dyDescent="0.25">
      <c r="A2886" t="str">
        <f>IFERROR(RANK(B2886,$B:$B,1)+COUNTIF($B$1:B2885,B2886),"")</f>
        <v/>
      </c>
      <c r="B2886" t="str">
        <f>IFERROR(SEARCH(#REF!,Table4[[#This Row],[Commodity Title]],1),"")</f>
        <v/>
      </c>
      <c r="C2886" s="35">
        <v>42293516</v>
      </c>
      <c r="D2886" s="33" t="s">
        <v>1495</v>
      </c>
      <c r="E2886" s="33" t="s">
        <v>1496</v>
      </c>
      <c r="F2886" s="33" t="s">
        <v>1497</v>
      </c>
      <c r="G2886" s="33" t="s">
        <v>7062</v>
      </c>
      <c r="H2886" s="33" t="s">
        <v>7063</v>
      </c>
      <c r="I2886" s="33" t="s">
        <v>7064</v>
      </c>
      <c r="J2886" s="33">
        <v>203142</v>
      </c>
      <c r="K2886" s="33" t="s">
        <v>7366</v>
      </c>
      <c r="L2886" s="33" t="s">
        <v>7367</v>
      </c>
      <c r="M2886" s="33" t="s">
        <v>7368</v>
      </c>
      <c r="N2886" s="44">
        <v>42293516</v>
      </c>
      <c r="O2886" s="33" t="s">
        <v>7395</v>
      </c>
      <c r="P2886" s="33" t="s">
        <v>7396</v>
      </c>
      <c r="Q2886" s="34" t="s">
        <v>1494</v>
      </c>
      <c r="R2886" s="34" t="s">
        <v>1494</v>
      </c>
    </row>
    <row r="2887" spans="1:18" ht="15" customHeight="1" x14ac:dyDescent="0.25">
      <c r="A2887" t="str">
        <f>IFERROR(RANK(B2887,$B:$B,1)+COUNTIF($B$1:B2886,B2887),"")</f>
        <v/>
      </c>
      <c r="B2887" t="str">
        <f>IFERROR(SEARCH(#REF!,Table4[[#This Row],[Commodity Title]],1),"")</f>
        <v/>
      </c>
      <c r="C2887" s="35">
        <v>42293517</v>
      </c>
      <c r="D2887" s="33" t="s">
        <v>1495</v>
      </c>
      <c r="E2887" s="33" t="s">
        <v>1496</v>
      </c>
      <c r="F2887" s="33" t="s">
        <v>1497</v>
      </c>
      <c r="G2887" s="33" t="s">
        <v>7062</v>
      </c>
      <c r="H2887" s="33" t="s">
        <v>7063</v>
      </c>
      <c r="I2887" s="33" t="s">
        <v>7064</v>
      </c>
      <c r="J2887" s="33">
        <v>203143</v>
      </c>
      <c r="K2887" s="33" t="s">
        <v>7366</v>
      </c>
      <c r="L2887" s="33" t="s">
        <v>7367</v>
      </c>
      <c r="M2887" s="33" t="s">
        <v>7368</v>
      </c>
      <c r="N2887" s="44">
        <v>42293517</v>
      </c>
      <c r="O2887" s="33" t="s">
        <v>7397</v>
      </c>
      <c r="P2887" s="33" t="s">
        <v>7398</v>
      </c>
      <c r="Q2887" s="34" t="s">
        <v>1494</v>
      </c>
      <c r="R2887" s="34" t="s">
        <v>1494</v>
      </c>
    </row>
    <row r="2888" spans="1:18" ht="15" customHeight="1" x14ac:dyDescent="0.25">
      <c r="A2888" t="str">
        <f>IFERROR(RANK(B2888,$B:$B,1)+COUNTIF($B$1:B2887,B2888),"")</f>
        <v/>
      </c>
      <c r="B2888" t="str">
        <f>IFERROR(SEARCH(#REF!,Table4[[#This Row],[Commodity Title]],1),"")</f>
        <v/>
      </c>
      <c r="C2888" s="35">
        <v>42293518</v>
      </c>
      <c r="D2888" s="33" t="s">
        <v>1495</v>
      </c>
      <c r="E2888" s="33" t="s">
        <v>1496</v>
      </c>
      <c r="F2888" s="33" t="s">
        <v>1497</v>
      </c>
      <c r="G2888" s="33" t="s">
        <v>7062</v>
      </c>
      <c r="H2888" s="33" t="s">
        <v>7063</v>
      </c>
      <c r="I2888" s="33" t="s">
        <v>7064</v>
      </c>
      <c r="J2888" s="33">
        <v>116402</v>
      </c>
      <c r="K2888" s="33" t="s">
        <v>7366</v>
      </c>
      <c r="L2888" s="33" t="s">
        <v>7367</v>
      </c>
      <c r="M2888" s="33" t="s">
        <v>7368</v>
      </c>
      <c r="N2888" s="44">
        <v>42293518</v>
      </c>
      <c r="O2888" s="33" t="s">
        <v>7399</v>
      </c>
      <c r="P2888" s="33" t="s">
        <v>7400</v>
      </c>
      <c r="Q2888" s="34" t="s">
        <v>1494</v>
      </c>
      <c r="R2888" s="34" t="s">
        <v>1494</v>
      </c>
    </row>
    <row r="2889" spans="1:18" ht="15" customHeight="1" x14ac:dyDescent="0.25">
      <c r="A2889" t="str">
        <f>IFERROR(RANK(B2889,$B:$B,1)+COUNTIF($B$1:B2888,B2889),"")</f>
        <v/>
      </c>
      <c r="B2889" t="str">
        <f>IFERROR(SEARCH(#REF!,Table4[[#This Row],[Commodity Title]],1),"")</f>
        <v/>
      </c>
      <c r="C2889" s="35">
        <v>42293519</v>
      </c>
      <c r="D2889" s="33" t="s">
        <v>1495</v>
      </c>
      <c r="E2889" s="33" t="s">
        <v>1496</v>
      </c>
      <c r="F2889" s="33" t="s">
        <v>1497</v>
      </c>
      <c r="G2889" s="33" t="s">
        <v>7062</v>
      </c>
      <c r="H2889" s="33" t="s">
        <v>7063</v>
      </c>
      <c r="I2889" s="33" t="s">
        <v>7064</v>
      </c>
      <c r="J2889" s="33">
        <v>114914</v>
      </c>
      <c r="K2889" s="33" t="s">
        <v>7366</v>
      </c>
      <c r="L2889" s="33" t="s">
        <v>7367</v>
      </c>
      <c r="M2889" s="33" t="s">
        <v>7368</v>
      </c>
      <c r="N2889" s="44">
        <v>42293519</v>
      </c>
      <c r="O2889" s="33" t="s">
        <v>7401</v>
      </c>
      <c r="P2889" s="33" t="s">
        <v>7402</v>
      </c>
      <c r="Q2889" s="34" t="s">
        <v>1494</v>
      </c>
      <c r="R2889" s="34" t="s">
        <v>1494</v>
      </c>
    </row>
    <row r="2890" spans="1:18" ht="15" customHeight="1" x14ac:dyDescent="0.25">
      <c r="A2890" t="str">
        <f>IFERROR(RANK(B2890,$B:$B,1)+COUNTIF($B$1:B2889,B2890),"")</f>
        <v/>
      </c>
      <c r="B2890" t="str">
        <f>IFERROR(SEARCH(#REF!,Table4[[#This Row],[Commodity Title]],1),"")</f>
        <v/>
      </c>
      <c r="C2890" s="35">
        <v>42293520</v>
      </c>
      <c r="D2890" s="33" t="s">
        <v>1495</v>
      </c>
      <c r="E2890" s="33" t="s">
        <v>1496</v>
      </c>
      <c r="F2890" s="33" t="s">
        <v>1497</v>
      </c>
      <c r="G2890" s="33" t="s">
        <v>7062</v>
      </c>
      <c r="H2890" s="33" t="s">
        <v>7063</v>
      </c>
      <c r="I2890" s="33" t="s">
        <v>7064</v>
      </c>
      <c r="J2890" s="33">
        <v>203144</v>
      </c>
      <c r="K2890" s="33" t="s">
        <v>7366</v>
      </c>
      <c r="L2890" s="33" t="s">
        <v>7367</v>
      </c>
      <c r="M2890" s="33" t="s">
        <v>7368</v>
      </c>
      <c r="N2890" s="44">
        <v>42293520</v>
      </c>
      <c r="O2890" s="33" t="s">
        <v>7403</v>
      </c>
      <c r="P2890" s="33" t="s">
        <v>7404</v>
      </c>
      <c r="Q2890" s="34" t="s">
        <v>1494</v>
      </c>
      <c r="R2890" s="34" t="s">
        <v>1494</v>
      </c>
    </row>
    <row r="2891" spans="1:18" ht="15" customHeight="1" x14ac:dyDescent="0.25">
      <c r="A2891" t="str">
        <f>IFERROR(RANK(B2891,$B:$B,1)+COUNTIF($B$1:B2890,B2891),"")</f>
        <v/>
      </c>
      <c r="B2891" t="str">
        <f>IFERROR(SEARCH(#REF!,Table4[[#This Row],[Commodity Title]],1),"")</f>
        <v/>
      </c>
      <c r="C2891" s="35">
        <v>42293521</v>
      </c>
      <c r="D2891" s="33" t="s">
        <v>1495</v>
      </c>
      <c r="E2891" s="33" t="s">
        <v>1496</v>
      </c>
      <c r="F2891" s="33" t="s">
        <v>1497</v>
      </c>
      <c r="G2891" s="33" t="s">
        <v>7062</v>
      </c>
      <c r="H2891" s="33" t="s">
        <v>7063</v>
      </c>
      <c r="I2891" s="33" t="s">
        <v>7064</v>
      </c>
      <c r="J2891" s="33">
        <v>114916</v>
      </c>
      <c r="K2891" s="33" t="s">
        <v>7366</v>
      </c>
      <c r="L2891" s="33" t="s">
        <v>7367</v>
      </c>
      <c r="M2891" s="33" t="s">
        <v>7368</v>
      </c>
      <c r="N2891" s="44">
        <v>42293521</v>
      </c>
      <c r="O2891" s="33" t="s">
        <v>7405</v>
      </c>
      <c r="P2891" s="33" t="s">
        <v>7406</v>
      </c>
      <c r="Q2891" s="34" t="s">
        <v>1494</v>
      </c>
      <c r="R2891" s="34" t="s">
        <v>1494</v>
      </c>
    </row>
    <row r="2892" spans="1:18" ht="15" customHeight="1" x14ac:dyDescent="0.25">
      <c r="A2892" t="str">
        <f>IFERROR(RANK(B2892,$B:$B,1)+COUNTIF($B$1:B2891,B2892),"")</f>
        <v/>
      </c>
      <c r="B2892" t="str">
        <f>IFERROR(SEARCH(#REF!,Table4[[#This Row],[Commodity Title]],1),"")</f>
        <v/>
      </c>
      <c r="C2892" s="35">
        <v>42293522</v>
      </c>
      <c r="D2892" s="33" t="s">
        <v>1495</v>
      </c>
      <c r="E2892" s="33" t="s">
        <v>1496</v>
      </c>
      <c r="F2892" s="33" t="s">
        <v>1497</v>
      </c>
      <c r="G2892" s="33" t="s">
        <v>7062</v>
      </c>
      <c r="H2892" s="33" t="s">
        <v>7063</v>
      </c>
      <c r="I2892" s="33" t="s">
        <v>7064</v>
      </c>
      <c r="J2892" s="33">
        <v>114917</v>
      </c>
      <c r="K2892" s="33" t="s">
        <v>7366</v>
      </c>
      <c r="L2892" s="33" t="s">
        <v>7367</v>
      </c>
      <c r="M2892" s="33" t="s">
        <v>7368</v>
      </c>
      <c r="N2892" s="44">
        <v>42293522</v>
      </c>
      <c r="O2892" s="33" t="s">
        <v>7407</v>
      </c>
      <c r="P2892" s="33" t="s">
        <v>7408</v>
      </c>
      <c r="Q2892" s="34" t="s">
        <v>1494</v>
      </c>
      <c r="R2892" s="34" t="s">
        <v>1494</v>
      </c>
    </row>
    <row r="2893" spans="1:18" ht="15" customHeight="1" x14ac:dyDescent="0.25">
      <c r="A2893" t="str">
        <f>IFERROR(RANK(B2893,$B:$B,1)+COUNTIF($B$1:B2892,B2893),"")</f>
        <v/>
      </c>
      <c r="B2893" t="str">
        <f>IFERROR(SEARCH(#REF!,Table4[[#This Row],[Commodity Title]],1),"")</f>
        <v/>
      </c>
      <c r="C2893" s="35">
        <v>42293523</v>
      </c>
      <c r="D2893" s="33" t="s">
        <v>1495</v>
      </c>
      <c r="E2893" s="33" t="s">
        <v>1496</v>
      </c>
      <c r="F2893" s="33" t="s">
        <v>1497</v>
      </c>
      <c r="G2893" s="33" t="s">
        <v>7062</v>
      </c>
      <c r="H2893" s="33" t="s">
        <v>7063</v>
      </c>
      <c r="I2893" s="33" t="s">
        <v>7064</v>
      </c>
      <c r="J2893" s="33">
        <v>142304</v>
      </c>
      <c r="K2893" s="33" t="s">
        <v>7366</v>
      </c>
      <c r="L2893" s="33" t="s">
        <v>7367</v>
      </c>
      <c r="M2893" s="33" t="s">
        <v>7368</v>
      </c>
      <c r="N2893" s="44">
        <v>42293523</v>
      </c>
      <c r="O2893" s="33" t="s">
        <v>7409</v>
      </c>
      <c r="P2893" s="33" t="s">
        <v>7410</v>
      </c>
      <c r="Q2893" s="34" t="s">
        <v>1494</v>
      </c>
      <c r="R2893" s="34" t="s">
        <v>1494</v>
      </c>
    </row>
    <row r="2894" spans="1:18" ht="15" customHeight="1" x14ac:dyDescent="0.25">
      <c r="A2894" t="str">
        <f>IFERROR(RANK(B2894,$B:$B,1)+COUNTIF($B$1:B2893,B2894),"")</f>
        <v/>
      </c>
      <c r="B2894" t="str">
        <f>IFERROR(SEARCH(#REF!,Table4[[#This Row],[Commodity Title]],1),"")</f>
        <v/>
      </c>
      <c r="C2894" s="35">
        <v>42293524</v>
      </c>
      <c r="D2894" s="33" t="s">
        <v>1495</v>
      </c>
      <c r="E2894" s="33" t="s">
        <v>1496</v>
      </c>
      <c r="F2894" s="33" t="s">
        <v>1497</v>
      </c>
      <c r="G2894" s="33" t="s">
        <v>7062</v>
      </c>
      <c r="H2894" s="33" t="s">
        <v>7063</v>
      </c>
      <c r="I2894" s="33" t="s">
        <v>7064</v>
      </c>
      <c r="J2894" s="33">
        <v>142305</v>
      </c>
      <c r="K2894" s="33" t="s">
        <v>7366</v>
      </c>
      <c r="L2894" s="33" t="s">
        <v>7367</v>
      </c>
      <c r="M2894" s="33" t="s">
        <v>7368</v>
      </c>
      <c r="N2894" s="44">
        <v>42293524</v>
      </c>
      <c r="O2894" s="33" t="s">
        <v>7411</v>
      </c>
      <c r="P2894" s="33" t="s">
        <v>7412</v>
      </c>
      <c r="Q2894" s="34" t="s">
        <v>1494</v>
      </c>
      <c r="R2894" s="34" t="s">
        <v>1494</v>
      </c>
    </row>
    <row r="2895" spans="1:18" ht="15" customHeight="1" x14ac:dyDescent="0.25">
      <c r="A2895" t="str">
        <f>IFERROR(RANK(B2895,$B:$B,1)+COUNTIF($B$1:B2894,B2895),"")</f>
        <v/>
      </c>
      <c r="B2895" t="str">
        <f>IFERROR(SEARCH(#REF!,Table4[[#This Row],[Commodity Title]],1),"")</f>
        <v/>
      </c>
      <c r="C2895" s="35">
        <v>42293525</v>
      </c>
      <c r="D2895" s="33" t="s">
        <v>1495</v>
      </c>
      <c r="E2895" s="33" t="s">
        <v>1496</v>
      </c>
      <c r="F2895" s="33" t="s">
        <v>1497</v>
      </c>
      <c r="G2895" s="33" t="s">
        <v>7062</v>
      </c>
      <c r="H2895" s="33" t="s">
        <v>7063</v>
      </c>
      <c r="I2895" s="33" t="s">
        <v>7064</v>
      </c>
      <c r="J2895" s="33">
        <v>203145</v>
      </c>
      <c r="K2895" s="33" t="s">
        <v>7366</v>
      </c>
      <c r="L2895" s="33" t="s">
        <v>7367</v>
      </c>
      <c r="M2895" s="33" t="s">
        <v>7368</v>
      </c>
      <c r="N2895" s="44">
        <v>42293525</v>
      </c>
      <c r="O2895" s="33" t="s">
        <v>7413</v>
      </c>
      <c r="P2895" s="33" t="s">
        <v>7414</v>
      </c>
      <c r="Q2895" s="34" t="s">
        <v>1494</v>
      </c>
      <c r="R2895" s="34" t="s">
        <v>1494</v>
      </c>
    </row>
    <row r="2896" spans="1:18" ht="15" customHeight="1" x14ac:dyDescent="0.25">
      <c r="A2896" t="str">
        <f>IFERROR(RANK(B2896,$B:$B,1)+COUNTIF($B$1:B2895,B2896),"")</f>
        <v/>
      </c>
      <c r="B2896" t="str">
        <f>IFERROR(SEARCH(#REF!,Table4[[#This Row],[Commodity Title]],1),"")</f>
        <v/>
      </c>
      <c r="C2896" s="35">
        <v>42293526</v>
      </c>
      <c r="D2896" s="33" t="s">
        <v>1495</v>
      </c>
      <c r="E2896" s="33" t="s">
        <v>1496</v>
      </c>
      <c r="F2896" s="33" t="s">
        <v>1497</v>
      </c>
      <c r="G2896" s="33" t="s">
        <v>7062</v>
      </c>
      <c r="H2896" s="33" t="s">
        <v>7063</v>
      </c>
      <c r="I2896" s="33" t="s">
        <v>7064</v>
      </c>
      <c r="J2896" s="33">
        <v>208432</v>
      </c>
      <c r="K2896" s="33" t="s">
        <v>7366</v>
      </c>
      <c r="L2896" s="33" t="s">
        <v>7367</v>
      </c>
      <c r="M2896" s="33" t="s">
        <v>7368</v>
      </c>
      <c r="N2896" s="44">
        <v>42293526</v>
      </c>
      <c r="O2896" s="33" t="s">
        <v>7415</v>
      </c>
      <c r="P2896" s="33" t="s">
        <v>7416</v>
      </c>
      <c r="Q2896" s="34" t="s">
        <v>1494</v>
      </c>
      <c r="R2896" s="34" t="s">
        <v>1494</v>
      </c>
    </row>
    <row r="2897" spans="1:18" ht="15" customHeight="1" x14ac:dyDescent="0.25">
      <c r="A2897" t="str">
        <f>IFERROR(RANK(B2897,$B:$B,1)+COUNTIF($B$1:B2896,B2897),"")</f>
        <v/>
      </c>
      <c r="B2897" t="str">
        <f>IFERROR(SEARCH(#REF!,Table4[[#This Row],[Commodity Title]],1),"")</f>
        <v/>
      </c>
      <c r="C2897" s="35">
        <v>42293527</v>
      </c>
      <c r="D2897" s="33" t="s">
        <v>1495</v>
      </c>
      <c r="E2897" s="33" t="s">
        <v>1496</v>
      </c>
      <c r="F2897" s="33" t="s">
        <v>1497</v>
      </c>
      <c r="G2897" s="33" t="s">
        <v>7062</v>
      </c>
      <c r="H2897" s="33" t="s">
        <v>7063</v>
      </c>
      <c r="I2897" s="33" t="s">
        <v>7064</v>
      </c>
      <c r="J2897" s="33">
        <v>208433</v>
      </c>
      <c r="K2897" s="33" t="s">
        <v>7366</v>
      </c>
      <c r="L2897" s="33" t="s">
        <v>7367</v>
      </c>
      <c r="M2897" s="33" t="s">
        <v>7368</v>
      </c>
      <c r="N2897" s="44">
        <v>42293527</v>
      </c>
      <c r="O2897" s="33" t="s">
        <v>7417</v>
      </c>
      <c r="P2897" s="33" t="s">
        <v>7418</v>
      </c>
      <c r="Q2897" s="34" t="s">
        <v>1494</v>
      </c>
      <c r="R2897" s="34" t="s">
        <v>1494</v>
      </c>
    </row>
    <row r="2898" spans="1:18" ht="15" customHeight="1" x14ac:dyDescent="0.25">
      <c r="A2898" t="str">
        <f>IFERROR(RANK(B2898,$B:$B,1)+COUNTIF($B$1:B2897,B2898),"")</f>
        <v/>
      </c>
      <c r="B2898" t="str">
        <f>IFERROR(SEARCH(#REF!,Table4[[#This Row],[Commodity Title]],1),"")</f>
        <v/>
      </c>
      <c r="C2898" s="33" t="s">
        <v>1494</v>
      </c>
      <c r="D2898" s="33" t="s">
        <v>1495</v>
      </c>
      <c r="E2898" s="33" t="s">
        <v>1496</v>
      </c>
      <c r="F2898" s="33" t="s">
        <v>1497</v>
      </c>
      <c r="G2898" s="33" t="s">
        <v>7062</v>
      </c>
      <c r="H2898" s="33" t="s">
        <v>7063</v>
      </c>
      <c r="I2898" s="33" t="s">
        <v>7064</v>
      </c>
      <c r="J2898" s="33">
        <v>116249</v>
      </c>
      <c r="K2898" s="33" t="s">
        <v>7419</v>
      </c>
      <c r="L2898" s="33" t="s">
        <v>7420</v>
      </c>
      <c r="M2898" s="33" t="s">
        <v>7421</v>
      </c>
      <c r="N2898" s="44" t="s">
        <v>1494</v>
      </c>
      <c r="O2898" s="33" t="s">
        <v>1494</v>
      </c>
      <c r="P2898" s="33" t="s">
        <v>1494</v>
      </c>
      <c r="Q2898" s="34" t="s">
        <v>1494</v>
      </c>
      <c r="R2898" s="34" t="s">
        <v>1494</v>
      </c>
    </row>
    <row r="2899" spans="1:18" ht="15" customHeight="1" x14ac:dyDescent="0.25">
      <c r="A2899" t="str">
        <f>IFERROR(RANK(B2899,$B:$B,1)+COUNTIF($B$1:B2898,B2899),"")</f>
        <v/>
      </c>
      <c r="B2899" t="str">
        <f>IFERROR(SEARCH(#REF!,Table4[[#This Row],[Commodity Title]],1),"")</f>
        <v/>
      </c>
      <c r="C2899" s="35">
        <v>42293601</v>
      </c>
      <c r="D2899" s="33" t="s">
        <v>1495</v>
      </c>
      <c r="E2899" s="33" t="s">
        <v>1496</v>
      </c>
      <c r="F2899" s="33" t="s">
        <v>1497</v>
      </c>
      <c r="G2899" s="33" t="s">
        <v>7062</v>
      </c>
      <c r="H2899" s="33" t="s">
        <v>7063</v>
      </c>
      <c r="I2899" s="33" t="s">
        <v>7064</v>
      </c>
      <c r="J2899" s="33">
        <v>116250</v>
      </c>
      <c r="K2899" s="33" t="s">
        <v>7419</v>
      </c>
      <c r="L2899" s="33" t="s">
        <v>7420</v>
      </c>
      <c r="M2899" s="33" t="s">
        <v>7421</v>
      </c>
      <c r="N2899" s="44">
        <v>42293601</v>
      </c>
      <c r="O2899" s="33" t="s">
        <v>7422</v>
      </c>
      <c r="P2899" s="33" t="s">
        <v>7423</v>
      </c>
      <c r="Q2899" s="34" t="s">
        <v>1494</v>
      </c>
      <c r="R2899" s="34" t="s">
        <v>1494</v>
      </c>
    </row>
    <row r="2900" spans="1:18" ht="15" customHeight="1" x14ac:dyDescent="0.25">
      <c r="A2900" t="str">
        <f>IFERROR(RANK(B2900,$B:$B,1)+COUNTIF($B$1:B2899,B2900),"")</f>
        <v/>
      </c>
      <c r="B2900" t="str">
        <f>IFERROR(SEARCH(#REF!,Table4[[#This Row],[Commodity Title]],1),"")</f>
        <v/>
      </c>
      <c r="C2900" s="35">
        <v>42293603</v>
      </c>
      <c r="D2900" s="33" t="s">
        <v>1495</v>
      </c>
      <c r="E2900" s="33" t="s">
        <v>1496</v>
      </c>
      <c r="F2900" s="33" t="s">
        <v>1497</v>
      </c>
      <c r="G2900" s="33" t="s">
        <v>7062</v>
      </c>
      <c r="H2900" s="33" t="s">
        <v>7063</v>
      </c>
      <c r="I2900" s="33" t="s">
        <v>7064</v>
      </c>
      <c r="J2900" s="33">
        <v>116252</v>
      </c>
      <c r="K2900" s="33" t="s">
        <v>7419</v>
      </c>
      <c r="L2900" s="33" t="s">
        <v>7420</v>
      </c>
      <c r="M2900" s="33" t="s">
        <v>7421</v>
      </c>
      <c r="N2900" s="44">
        <v>42293603</v>
      </c>
      <c r="O2900" s="33" t="s">
        <v>7424</v>
      </c>
      <c r="P2900" s="33" t="s">
        <v>7425</v>
      </c>
      <c r="Q2900" s="34" t="s">
        <v>1494</v>
      </c>
      <c r="R2900" s="34" t="s">
        <v>1494</v>
      </c>
    </row>
    <row r="2901" spans="1:18" ht="15" customHeight="1" x14ac:dyDescent="0.25">
      <c r="A2901" t="str">
        <f>IFERROR(RANK(B2901,$B:$B,1)+COUNTIF($B$1:B2900,B2901),"")</f>
        <v/>
      </c>
      <c r="B2901" t="str">
        <f>IFERROR(SEARCH(#REF!,Table4[[#This Row],[Commodity Title]],1),"")</f>
        <v/>
      </c>
      <c r="C2901" s="35">
        <v>42293604</v>
      </c>
      <c r="D2901" s="33" t="s">
        <v>1495</v>
      </c>
      <c r="E2901" s="33" t="s">
        <v>1496</v>
      </c>
      <c r="F2901" s="33" t="s">
        <v>1497</v>
      </c>
      <c r="G2901" s="33" t="s">
        <v>7062</v>
      </c>
      <c r="H2901" s="33" t="s">
        <v>7063</v>
      </c>
      <c r="I2901" s="33" t="s">
        <v>7064</v>
      </c>
      <c r="J2901" s="33">
        <v>203146</v>
      </c>
      <c r="K2901" s="33" t="s">
        <v>7419</v>
      </c>
      <c r="L2901" s="33" t="s">
        <v>7420</v>
      </c>
      <c r="M2901" s="33" t="s">
        <v>7421</v>
      </c>
      <c r="N2901" s="44">
        <v>42293604</v>
      </c>
      <c r="O2901" s="33" t="s">
        <v>7426</v>
      </c>
      <c r="P2901" s="33" t="s">
        <v>7427</v>
      </c>
      <c r="Q2901" s="34" t="s">
        <v>1494</v>
      </c>
      <c r="R2901" s="34" t="s">
        <v>1494</v>
      </c>
    </row>
    <row r="2902" spans="1:18" ht="15" customHeight="1" x14ac:dyDescent="0.25">
      <c r="A2902" t="str">
        <f>IFERROR(RANK(B2902,$B:$B,1)+COUNTIF($B$1:B2901,B2902),"")</f>
        <v/>
      </c>
      <c r="B2902" t="str">
        <f>IFERROR(SEARCH(#REF!,Table4[[#This Row],[Commodity Title]],1),"")</f>
        <v/>
      </c>
      <c r="C2902" s="35">
        <v>42293605</v>
      </c>
      <c r="D2902" s="33" t="s">
        <v>1495</v>
      </c>
      <c r="E2902" s="33" t="s">
        <v>1496</v>
      </c>
      <c r="F2902" s="33" t="s">
        <v>1497</v>
      </c>
      <c r="G2902" s="33" t="s">
        <v>7062</v>
      </c>
      <c r="H2902" s="33" t="s">
        <v>7063</v>
      </c>
      <c r="I2902" s="33" t="s">
        <v>7064</v>
      </c>
      <c r="J2902" s="33">
        <v>142330</v>
      </c>
      <c r="K2902" s="33" t="s">
        <v>7419</v>
      </c>
      <c r="L2902" s="33" t="s">
        <v>7420</v>
      </c>
      <c r="M2902" s="33" t="s">
        <v>7421</v>
      </c>
      <c r="N2902" s="44">
        <v>42293605</v>
      </c>
      <c r="O2902" s="33" t="s">
        <v>7428</v>
      </c>
      <c r="P2902" s="33" t="s">
        <v>7429</v>
      </c>
      <c r="Q2902" s="34" t="s">
        <v>1494</v>
      </c>
      <c r="R2902" s="34" t="s">
        <v>1494</v>
      </c>
    </row>
    <row r="2903" spans="1:18" ht="15" customHeight="1" x14ac:dyDescent="0.25">
      <c r="A2903" t="str">
        <f>IFERROR(RANK(B2903,$B:$B,1)+COUNTIF($B$1:B2902,B2903),"")</f>
        <v/>
      </c>
      <c r="B2903" t="str">
        <f>IFERROR(SEARCH(#REF!,Table4[[#This Row],[Commodity Title]],1),"")</f>
        <v/>
      </c>
      <c r="C2903" s="33" t="s">
        <v>1494</v>
      </c>
      <c r="D2903" s="33" t="s">
        <v>1495</v>
      </c>
      <c r="E2903" s="33" t="s">
        <v>1496</v>
      </c>
      <c r="F2903" s="33" t="s">
        <v>1497</v>
      </c>
      <c r="G2903" s="33" t="s">
        <v>7062</v>
      </c>
      <c r="H2903" s="33" t="s">
        <v>7063</v>
      </c>
      <c r="I2903" s="33" t="s">
        <v>7064</v>
      </c>
      <c r="J2903" s="33">
        <v>116253</v>
      </c>
      <c r="K2903" s="33" t="s">
        <v>7430</v>
      </c>
      <c r="L2903" s="33" t="s">
        <v>7431</v>
      </c>
      <c r="M2903" s="33" t="s">
        <v>7432</v>
      </c>
      <c r="N2903" s="44" t="s">
        <v>1494</v>
      </c>
      <c r="O2903" s="33" t="s">
        <v>1494</v>
      </c>
      <c r="P2903" s="33" t="s">
        <v>1494</v>
      </c>
      <c r="Q2903" s="34" t="s">
        <v>1494</v>
      </c>
      <c r="R2903" s="34" t="s">
        <v>1494</v>
      </c>
    </row>
    <row r="2904" spans="1:18" ht="15" customHeight="1" x14ac:dyDescent="0.25">
      <c r="A2904" t="str">
        <f>IFERROR(RANK(B2904,$B:$B,1)+COUNTIF($B$1:B2903,B2904),"")</f>
        <v/>
      </c>
      <c r="B2904" t="str">
        <f>IFERROR(SEARCH(#REF!,Table4[[#This Row],[Commodity Title]],1),"")</f>
        <v/>
      </c>
      <c r="C2904" s="35">
        <v>42293701</v>
      </c>
      <c r="D2904" s="33" t="s">
        <v>1495</v>
      </c>
      <c r="E2904" s="33" t="s">
        <v>1496</v>
      </c>
      <c r="F2904" s="33" t="s">
        <v>1497</v>
      </c>
      <c r="G2904" s="33" t="s">
        <v>7062</v>
      </c>
      <c r="H2904" s="33" t="s">
        <v>7063</v>
      </c>
      <c r="I2904" s="33" t="s">
        <v>7064</v>
      </c>
      <c r="J2904" s="33">
        <v>116254</v>
      </c>
      <c r="K2904" s="33" t="s">
        <v>7430</v>
      </c>
      <c r="L2904" s="33" t="s">
        <v>7431</v>
      </c>
      <c r="M2904" s="33" t="s">
        <v>7432</v>
      </c>
      <c r="N2904" s="44">
        <v>42293701</v>
      </c>
      <c r="O2904" s="33" t="s">
        <v>7433</v>
      </c>
      <c r="P2904" s="33" t="s">
        <v>7434</v>
      </c>
      <c r="Q2904" s="34" t="s">
        <v>1494</v>
      </c>
      <c r="R2904" s="34" t="s">
        <v>1494</v>
      </c>
    </row>
    <row r="2905" spans="1:18" ht="15" customHeight="1" x14ac:dyDescent="0.25">
      <c r="A2905" t="str">
        <f>IFERROR(RANK(B2905,$B:$B,1)+COUNTIF($B$1:B2904,B2905),"")</f>
        <v/>
      </c>
      <c r="B2905" t="str">
        <f>IFERROR(SEARCH(#REF!,Table4[[#This Row],[Commodity Title]],1),"")</f>
        <v/>
      </c>
      <c r="C2905" s="35">
        <v>42293702</v>
      </c>
      <c r="D2905" s="33" t="s">
        <v>1495</v>
      </c>
      <c r="E2905" s="33" t="s">
        <v>1496</v>
      </c>
      <c r="F2905" s="33" t="s">
        <v>1497</v>
      </c>
      <c r="G2905" s="33" t="s">
        <v>7062</v>
      </c>
      <c r="H2905" s="33" t="s">
        <v>7063</v>
      </c>
      <c r="I2905" s="33" t="s">
        <v>7064</v>
      </c>
      <c r="J2905" s="33">
        <v>116255</v>
      </c>
      <c r="K2905" s="33" t="s">
        <v>7430</v>
      </c>
      <c r="L2905" s="33" t="s">
        <v>7431</v>
      </c>
      <c r="M2905" s="33" t="s">
        <v>7432</v>
      </c>
      <c r="N2905" s="44">
        <v>42293702</v>
      </c>
      <c r="O2905" s="33" t="s">
        <v>7435</v>
      </c>
      <c r="P2905" s="33" t="s">
        <v>7436</v>
      </c>
      <c r="Q2905" s="34" t="s">
        <v>1494</v>
      </c>
      <c r="R2905" s="34" t="s">
        <v>1494</v>
      </c>
    </row>
    <row r="2906" spans="1:18" ht="15" customHeight="1" x14ac:dyDescent="0.25">
      <c r="A2906" t="str">
        <f>IFERROR(RANK(B2906,$B:$B,1)+COUNTIF($B$1:B2905,B2906),"")</f>
        <v/>
      </c>
      <c r="B2906" t="str">
        <f>IFERROR(SEARCH(#REF!,Table4[[#This Row],[Commodity Title]],1),"")</f>
        <v/>
      </c>
      <c r="C2906" s="35">
        <v>42293703</v>
      </c>
      <c r="D2906" s="33" t="s">
        <v>1495</v>
      </c>
      <c r="E2906" s="33" t="s">
        <v>1496</v>
      </c>
      <c r="F2906" s="33" t="s">
        <v>1497</v>
      </c>
      <c r="G2906" s="33" t="s">
        <v>7062</v>
      </c>
      <c r="H2906" s="33" t="s">
        <v>7063</v>
      </c>
      <c r="I2906" s="33" t="s">
        <v>7064</v>
      </c>
      <c r="J2906" s="33">
        <v>116256</v>
      </c>
      <c r="K2906" s="33" t="s">
        <v>7430</v>
      </c>
      <c r="L2906" s="33" t="s">
        <v>7431</v>
      </c>
      <c r="M2906" s="33" t="s">
        <v>7432</v>
      </c>
      <c r="N2906" s="44">
        <v>42293703</v>
      </c>
      <c r="O2906" s="33" t="s">
        <v>7437</v>
      </c>
      <c r="P2906" s="33" t="s">
        <v>7438</v>
      </c>
      <c r="Q2906" s="34" t="s">
        <v>1494</v>
      </c>
      <c r="R2906" s="34" t="s">
        <v>1494</v>
      </c>
    </row>
    <row r="2907" spans="1:18" ht="15" customHeight="1" x14ac:dyDescent="0.25">
      <c r="A2907" t="str">
        <f>IFERROR(RANK(B2907,$B:$B,1)+COUNTIF($B$1:B2906,B2907),"")</f>
        <v/>
      </c>
      <c r="B2907" t="str">
        <f>IFERROR(SEARCH(#REF!,Table4[[#This Row],[Commodity Title]],1),"")</f>
        <v/>
      </c>
      <c r="C2907" s="33" t="s">
        <v>1494</v>
      </c>
      <c r="D2907" s="33" t="s">
        <v>1495</v>
      </c>
      <c r="E2907" s="33" t="s">
        <v>1496</v>
      </c>
      <c r="F2907" s="33" t="s">
        <v>1497</v>
      </c>
      <c r="G2907" s="33" t="s">
        <v>7062</v>
      </c>
      <c r="H2907" s="33" t="s">
        <v>7063</v>
      </c>
      <c r="I2907" s="33" t="s">
        <v>7064</v>
      </c>
      <c r="J2907" s="33">
        <v>116257</v>
      </c>
      <c r="K2907" s="33" t="s">
        <v>7439</v>
      </c>
      <c r="L2907" s="33" t="s">
        <v>7440</v>
      </c>
      <c r="M2907" s="33" t="s">
        <v>7441</v>
      </c>
      <c r="N2907" s="44" t="s">
        <v>1494</v>
      </c>
      <c r="O2907" s="33" t="s">
        <v>1494</v>
      </c>
      <c r="P2907" s="33" t="s">
        <v>1494</v>
      </c>
      <c r="Q2907" s="34" t="s">
        <v>1494</v>
      </c>
      <c r="R2907" s="34" t="s">
        <v>1494</v>
      </c>
    </row>
    <row r="2908" spans="1:18" ht="15" customHeight="1" x14ac:dyDescent="0.25">
      <c r="A2908" t="str">
        <f>IFERROR(RANK(B2908,$B:$B,1)+COUNTIF($B$1:B2907,B2908),"")</f>
        <v/>
      </c>
      <c r="B2908" t="str">
        <f>IFERROR(SEARCH(#REF!,Table4[[#This Row],[Commodity Title]],1),"")</f>
        <v/>
      </c>
      <c r="C2908" s="35">
        <v>42293801</v>
      </c>
      <c r="D2908" s="33" t="s">
        <v>1495</v>
      </c>
      <c r="E2908" s="33" t="s">
        <v>1496</v>
      </c>
      <c r="F2908" s="33" t="s">
        <v>1497</v>
      </c>
      <c r="G2908" s="33" t="s">
        <v>7062</v>
      </c>
      <c r="H2908" s="33" t="s">
        <v>7063</v>
      </c>
      <c r="I2908" s="33" t="s">
        <v>7064</v>
      </c>
      <c r="J2908" s="33">
        <v>116258</v>
      </c>
      <c r="K2908" s="33" t="s">
        <v>7439</v>
      </c>
      <c r="L2908" s="33" t="s">
        <v>7440</v>
      </c>
      <c r="M2908" s="33" t="s">
        <v>7441</v>
      </c>
      <c r="N2908" s="44">
        <v>42293801</v>
      </c>
      <c r="O2908" s="33" t="s">
        <v>7442</v>
      </c>
      <c r="P2908" s="33" t="s">
        <v>7443</v>
      </c>
      <c r="Q2908" s="34" t="s">
        <v>1494</v>
      </c>
      <c r="R2908" s="34" t="s">
        <v>1494</v>
      </c>
    </row>
    <row r="2909" spans="1:18" ht="15" customHeight="1" x14ac:dyDescent="0.25">
      <c r="A2909" t="str">
        <f>IFERROR(RANK(B2909,$B:$B,1)+COUNTIF($B$1:B2908,B2909),"")</f>
        <v/>
      </c>
      <c r="B2909" t="str">
        <f>IFERROR(SEARCH(#REF!,Table4[[#This Row],[Commodity Title]],1),"")</f>
        <v/>
      </c>
      <c r="C2909" s="35">
        <v>42293802</v>
      </c>
      <c r="D2909" s="33" t="s">
        <v>1495</v>
      </c>
      <c r="E2909" s="33" t="s">
        <v>1496</v>
      </c>
      <c r="F2909" s="33" t="s">
        <v>1497</v>
      </c>
      <c r="G2909" s="33" t="s">
        <v>7062</v>
      </c>
      <c r="H2909" s="33" t="s">
        <v>7063</v>
      </c>
      <c r="I2909" s="33" t="s">
        <v>7064</v>
      </c>
      <c r="J2909" s="33">
        <v>116259</v>
      </c>
      <c r="K2909" s="33" t="s">
        <v>7439</v>
      </c>
      <c r="L2909" s="33" t="s">
        <v>7440</v>
      </c>
      <c r="M2909" s="33" t="s">
        <v>7441</v>
      </c>
      <c r="N2909" s="44">
        <v>42293802</v>
      </c>
      <c r="O2909" s="33" t="s">
        <v>7444</v>
      </c>
      <c r="P2909" s="33" t="s">
        <v>7445</v>
      </c>
      <c r="Q2909" s="34" t="s">
        <v>1494</v>
      </c>
      <c r="R2909" s="34" t="s">
        <v>1494</v>
      </c>
    </row>
    <row r="2910" spans="1:18" ht="15" customHeight="1" x14ac:dyDescent="0.25">
      <c r="A2910" t="str">
        <f>IFERROR(RANK(B2910,$B:$B,1)+COUNTIF($B$1:B2909,B2910),"")</f>
        <v/>
      </c>
      <c r="B2910" t="str">
        <f>IFERROR(SEARCH(#REF!,Table4[[#This Row],[Commodity Title]],1),"")</f>
        <v/>
      </c>
      <c r="C2910" s="35">
        <v>42293803</v>
      </c>
      <c r="D2910" s="33" t="s">
        <v>1495</v>
      </c>
      <c r="E2910" s="33" t="s">
        <v>1496</v>
      </c>
      <c r="F2910" s="33" t="s">
        <v>1497</v>
      </c>
      <c r="G2910" s="33" t="s">
        <v>7062</v>
      </c>
      <c r="H2910" s="33" t="s">
        <v>7063</v>
      </c>
      <c r="I2910" s="33" t="s">
        <v>7064</v>
      </c>
      <c r="J2910" s="33">
        <v>116260</v>
      </c>
      <c r="K2910" s="33" t="s">
        <v>7439</v>
      </c>
      <c r="L2910" s="33" t="s">
        <v>7440</v>
      </c>
      <c r="M2910" s="33" t="s">
        <v>7441</v>
      </c>
      <c r="N2910" s="44">
        <v>42293803</v>
      </c>
      <c r="O2910" s="33" t="s">
        <v>7446</v>
      </c>
      <c r="P2910" s="33" t="s">
        <v>7447</v>
      </c>
      <c r="Q2910" s="34" t="s">
        <v>1494</v>
      </c>
      <c r="R2910" s="34" t="s">
        <v>1494</v>
      </c>
    </row>
    <row r="2911" spans="1:18" ht="15" customHeight="1" x14ac:dyDescent="0.25">
      <c r="A2911" t="str">
        <f>IFERROR(RANK(B2911,$B:$B,1)+COUNTIF($B$1:B2910,B2911),"")</f>
        <v/>
      </c>
      <c r="B2911" t="str">
        <f>IFERROR(SEARCH(#REF!,Table4[[#This Row],[Commodity Title]],1),"")</f>
        <v/>
      </c>
      <c r="C2911" s="35">
        <v>42293804</v>
      </c>
      <c r="D2911" s="33" t="s">
        <v>1495</v>
      </c>
      <c r="E2911" s="33" t="s">
        <v>1496</v>
      </c>
      <c r="F2911" s="33" t="s">
        <v>1497</v>
      </c>
      <c r="G2911" s="33" t="s">
        <v>7062</v>
      </c>
      <c r="H2911" s="33" t="s">
        <v>7063</v>
      </c>
      <c r="I2911" s="33" t="s">
        <v>7064</v>
      </c>
      <c r="J2911" s="33">
        <v>116261</v>
      </c>
      <c r="K2911" s="33" t="s">
        <v>7439</v>
      </c>
      <c r="L2911" s="33" t="s">
        <v>7440</v>
      </c>
      <c r="M2911" s="33" t="s">
        <v>7441</v>
      </c>
      <c r="N2911" s="44">
        <v>42293804</v>
      </c>
      <c r="O2911" s="33" t="s">
        <v>7448</v>
      </c>
      <c r="P2911" s="33" t="s">
        <v>7449</v>
      </c>
      <c r="Q2911" s="34" t="s">
        <v>1494</v>
      </c>
      <c r="R2911" s="34" t="s">
        <v>1494</v>
      </c>
    </row>
    <row r="2912" spans="1:18" ht="15" customHeight="1" x14ac:dyDescent="0.25">
      <c r="A2912" t="str">
        <f>IFERROR(RANK(B2912,$B:$B,1)+COUNTIF($B$1:B2911,B2912),"")</f>
        <v/>
      </c>
      <c r="B2912" t="str">
        <f>IFERROR(SEARCH(#REF!,Table4[[#This Row],[Commodity Title]],1),"")</f>
        <v/>
      </c>
      <c r="C2912" s="35">
        <v>42293805</v>
      </c>
      <c r="D2912" s="33" t="s">
        <v>1495</v>
      </c>
      <c r="E2912" s="33" t="s">
        <v>1496</v>
      </c>
      <c r="F2912" s="33" t="s">
        <v>1497</v>
      </c>
      <c r="G2912" s="33" t="s">
        <v>7062</v>
      </c>
      <c r="H2912" s="33" t="s">
        <v>7063</v>
      </c>
      <c r="I2912" s="33" t="s">
        <v>7064</v>
      </c>
      <c r="J2912" s="33">
        <v>203147</v>
      </c>
      <c r="K2912" s="33" t="s">
        <v>7439</v>
      </c>
      <c r="L2912" s="33" t="s">
        <v>7440</v>
      </c>
      <c r="M2912" s="33" t="s">
        <v>7441</v>
      </c>
      <c r="N2912" s="44">
        <v>42293805</v>
      </c>
      <c r="O2912" s="33" t="s">
        <v>7450</v>
      </c>
      <c r="P2912" s="33" t="s">
        <v>7451</v>
      </c>
      <c r="Q2912" s="34" t="s">
        <v>1494</v>
      </c>
      <c r="R2912" s="34" t="s">
        <v>1494</v>
      </c>
    </row>
    <row r="2913" spans="1:18" ht="15" customHeight="1" x14ac:dyDescent="0.25">
      <c r="A2913" t="str">
        <f>IFERROR(RANK(B2913,$B:$B,1)+COUNTIF($B$1:B2912,B2913),"")</f>
        <v/>
      </c>
      <c r="B2913" t="str">
        <f>IFERROR(SEARCH(#REF!,Table4[[#This Row],[Commodity Title]],1),"")</f>
        <v/>
      </c>
      <c r="C2913" s="35">
        <v>42293806</v>
      </c>
      <c r="D2913" s="33" t="s">
        <v>1495</v>
      </c>
      <c r="E2913" s="33" t="s">
        <v>1496</v>
      </c>
      <c r="F2913" s="33" t="s">
        <v>1497</v>
      </c>
      <c r="G2913" s="33" t="s">
        <v>7062</v>
      </c>
      <c r="H2913" s="33" t="s">
        <v>7063</v>
      </c>
      <c r="I2913" s="33" t="s">
        <v>7064</v>
      </c>
      <c r="J2913" s="33">
        <v>203148</v>
      </c>
      <c r="K2913" s="33" t="s">
        <v>7439</v>
      </c>
      <c r="L2913" s="33" t="s">
        <v>7440</v>
      </c>
      <c r="M2913" s="33" t="s">
        <v>7441</v>
      </c>
      <c r="N2913" s="44">
        <v>42293806</v>
      </c>
      <c r="O2913" s="33" t="s">
        <v>7452</v>
      </c>
      <c r="P2913" s="33" t="s">
        <v>7453</v>
      </c>
      <c r="Q2913" s="34" t="s">
        <v>1494</v>
      </c>
      <c r="R2913" s="34" t="s">
        <v>1494</v>
      </c>
    </row>
    <row r="2914" spans="1:18" ht="15" customHeight="1" x14ac:dyDescent="0.25">
      <c r="A2914" t="str">
        <f>IFERROR(RANK(B2914,$B:$B,1)+COUNTIF($B$1:B2913,B2914),"")</f>
        <v/>
      </c>
      <c r="B2914" t="str">
        <f>IFERROR(SEARCH(#REF!,Table4[[#This Row],[Commodity Title]],1),"")</f>
        <v/>
      </c>
      <c r="C2914" s="35">
        <v>42293807</v>
      </c>
      <c r="D2914" s="33" t="s">
        <v>1495</v>
      </c>
      <c r="E2914" s="33" t="s">
        <v>1496</v>
      </c>
      <c r="F2914" s="33" t="s">
        <v>1497</v>
      </c>
      <c r="G2914" s="33" t="s">
        <v>7062</v>
      </c>
      <c r="H2914" s="33" t="s">
        <v>7063</v>
      </c>
      <c r="I2914" s="33" t="s">
        <v>7064</v>
      </c>
      <c r="J2914" s="33">
        <v>203149</v>
      </c>
      <c r="K2914" s="33" t="s">
        <v>7439</v>
      </c>
      <c r="L2914" s="33" t="s">
        <v>7440</v>
      </c>
      <c r="M2914" s="33" t="s">
        <v>7441</v>
      </c>
      <c r="N2914" s="44">
        <v>42293807</v>
      </c>
      <c r="O2914" s="33" t="s">
        <v>7454</v>
      </c>
      <c r="P2914" s="33" t="s">
        <v>7455</v>
      </c>
      <c r="Q2914" s="34" t="s">
        <v>1494</v>
      </c>
      <c r="R2914" s="34" t="s">
        <v>1494</v>
      </c>
    </row>
    <row r="2915" spans="1:18" ht="15" customHeight="1" x14ac:dyDescent="0.25">
      <c r="A2915" t="str">
        <f>IFERROR(RANK(B2915,$B:$B,1)+COUNTIF($B$1:B2914,B2915),"")</f>
        <v/>
      </c>
      <c r="B2915" t="str">
        <f>IFERROR(SEARCH(#REF!,Table4[[#This Row],[Commodity Title]],1),"")</f>
        <v/>
      </c>
      <c r="C2915" s="33" t="s">
        <v>1494</v>
      </c>
      <c r="D2915" s="33" t="s">
        <v>1495</v>
      </c>
      <c r="E2915" s="33" t="s">
        <v>1496</v>
      </c>
      <c r="F2915" s="33" t="s">
        <v>1497</v>
      </c>
      <c r="G2915" s="33" t="s">
        <v>7062</v>
      </c>
      <c r="H2915" s="33" t="s">
        <v>7063</v>
      </c>
      <c r="I2915" s="33" t="s">
        <v>7064</v>
      </c>
      <c r="J2915" s="33">
        <v>116262</v>
      </c>
      <c r="K2915" s="33" t="s">
        <v>7456</v>
      </c>
      <c r="L2915" s="33" t="s">
        <v>7457</v>
      </c>
      <c r="M2915" s="33" t="s">
        <v>7458</v>
      </c>
      <c r="N2915" s="44" t="s">
        <v>1494</v>
      </c>
      <c r="O2915" s="33" t="s">
        <v>1494</v>
      </c>
      <c r="P2915" s="33" t="s">
        <v>1494</v>
      </c>
      <c r="Q2915" s="34" t="s">
        <v>1494</v>
      </c>
      <c r="R2915" s="34" t="s">
        <v>1494</v>
      </c>
    </row>
    <row r="2916" spans="1:18" ht="15" customHeight="1" x14ac:dyDescent="0.25">
      <c r="A2916" t="str">
        <f>IFERROR(RANK(B2916,$B:$B,1)+COUNTIF($B$1:B2915,B2916),"")</f>
        <v/>
      </c>
      <c r="B2916" t="str">
        <f>IFERROR(SEARCH(#REF!,Table4[[#This Row],[Commodity Title]],1),"")</f>
        <v/>
      </c>
      <c r="C2916" s="35">
        <v>42293901</v>
      </c>
      <c r="D2916" s="33" t="s">
        <v>1495</v>
      </c>
      <c r="E2916" s="33" t="s">
        <v>1496</v>
      </c>
      <c r="F2916" s="33" t="s">
        <v>1497</v>
      </c>
      <c r="G2916" s="33" t="s">
        <v>7062</v>
      </c>
      <c r="H2916" s="33" t="s">
        <v>7063</v>
      </c>
      <c r="I2916" s="33" t="s">
        <v>7064</v>
      </c>
      <c r="J2916" s="33">
        <v>116263</v>
      </c>
      <c r="K2916" s="33" t="s">
        <v>7456</v>
      </c>
      <c r="L2916" s="33" t="s">
        <v>7457</v>
      </c>
      <c r="M2916" s="33" t="s">
        <v>7458</v>
      </c>
      <c r="N2916" s="44">
        <v>42293901</v>
      </c>
      <c r="O2916" s="33" t="s">
        <v>7459</v>
      </c>
      <c r="P2916" s="33" t="s">
        <v>7460</v>
      </c>
      <c r="Q2916" s="34" t="s">
        <v>1494</v>
      </c>
      <c r="R2916" s="34" t="s">
        <v>1494</v>
      </c>
    </row>
    <row r="2917" spans="1:18" ht="15" customHeight="1" x14ac:dyDescent="0.25">
      <c r="A2917" t="str">
        <f>IFERROR(RANK(B2917,$B:$B,1)+COUNTIF($B$1:B2916,B2917),"")</f>
        <v/>
      </c>
      <c r="B2917" t="str">
        <f>IFERROR(SEARCH(#REF!,Table4[[#This Row],[Commodity Title]],1),"")</f>
        <v/>
      </c>
      <c r="C2917" s="35">
        <v>42293902</v>
      </c>
      <c r="D2917" s="33" t="s">
        <v>1495</v>
      </c>
      <c r="E2917" s="33" t="s">
        <v>1496</v>
      </c>
      <c r="F2917" s="33" t="s">
        <v>1497</v>
      </c>
      <c r="G2917" s="33" t="s">
        <v>7062</v>
      </c>
      <c r="H2917" s="33" t="s">
        <v>7063</v>
      </c>
      <c r="I2917" s="33" t="s">
        <v>7064</v>
      </c>
      <c r="J2917" s="33">
        <v>116264</v>
      </c>
      <c r="K2917" s="33" t="s">
        <v>7456</v>
      </c>
      <c r="L2917" s="33" t="s">
        <v>7457</v>
      </c>
      <c r="M2917" s="33" t="s">
        <v>7458</v>
      </c>
      <c r="N2917" s="44">
        <v>42293902</v>
      </c>
      <c r="O2917" s="33" t="s">
        <v>7461</v>
      </c>
      <c r="P2917" s="33" t="s">
        <v>7462</v>
      </c>
      <c r="Q2917" s="34" t="s">
        <v>1494</v>
      </c>
      <c r="R2917" s="34" t="s">
        <v>1494</v>
      </c>
    </row>
    <row r="2918" spans="1:18" ht="15" customHeight="1" x14ac:dyDescent="0.25">
      <c r="A2918" t="str">
        <f>IFERROR(RANK(B2918,$B:$B,1)+COUNTIF($B$1:B2917,B2918),"")</f>
        <v/>
      </c>
      <c r="B2918" t="str">
        <f>IFERROR(SEARCH(#REF!,Table4[[#This Row],[Commodity Title]],1),"")</f>
        <v/>
      </c>
      <c r="C2918" s="33" t="s">
        <v>1494</v>
      </c>
      <c r="D2918" s="33" t="s">
        <v>1495</v>
      </c>
      <c r="E2918" s="33" t="s">
        <v>1496</v>
      </c>
      <c r="F2918" s="33" t="s">
        <v>1497</v>
      </c>
      <c r="G2918" s="33" t="s">
        <v>7062</v>
      </c>
      <c r="H2918" s="33" t="s">
        <v>7063</v>
      </c>
      <c r="I2918" s="33" t="s">
        <v>7064</v>
      </c>
      <c r="J2918" s="33">
        <v>116265</v>
      </c>
      <c r="K2918" s="33" t="s">
        <v>7463</v>
      </c>
      <c r="L2918" s="33" t="s">
        <v>7464</v>
      </c>
      <c r="M2918" s="33" t="s">
        <v>7465</v>
      </c>
      <c r="N2918" s="44" t="s">
        <v>1494</v>
      </c>
      <c r="O2918" s="33" t="s">
        <v>1494</v>
      </c>
      <c r="P2918" s="33" t="s">
        <v>1494</v>
      </c>
      <c r="Q2918" s="34" t="s">
        <v>1494</v>
      </c>
      <c r="R2918" s="34" t="s">
        <v>1494</v>
      </c>
    </row>
    <row r="2919" spans="1:18" ht="15" customHeight="1" x14ac:dyDescent="0.25">
      <c r="A2919" t="str">
        <f>IFERROR(RANK(B2919,$B:$B,1)+COUNTIF($B$1:B2918,B2919),"")</f>
        <v/>
      </c>
      <c r="B2919" t="str">
        <f>IFERROR(SEARCH(#REF!,Table4[[#This Row],[Commodity Title]],1),"")</f>
        <v/>
      </c>
      <c r="C2919" s="35">
        <v>42294001</v>
      </c>
      <c r="D2919" s="33" t="s">
        <v>1495</v>
      </c>
      <c r="E2919" s="33" t="s">
        <v>1496</v>
      </c>
      <c r="F2919" s="33" t="s">
        <v>1497</v>
      </c>
      <c r="G2919" s="33" t="s">
        <v>7062</v>
      </c>
      <c r="H2919" s="33" t="s">
        <v>7063</v>
      </c>
      <c r="I2919" s="33" t="s">
        <v>7064</v>
      </c>
      <c r="J2919" s="33">
        <v>116266</v>
      </c>
      <c r="K2919" s="33" t="s">
        <v>7463</v>
      </c>
      <c r="L2919" s="33" t="s">
        <v>7464</v>
      </c>
      <c r="M2919" s="33" t="s">
        <v>7465</v>
      </c>
      <c r="N2919" s="44">
        <v>42294001</v>
      </c>
      <c r="O2919" s="33" t="s">
        <v>7466</v>
      </c>
      <c r="P2919" s="33" t="s">
        <v>7467</v>
      </c>
      <c r="Q2919" s="34" t="s">
        <v>1494</v>
      </c>
      <c r="R2919" s="34" t="s">
        <v>1494</v>
      </c>
    </row>
    <row r="2920" spans="1:18" ht="15" customHeight="1" x14ac:dyDescent="0.25">
      <c r="A2920" t="str">
        <f>IFERROR(RANK(B2920,$B:$B,1)+COUNTIF($B$1:B2919,B2920),"")</f>
        <v/>
      </c>
      <c r="B2920" t="str">
        <f>IFERROR(SEARCH(#REF!,Table4[[#This Row],[Commodity Title]],1),"")</f>
        <v/>
      </c>
      <c r="C2920" s="35">
        <v>42294002</v>
      </c>
      <c r="D2920" s="33" t="s">
        <v>1495</v>
      </c>
      <c r="E2920" s="33" t="s">
        <v>1496</v>
      </c>
      <c r="F2920" s="33" t="s">
        <v>1497</v>
      </c>
      <c r="G2920" s="33" t="s">
        <v>7062</v>
      </c>
      <c r="H2920" s="33" t="s">
        <v>7063</v>
      </c>
      <c r="I2920" s="33" t="s">
        <v>7064</v>
      </c>
      <c r="J2920" s="33">
        <v>116267</v>
      </c>
      <c r="K2920" s="33" t="s">
        <v>7463</v>
      </c>
      <c r="L2920" s="33" t="s">
        <v>7464</v>
      </c>
      <c r="M2920" s="33" t="s">
        <v>7465</v>
      </c>
      <c r="N2920" s="44">
        <v>42294002</v>
      </c>
      <c r="O2920" s="33" t="s">
        <v>7468</v>
      </c>
      <c r="P2920" s="33" t="s">
        <v>7469</v>
      </c>
      <c r="Q2920" s="34" t="s">
        <v>1494</v>
      </c>
      <c r="R2920" s="34" t="s">
        <v>1494</v>
      </c>
    </row>
    <row r="2921" spans="1:18" ht="15" customHeight="1" x14ac:dyDescent="0.25">
      <c r="A2921" t="str">
        <f>IFERROR(RANK(B2921,$B:$B,1)+COUNTIF($B$1:B2920,B2921),"")</f>
        <v/>
      </c>
      <c r="B2921" t="str">
        <f>IFERROR(SEARCH(#REF!,Table4[[#This Row],[Commodity Title]],1),"")</f>
        <v/>
      </c>
      <c r="C2921" s="35">
        <v>42294003</v>
      </c>
      <c r="D2921" s="33" t="s">
        <v>1495</v>
      </c>
      <c r="E2921" s="33" t="s">
        <v>1496</v>
      </c>
      <c r="F2921" s="33" t="s">
        <v>1497</v>
      </c>
      <c r="G2921" s="33" t="s">
        <v>7062</v>
      </c>
      <c r="H2921" s="33" t="s">
        <v>7063</v>
      </c>
      <c r="I2921" s="33" t="s">
        <v>7064</v>
      </c>
      <c r="J2921" s="33">
        <v>116268</v>
      </c>
      <c r="K2921" s="33" t="s">
        <v>7463</v>
      </c>
      <c r="L2921" s="33" t="s">
        <v>7464</v>
      </c>
      <c r="M2921" s="33" t="s">
        <v>7465</v>
      </c>
      <c r="N2921" s="44">
        <v>42294003</v>
      </c>
      <c r="O2921" s="33" t="s">
        <v>7470</v>
      </c>
      <c r="P2921" s="33" t="s">
        <v>7471</v>
      </c>
      <c r="Q2921" s="34" t="s">
        <v>1494</v>
      </c>
      <c r="R2921" s="34" t="s">
        <v>1494</v>
      </c>
    </row>
    <row r="2922" spans="1:18" ht="15" customHeight="1" x14ac:dyDescent="0.25">
      <c r="A2922" t="str">
        <f>IFERROR(RANK(B2922,$B:$B,1)+COUNTIF($B$1:B2921,B2922),"")</f>
        <v/>
      </c>
      <c r="B2922" t="str">
        <f>IFERROR(SEARCH(#REF!,Table4[[#This Row],[Commodity Title]],1),"")</f>
        <v/>
      </c>
      <c r="C2922" s="33" t="s">
        <v>1494</v>
      </c>
      <c r="D2922" s="33" t="s">
        <v>1495</v>
      </c>
      <c r="E2922" s="33" t="s">
        <v>1496</v>
      </c>
      <c r="F2922" s="33" t="s">
        <v>1497</v>
      </c>
      <c r="G2922" s="33" t="s">
        <v>7062</v>
      </c>
      <c r="H2922" s="33" t="s">
        <v>7063</v>
      </c>
      <c r="I2922" s="33" t="s">
        <v>7064</v>
      </c>
      <c r="J2922" s="33">
        <v>116269</v>
      </c>
      <c r="K2922" s="33" t="s">
        <v>7472</v>
      </c>
      <c r="L2922" s="33" t="s">
        <v>7473</v>
      </c>
      <c r="M2922" s="33" t="s">
        <v>7474</v>
      </c>
      <c r="N2922" s="44" t="s">
        <v>1494</v>
      </c>
      <c r="O2922" s="33" t="s">
        <v>1494</v>
      </c>
      <c r="P2922" s="33" t="s">
        <v>1494</v>
      </c>
      <c r="Q2922" s="34" t="s">
        <v>1494</v>
      </c>
      <c r="R2922" s="34" t="s">
        <v>1494</v>
      </c>
    </row>
    <row r="2923" spans="1:18" ht="15" customHeight="1" x14ac:dyDescent="0.25">
      <c r="A2923" t="str">
        <f>IFERROR(RANK(B2923,$B:$B,1)+COUNTIF($B$1:B2922,B2923),"")</f>
        <v/>
      </c>
      <c r="B2923" t="str">
        <f>IFERROR(SEARCH(#REF!,Table4[[#This Row],[Commodity Title]],1),"")</f>
        <v/>
      </c>
      <c r="C2923" s="35">
        <v>42294101</v>
      </c>
      <c r="D2923" s="33" t="s">
        <v>1495</v>
      </c>
      <c r="E2923" s="33" t="s">
        <v>1496</v>
      </c>
      <c r="F2923" s="33" t="s">
        <v>1497</v>
      </c>
      <c r="G2923" s="33" t="s">
        <v>7062</v>
      </c>
      <c r="H2923" s="33" t="s">
        <v>7063</v>
      </c>
      <c r="I2923" s="33" t="s">
        <v>7064</v>
      </c>
      <c r="J2923" s="33">
        <v>116270</v>
      </c>
      <c r="K2923" s="33" t="s">
        <v>7472</v>
      </c>
      <c r="L2923" s="33" t="s">
        <v>7473</v>
      </c>
      <c r="M2923" s="33" t="s">
        <v>7474</v>
      </c>
      <c r="N2923" s="44">
        <v>42294101</v>
      </c>
      <c r="O2923" s="33" t="s">
        <v>7475</v>
      </c>
      <c r="P2923" s="33" t="s">
        <v>7476</v>
      </c>
      <c r="Q2923" s="34" t="s">
        <v>1494</v>
      </c>
      <c r="R2923" s="34" t="s">
        <v>1494</v>
      </c>
    </row>
    <row r="2924" spans="1:18" ht="15" customHeight="1" x14ac:dyDescent="0.25">
      <c r="A2924" t="str">
        <f>IFERROR(RANK(B2924,$B:$B,1)+COUNTIF($B$1:B2923,B2924),"")</f>
        <v/>
      </c>
      <c r="B2924" t="str">
        <f>IFERROR(SEARCH(#REF!,Table4[[#This Row],[Commodity Title]],1),"")</f>
        <v/>
      </c>
      <c r="C2924" s="35">
        <v>42294102</v>
      </c>
      <c r="D2924" s="33" t="s">
        <v>1495</v>
      </c>
      <c r="E2924" s="33" t="s">
        <v>1496</v>
      </c>
      <c r="F2924" s="33" t="s">
        <v>1497</v>
      </c>
      <c r="G2924" s="33" t="s">
        <v>7062</v>
      </c>
      <c r="H2924" s="33" t="s">
        <v>7063</v>
      </c>
      <c r="I2924" s="33" t="s">
        <v>7064</v>
      </c>
      <c r="J2924" s="33">
        <v>116271</v>
      </c>
      <c r="K2924" s="33" t="s">
        <v>7472</v>
      </c>
      <c r="L2924" s="33" t="s">
        <v>7473</v>
      </c>
      <c r="M2924" s="33" t="s">
        <v>7474</v>
      </c>
      <c r="N2924" s="44">
        <v>42294102</v>
      </c>
      <c r="O2924" s="33" t="s">
        <v>7477</v>
      </c>
      <c r="P2924" s="33" t="s">
        <v>7478</v>
      </c>
      <c r="Q2924" s="34" t="s">
        <v>1494</v>
      </c>
      <c r="R2924" s="34" t="s">
        <v>1494</v>
      </c>
    </row>
    <row r="2925" spans="1:18" ht="15" customHeight="1" x14ac:dyDescent="0.25">
      <c r="A2925" t="str">
        <f>IFERROR(RANK(B2925,$B:$B,1)+COUNTIF($B$1:B2924,B2925),"")</f>
        <v/>
      </c>
      <c r="B2925" t="str">
        <f>IFERROR(SEARCH(#REF!,Table4[[#This Row],[Commodity Title]],1),"")</f>
        <v/>
      </c>
      <c r="C2925" s="35">
        <v>42294103</v>
      </c>
      <c r="D2925" s="33" t="s">
        <v>1495</v>
      </c>
      <c r="E2925" s="33" t="s">
        <v>1496</v>
      </c>
      <c r="F2925" s="33" t="s">
        <v>1497</v>
      </c>
      <c r="G2925" s="33" t="s">
        <v>7062</v>
      </c>
      <c r="H2925" s="33" t="s">
        <v>7063</v>
      </c>
      <c r="I2925" s="33" t="s">
        <v>7064</v>
      </c>
      <c r="J2925" s="33">
        <v>116272</v>
      </c>
      <c r="K2925" s="33" t="s">
        <v>7472</v>
      </c>
      <c r="L2925" s="33" t="s">
        <v>7473</v>
      </c>
      <c r="M2925" s="33" t="s">
        <v>7474</v>
      </c>
      <c r="N2925" s="44">
        <v>42294103</v>
      </c>
      <c r="O2925" s="33" t="s">
        <v>7479</v>
      </c>
      <c r="P2925" s="33" t="s">
        <v>7480</v>
      </c>
      <c r="Q2925" s="34" t="s">
        <v>1494</v>
      </c>
      <c r="R2925" s="34" t="s">
        <v>1494</v>
      </c>
    </row>
    <row r="2926" spans="1:18" ht="15" customHeight="1" x14ac:dyDescent="0.25">
      <c r="A2926" t="str">
        <f>IFERROR(RANK(B2926,$B:$B,1)+COUNTIF($B$1:B2925,B2926),"")</f>
        <v/>
      </c>
      <c r="B2926" t="str">
        <f>IFERROR(SEARCH(#REF!,Table4[[#This Row],[Commodity Title]],1),"")</f>
        <v/>
      </c>
      <c r="C2926" s="33" t="s">
        <v>1494</v>
      </c>
      <c r="D2926" s="33" t="s">
        <v>1495</v>
      </c>
      <c r="E2926" s="33" t="s">
        <v>1496</v>
      </c>
      <c r="F2926" s="33" t="s">
        <v>1497</v>
      </c>
      <c r="G2926" s="33" t="s">
        <v>7062</v>
      </c>
      <c r="H2926" s="33" t="s">
        <v>7063</v>
      </c>
      <c r="I2926" s="33" t="s">
        <v>7064</v>
      </c>
      <c r="J2926" s="33">
        <v>116273</v>
      </c>
      <c r="K2926" s="33" t="s">
        <v>7481</v>
      </c>
      <c r="L2926" s="33" t="s">
        <v>7482</v>
      </c>
      <c r="M2926" s="33" t="s">
        <v>7483</v>
      </c>
      <c r="N2926" s="44" t="s">
        <v>1494</v>
      </c>
      <c r="O2926" s="33" t="s">
        <v>1494</v>
      </c>
      <c r="P2926" s="33" t="s">
        <v>1494</v>
      </c>
      <c r="Q2926" s="34" t="s">
        <v>1494</v>
      </c>
      <c r="R2926" s="34" t="s">
        <v>1494</v>
      </c>
    </row>
    <row r="2927" spans="1:18" ht="15" customHeight="1" x14ac:dyDescent="0.25">
      <c r="A2927" t="str">
        <f>IFERROR(RANK(B2927,$B:$B,1)+COUNTIF($B$1:B2926,B2927),"")</f>
        <v/>
      </c>
      <c r="B2927" t="str">
        <f>IFERROR(SEARCH(#REF!,Table4[[#This Row],[Commodity Title]],1),"")</f>
        <v/>
      </c>
      <c r="C2927" s="35">
        <v>42294201</v>
      </c>
      <c r="D2927" s="33" t="s">
        <v>1495</v>
      </c>
      <c r="E2927" s="33" t="s">
        <v>1496</v>
      </c>
      <c r="F2927" s="33" t="s">
        <v>1497</v>
      </c>
      <c r="G2927" s="33" t="s">
        <v>7062</v>
      </c>
      <c r="H2927" s="33" t="s">
        <v>7063</v>
      </c>
      <c r="I2927" s="33" t="s">
        <v>7064</v>
      </c>
      <c r="J2927" s="33">
        <v>116274</v>
      </c>
      <c r="K2927" s="33" t="s">
        <v>7481</v>
      </c>
      <c r="L2927" s="33" t="s">
        <v>7482</v>
      </c>
      <c r="M2927" s="33" t="s">
        <v>7483</v>
      </c>
      <c r="N2927" s="44">
        <v>42294201</v>
      </c>
      <c r="O2927" s="33" t="s">
        <v>7484</v>
      </c>
      <c r="P2927" s="33" t="s">
        <v>7485</v>
      </c>
      <c r="Q2927" s="34" t="s">
        <v>1494</v>
      </c>
      <c r="R2927" s="34" t="s">
        <v>1494</v>
      </c>
    </row>
    <row r="2928" spans="1:18" ht="15" customHeight="1" x14ac:dyDescent="0.25">
      <c r="A2928" t="str">
        <f>IFERROR(RANK(B2928,$B:$B,1)+COUNTIF($B$1:B2927,B2928),"")</f>
        <v/>
      </c>
      <c r="B2928" t="str">
        <f>IFERROR(SEARCH(#REF!,Table4[[#This Row],[Commodity Title]],1),"")</f>
        <v/>
      </c>
      <c r="C2928" s="35">
        <v>42294202</v>
      </c>
      <c r="D2928" s="33" t="s">
        <v>1495</v>
      </c>
      <c r="E2928" s="33" t="s">
        <v>1496</v>
      </c>
      <c r="F2928" s="33" t="s">
        <v>1497</v>
      </c>
      <c r="G2928" s="33" t="s">
        <v>7062</v>
      </c>
      <c r="H2928" s="33" t="s">
        <v>7063</v>
      </c>
      <c r="I2928" s="33" t="s">
        <v>7064</v>
      </c>
      <c r="J2928" s="33">
        <v>116275</v>
      </c>
      <c r="K2928" s="33" t="s">
        <v>7481</v>
      </c>
      <c r="L2928" s="33" t="s">
        <v>7482</v>
      </c>
      <c r="M2928" s="33" t="s">
        <v>7483</v>
      </c>
      <c r="N2928" s="44">
        <v>42294202</v>
      </c>
      <c r="O2928" s="33" t="s">
        <v>7486</v>
      </c>
      <c r="P2928" s="33" t="s">
        <v>7487</v>
      </c>
      <c r="Q2928" s="34" t="s">
        <v>1494</v>
      </c>
      <c r="R2928" s="34" t="s">
        <v>1494</v>
      </c>
    </row>
    <row r="2929" spans="1:18" ht="15" customHeight="1" x14ac:dyDescent="0.25">
      <c r="A2929" t="str">
        <f>IFERROR(RANK(B2929,$B:$B,1)+COUNTIF($B$1:B2928,B2929),"")</f>
        <v/>
      </c>
      <c r="B2929" t="str">
        <f>IFERROR(SEARCH(#REF!,Table4[[#This Row],[Commodity Title]],1),"")</f>
        <v/>
      </c>
      <c r="C2929" s="35">
        <v>42294203</v>
      </c>
      <c r="D2929" s="33" t="s">
        <v>1495</v>
      </c>
      <c r="E2929" s="33" t="s">
        <v>1496</v>
      </c>
      <c r="F2929" s="33" t="s">
        <v>1497</v>
      </c>
      <c r="G2929" s="33" t="s">
        <v>7062</v>
      </c>
      <c r="H2929" s="33" t="s">
        <v>7063</v>
      </c>
      <c r="I2929" s="33" t="s">
        <v>7064</v>
      </c>
      <c r="J2929" s="33">
        <v>116276</v>
      </c>
      <c r="K2929" s="33" t="s">
        <v>7481</v>
      </c>
      <c r="L2929" s="33" t="s">
        <v>7482</v>
      </c>
      <c r="M2929" s="33" t="s">
        <v>7483</v>
      </c>
      <c r="N2929" s="44">
        <v>42294203</v>
      </c>
      <c r="O2929" s="33" t="s">
        <v>7488</v>
      </c>
      <c r="P2929" s="33" t="s">
        <v>7489</v>
      </c>
      <c r="Q2929" s="34" t="s">
        <v>1494</v>
      </c>
      <c r="R2929" s="34" t="s">
        <v>1494</v>
      </c>
    </row>
    <row r="2930" spans="1:18" ht="15" customHeight="1" x14ac:dyDescent="0.25">
      <c r="A2930" t="str">
        <f>IFERROR(RANK(B2930,$B:$B,1)+COUNTIF($B$1:B2929,B2930),"")</f>
        <v/>
      </c>
      <c r="B2930" t="str">
        <f>IFERROR(SEARCH(#REF!,Table4[[#This Row],[Commodity Title]],1),"")</f>
        <v/>
      </c>
      <c r="C2930" s="35">
        <v>42294204</v>
      </c>
      <c r="D2930" s="33" t="s">
        <v>1495</v>
      </c>
      <c r="E2930" s="33" t="s">
        <v>1496</v>
      </c>
      <c r="F2930" s="33" t="s">
        <v>1497</v>
      </c>
      <c r="G2930" s="33" t="s">
        <v>7062</v>
      </c>
      <c r="H2930" s="33" t="s">
        <v>7063</v>
      </c>
      <c r="I2930" s="33" t="s">
        <v>7064</v>
      </c>
      <c r="J2930" s="33">
        <v>116277</v>
      </c>
      <c r="K2930" s="33" t="s">
        <v>7481</v>
      </c>
      <c r="L2930" s="33" t="s">
        <v>7482</v>
      </c>
      <c r="M2930" s="33" t="s">
        <v>7483</v>
      </c>
      <c r="N2930" s="44">
        <v>42294204</v>
      </c>
      <c r="O2930" s="33" t="s">
        <v>7490</v>
      </c>
      <c r="P2930" s="33" t="s">
        <v>7491</v>
      </c>
      <c r="Q2930" s="34" t="s">
        <v>1494</v>
      </c>
      <c r="R2930" s="34" t="s">
        <v>1494</v>
      </c>
    </row>
    <row r="2931" spans="1:18" ht="15" customHeight="1" x14ac:dyDescent="0.25">
      <c r="A2931" t="str">
        <f>IFERROR(RANK(B2931,$B:$B,1)+COUNTIF($B$1:B2930,B2931),"")</f>
        <v/>
      </c>
      <c r="B2931" t="str">
        <f>IFERROR(SEARCH(#REF!,Table4[[#This Row],[Commodity Title]],1),"")</f>
        <v/>
      </c>
      <c r="C2931" s="35">
        <v>42294205</v>
      </c>
      <c r="D2931" s="33" t="s">
        <v>1495</v>
      </c>
      <c r="E2931" s="33" t="s">
        <v>1496</v>
      </c>
      <c r="F2931" s="33" t="s">
        <v>1497</v>
      </c>
      <c r="G2931" s="33" t="s">
        <v>7062</v>
      </c>
      <c r="H2931" s="33" t="s">
        <v>7063</v>
      </c>
      <c r="I2931" s="33" t="s">
        <v>7064</v>
      </c>
      <c r="J2931" s="33">
        <v>116278</v>
      </c>
      <c r="K2931" s="33" t="s">
        <v>7481</v>
      </c>
      <c r="L2931" s="33" t="s">
        <v>7482</v>
      </c>
      <c r="M2931" s="33" t="s">
        <v>7483</v>
      </c>
      <c r="N2931" s="44">
        <v>42294205</v>
      </c>
      <c r="O2931" s="33" t="s">
        <v>7492</v>
      </c>
      <c r="P2931" s="33" t="s">
        <v>7493</v>
      </c>
      <c r="Q2931" s="34" t="s">
        <v>1494</v>
      </c>
      <c r="R2931" s="34" t="s">
        <v>1494</v>
      </c>
    </row>
    <row r="2932" spans="1:18" ht="15" customHeight="1" x14ac:dyDescent="0.25">
      <c r="A2932" t="str">
        <f>IFERROR(RANK(B2932,$B:$B,1)+COUNTIF($B$1:B2931,B2932),"")</f>
        <v/>
      </c>
      <c r="B2932" t="str">
        <f>IFERROR(SEARCH(#REF!,Table4[[#This Row],[Commodity Title]],1),"")</f>
        <v/>
      </c>
      <c r="C2932" s="35">
        <v>42294206</v>
      </c>
      <c r="D2932" s="33" t="s">
        <v>1495</v>
      </c>
      <c r="E2932" s="33" t="s">
        <v>1496</v>
      </c>
      <c r="F2932" s="33" t="s">
        <v>1497</v>
      </c>
      <c r="G2932" s="33" t="s">
        <v>7062</v>
      </c>
      <c r="H2932" s="33" t="s">
        <v>7063</v>
      </c>
      <c r="I2932" s="33" t="s">
        <v>7064</v>
      </c>
      <c r="J2932" s="33">
        <v>116279</v>
      </c>
      <c r="K2932" s="33" t="s">
        <v>7481</v>
      </c>
      <c r="L2932" s="33" t="s">
        <v>7482</v>
      </c>
      <c r="M2932" s="33" t="s">
        <v>7483</v>
      </c>
      <c r="N2932" s="44">
        <v>42294206</v>
      </c>
      <c r="O2932" s="33" t="s">
        <v>7494</v>
      </c>
      <c r="P2932" s="33" t="s">
        <v>7495</v>
      </c>
      <c r="Q2932" s="34" t="s">
        <v>1494</v>
      </c>
      <c r="R2932" s="34" t="s">
        <v>1494</v>
      </c>
    </row>
    <row r="2933" spans="1:18" ht="15" customHeight="1" x14ac:dyDescent="0.25">
      <c r="A2933" t="str">
        <f>IFERROR(RANK(B2933,$B:$B,1)+COUNTIF($B$1:B2932,B2933),"")</f>
        <v/>
      </c>
      <c r="B2933" t="str">
        <f>IFERROR(SEARCH(#REF!,Table4[[#This Row],[Commodity Title]],1),"")</f>
        <v/>
      </c>
      <c r="C2933" s="35">
        <v>42294207</v>
      </c>
      <c r="D2933" s="33" t="s">
        <v>1495</v>
      </c>
      <c r="E2933" s="33" t="s">
        <v>1496</v>
      </c>
      <c r="F2933" s="33" t="s">
        <v>1497</v>
      </c>
      <c r="G2933" s="33" t="s">
        <v>7062</v>
      </c>
      <c r="H2933" s="33" t="s">
        <v>7063</v>
      </c>
      <c r="I2933" s="33" t="s">
        <v>7064</v>
      </c>
      <c r="J2933" s="33">
        <v>116280</v>
      </c>
      <c r="K2933" s="33" t="s">
        <v>7481</v>
      </c>
      <c r="L2933" s="33" t="s">
        <v>7482</v>
      </c>
      <c r="M2933" s="33" t="s">
        <v>7483</v>
      </c>
      <c r="N2933" s="44">
        <v>42294207</v>
      </c>
      <c r="O2933" s="33" t="s">
        <v>7496</v>
      </c>
      <c r="P2933" s="33" t="s">
        <v>7497</v>
      </c>
      <c r="Q2933" s="34" t="s">
        <v>1494</v>
      </c>
      <c r="R2933" s="34" t="s">
        <v>1494</v>
      </c>
    </row>
    <row r="2934" spans="1:18" ht="15" customHeight="1" x14ac:dyDescent="0.25">
      <c r="A2934" t="str">
        <f>IFERROR(RANK(B2934,$B:$B,1)+COUNTIF($B$1:B2933,B2934),"")</f>
        <v/>
      </c>
      <c r="B2934" t="str">
        <f>IFERROR(SEARCH(#REF!,Table4[[#This Row],[Commodity Title]],1),"")</f>
        <v/>
      </c>
      <c r="C2934" s="35">
        <v>42294210</v>
      </c>
      <c r="D2934" s="33" t="s">
        <v>1495</v>
      </c>
      <c r="E2934" s="33" t="s">
        <v>1496</v>
      </c>
      <c r="F2934" s="33" t="s">
        <v>1497</v>
      </c>
      <c r="G2934" s="33" t="s">
        <v>7062</v>
      </c>
      <c r="H2934" s="33" t="s">
        <v>7063</v>
      </c>
      <c r="I2934" s="33" t="s">
        <v>7064</v>
      </c>
      <c r="J2934" s="33">
        <v>116283</v>
      </c>
      <c r="K2934" s="33" t="s">
        <v>7481</v>
      </c>
      <c r="L2934" s="33" t="s">
        <v>7482</v>
      </c>
      <c r="M2934" s="33" t="s">
        <v>7483</v>
      </c>
      <c r="N2934" s="44">
        <v>42294210</v>
      </c>
      <c r="O2934" s="33" t="s">
        <v>7498</v>
      </c>
      <c r="P2934" s="33" t="s">
        <v>7499</v>
      </c>
      <c r="Q2934" s="34" t="s">
        <v>1494</v>
      </c>
      <c r="R2934" s="34" t="s">
        <v>1494</v>
      </c>
    </row>
    <row r="2935" spans="1:18" ht="15" customHeight="1" x14ac:dyDescent="0.25">
      <c r="A2935" t="str">
        <f>IFERROR(RANK(B2935,$B:$B,1)+COUNTIF($B$1:B2934,B2935),"")</f>
        <v/>
      </c>
      <c r="B2935" t="str">
        <f>IFERROR(SEARCH(#REF!,Table4[[#This Row],[Commodity Title]],1),"")</f>
        <v/>
      </c>
      <c r="C2935" s="35">
        <v>42294211</v>
      </c>
      <c r="D2935" s="33" t="s">
        <v>1495</v>
      </c>
      <c r="E2935" s="33" t="s">
        <v>1496</v>
      </c>
      <c r="F2935" s="33" t="s">
        <v>1497</v>
      </c>
      <c r="G2935" s="33" t="s">
        <v>7062</v>
      </c>
      <c r="H2935" s="33" t="s">
        <v>7063</v>
      </c>
      <c r="I2935" s="33" t="s">
        <v>7064</v>
      </c>
      <c r="J2935" s="33">
        <v>116284</v>
      </c>
      <c r="K2935" s="33" t="s">
        <v>7481</v>
      </c>
      <c r="L2935" s="33" t="s">
        <v>7482</v>
      </c>
      <c r="M2935" s="33" t="s">
        <v>7483</v>
      </c>
      <c r="N2935" s="44">
        <v>42294211</v>
      </c>
      <c r="O2935" s="33" t="s">
        <v>7500</v>
      </c>
      <c r="P2935" s="33" t="s">
        <v>7501</v>
      </c>
      <c r="Q2935" s="34" t="s">
        <v>1494</v>
      </c>
      <c r="R2935" s="34" t="s">
        <v>1494</v>
      </c>
    </row>
    <row r="2936" spans="1:18" ht="15" customHeight="1" x14ac:dyDescent="0.25">
      <c r="A2936" t="str">
        <f>IFERROR(RANK(B2936,$B:$B,1)+COUNTIF($B$1:B2935,B2936),"")</f>
        <v/>
      </c>
      <c r="B2936" t="str">
        <f>IFERROR(SEARCH(#REF!,Table4[[#This Row],[Commodity Title]],1),"")</f>
        <v/>
      </c>
      <c r="C2936" s="35">
        <v>42294212</v>
      </c>
      <c r="D2936" s="33" t="s">
        <v>1495</v>
      </c>
      <c r="E2936" s="33" t="s">
        <v>1496</v>
      </c>
      <c r="F2936" s="33" t="s">
        <v>1497</v>
      </c>
      <c r="G2936" s="33" t="s">
        <v>7062</v>
      </c>
      <c r="H2936" s="33" t="s">
        <v>7063</v>
      </c>
      <c r="I2936" s="33" t="s">
        <v>7064</v>
      </c>
      <c r="J2936" s="33">
        <v>116285</v>
      </c>
      <c r="K2936" s="33" t="s">
        <v>7481</v>
      </c>
      <c r="L2936" s="33" t="s">
        <v>7482</v>
      </c>
      <c r="M2936" s="33" t="s">
        <v>7483</v>
      </c>
      <c r="N2936" s="44">
        <v>42294212</v>
      </c>
      <c r="O2936" s="33" t="s">
        <v>7502</v>
      </c>
      <c r="P2936" s="33" t="s">
        <v>7503</v>
      </c>
      <c r="Q2936" s="34" t="s">
        <v>1494</v>
      </c>
      <c r="R2936" s="34" t="s">
        <v>1494</v>
      </c>
    </row>
    <row r="2937" spans="1:18" ht="15" customHeight="1" x14ac:dyDescent="0.25">
      <c r="A2937" t="str">
        <f>IFERROR(RANK(B2937,$B:$B,1)+COUNTIF($B$1:B2936,B2937),"")</f>
        <v/>
      </c>
      <c r="B2937" t="str">
        <f>IFERROR(SEARCH(#REF!,Table4[[#This Row],[Commodity Title]],1),"")</f>
        <v/>
      </c>
      <c r="C2937" s="35">
        <v>42294213</v>
      </c>
      <c r="D2937" s="33" t="s">
        <v>1495</v>
      </c>
      <c r="E2937" s="33" t="s">
        <v>1496</v>
      </c>
      <c r="F2937" s="33" t="s">
        <v>1497</v>
      </c>
      <c r="G2937" s="33" t="s">
        <v>7062</v>
      </c>
      <c r="H2937" s="33" t="s">
        <v>7063</v>
      </c>
      <c r="I2937" s="33" t="s">
        <v>7064</v>
      </c>
      <c r="J2937" s="33">
        <v>142769</v>
      </c>
      <c r="K2937" s="33" t="s">
        <v>7481</v>
      </c>
      <c r="L2937" s="33" t="s">
        <v>7482</v>
      </c>
      <c r="M2937" s="33" t="s">
        <v>7483</v>
      </c>
      <c r="N2937" s="44">
        <v>42294213</v>
      </c>
      <c r="O2937" s="33" t="s">
        <v>7504</v>
      </c>
      <c r="P2937" s="33" t="s">
        <v>7505</v>
      </c>
      <c r="Q2937" s="34" t="s">
        <v>1494</v>
      </c>
      <c r="R2937" s="34" t="s">
        <v>1494</v>
      </c>
    </row>
    <row r="2938" spans="1:18" ht="15" customHeight="1" x14ac:dyDescent="0.25">
      <c r="A2938" t="str">
        <f>IFERROR(RANK(B2938,$B:$B,1)+COUNTIF($B$1:B2937,B2938),"")</f>
        <v/>
      </c>
      <c r="B2938" t="str">
        <f>IFERROR(SEARCH(#REF!,Table4[[#This Row],[Commodity Title]],1),"")</f>
        <v/>
      </c>
      <c r="C2938" s="35">
        <v>42294214</v>
      </c>
      <c r="D2938" s="33" t="s">
        <v>1495</v>
      </c>
      <c r="E2938" s="33" t="s">
        <v>1496</v>
      </c>
      <c r="F2938" s="33" t="s">
        <v>1497</v>
      </c>
      <c r="G2938" s="33" t="s">
        <v>7062</v>
      </c>
      <c r="H2938" s="33" t="s">
        <v>7063</v>
      </c>
      <c r="I2938" s="33" t="s">
        <v>7064</v>
      </c>
      <c r="J2938" s="33">
        <v>142770</v>
      </c>
      <c r="K2938" s="33" t="s">
        <v>7481</v>
      </c>
      <c r="L2938" s="33" t="s">
        <v>7482</v>
      </c>
      <c r="M2938" s="33" t="s">
        <v>7483</v>
      </c>
      <c r="N2938" s="44">
        <v>42294214</v>
      </c>
      <c r="O2938" s="33" t="s">
        <v>7506</v>
      </c>
      <c r="P2938" s="33" t="s">
        <v>7507</v>
      </c>
      <c r="Q2938" s="34" t="s">
        <v>1494</v>
      </c>
      <c r="R2938" s="34" t="s">
        <v>1494</v>
      </c>
    </row>
    <row r="2939" spans="1:18" ht="15" customHeight="1" x14ac:dyDescent="0.25">
      <c r="A2939" t="str">
        <f>IFERROR(RANK(B2939,$B:$B,1)+COUNTIF($B$1:B2938,B2939),"")</f>
        <v/>
      </c>
      <c r="B2939" t="str">
        <f>IFERROR(SEARCH(#REF!,Table4[[#This Row],[Commodity Title]],1),"")</f>
        <v/>
      </c>
      <c r="C2939" s="35">
        <v>42294215</v>
      </c>
      <c r="D2939" s="33" t="s">
        <v>1495</v>
      </c>
      <c r="E2939" s="33" t="s">
        <v>1496</v>
      </c>
      <c r="F2939" s="33" t="s">
        <v>1497</v>
      </c>
      <c r="G2939" s="33" t="s">
        <v>7062</v>
      </c>
      <c r="H2939" s="33" t="s">
        <v>7063</v>
      </c>
      <c r="I2939" s="33" t="s">
        <v>7064</v>
      </c>
      <c r="J2939" s="33">
        <v>142771</v>
      </c>
      <c r="K2939" s="33" t="s">
        <v>7481</v>
      </c>
      <c r="L2939" s="33" t="s">
        <v>7482</v>
      </c>
      <c r="M2939" s="33" t="s">
        <v>7483</v>
      </c>
      <c r="N2939" s="44">
        <v>42294215</v>
      </c>
      <c r="O2939" s="33" t="s">
        <v>7508</v>
      </c>
      <c r="P2939" s="33" t="s">
        <v>7509</v>
      </c>
      <c r="Q2939" s="34" t="s">
        <v>1494</v>
      </c>
      <c r="R2939" s="34" t="s">
        <v>1494</v>
      </c>
    </row>
    <row r="2940" spans="1:18" ht="15" customHeight="1" x14ac:dyDescent="0.25">
      <c r="A2940" t="str">
        <f>IFERROR(RANK(B2940,$B:$B,1)+COUNTIF($B$1:B2939,B2940),"")</f>
        <v/>
      </c>
      <c r="B2940" t="str">
        <f>IFERROR(SEARCH(#REF!,Table4[[#This Row],[Commodity Title]],1),"")</f>
        <v/>
      </c>
      <c r="C2940" s="35">
        <v>42294216</v>
      </c>
      <c r="D2940" s="33" t="s">
        <v>1495</v>
      </c>
      <c r="E2940" s="33" t="s">
        <v>1496</v>
      </c>
      <c r="F2940" s="33" t="s">
        <v>1497</v>
      </c>
      <c r="G2940" s="33" t="s">
        <v>7062</v>
      </c>
      <c r="H2940" s="33" t="s">
        <v>7063</v>
      </c>
      <c r="I2940" s="33" t="s">
        <v>7064</v>
      </c>
      <c r="J2940" s="33">
        <v>142772</v>
      </c>
      <c r="K2940" s="33" t="s">
        <v>7481</v>
      </c>
      <c r="L2940" s="33" t="s">
        <v>7482</v>
      </c>
      <c r="M2940" s="33" t="s">
        <v>7483</v>
      </c>
      <c r="N2940" s="44">
        <v>42294216</v>
      </c>
      <c r="O2940" s="33" t="s">
        <v>7510</v>
      </c>
      <c r="P2940" s="33" t="s">
        <v>7511</v>
      </c>
      <c r="Q2940" s="34" t="s">
        <v>1494</v>
      </c>
      <c r="R2940" s="34" t="s">
        <v>1494</v>
      </c>
    </row>
    <row r="2941" spans="1:18" ht="15" customHeight="1" x14ac:dyDescent="0.25">
      <c r="A2941" t="str">
        <f>IFERROR(RANK(B2941,$B:$B,1)+COUNTIF($B$1:B2940,B2941),"")</f>
        <v/>
      </c>
      <c r="B2941" t="str">
        <f>IFERROR(SEARCH(#REF!,Table4[[#This Row],[Commodity Title]],1),"")</f>
        <v/>
      </c>
      <c r="C2941" s="35">
        <v>42294217</v>
      </c>
      <c r="D2941" s="33" t="s">
        <v>1495</v>
      </c>
      <c r="E2941" s="33" t="s">
        <v>1496</v>
      </c>
      <c r="F2941" s="33" t="s">
        <v>1497</v>
      </c>
      <c r="G2941" s="33" t="s">
        <v>7062</v>
      </c>
      <c r="H2941" s="33" t="s">
        <v>7063</v>
      </c>
      <c r="I2941" s="33" t="s">
        <v>7064</v>
      </c>
      <c r="J2941" s="33">
        <v>142773</v>
      </c>
      <c r="K2941" s="33" t="s">
        <v>7481</v>
      </c>
      <c r="L2941" s="33" t="s">
        <v>7482</v>
      </c>
      <c r="M2941" s="33" t="s">
        <v>7483</v>
      </c>
      <c r="N2941" s="44">
        <v>42294217</v>
      </c>
      <c r="O2941" s="33" t="s">
        <v>7512</v>
      </c>
      <c r="P2941" s="33" t="s">
        <v>7513</v>
      </c>
      <c r="Q2941" s="34" t="s">
        <v>1494</v>
      </c>
      <c r="R2941" s="34" t="s">
        <v>1494</v>
      </c>
    </row>
    <row r="2942" spans="1:18" ht="15" customHeight="1" x14ac:dyDescent="0.25">
      <c r="A2942" t="str">
        <f>IFERROR(RANK(B2942,$B:$B,1)+COUNTIF($B$1:B2941,B2942),"")</f>
        <v/>
      </c>
      <c r="B2942" t="str">
        <f>IFERROR(SEARCH(#REF!,Table4[[#This Row],[Commodity Title]],1),"")</f>
        <v/>
      </c>
      <c r="C2942" s="35">
        <v>42294218</v>
      </c>
      <c r="D2942" s="33" t="s">
        <v>1495</v>
      </c>
      <c r="E2942" s="33" t="s">
        <v>1496</v>
      </c>
      <c r="F2942" s="33" t="s">
        <v>1497</v>
      </c>
      <c r="G2942" s="33" t="s">
        <v>7062</v>
      </c>
      <c r="H2942" s="33" t="s">
        <v>7063</v>
      </c>
      <c r="I2942" s="33" t="s">
        <v>7064</v>
      </c>
      <c r="J2942" s="33">
        <v>142774</v>
      </c>
      <c r="K2942" s="33" t="s">
        <v>7481</v>
      </c>
      <c r="L2942" s="33" t="s">
        <v>7482</v>
      </c>
      <c r="M2942" s="33" t="s">
        <v>7483</v>
      </c>
      <c r="N2942" s="44">
        <v>42294218</v>
      </c>
      <c r="O2942" s="33" t="s">
        <v>7514</v>
      </c>
      <c r="P2942" s="33" t="s">
        <v>7515</v>
      </c>
      <c r="Q2942" s="34" t="s">
        <v>1494</v>
      </c>
      <c r="R2942" s="34" t="s">
        <v>1494</v>
      </c>
    </row>
    <row r="2943" spans="1:18" ht="15" customHeight="1" x14ac:dyDescent="0.25">
      <c r="A2943" t="str">
        <f>IFERROR(RANK(B2943,$B:$B,1)+COUNTIF($B$1:B2942,B2943),"")</f>
        <v/>
      </c>
      <c r="B2943" t="str">
        <f>IFERROR(SEARCH(#REF!,Table4[[#This Row],[Commodity Title]],1),"")</f>
        <v/>
      </c>
      <c r="C2943" s="35">
        <v>42294219</v>
      </c>
      <c r="D2943" s="33" t="s">
        <v>1495</v>
      </c>
      <c r="E2943" s="33" t="s">
        <v>1496</v>
      </c>
      <c r="F2943" s="33" t="s">
        <v>1497</v>
      </c>
      <c r="G2943" s="33" t="s">
        <v>7062</v>
      </c>
      <c r="H2943" s="33" t="s">
        <v>7063</v>
      </c>
      <c r="I2943" s="33" t="s">
        <v>7064</v>
      </c>
      <c r="J2943" s="33">
        <v>142775</v>
      </c>
      <c r="K2943" s="33" t="s">
        <v>7481</v>
      </c>
      <c r="L2943" s="33" t="s">
        <v>7482</v>
      </c>
      <c r="M2943" s="33" t="s">
        <v>7483</v>
      </c>
      <c r="N2943" s="44">
        <v>42294219</v>
      </c>
      <c r="O2943" s="33" t="s">
        <v>19</v>
      </c>
      <c r="P2943" s="33" t="s">
        <v>7516</v>
      </c>
      <c r="Q2943" s="34" t="s">
        <v>1494</v>
      </c>
      <c r="R2943" s="34" t="s">
        <v>1494</v>
      </c>
    </row>
    <row r="2944" spans="1:18" ht="15" customHeight="1" x14ac:dyDescent="0.25">
      <c r="A2944" t="str">
        <f>IFERROR(RANK(B2944,$B:$B,1)+COUNTIF($B$1:B2943,B2944),"")</f>
        <v/>
      </c>
      <c r="B2944" t="str">
        <f>IFERROR(SEARCH(#REF!,Table4[[#This Row],[Commodity Title]],1),"")</f>
        <v/>
      </c>
      <c r="C2944" s="35">
        <v>42294221</v>
      </c>
      <c r="D2944" s="33" t="s">
        <v>1495</v>
      </c>
      <c r="E2944" s="33" t="s">
        <v>1496</v>
      </c>
      <c r="F2944" s="33" t="s">
        <v>1497</v>
      </c>
      <c r="G2944" s="33" t="s">
        <v>7062</v>
      </c>
      <c r="H2944" s="33" t="s">
        <v>7063</v>
      </c>
      <c r="I2944" s="33" t="s">
        <v>7064</v>
      </c>
      <c r="J2944" s="33">
        <v>203150</v>
      </c>
      <c r="K2944" s="33" t="s">
        <v>7481</v>
      </c>
      <c r="L2944" s="33" t="s">
        <v>7482</v>
      </c>
      <c r="M2944" s="33" t="s">
        <v>7483</v>
      </c>
      <c r="N2944" s="44">
        <v>42294221</v>
      </c>
      <c r="O2944" s="33" t="s">
        <v>7517</v>
      </c>
      <c r="P2944" s="33" t="s">
        <v>7518</v>
      </c>
      <c r="Q2944" s="34" t="s">
        <v>1494</v>
      </c>
      <c r="R2944" s="34" t="s">
        <v>1494</v>
      </c>
    </row>
    <row r="2945" spans="1:18" ht="15" customHeight="1" x14ac:dyDescent="0.25">
      <c r="A2945" t="str">
        <f>IFERROR(RANK(B2945,$B:$B,1)+COUNTIF($B$1:B2944,B2945),"")</f>
        <v/>
      </c>
      <c r="B2945" t="str">
        <f>IFERROR(SEARCH(#REF!,Table4[[#This Row],[Commodity Title]],1),"")</f>
        <v/>
      </c>
      <c r="C2945" s="35">
        <v>42294222</v>
      </c>
      <c r="D2945" s="33" t="s">
        <v>1495</v>
      </c>
      <c r="E2945" s="33" t="s">
        <v>1496</v>
      </c>
      <c r="F2945" s="33" t="s">
        <v>1497</v>
      </c>
      <c r="G2945" s="33" t="s">
        <v>7062</v>
      </c>
      <c r="H2945" s="33" t="s">
        <v>7063</v>
      </c>
      <c r="I2945" s="33" t="s">
        <v>7064</v>
      </c>
      <c r="J2945" s="33">
        <v>116429</v>
      </c>
      <c r="K2945" s="33" t="s">
        <v>7481</v>
      </c>
      <c r="L2945" s="33" t="s">
        <v>7482</v>
      </c>
      <c r="M2945" s="33" t="s">
        <v>7483</v>
      </c>
      <c r="N2945" s="44">
        <v>42294222</v>
      </c>
      <c r="O2945" s="33" t="s">
        <v>7519</v>
      </c>
      <c r="P2945" s="33" t="s">
        <v>7520</v>
      </c>
      <c r="Q2945" s="34" t="s">
        <v>1494</v>
      </c>
      <c r="R2945" s="34" t="s">
        <v>1494</v>
      </c>
    </row>
    <row r="2946" spans="1:18" ht="15" customHeight="1" x14ac:dyDescent="0.25">
      <c r="A2946" t="str">
        <f>IFERROR(RANK(B2946,$B:$B,1)+COUNTIF($B$1:B2945,B2946),"")</f>
        <v/>
      </c>
      <c r="B2946" t="str">
        <f>IFERROR(SEARCH(#REF!,Table4[[#This Row],[Commodity Title]],1),"")</f>
        <v/>
      </c>
      <c r="C2946" s="33" t="s">
        <v>1494</v>
      </c>
      <c r="D2946" s="33" t="s">
        <v>1495</v>
      </c>
      <c r="E2946" s="33" t="s">
        <v>1496</v>
      </c>
      <c r="F2946" s="33" t="s">
        <v>1497</v>
      </c>
      <c r="G2946" s="33" t="s">
        <v>7062</v>
      </c>
      <c r="H2946" s="33" t="s">
        <v>7063</v>
      </c>
      <c r="I2946" s="33" t="s">
        <v>7064</v>
      </c>
      <c r="J2946" s="33">
        <v>116286</v>
      </c>
      <c r="K2946" s="33" t="s">
        <v>7521</v>
      </c>
      <c r="L2946" s="33" t="s">
        <v>7522</v>
      </c>
      <c r="M2946" s="33" t="s">
        <v>7523</v>
      </c>
      <c r="N2946" s="44" t="s">
        <v>1494</v>
      </c>
      <c r="O2946" s="33" t="s">
        <v>1494</v>
      </c>
      <c r="P2946" s="33" t="s">
        <v>1494</v>
      </c>
      <c r="Q2946" s="34" t="s">
        <v>1494</v>
      </c>
      <c r="R2946" s="34" t="s">
        <v>1494</v>
      </c>
    </row>
    <row r="2947" spans="1:18" ht="15" customHeight="1" x14ac:dyDescent="0.25">
      <c r="A2947" t="str">
        <f>IFERROR(RANK(B2947,$B:$B,1)+COUNTIF($B$1:B2946,B2947),"")</f>
        <v/>
      </c>
      <c r="B2947" t="str">
        <f>IFERROR(SEARCH(#REF!,Table4[[#This Row],[Commodity Title]],1),"")</f>
        <v/>
      </c>
      <c r="C2947" s="35">
        <v>42294301</v>
      </c>
      <c r="D2947" s="33" t="s">
        <v>1495</v>
      </c>
      <c r="E2947" s="33" t="s">
        <v>1496</v>
      </c>
      <c r="F2947" s="33" t="s">
        <v>1497</v>
      </c>
      <c r="G2947" s="33" t="s">
        <v>7062</v>
      </c>
      <c r="H2947" s="33" t="s">
        <v>7063</v>
      </c>
      <c r="I2947" s="33" t="s">
        <v>7064</v>
      </c>
      <c r="J2947" s="33">
        <v>116287</v>
      </c>
      <c r="K2947" s="33" t="s">
        <v>7521</v>
      </c>
      <c r="L2947" s="33" t="s">
        <v>7522</v>
      </c>
      <c r="M2947" s="33" t="s">
        <v>7523</v>
      </c>
      <c r="N2947" s="44">
        <v>42294301</v>
      </c>
      <c r="O2947" s="33" t="s">
        <v>7524</v>
      </c>
      <c r="P2947" s="33" t="s">
        <v>7525</v>
      </c>
      <c r="Q2947" s="34" t="s">
        <v>1494</v>
      </c>
      <c r="R2947" s="34" t="s">
        <v>1494</v>
      </c>
    </row>
    <row r="2948" spans="1:18" ht="15" customHeight="1" x14ac:dyDescent="0.25">
      <c r="A2948" t="str">
        <f>IFERROR(RANK(B2948,$B:$B,1)+COUNTIF($B$1:B2947,B2948),"")</f>
        <v/>
      </c>
      <c r="B2948" t="str">
        <f>IFERROR(SEARCH(#REF!,Table4[[#This Row],[Commodity Title]],1),"")</f>
        <v/>
      </c>
      <c r="C2948" s="35">
        <v>42294302</v>
      </c>
      <c r="D2948" s="33" t="s">
        <v>1495</v>
      </c>
      <c r="E2948" s="33" t="s">
        <v>1496</v>
      </c>
      <c r="F2948" s="33" t="s">
        <v>1497</v>
      </c>
      <c r="G2948" s="33" t="s">
        <v>7062</v>
      </c>
      <c r="H2948" s="33" t="s">
        <v>7063</v>
      </c>
      <c r="I2948" s="33" t="s">
        <v>7064</v>
      </c>
      <c r="J2948" s="33">
        <v>116288</v>
      </c>
      <c r="K2948" s="33" t="s">
        <v>7521</v>
      </c>
      <c r="L2948" s="33" t="s">
        <v>7522</v>
      </c>
      <c r="M2948" s="33" t="s">
        <v>7523</v>
      </c>
      <c r="N2948" s="44">
        <v>42294302</v>
      </c>
      <c r="O2948" s="33" t="s">
        <v>7526</v>
      </c>
      <c r="P2948" s="33" t="s">
        <v>7527</v>
      </c>
      <c r="Q2948" s="34" t="s">
        <v>1494</v>
      </c>
      <c r="R2948" s="34" t="s">
        <v>1494</v>
      </c>
    </row>
    <row r="2949" spans="1:18" ht="15" customHeight="1" x14ac:dyDescent="0.25">
      <c r="A2949" t="str">
        <f>IFERROR(RANK(B2949,$B:$B,1)+COUNTIF($B$1:B2948,B2949),"")</f>
        <v/>
      </c>
      <c r="B2949" t="str">
        <f>IFERROR(SEARCH(#REF!,Table4[[#This Row],[Commodity Title]],1),"")</f>
        <v/>
      </c>
      <c r="C2949" s="35">
        <v>42294303</v>
      </c>
      <c r="D2949" s="33" t="s">
        <v>1495</v>
      </c>
      <c r="E2949" s="33" t="s">
        <v>1496</v>
      </c>
      <c r="F2949" s="33" t="s">
        <v>1497</v>
      </c>
      <c r="G2949" s="33" t="s">
        <v>7062</v>
      </c>
      <c r="H2949" s="33" t="s">
        <v>7063</v>
      </c>
      <c r="I2949" s="33" t="s">
        <v>7064</v>
      </c>
      <c r="J2949" s="33">
        <v>116289</v>
      </c>
      <c r="K2949" s="33" t="s">
        <v>7521</v>
      </c>
      <c r="L2949" s="33" t="s">
        <v>7522</v>
      </c>
      <c r="M2949" s="33" t="s">
        <v>7523</v>
      </c>
      <c r="N2949" s="44">
        <v>42294303</v>
      </c>
      <c r="O2949" s="33" t="s">
        <v>7528</v>
      </c>
      <c r="P2949" s="33" t="s">
        <v>7529</v>
      </c>
      <c r="Q2949" s="34" t="s">
        <v>1494</v>
      </c>
      <c r="R2949" s="34" t="s">
        <v>1494</v>
      </c>
    </row>
    <row r="2950" spans="1:18" ht="15" customHeight="1" x14ac:dyDescent="0.25">
      <c r="A2950" t="str">
        <f>IFERROR(RANK(B2950,$B:$B,1)+COUNTIF($B$1:B2949,B2950),"")</f>
        <v/>
      </c>
      <c r="B2950" t="str">
        <f>IFERROR(SEARCH(#REF!,Table4[[#This Row],[Commodity Title]],1),"")</f>
        <v/>
      </c>
      <c r="C2950" s="35">
        <v>42294304</v>
      </c>
      <c r="D2950" s="33" t="s">
        <v>1495</v>
      </c>
      <c r="E2950" s="33" t="s">
        <v>1496</v>
      </c>
      <c r="F2950" s="33" t="s">
        <v>1497</v>
      </c>
      <c r="G2950" s="33" t="s">
        <v>7062</v>
      </c>
      <c r="H2950" s="33" t="s">
        <v>7063</v>
      </c>
      <c r="I2950" s="33" t="s">
        <v>7064</v>
      </c>
      <c r="J2950" s="33">
        <v>116290</v>
      </c>
      <c r="K2950" s="33" t="s">
        <v>7521</v>
      </c>
      <c r="L2950" s="33" t="s">
        <v>7522</v>
      </c>
      <c r="M2950" s="33" t="s">
        <v>7523</v>
      </c>
      <c r="N2950" s="44">
        <v>42294304</v>
      </c>
      <c r="O2950" s="33" t="s">
        <v>7530</v>
      </c>
      <c r="P2950" s="33" t="s">
        <v>7531</v>
      </c>
      <c r="Q2950" s="34" t="s">
        <v>1494</v>
      </c>
      <c r="R2950" s="34" t="s">
        <v>1494</v>
      </c>
    </row>
    <row r="2951" spans="1:18" ht="15" customHeight="1" x14ac:dyDescent="0.25">
      <c r="A2951" t="str">
        <f>IFERROR(RANK(B2951,$B:$B,1)+COUNTIF($B$1:B2950,B2951),"")</f>
        <v/>
      </c>
      <c r="B2951" t="str">
        <f>IFERROR(SEARCH(#REF!,Table4[[#This Row],[Commodity Title]],1),"")</f>
        <v/>
      </c>
      <c r="C2951" s="35">
        <v>42294305</v>
      </c>
      <c r="D2951" s="33" t="s">
        <v>1495</v>
      </c>
      <c r="E2951" s="33" t="s">
        <v>1496</v>
      </c>
      <c r="F2951" s="33" t="s">
        <v>1497</v>
      </c>
      <c r="G2951" s="33" t="s">
        <v>7062</v>
      </c>
      <c r="H2951" s="33" t="s">
        <v>7063</v>
      </c>
      <c r="I2951" s="33" t="s">
        <v>7064</v>
      </c>
      <c r="J2951" s="33">
        <v>116291</v>
      </c>
      <c r="K2951" s="33" t="s">
        <v>7521</v>
      </c>
      <c r="L2951" s="33" t="s">
        <v>7522</v>
      </c>
      <c r="M2951" s="33" t="s">
        <v>7523</v>
      </c>
      <c r="N2951" s="44">
        <v>42294305</v>
      </c>
      <c r="O2951" s="33" t="s">
        <v>7532</v>
      </c>
      <c r="P2951" s="33" t="s">
        <v>7533</v>
      </c>
      <c r="Q2951" s="34" t="s">
        <v>1494</v>
      </c>
      <c r="R2951" s="34" t="s">
        <v>1494</v>
      </c>
    </row>
    <row r="2952" spans="1:18" ht="15" customHeight="1" x14ac:dyDescent="0.25">
      <c r="A2952" t="str">
        <f>IFERROR(RANK(B2952,$B:$B,1)+COUNTIF($B$1:B2951,B2952),"")</f>
        <v/>
      </c>
      <c r="B2952" t="str">
        <f>IFERROR(SEARCH(#REF!,Table4[[#This Row],[Commodity Title]],1),"")</f>
        <v/>
      </c>
      <c r="C2952" s="35">
        <v>42294306</v>
      </c>
      <c r="D2952" s="33" t="s">
        <v>1495</v>
      </c>
      <c r="E2952" s="33" t="s">
        <v>1496</v>
      </c>
      <c r="F2952" s="33" t="s">
        <v>1497</v>
      </c>
      <c r="G2952" s="33" t="s">
        <v>7062</v>
      </c>
      <c r="H2952" s="33" t="s">
        <v>7063</v>
      </c>
      <c r="I2952" s="33" t="s">
        <v>7064</v>
      </c>
      <c r="J2952" s="33">
        <v>142777</v>
      </c>
      <c r="K2952" s="33" t="s">
        <v>7521</v>
      </c>
      <c r="L2952" s="33" t="s">
        <v>7522</v>
      </c>
      <c r="M2952" s="33" t="s">
        <v>7523</v>
      </c>
      <c r="N2952" s="44">
        <v>42294306</v>
      </c>
      <c r="O2952" s="33" t="s">
        <v>7534</v>
      </c>
      <c r="P2952" s="33" t="s">
        <v>7535</v>
      </c>
      <c r="Q2952" s="34" t="s">
        <v>1494</v>
      </c>
      <c r="R2952" s="34" t="s">
        <v>1494</v>
      </c>
    </row>
    <row r="2953" spans="1:18" ht="15" customHeight="1" x14ac:dyDescent="0.25">
      <c r="A2953" t="str">
        <f>IFERROR(RANK(B2953,$B:$B,1)+COUNTIF($B$1:B2952,B2953),"")</f>
        <v/>
      </c>
      <c r="B2953" t="str">
        <f>IFERROR(SEARCH(#REF!,Table4[[#This Row],[Commodity Title]],1),"")</f>
        <v/>
      </c>
      <c r="C2953" s="35">
        <v>42294307</v>
      </c>
      <c r="D2953" s="33" t="s">
        <v>1495</v>
      </c>
      <c r="E2953" s="33" t="s">
        <v>1496</v>
      </c>
      <c r="F2953" s="33" t="s">
        <v>1497</v>
      </c>
      <c r="G2953" s="33" t="s">
        <v>7062</v>
      </c>
      <c r="H2953" s="33" t="s">
        <v>7063</v>
      </c>
      <c r="I2953" s="33" t="s">
        <v>7064</v>
      </c>
      <c r="J2953" s="33">
        <v>203151</v>
      </c>
      <c r="K2953" s="33" t="s">
        <v>7521</v>
      </c>
      <c r="L2953" s="33" t="s">
        <v>7522</v>
      </c>
      <c r="M2953" s="33" t="s">
        <v>7523</v>
      </c>
      <c r="N2953" s="44">
        <v>42294307</v>
      </c>
      <c r="O2953" s="33" t="s">
        <v>7536</v>
      </c>
      <c r="P2953" s="33" t="s">
        <v>7537</v>
      </c>
      <c r="Q2953" s="34" t="s">
        <v>1494</v>
      </c>
      <c r="R2953" s="34" t="s">
        <v>1494</v>
      </c>
    </row>
    <row r="2954" spans="1:18" ht="15" customHeight="1" x14ac:dyDescent="0.25">
      <c r="A2954" t="str">
        <f>IFERROR(RANK(B2954,$B:$B,1)+COUNTIF($B$1:B2953,B2954),"")</f>
        <v/>
      </c>
      <c r="B2954" t="str">
        <f>IFERROR(SEARCH(#REF!,Table4[[#This Row],[Commodity Title]],1),"")</f>
        <v/>
      </c>
      <c r="C2954" s="35">
        <v>42294308</v>
      </c>
      <c r="D2954" s="33" t="s">
        <v>1495</v>
      </c>
      <c r="E2954" s="33" t="s">
        <v>1496</v>
      </c>
      <c r="F2954" s="33" t="s">
        <v>1497</v>
      </c>
      <c r="G2954" s="33" t="s">
        <v>7062</v>
      </c>
      <c r="H2954" s="33" t="s">
        <v>7063</v>
      </c>
      <c r="I2954" s="33" t="s">
        <v>7064</v>
      </c>
      <c r="J2954" s="33">
        <v>203152</v>
      </c>
      <c r="K2954" s="33" t="s">
        <v>7521</v>
      </c>
      <c r="L2954" s="33" t="s">
        <v>7522</v>
      </c>
      <c r="M2954" s="33" t="s">
        <v>7523</v>
      </c>
      <c r="N2954" s="44">
        <v>42294308</v>
      </c>
      <c r="O2954" s="33" t="s">
        <v>7538</v>
      </c>
      <c r="P2954" s="33" t="s">
        <v>7539</v>
      </c>
      <c r="Q2954" s="34" t="s">
        <v>1494</v>
      </c>
      <c r="R2954" s="34" t="s">
        <v>1494</v>
      </c>
    </row>
    <row r="2955" spans="1:18" ht="15" customHeight="1" x14ac:dyDescent="0.25">
      <c r="A2955" t="str">
        <f>IFERROR(RANK(B2955,$B:$B,1)+COUNTIF($B$1:B2954,B2955),"")</f>
        <v/>
      </c>
      <c r="B2955" t="str">
        <f>IFERROR(SEARCH(#REF!,Table4[[#This Row],[Commodity Title]],1),"")</f>
        <v/>
      </c>
      <c r="C2955" s="33" t="s">
        <v>1494</v>
      </c>
      <c r="D2955" s="33" t="s">
        <v>1495</v>
      </c>
      <c r="E2955" s="33" t="s">
        <v>1496</v>
      </c>
      <c r="F2955" s="33" t="s">
        <v>1497</v>
      </c>
      <c r="G2955" s="33" t="s">
        <v>7062</v>
      </c>
      <c r="H2955" s="33" t="s">
        <v>7063</v>
      </c>
      <c r="I2955" s="33" t="s">
        <v>7064</v>
      </c>
      <c r="J2955" s="33">
        <v>116292</v>
      </c>
      <c r="K2955" s="33" t="s">
        <v>7540</v>
      </c>
      <c r="L2955" s="33" t="s">
        <v>7541</v>
      </c>
      <c r="M2955" s="33" t="s">
        <v>7542</v>
      </c>
      <c r="N2955" s="44" t="s">
        <v>1494</v>
      </c>
      <c r="O2955" s="33" t="s">
        <v>1494</v>
      </c>
      <c r="P2955" s="33" t="s">
        <v>1494</v>
      </c>
      <c r="Q2955" s="34" t="s">
        <v>1494</v>
      </c>
      <c r="R2955" s="34" t="s">
        <v>1494</v>
      </c>
    </row>
    <row r="2956" spans="1:18" ht="15" customHeight="1" x14ac:dyDescent="0.25">
      <c r="A2956" t="str">
        <f>IFERROR(RANK(B2956,$B:$B,1)+COUNTIF($B$1:B2955,B2956),"")</f>
        <v/>
      </c>
      <c r="B2956" t="str">
        <f>IFERROR(SEARCH(#REF!,Table4[[#This Row],[Commodity Title]],1),"")</f>
        <v/>
      </c>
      <c r="C2956" s="35">
        <v>42294401</v>
      </c>
      <c r="D2956" s="33" t="s">
        <v>1495</v>
      </c>
      <c r="E2956" s="33" t="s">
        <v>1496</v>
      </c>
      <c r="F2956" s="33" t="s">
        <v>1497</v>
      </c>
      <c r="G2956" s="33" t="s">
        <v>7062</v>
      </c>
      <c r="H2956" s="33" t="s">
        <v>7063</v>
      </c>
      <c r="I2956" s="33" t="s">
        <v>7064</v>
      </c>
      <c r="J2956" s="33">
        <v>116293</v>
      </c>
      <c r="K2956" s="33" t="s">
        <v>7540</v>
      </c>
      <c r="L2956" s="33" t="s">
        <v>7541</v>
      </c>
      <c r="M2956" s="33" t="s">
        <v>7542</v>
      </c>
      <c r="N2956" s="44">
        <v>42294401</v>
      </c>
      <c r="O2956" s="33" t="s">
        <v>7543</v>
      </c>
      <c r="P2956" s="33" t="s">
        <v>7544</v>
      </c>
      <c r="Q2956" s="34" t="s">
        <v>1494</v>
      </c>
      <c r="R2956" s="34" t="s">
        <v>1494</v>
      </c>
    </row>
    <row r="2957" spans="1:18" ht="15" customHeight="1" x14ac:dyDescent="0.25">
      <c r="A2957" t="str">
        <f>IFERROR(RANK(B2957,$B:$B,1)+COUNTIF($B$1:B2956,B2957),"")</f>
        <v/>
      </c>
      <c r="B2957" t="str">
        <f>IFERROR(SEARCH(#REF!,Table4[[#This Row],[Commodity Title]],1),"")</f>
        <v/>
      </c>
      <c r="C2957" s="35">
        <v>42294402</v>
      </c>
      <c r="D2957" s="33" t="s">
        <v>1495</v>
      </c>
      <c r="E2957" s="33" t="s">
        <v>1496</v>
      </c>
      <c r="F2957" s="33" t="s">
        <v>1497</v>
      </c>
      <c r="G2957" s="33" t="s">
        <v>7062</v>
      </c>
      <c r="H2957" s="33" t="s">
        <v>7063</v>
      </c>
      <c r="I2957" s="33" t="s">
        <v>7064</v>
      </c>
      <c r="J2957" s="33">
        <v>116294</v>
      </c>
      <c r="K2957" s="33" t="s">
        <v>7540</v>
      </c>
      <c r="L2957" s="33" t="s">
        <v>7541</v>
      </c>
      <c r="M2957" s="33" t="s">
        <v>7542</v>
      </c>
      <c r="N2957" s="44">
        <v>42294402</v>
      </c>
      <c r="O2957" s="33" t="s">
        <v>7545</v>
      </c>
      <c r="P2957" s="33" t="s">
        <v>7546</v>
      </c>
      <c r="Q2957" s="34" t="s">
        <v>1494</v>
      </c>
      <c r="R2957" s="34" t="s">
        <v>1494</v>
      </c>
    </row>
    <row r="2958" spans="1:18" ht="15" customHeight="1" x14ac:dyDescent="0.25">
      <c r="A2958" t="str">
        <f>IFERROR(RANK(B2958,$B:$B,1)+COUNTIF($B$1:B2957,B2958),"")</f>
        <v/>
      </c>
      <c r="B2958" t="str">
        <f>IFERROR(SEARCH(#REF!,Table4[[#This Row],[Commodity Title]],1),"")</f>
        <v/>
      </c>
      <c r="C2958" s="33" t="s">
        <v>1494</v>
      </c>
      <c r="D2958" s="33" t="s">
        <v>1495</v>
      </c>
      <c r="E2958" s="33" t="s">
        <v>1496</v>
      </c>
      <c r="F2958" s="33" t="s">
        <v>1497</v>
      </c>
      <c r="G2958" s="33" t="s">
        <v>7062</v>
      </c>
      <c r="H2958" s="33" t="s">
        <v>7063</v>
      </c>
      <c r="I2958" s="33" t="s">
        <v>7064</v>
      </c>
      <c r="J2958" s="33">
        <v>104424</v>
      </c>
      <c r="K2958" s="33" t="s">
        <v>7547</v>
      </c>
      <c r="L2958" s="33" t="s">
        <v>7548</v>
      </c>
      <c r="M2958" s="33" t="s">
        <v>7549</v>
      </c>
      <c r="N2958" s="44" t="s">
        <v>1494</v>
      </c>
      <c r="O2958" s="33" t="s">
        <v>1494</v>
      </c>
      <c r="P2958" s="33" t="s">
        <v>1494</v>
      </c>
      <c r="Q2958" s="34" t="s">
        <v>1494</v>
      </c>
      <c r="R2958" s="34" t="s">
        <v>1494</v>
      </c>
    </row>
    <row r="2959" spans="1:18" ht="15" customHeight="1" x14ac:dyDescent="0.25">
      <c r="A2959" t="str">
        <f>IFERROR(RANK(B2959,$B:$B,1)+COUNTIF($B$1:B2958,B2959),"")</f>
        <v/>
      </c>
      <c r="B2959" t="str">
        <f>IFERROR(SEARCH(#REF!,Table4[[#This Row],[Commodity Title]],1),"")</f>
        <v/>
      </c>
      <c r="C2959" s="35">
        <v>42294502</v>
      </c>
      <c r="D2959" s="33" t="s">
        <v>1495</v>
      </c>
      <c r="E2959" s="33" t="s">
        <v>1496</v>
      </c>
      <c r="F2959" s="33" t="s">
        <v>1497</v>
      </c>
      <c r="G2959" s="33" t="s">
        <v>7062</v>
      </c>
      <c r="H2959" s="33" t="s">
        <v>7063</v>
      </c>
      <c r="I2959" s="33" t="s">
        <v>7064</v>
      </c>
      <c r="J2959" s="33">
        <v>116297</v>
      </c>
      <c r="K2959" s="33" t="s">
        <v>7547</v>
      </c>
      <c r="L2959" s="33" t="s">
        <v>7548</v>
      </c>
      <c r="M2959" s="33" t="s">
        <v>7549</v>
      </c>
      <c r="N2959" s="44">
        <v>42294502</v>
      </c>
      <c r="O2959" s="33" t="s">
        <v>7550</v>
      </c>
      <c r="P2959" s="33" t="s">
        <v>7551</v>
      </c>
      <c r="Q2959" s="34" t="s">
        <v>1494</v>
      </c>
      <c r="R2959" s="34" t="s">
        <v>1494</v>
      </c>
    </row>
    <row r="2960" spans="1:18" ht="15" customHeight="1" x14ac:dyDescent="0.25">
      <c r="A2960" t="str">
        <f>IFERROR(RANK(B2960,$B:$B,1)+COUNTIF($B$1:B2959,B2960),"")</f>
        <v/>
      </c>
      <c r="B2960" t="str">
        <f>IFERROR(SEARCH(#REF!,Table4[[#This Row],[Commodity Title]],1),"")</f>
        <v/>
      </c>
      <c r="C2960" s="35">
        <v>42294503</v>
      </c>
      <c r="D2960" s="33" t="s">
        <v>1495</v>
      </c>
      <c r="E2960" s="33" t="s">
        <v>1496</v>
      </c>
      <c r="F2960" s="33" t="s">
        <v>1497</v>
      </c>
      <c r="G2960" s="33" t="s">
        <v>7062</v>
      </c>
      <c r="H2960" s="33" t="s">
        <v>7063</v>
      </c>
      <c r="I2960" s="33" t="s">
        <v>7064</v>
      </c>
      <c r="J2960" s="33">
        <v>116298</v>
      </c>
      <c r="K2960" s="33" t="s">
        <v>7547</v>
      </c>
      <c r="L2960" s="33" t="s">
        <v>7548</v>
      </c>
      <c r="M2960" s="33" t="s">
        <v>7549</v>
      </c>
      <c r="N2960" s="44">
        <v>42294503</v>
      </c>
      <c r="O2960" s="33" t="s">
        <v>7552</v>
      </c>
      <c r="P2960" s="33" t="s">
        <v>7553</v>
      </c>
      <c r="Q2960" s="34" t="s">
        <v>1494</v>
      </c>
      <c r="R2960" s="34" t="s">
        <v>1494</v>
      </c>
    </row>
    <row r="2961" spans="1:18" ht="15" customHeight="1" x14ac:dyDescent="0.25">
      <c r="A2961" t="str">
        <f>IFERROR(RANK(B2961,$B:$B,1)+COUNTIF($B$1:B2960,B2961),"")</f>
        <v/>
      </c>
      <c r="B2961" t="str">
        <f>IFERROR(SEARCH(#REF!,Table4[[#This Row],[Commodity Title]],1),"")</f>
        <v/>
      </c>
      <c r="C2961" s="35">
        <v>42294504</v>
      </c>
      <c r="D2961" s="33" t="s">
        <v>1495</v>
      </c>
      <c r="E2961" s="33" t="s">
        <v>1496</v>
      </c>
      <c r="F2961" s="33" t="s">
        <v>1497</v>
      </c>
      <c r="G2961" s="33" t="s">
        <v>7062</v>
      </c>
      <c r="H2961" s="33" t="s">
        <v>7063</v>
      </c>
      <c r="I2961" s="33" t="s">
        <v>7064</v>
      </c>
      <c r="J2961" s="33">
        <v>116299</v>
      </c>
      <c r="K2961" s="33" t="s">
        <v>7547</v>
      </c>
      <c r="L2961" s="33" t="s">
        <v>7548</v>
      </c>
      <c r="M2961" s="33" t="s">
        <v>7549</v>
      </c>
      <c r="N2961" s="44">
        <v>42294504</v>
      </c>
      <c r="O2961" s="33" t="s">
        <v>7554</v>
      </c>
      <c r="P2961" s="33" t="s">
        <v>7555</v>
      </c>
      <c r="Q2961" s="34" t="s">
        <v>1494</v>
      </c>
      <c r="R2961" s="34" t="s">
        <v>1494</v>
      </c>
    </row>
    <row r="2962" spans="1:18" ht="15" customHeight="1" x14ac:dyDescent="0.25">
      <c r="A2962" t="str">
        <f>IFERROR(RANK(B2962,$B:$B,1)+COUNTIF($B$1:B2961,B2962),"")</f>
        <v/>
      </c>
      <c r="B2962" t="str">
        <f>IFERROR(SEARCH(#REF!,Table4[[#This Row],[Commodity Title]],1),"")</f>
        <v/>
      </c>
      <c r="C2962" s="35">
        <v>42294505</v>
      </c>
      <c r="D2962" s="33" t="s">
        <v>1495</v>
      </c>
      <c r="E2962" s="33" t="s">
        <v>1496</v>
      </c>
      <c r="F2962" s="33" t="s">
        <v>1497</v>
      </c>
      <c r="G2962" s="33" t="s">
        <v>7062</v>
      </c>
      <c r="H2962" s="33" t="s">
        <v>7063</v>
      </c>
      <c r="I2962" s="33" t="s">
        <v>7064</v>
      </c>
      <c r="J2962" s="33">
        <v>116300</v>
      </c>
      <c r="K2962" s="33" t="s">
        <v>7547</v>
      </c>
      <c r="L2962" s="33" t="s">
        <v>7548</v>
      </c>
      <c r="M2962" s="33" t="s">
        <v>7549</v>
      </c>
      <c r="N2962" s="44">
        <v>42294505</v>
      </c>
      <c r="O2962" s="33" t="s">
        <v>7556</v>
      </c>
      <c r="P2962" s="33" t="s">
        <v>7557</v>
      </c>
      <c r="Q2962" s="34" t="s">
        <v>1494</v>
      </c>
      <c r="R2962" s="34" t="s">
        <v>1494</v>
      </c>
    </row>
    <row r="2963" spans="1:18" ht="15" customHeight="1" x14ac:dyDescent="0.25">
      <c r="A2963" t="str">
        <f>IFERROR(RANK(B2963,$B:$B,1)+COUNTIF($B$1:B2962,B2963),"")</f>
        <v/>
      </c>
      <c r="B2963" t="str">
        <f>IFERROR(SEARCH(#REF!,Table4[[#This Row],[Commodity Title]],1),"")</f>
        <v/>
      </c>
      <c r="C2963" s="35">
        <v>42294506</v>
      </c>
      <c r="D2963" s="33" t="s">
        <v>1495</v>
      </c>
      <c r="E2963" s="33" t="s">
        <v>1496</v>
      </c>
      <c r="F2963" s="33" t="s">
        <v>1497</v>
      </c>
      <c r="G2963" s="33" t="s">
        <v>7062</v>
      </c>
      <c r="H2963" s="33" t="s">
        <v>7063</v>
      </c>
      <c r="I2963" s="33" t="s">
        <v>7064</v>
      </c>
      <c r="J2963" s="33">
        <v>116301</v>
      </c>
      <c r="K2963" s="33" t="s">
        <v>7547</v>
      </c>
      <c r="L2963" s="33" t="s">
        <v>7548</v>
      </c>
      <c r="M2963" s="33" t="s">
        <v>7549</v>
      </c>
      <c r="N2963" s="44">
        <v>42294506</v>
      </c>
      <c r="O2963" s="33" t="s">
        <v>7558</v>
      </c>
      <c r="P2963" s="33" t="s">
        <v>7559</v>
      </c>
      <c r="Q2963" s="34" t="s">
        <v>1494</v>
      </c>
      <c r="R2963" s="34" t="s">
        <v>1494</v>
      </c>
    </row>
    <row r="2964" spans="1:18" ht="15" customHeight="1" x14ac:dyDescent="0.25">
      <c r="A2964" t="str">
        <f>IFERROR(RANK(B2964,$B:$B,1)+COUNTIF($B$1:B2963,B2964),"")</f>
        <v/>
      </c>
      <c r="B2964" t="str">
        <f>IFERROR(SEARCH(#REF!,Table4[[#This Row],[Commodity Title]],1),"")</f>
        <v/>
      </c>
      <c r="C2964" s="35">
        <v>42294507</v>
      </c>
      <c r="D2964" s="33" t="s">
        <v>1495</v>
      </c>
      <c r="E2964" s="33" t="s">
        <v>1496</v>
      </c>
      <c r="F2964" s="33" t="s">
        <v>1497</v>
      </c>
      <c r="G2964" s="33" t="s">
        <v>7062</v>
      </c>
      <c r="H2964" s="33" t="s">
        <v>7063</v>
      </c>
      <c r="I2964" s="33" t="s">
        <v>7064</v>
      </c>
      <c r="J2964" s="33">
        <v>116302</v>
      </c>
      <c r="K2964" s="33" t="s">
        <v>7547</v>
      </c>
      <c r="L2964" s="33" t="s">
        <v>7548</v>
      </c>
      <c r="M2964" s="33" t="s">
        <v>7549</v>
      </c>
      <c r="N2964" s="44">
        <v>42294507</v>
      </c>
      <c r="O2964" s="33" t="s">
        <v>7560</v>
      </c>
      <c r="P2964" s="33" t="s">
        <v>7561</v>
      </c>
      <c r="Q2964" s="34" t="s">
        <v>1494</v>
      </c>
      <c r="R2964" s="34" t="s">
        <v>1494</v>
      </c>
    </row>
    <row r="2965" spans="1:18" ht="15" customHeight="1" x14ac:dyDescent="0.25">
      <c r="A2965" t="str">
        <f>IFERROR(RANK(B2965,$B:$B,1)+COUNTIF($B$1:B2964,B2965),"")</f>
        <v/>
      </c>
      <c r="B2965" t="str">
        <f>IFERROR(SEARCH(#REF!,Table4[[#This Row],[Commodity Title]],1),"")</f>
        <v/>
      </c>
      <c r="C2965" s="35">
        <v>42294508</v>
      </c>
      <c r="D2965" s="33" t="s">
        <v>1495</v>
      </c>
      <c r="E2965" s="33" t="s">
        <v>1496</v>
      </c>
      <c r="F2965" s="33" t="s">
        <v>1497</v>
      </c>
      <c r="G2965" s="33" t="s">
        <v>7062</v>
      </c>
      <c r="H2965" s="33" t="s">
        <v>7063</v>
      </c>
      <c r="I2965" s="33" t="s">
        <v>7064</v>
      </c>
      <c r="J2965" s="33">
        <v>116303</v>
      </c>
      <c r="K2965" s="33" t="s">
        <v>7547</v>
      </c>
      <c r="L2965" s="33" t="s">
        <v>7548</v>
      </c>
      <c r="M2965" s="33" t="s">
        <v>7549</v>
      </c>
      <c r="N2965" s="44">
        <v>42294508</v>
      </c>
      <c r="O2965" s="33" t="s">
        <v>7562</v>
      </c>
      <c r="P2965" s="33" t="s">
        <v>7563</v>
      </c>
      <c r="Q2965" s="34" t="s">
        <v>1494</v>
      </c>
      <c r="R2965" s="34" t="s">
        <v>1494</v>
      </c>
    </row>
    <row r="2966" spans="1:18" ht="15" customHeight="1" x14ac:dyDescent="0.25">
      <c r="A2966" t="str">
        <f>IFERROR(RANK(B2966,$B:$B,1)+COUNTIF($B$1:B2965,B2966),"")</f>
        <v/>
      </c>
      <c r="B2966" t="str">
        <f>IFERROR(SEARCH(#REF!,Table4[[#This Row],[Commodity Title]],1),"")</f>
        <v/>
      </c>
      <c r="C2966" s="35">
        <v>42294509</v>
      </c>
      <c r="D2966" s="33" t="s">
        <v>1495</v>
      </c>
      <c r="E2966" s="33" t="s">
        <v>1496</v>
      </c>
      <c r="F2966" s="33" t="s">
        <v>1497</v>
      </c>
      <c r="G2966" s="33" t="s">
        <v>7062</v>
      </c>
      <c r="H2966" s="33" t="s">
        <v>7063</v>
      </c>
      <c r="I2966" s="33" t="s">
        <v>7064</v>
      </c>
      <c r="J2966" s="33">
        <v>142778</v>
      </c>
      <c r="K2966" s="33" t="s">
        <v>7547</v>
      </c>
      <c r="L2966" s="33" t="s">
        <v>7548</v>
      </c>
      <c r="M2966" s="33" t="s">
        <v>7549</v>
      </c>
      <c r="N2966" s="44">
        <v>42294509</v>
      </c>
      <c r="O2966" s="33" t="s">
        <v>7564</v>
      </c>
      <c r="P2966" s="33" t="s">
        <v>7565</v>
      </c>
      <c r="Q2966" s="34" t="s">
        <v>1494</v>
      </c>
      <c r="R2966" s="34" t="s">
        <v>1494</v>
      </c>
    </row>
    <row r="2967" spans="1:18" ht="15" customHeight="1" x14ac:dyDescent="0.25">
      <c r="A2967" t="str">
        <f>IFERROR(RANK(B2967,$B:$B,1)+COUNTIF($B$1:B2966,B2967),"")</f>
        <v/>
      </c>
      <c r="B2967" t="str">
        <f>IFERROR(SEARCH(#REF!,Table4[[#This Row],[Commodity Title]],1),"")</f>
        <v/>
      </c>
      <c r="C2967" s="35">
        <v>42294510</v>
      </c>
      <c r="D2967" s="33" t="s">
        <v>1495</v>
      </c>
      <c r="E2967" s="33" t="s">
        <v>1496</v>
      </c>
      <c r="F2967" s="33" t="s">
        <v>1497</v>
      </c>
      <c r="G2967" s="33" t="s">
        <v>7062</v>
      </c>
      <c r="H2967" s="33" t="s">
        <v>7063</v>
      </c>
      <c r="I2967" s="33" t="s">
        <v>7064</v>
      </c>
      <c r="J2967" s="33">
        <v>142779</v>
      </c>
      <c r="K2967" s="33" t="s">
        <v>7547</v>
      </c>
      <c r="L2967" s="33" t="s">
        <v>7548</v>
      </c>
      <c r="M2967" s="33" t="s">
        <v>7549</v>
      </c>
      <c r="N2967" s="44">
        <v>42294510</v>
      </c>
      <c r="O2967" s="33" t="s">
        <v>7566</v>
      </c>
      <c r="P2967" s="33" t="s">
        <v>7567</v>
      </c>
      <c r="Q2967" s="34" t="s">
        <v>1494</v>
      </c>
      <c r="R2967" s="34" t="s">
        <v>1494</v>
      </c>
    </row>
    <row r="2968" spans="1:18" ht="15" customHeight="1" x14ac:dyDescent="0.25">
      <c r="A2968" t="str">
        <f>IFERROR(RANK(B2968,$B:$B,1)+COUNTIF($B$1:B2967,B2968),"")</f>
        <v/>
      </c>
      <c r="B2968" t="str">
        <f>IFERROR(SEARCH(#REF!,Table4[[#This Row],[Commodity Title]],1),"")</f>
        <v/>
      </c>
      <c r="C2968" s="35">
        <v>42294511</v>
      </c>
      <c r="D2968" s="33" t="s">
        <v>1495</v>
      </c>
      <c r="E2968" s="33" t="s">
        <v>1496</v>
      </c>
      <c r="F2968" s="33" t="s">
        <v>1497</v>
      </c>
      <c r="G2968" s="33" t="s">
        <v>7062</v>
      </c>
      <c r="H2968" s="33" t="s">
        <v>7063</v>
      </c>
      <c r="I2968" s="33" t="s">
        <v>7064</v>
      </c>
      <c r="J2968" s="33">
        <v>142780</v>
      </c>
      <c r="K2968" s="33" t="s">
        <v>7547</v>
      </c>
      <c r="L2968" s="33" t="s">
        <v>7548</v>
      </c>
      <c r="M2968" s="33" t="s">
        <v>7549</v>
      </c>
      <c r="N2968" s="44">
        <v>42294511</v>
      </c>
      <c r="O2968" s="33" t="s">
        <v>7568</v>
      </c>
      <c r="P2968" s="33" t="s">
        <v>7569</v>
      </c>
      <c r="Q2968" s="34" t="s">
        <v>1494</v>
      </c>
      <c r="R2968" s="34" t="s">
        <v>1494</v>
      </c>
    </row>
    <row r="2969" spans="1:18" ht="15" customHeight="1" x14ac:dyDescent="0.25">
      <c r="A2969" t="str">
        <f>IFERROR(RANK(B2969,$B:$B,1)+COUNTIF($B$1:B2968,B2969),"")</f>
        <v/>
      </c>
      <c r="B2969" t="str">
        <f>IFERROR(SEARCH(#REF!,Table4[[#This Row],[Commodity Title]],1),"")</f>
        <v/>
      </c>
      <c r="C2969" s="35">
        <v>42294512</v>
      </c>
      <c r="D2969" s="33" t="s">
        <v>1495</v>
      </c>
      <c r="E2969" s="33" t="s">
        <v>1496</v>
      </c>
      <c r="F2969" s="33" t="s">
        <v>1497</v>
      </c>
      <c r="G2969" s="33" t="s">
        <v>7062</v>
      </c>
      <c r="H2969" s="33" t="s">
        <v>7063</v>
      </c>
      <c r="I2969" s="33" t="s">
        <v>7064</v>
      </c>
      <c r="J2969" s="33">
        <v>142781</v>
      </c>
      <c r="K2969" s="33" t="s">
        <v>7547</v>
      </c>
      <c r="L2969" s="33" t="s">
        <v>7548</v>
      </c>
      <c r="M2969" s="33" t="s">
        <v>7549</v>
      </c>
      <c r="N2969" s="44">
        <v>42294512</v>
      </c>
      <c r="O2969" s="33" t="s">
        <v>7570</v>
      </c>
      <c r="P2969" s="33" t="s">
        <v>7571</v>
      </c>
      <c r="Q2969" s="34" t="s">
        <v>1494</v>
      </c>
      <c r="R2969" s="34" t="s">
        <v>1494</v>
      </c>
    </row>
    <row r="2970" spans="1:18" ht="15" customHeight="1" x14ac:dyDescent="0.25">
      <c r="A2970" t="str">
        <f>IFERROR(RANK(B2970,$B:$B,1)+COUNTIF($B$1:B2969,B2970),"")</f>
        <v/>
      </c>
      <c r="B2970" t="str">
        <f>IFERROR(SEARCH(#REF!,Table4[[#This Row],[Commodity Title]],1),"")</f>
        <v/>
      </c>
      <c r="C2970" s="35">
        <v>42294513</v>
      </c>
      <c r="D2970" s="33" t="s">
        <v>1495</v>
      </c>
      <c r="E2970" s="33" t="s">
        <v>1496</v>
      </c>
      <c r="F2970" s="33" t="s">
        <v>1497</v>
      </c>
      <c r="G2970" s="33" t="s">
        <v>7062</v>
      </c>
      <c r="H2970" s="33" t="s">
        <v>7063</v>
      </c>
      <c r="I2970" s="33" t="s">
        <v>7064</v>
      </c>
      <c r="J2970" s="33">
        <v>142782</v>
      </c>
      <c r="K2970" s="33" t="s">
        <v>7547</v>
      </c>
      <c r="L2970" s="33" t="s">
        <v>7548</v>
      </c>
      <c r="M2970" s="33" t="s">
        <v>7549</v>
      </c>
      <c r="N2970" s="44">
        <v>42294513</v>
      </c>
      <c r="O2970" s="33" t="s">
        <v>7572</v>
      </c>
      <c r="P2970" s="33" t="s">
        <v>7573</v>
      </c>
      <c r="Q2970" s="34" t="s">
        <v>1494</v>
      </c>
      <c r="R2970" s="34" t="s">
        <v>1494</v>
      </c>
    </row>
    <row r="2971" spans="1:18" ht="15" customHeight="1" x14ac:dyDescent="0.25">
      <c r="A2971" t="str">
        <f>IFERROR(RANK(B2971,$B:$B,1)+COUNTIF($B$1:B2970,B2971),"")</f>
        <v/>
      </c>
      <c r="B2971" t="str">
        <f>IFERROR(SEARCH(#REF!,Table4[[#This Row],[Commodity Title]],1),"")</f>
        <v/>
      </c>
      <c r="C2971" s="35">
        <v>42294514</v>
      </c>
      <c r="D2971" s="33" t="s">
        <v>1495</v>
      </c>
      <c r="E2971" s="33" t="s">
        <v>1496</v>
      </c>
      <c r="F2971" s="33" t="s">
        <v>1497</v>
      </c>
      <c r="G2971" s="33" t="s">
        <v>7062</v>
      </c>
      <c r="H2971" s="33" t="s">
        <v>7063</v>
      </c>
      <c r="I2971" s="33" t="s">
        <v>7064</v>
      </c>
      <c r="J2971" s="33">
        <v>142783</v>
      </c>
      <c r="K2971" s="33" t="s">
        <v>7547</v>
      </c>
      <c r="L2971" s="33" t="s">
        <v>7548</v>
      </c>
      <c r="M2971" s="33" t="s">
        <v>7549</v>
      </c>
      <c r="N2971" s="44">
        <v>42294514</v>
      </c>
      <c r="O2971" s="33" t="s">
        <v>7574</v>
      </c>
      <c r="P2971" s="33" t="s">
        <v>7575</v>
      </c>
      <c r="Q2971" s="34" t="s">
        <v>1494</v>
      </c>
      <c r="R2971" s="34" t="s">
        <v>1494</v>
      </c>
    </row>
    <row r="2972" spans="1:18" ht="15" customHeight="1" x14ac:dyDescent="0.25">
      <c r="A2972" t="str">
        <f>IFERROR(RANK(B2972,$B:$B,1)+COUNTIF($B$1:B2971,B2972),"")</f>
        <v/>
      </c>
      <c r="B2972" t="str">
        <f>IFERROR(SEARCH(#REF!,Table4[[#This Row],[Commodity Title]],1),"")</f>
        <v/>
      </c>
      <c r="C2972" s="35">
        <v>42294515</v>
      </c>
      <c r="D2972" s="33" t="s">
        <v>1495</v>
      </c>
      <c r="E2972" s="33" t="s">
        <v>1496</v>
      </c>
      <c r="F2972" s="33" t="s">
        <v>1497</v>
      </c>
      <c r="G2972" s="33" t="s">
        <v>7062</v>
      </c>
      <c r="H2972" s="33" t="s">
        <v>7063</v>
      </c>
      <c r="I2972" s="33" t="s">
        <v>7064</v>
      </c>
      <c r="J2972" s="33">
        <v>142784</v>
      </c>
      <c r="K2972" s="33" t="s">
        <v>7547</v>
      </c>
      <c r="L2972" s="33" t="s">
        <v>7548</v>
      </c>
      <c r="M2972" s="33" t="s">
        <v>7549</v>
      </c>
      <c r="N2972" s="44">
        <v>42294515</v>
      </c>
      <c r="O2972" s="33" t="s">
        <v>7576</v>
      </c>
      <c r="P2972" s="33" t="s">
        <v>7577</v>
      </c>
      <c r="Q2972" s="34" t="s">
        <v>1494</v>
      </c>
      <c r="R2972" s="34" t="s">
        <v>1494</v>
      </c>
    </row>
    <row r="2973" spans="1:18" ht="15" customHeight="1" x14ac:dyDescent="0.25">
      <c r="A2973" t="str">
        <f>IFERROR(RANK(B2973,$B:$B,1)+COUNTIF($B$1:B2972,B2973),"")</f>
        <v/>
      </c>
      <c r="B2973" t="str">
        <f>IFERROR(SEARCH(#REF!,Table4[[#This Row],[Commodity Title]],1),"")</f>
        <v/>
      </c>
      <c r="C2973" s="35">
        <v>42294516</v>
      </c>
      <c r="D2973" s="33" t="s">
        <v>1495</v>
      </c>
      <c r="E2973" s="33" t="s">
        <v>1496</v>
      </c>
      <c r="F2973" s="33" t="s">
        <v>1497</v>
      </c>
      <c r="G2973" s="33" t="s">
        <v>7062</v>
      </c>
      <c r="H2973" s="33" t="s">
        <v>7063</v>
      </c>
      <c r="I2973" s="33" t="s">
        <v>7064</v>
      </c>
      <c r="J2973" s="33">
        <v>142785</v>
      </c>
      <c r="K2973" s="33" t="s">
        <v>7547</v>
      </c>
      <c r="L2973" s="33" t="s">
        <v>7548</v>
      </c>
      <c r="M2973" s="33" t="s">
        <v>7549</v>
      </c>
      <c r="N2973" s="44">
        <v>42294516</v>
      </c>
      <c r="O2973" s="33" t="s">
        <v>7578</v>
      </c>
      <c r="P2973" s="33" t="s">
        <v>7579</v>
      </c>
      <c r="Q2973" s="34" t="s">
        <v>1494</v>
      </c>
      <c r="R2973" s="34" t="s">
        <v>1494</v>
      </c>
    </row>
    <row r="2974" spans="1:18" ht="15" customHeight="1" x14ac:dyDescent="0.25">
      <c r="A2974" t="str">
        <f>IFERROR(RANK(B2974,$B:$B,1)+COUNTIF($B$1:B2973,B2974),"")</f>
        <v/>
      </c>
      <c r="B2974" t="str">
        <f>IFERROR(SEARCH(#REF!,Table4[[#This Row],[Commodity Title]],1),"")</f>
        <v/>
      </c>
      <c r="C2974" s="35">
        <v>42294517</v>
      </c>
      <c r="D2974" s="33" t="s">
        <v>1495</v>
      </c>
      <c r="E2974" s="33" t="s">
        <v>1496</v>
      </c>
      <c r="F2974" s="33" t="s">
        <v>1497</v>
      </c>
      <c r="G2974" s="33" t="s">
        <v>7062</v>
      </c>
      <c r="H2974" s="33" t="s">
        <v>7063</v>
      </c>
      <c r="I2974" s="33" t="s">
        <v>7064</v>
      </c>
      <c r="J2974" s="33">
        <v>142786</v>
      </c>
      <c r="K2974" s="33" t="s">
        <v>7547</v>
      </c>
      <c r="L2974" s="33" t="s">
        <v>7548</v>
      </c>
      <c r="M2974" s="33" t="s">
        <v>7549</v>
      </c>
      <c r="N2974" s="44">
        <v>42294517</v>
      </c>
      <c r="O2974" s="33" t="s">
        <v>7580</v>
      </c>
      <c r="P2974" s="33" t="s">
        <v>7581</v>
      </c>
      <c r="Q2974" s="34" t="s">
        <v>1494</v>
      </c>
      <c r="R2974" s="34" t="s">
        <v>1494</v>
      </c>
    </row>
    <row r="2975" spans="1:18" ht="15" customHeight="1" x14ac:dyDescent="0.25">
      <c r="A2975" t="str">
        <f>IFERROR(RANK(B2975,$B:$B,1)+COUNTIF($B$1:B2974,B2975),"")</f>
        <v/>
      </c>
      <c r="B2975" t="str">
        <f>IFERROR(SEARCH(#REF!,Table4[[#This Row],[Commodity Title]],1),"")</f>
        <v/>
      </c>
      <c r="C2975" s="35">
        <v>42294518</v>
      </c>
      <c r="D2975" s="33" t="s">
        <v>1495</v>
      </c>
      <c r="E2975" s="33" t="s">
        <v>1496</v>
      </c>
      <c r="F2975" s="33" t="s">
        <v>1497</v>
      </c>
      <c r="G2975" s="33" t="s">
        <v>7062</v>
      </c>
      <c r="H2975" s="33" t="s">
        <v>7063</v>
      </c>
      <c r="I2975" s="33" t="s">
        <v>7064</v>
      </c>
      <c r="J2975" s="33">
        <v>142787</v>
      </c>
      <c r="K2975" s="33" t="s">
        <v>7547</v>
      </c>
      <c r="L2975" s="33" t="s">
        <v>7548</v>
      </c>
      <c r="M2975" s="33" t="s">
        <v>7549</v>
      </c>
      <c r="N2975" s="44">
        <v>42294518</v>
      </c>
      <c r="O2975" s="33" t="s">
        <v>7582</v>
      </c>
      <c r="P2975" s="33" t="s">
        <v>7583</v>
      </c>
      <c r="Q2975" s="34" t="s">
        <v>1494</v>
      </c>
      <c r="R2975" s="34" t="s">
        <v>1494</v>
      </c>
    </row>
    <row r="2976" spans="1:18" ht="15" customHeight="1" x14ac:dyDescent="0.25">
      <c r="A2976" t="str">
        <f>IFERROR(RANK(B2976,$B:$B,1)+COUNTIF($B$1:B2975,B2976),"")</f>
        <v/>
      </c>
      <c r="B2976" t="str">
        <f>IFERROR(SEARCH(#REF!,Table4[[#This Row],[Commodity Title]],1),"")</f>
        <v/>
      </c>
      <c r="C2976" s="35">
        <v>42294519</v>
      </c>
      <c r="D2976" s="33" t="s">
        <v>1495</v>
      </c>
      <c r="E2976" s="33" t="s">
        <v>1496</v>
      </c>
      <c r="F2976" s="33" t="s">
        <v>1497</v>
      </c>
      <c r="G2976" s="33" t="s">
        <v>7062</v>
      </c>
      <c r="H2976" s="33" t="s">
        <v>7063</v>
      </c>
      <c r="I2976" s="33" t="s">
        <v>7064</v>
      </c>
      <c r="J2976" s="33">
        <v>142788</v>
      </c>
      <c r="K2976" s="33" t="s">
        <v>7547</v>
      </c>
      <c r="L2976" s="33" t="s">
        <v>7548</v>
      </c>
      <c r="M2976" s="33" t="s">
        <v>7549</v>
      </c>
      <c r="N2976" s="44">
        <v>42294519</v>
      </c>
      <c r="O2976" s="33" t="s">
        <v>7584</v>
      </c>
      <c r="P2976" s="33" t="s">
        <v>7585</v>
      </c>
      <c r="Q2976" s="34" t="s">
        <v>1494</v>
      </c>
      <c r="R2976" s="34" t="s">
        <v>1494</v>
      </c>
    </row>
    <row r="2977" spans="1:18" ht="15" customHeight="1" x14ac:dyDescent="0.25">
      <c r="A2977" t="str">
        <f>IFERROR(RANK(B2977,$B:$B,1)+COUNTIF($B$1:B2976,B2977),"")</f>
        <v/>
      </c>
      <c r="B2977" t="str">
        <f>IFERROR(SEARCH(#REF!,Table4[[#This Row],[Commodity Title]],1),"")</f>
        <v/>
      </c>
      <c r="C2977" s="35">
        <v>42294520</v>
      </c>
      <c r="D2977" s="33" t="s">
        <v>1495</v>
      </c>
      <c r="E2977" s="33" t="s">
        <v>1496</v>
      </c>
      <c r="F2977" s="33" t="s">
        <v>1497</v>
      </c>
      <c r="G2977" s="33" t="s">
        <v>7062</v>
      </c>
      <c r="H2977" s="33" t="s">
        <v>7063</v>
      </c>
      <c r="I2977" s="33" t="s">
        <v>7064</v>
      </c>
      <c r="J2977" s="33">
        <v>142789</v>
      </c>
      <c r="K2977" s="33" t="s">
        <v>7547</v>
      </c>
      <c r="L2977" s="33" t="s">
        <v>7548</v>
      </c>
      <c r="M2977" s="33" t="s">
        <v>7549</v>
      </c>
      <c r="N2977" s="44">
        <v>42294520</v>
      </c>
      <c r="O2977" s="33" t="s">
        <v>7586</v>
      </c>
      <c r="P2977" s="33" t="s">
        <v>7587</v>
      </c>
      <c r="Q2977" s="34" t="s">
        <v>1494</v>
      </c>
      <c r="R2977" s="34" t="s">
        <v>1494</v>
      </c>
    </row>
    <row r="2978" spans="1:18" ht="15" customHeight="1" x14ac:dyDescent="0.25">
      <c r="A2978" t="str">
        <f>IFERROR(RANK(B2978,$B:$B,1)+COUNTIF($B$1:B2977,B2978),"")</f>
        <v/>
      </c>
      <c r="B2978" t="str">
        <f>IFERROR(SEARCH(#REF!,Table4[[#This Row],[Commodity Title]],1),"")</f>
        <v/>
      </c>
      <c r="C2978" s="35">
        <v>42294521</v>
      </c>
      <c r="D2978" s="33" t="s">
        <v>1495</v>
      </c>
      <c r="E2978" s="33" t="s">
        <v>1496</v>
      </c>
      <c r="F2978" s="33" t="s">
        <v>1497</v>
      </c>
      <c r="G2978" s="33" t="s">
        <v>7062</v>
      </c>
      <c r="H2978" s="33" t="s">
        <v>7063</v>
      </c>
      <c r="I2978" s="33" t="s">
        <v>7064</v>
      </c>
      <c r="J2978" s="33">
        <v>142790</v>
      </c>
      <c r="K2978" s="33" t="s">
        <v>7547</v>
      </c>
      <c r="L2978" s="33" t="s">
        <v>7548</v>
      </c>
      <c r="M2978" s="33" t="s">
        <v>7549</v>
      </c>
      <c r="N2978" s="44">
        <v>42294521</v>
      </c>
      <c r="O2978" s="33" t="s">
        <v>7588</v>
      </c>
      <c r="P2978" s="33" t="s">
        <v>7589</v>
      </c>
      <c r="Q2978" s="34" t="s">
        <v>1494</v>
      </c>
      <c r="R2978" s="34" t="s">
        <v>1494</v>
      </c>
    </row>
    <row r="2979" spans="1:18" ht="15" customHeight="1" x14ac:dyDescent="0.25">
      <c r="A2979" t="str">
        <f>IFERROR(RANK(B2979,$B:$B,1)+COUNTIF($B$1:B2978,B2979),"")</f>
        <v/>
      </c>
      <c r="B2979" t="str">
        <f>IFERROR(SEARCH(#REF!,Table4[[#This Row],[Commodity Title]],1),"")</f>
        <v/>
      </c>
      <c r="C2979" s="35">
        <v>42294522</v>
      </c>
      <c r="D2979" s="33" t="s">
        <v>1495</v>
      </c>
      <c r="E2979" s="33" t="s">
        <v>1496</v>
      </c>
      <c r="F2979" s="33" t="s">
        <v>1497</v>
      </c>
      <c r="G2979" s="33" t="s">
        <v>7062</v>
      </c>
      <c r="H2979" s="33" t="s">
        <v>7063</v>
      </c>
      <c r="I2979" s="33" t="s">
        <v>7064</v>
      </c>
      <c r="J2979" s="33">
        <v>142791</v>
      </c>
      <c r="K2979" s="33" t="s">
        <v>7547</v>
      </c>
      <c r="L2979" s="33" t="s">
        <v>7548</v>
      </c>
      <c r="M2979" s="33" t="s">
        <v>7549</v>
      </c>
      <c r="N2979" s="44">
        <v>42294522</v>
      </c>
      <c r="O2979" s="33" t="s">
        <v>7590</v>
      </c>
      <c r="P2979" s="33" t="s">
        <v>7591</v>
      </c>
      <c r="Q2979" s="34" t="s">
        <v>1494</v>
      </c>
      <c r="R2979" s="34" t="s">
        <v>1494</v>
      </c>
    </row>
    <row r="2980" spans="1:18" ht="15" customHeight="1" x14ac:dyDescent="0.25">
      <c r="A2980" t="str">
        <f>IFERROR(RANK(B2980,$B:$B,1)+COUNTIF($B$1:B2979,B2980),"")</f>
        <v/>
      </c>
      <c r="B2980" t="str">
        <f>IFERROR(SEARCH(#REF!,Table4[[#This Row],[Commodity Title]],1),"")</f>
        <v/>
      </c>
      <c r="C2980" s="35">
        <v>42294523</v>
      </c>
      <c r="D2980" s="33" t="s">
        <v>1495</v>
      </c>
      <c r="E2980" s="33" t="s">
        <v>1496</v>
      </c>
      <c r="F2980" s="33" t="s">
        <v>1497</v>
      </c>
      <c r="G2980" s="33" t="s">
        <v>7062</v>
      </c>
      <c r="H2980" s="33" t="s">
        <v>7063</v>
      </c>
      <c r="I2980" s="33" t="s">
        <v>7064</v>
      </c>
      <c r="J2980" s="33">
        <v>142792</v>
      </c>
      <c r="K2980" s="33" t="s">
        <v>7547</v>
      </c>
      <c r="L2980" s="33" t="s">
        <v>7548</v>
      </c>
      <c r="M2980" s="33" t="s">
        <v>7549</v>
      </c>
      <c r="N2980" s="44">
        <v>42294523</v>
      </c>
      <c r="O2980" s="33" t="s">
        <v>7592</v>
      </c>
      <c r="P2980" s="33" t="s">
        <v>7593</v>
      </c>
      <c r="Q2980" s="34" t="s">
        <v>1494</v>
      </c>
      <c r="R2980" s="34" t="s">
        <v>1494</v>
      </c>
    </row>
    <row r="2981" spans="1:18" ht="15" customHeight="1" x14ac:dyDescent="0.25">
      <c r="A2981" t="str">
        <f>IFERROR(RANK(B2981,$B:$B,1)+COUNTIF($B$1:B2980,B2981),"")</f>
        <v/>
      </c>
      <c r="B2981" t="str">
        <f>IFERROR(SEARCH(#REF!,Table4[[#This Row],[Commodity Title]],1),"")</f>
        <v/>
      </c>
      <c r="C2981" s="35">
        <v>42294524</v>
      </c>
      <c r="D2981" s="33" t="s">
        <v>1495</v>
      </c>
      <c r="E2981" s="33" t="s">
        <v>1496</v>
      </c>
      <c r="F2981" s="33" t="s">
        <v>1497</v>
      </c>
      <c r="G2981" s="33" t="s">
        <v>7062</v>
      </c>
      <c r="H2981" s="33" t="s">
        <v>7063</v>
      </c>
      <c r="I2981" s="33" t="s">
        <v>7064</v>
      </c>
      <c r="J2981" s="33">
        <v>142793</v>
      </c>
      <c r="K2981" s="33" t="s">
        <v>7547</v>
      </c>
      <c r="L2981" s="33" t="s">
        <v>7548</v>
      </c>
      <c r="M2981" s="33" t="s">
        <v>7549</v>
      </c>
      <c r="N2981" s="44">
        <v>42294524</v>
      </c>
      <c r="O2981" s="33" t="s">
        <v>7594</v>
      </c>
      <c r="P2981" s="33" t="s">
        <v>7595</v>
      </c>
      <c r="Q2981" s="34" t="s">
        <v>1494</v>
      </c>
      <c r="R2981" s="34" t="s">
        <v>1494</v>
      </c>
    </row>
    <row r="2982" spans="1:18" ht="15" customHeight="1" x14ac:dyDescent="0.25">
      <c r="A2982" t="str">
        <f>IFERROR(RANK(B2982,$B:$B,1)+COUNTIF($B$1:B2981,B2982),"")</f>
        <v/>
      </c>
      <c r="B2982" t="str">
        <f>IFERROR(SEARCH(#REF!,Table4[[#This Row],[Commodity Title]],1),"")</f>
        <v/>
      </c>
      <c r="C2982" s="35">
        <v>42294527</v>
      </c>
      <c r="D2982" s="33" t="s">
        <v>1495</v>
      </c>
      <c r="E2982" s="33" t="s">
        <v>1496</v>
      </c>
      <c r="F2982" s="33" t="s">
        <v>1497</v>
      </c>
      <c r="G2982" s="33" t="s">
        <v>7062</v>
      </c>
      <c r="H2982" s="33" t="s">
        <v>7063</v>
      </c>
      <c r="I2982" s="33" t="s">
        <v>7064</v>
      </c>
      <c r="J2982" s="33">
        <v>145092</v>
      </c>
      <c r="K2982" s="33" t="s">
        <v>7547</v>
      </c>
      <c r="L2982" s="33" t="s">
        <v>7548</v>
      </c>
      <c r="M2982" s="33" t="s">
        <v>7549</v>
      </c>
      <c r="N2982" s="44">
        <v>42294527</v>
      </c>
      <c r="O2982" s="33" t="s">
        <v>7596</v>
      </c>
      <c r="P2982" s="33" t="s">
        <v>7597</v>
      </c>
      <c r="Q2982" s="34" t="s">
        <v>1494</v>
      </c>
      <c r="R2982" s="34" t="s">
        <v>1494</v>
      </c>
    </row>
    <row r="2983" spans="1:18" ht="15" customHeight="1" x14ac:dyDescent="0.25">
      <c r="A2983" t="str">
        <f>IFERROR(RANK(B2983,$B:$B,1)+COUNTIF($B$1:B2982,B2983),"")</f>
        <v/>
      </c>
      <c r="B2983" t="str">
        <f>IFERROR(SEARCH(#REF!,Table4[[#This Row],[Commodity Title]],1),"")</f>
        <v/>
      </c>
      <c r="C2983" s="35">
        <v>42294528</v>
      </c>
      <c r="D2983" s="33" t="s">
        <v>1495</v>
      </c>
      <c r="E2983" s="33" t="s">
        <v>1496</v>
      </c>
      <c r="F2983" s="33" t="s">
        <v>1497</v>
      </c>
      <c r="G2983" s="33" t="s">
        <v>7062</v>
      </c>
      <c r="H2983" s="33" t="s">
        <v>7063</v>
      </c>
      <c r="I2983" s="33" t="s">
        <v>7064</v>
      </c>
      <c r="J2983" s="33">
        <v>145093</v>
      </c>
      <c r="K2983" s="33" t="s">
        <v>7547</v>
      </c>
      <c r="L2983" s="33" t="s">
        <v>7548</v>
      </c>
      <c r="M2983" s="33" t="s">
        <v>7549</v>
      </c>
      <c r="N2983" s="44">
        <v>42294528</v>
      </c>
      <c r="O2983" s="33" t="s">
        <v>7598</v>
      </c>
      <c r="P2983" s="33" t="s">
        <v>7599</v>
      </c>
      <c r="Q2983" s="34" t="s">
        <v>1494</v>
      </c>
      <c r="R2983" s="34" t="s">
        <v>1494</v>
      </c>
    </row>
    <row r="2984" spans="1:18" ht="15" customHeight="1" x14ac:dyDescent="0.25">
      <c r="A2984" t="str">
        <f>IFERROR(RANK(B2984,$B:$B,1)+COUNTIF($B$1:B2983,B2984),"")</f>
        <v/>
      </c>
      <c r="B2984" t="str">
        <f>IFERROR(SEARCH(#REF!,Table4[[#This Row],[Commodity Title]],1),"")</f>
        <v/>
      </c>
      <c r="C2984" s="35">
        <v>42294530</v>
      </c>
      <c r="D2984" s="33" t="s">
        <v>1495</v>
      </c>
      <c r="E2984" s="33" t="s">
        <v>1496</v>
      </c>
      <c r="F2984" s="33" t="s">
        <v>1497</v>
      </c>
      <c r="G2984" s="33" t="s">
        <v>7062</v>
      </c>
      <c r="H2984" s="33" t="s">
        <v>7063</v>
      </c>
      <c r="I2984" s="33" t="s">
        <v>7064</v>
      </c>
      <c r="J2984" s="33">
        <v>142523</v>
      </c>
      <c r="K2984" s="33" t="s">
        <v>7547</v>
      </c>
      <c r="L2984" s="33" t="s">
        <v>7548</v>
      </c>
      <c r="M2984" s="33" t="s">
        <v>7549</v>
      </c>
      <c r="N2984" s="44">
        <v>42294530</v>
      </c>
      <c r="O2984" s="33" t="s">
        <v>7600</v>
      </c>
      <c r="P2984" s="33" t="s">
        <v>7601</v>
      </c>
      <c r="Q2984" s="34" t="s">
        <v>1494</v>
      </c>
      <c r="R2984" s="34" t="s">
        <v>1494</v>
      </c>
    </row>
    <row r="2985" spans="1:18" ht="15" customHeight="1" x14ac:dyDescent="0.25">
      <c r="A2985" t="str">
        <f>IFERROR(RANK(B2985,$B:$B,1)+COUNTIF($B$1:B2984,B2985),"")</f>
        <v/>
      </c>
      <c r="B2985" t="str">
        <f>IFERROR(SEARCH(#REF!,Table4[[#This Row],[Commodity Title]],1),"")</f>
        <v/>
      </c>
      <c r="C2985" s="35">
        <v>42294531</v>
      </c>
      <c r="D2985" s="33" t="s">
        <v>1495</v>
      </c>
      <c r="E2985" s="33" t="s">
        <v>1496</v>
      </c>
      <c r="F2985" s="33" t="s">
        <v>1497</v>
      </c>
      <c r="G2985" s="33" t="s">
        <v>7062</v>
      </c>
      <c r="H2985" s="33" t="s">
        <v>7063</v>
      </c>
      <c r="I2985" s="33" t="s">
        <v>7064</v>
      </c>
      <c r="J2985" s="33">
        <v>177422</v>
      </c>
      <c r="K2985" s="33" t="s">
        <v>7547</v>
      </c>
      <c r="L2985" s="33" t="s">
        <v>7548</v>
      </c>
      <c r="M2985" s="33" t="s">
        <v>7549</v>
      </c>
      <c r="N2985" s="44">
        <v>42294531</v>
      </c>
      <c r="O2985" s="33" t="s">
        <v>7602</v>
      </c>
      <c r="P2985" s="33" t="s">
        <v>7603</v>
      </c>
      <c r="Q2985" s="34" t="s">
        <v>1494</v>
      </c>
      <c r="R2985" s="34" t="s">
        <v>1494</v>
      </c>
    </row>
    <row r="2986" spans="1:18" ht="15" customHeight="1" x14ac:dyDescent="0.25">
      <c r="A2986" t="str">
        <f>IFERROR(RANK(B2986,$B:$B,1)+COUNTIF($B$1:B2985,B2986),"")</f>
        <v/>
      </c>
      <c r="B2986" t="str">
        <f>IFERROR(SEARCH(#REF!,Table4[[#This Row],[Commodity Title]],1),"")</f>
        <v/>
      </c>
      <c r="C2986" s="35">
        <v>42294532</v>
      </c>
      <c r="D2986" s="33" t="s">
        <v>1495</v>
      </c>
      <c r="E2986" s="33" t="s">
        <v>1496</v>
      </c>
      <c r="F2986" s="33" t="s">
        <v>1497</v>
      </c>
      <c r="G2986" s="33" t="s">
        <v>7062</v>
      </c>
      <c r="H2986" s="33" t="s">
        <v>7063</v>
      </c>
      <c r="I2986" s="33" t="s">
        <v>7064</v>
      </c>
      <c r="J2986" s="33">
        <v>203153</v>
      </c>
      <c r="K2986" s="33" t="s">
        <v>7547</v>
      </c>
      <c r="L2986" s="33" t="s">
        <v>7548</v>
      </c>
      <c r="M2986" s="33" t="s">
        <v>7549</v>
      </c>
      <c r="N2986" s="44">
        <v>42294532</v>
      </c>
      <c r="O2986" s="33" t="s">
        <v>7604</v>
      </c>
      <c r="P2986" s="33" t="s">
        <v>7605</v>
      </c>
      <c r="Q2986" s="34" t="s">
        <v>1494</v>
      </c>
      <c r="R2986" s="34" t="s">
        <v>1494</v>
      </c>
    </row>
    <row r="2987" spans="1:18" ht="15" customHeight="1" x14ac:dyDescent="0.25">
      <c r="A2987" t="str">
        <f>IFERROR(RANK(B2987,$B:$B,1)+COUNTIF($B$1:B2986,B2987),"")</f>
        <v/>
      </c>
      <c r="B2987" t="str">
        <f>IFERROR(SEARCH(#REF!,Table4[[#This Row],[Commodity Title]],1),"")</f>
        <v/>
      </c>
      <c r="C2987" s="35">
        <v>42294533</v>
      </c>
      <c r="D2987" s="33" t="s">
        <v>1495</v>
      </c>
      <c r="E2987" s="33" t="s">
        <v>1496</v>
      </c>
      <c r="F2987" s="33" t="s">
        <v>1497</v>
      </c>
      <c r="G2987" s="33" t="s">
        <v>7062</v>
      </c>
      <c r="H2987" s="33" t="s">
        <v>7063</v>
      </c>
      <c r="I2987" s="33" t="s">
        <v>7064</v>
      </c>
      <c r="J2987" s="33">
        <v>203154</v>
      </c>
      <c r="K2987" s="33" t="s">
        <v>7547</v>
      </c>
      <c r="L2987" s="33" t="s">
        <v>7548</v>
      </c>
      <c r="M2987" s="33" t="s">
        <v>7549</v>
      </c>
      <c r="N2987" s="44">
        <v>42294533</v>
      </c>
      <c r="O2987" s="33" t="s">
        <v>7606</v>
      </c>
      <c r="P2987" s="33" t="s">
        <v>7607</v>
      </c>
      <c r="Q2987" s="34" t="s">
        <v>1494</v>
      </c>
      <c r="R2987" s="34" t="s">
        <v>1494</v>
      </c>
    </row>
    <row r="2988" spans="1:18" ht="15" customHeight="1" x14ac:dyDescent="0.25">
      <c r="A2988" t="str">
        <f>IFERROR(RANK(B2988,$B:$B,1)+COUNTIF($B$1:B2987,B2988),"")</f>
        <v/>
      </c>
      <c r="B2988" t="str">
        <f>IFERROR(SEARCH(#REF!,Table4[[#This Row],[Commodity Title]],1),"")</f>
        <v/>
      </c>
      <c r="C2988" s="35">
        <v>42294534</v>
      </c>
      <c r="D2988" s="33" t="s">
        <v>1495</v>
      </c>
      <c r="E2988" s="33" t="s">
        <v>1496</v>
      </c>
      <c r="F2988" s="33" t="s">
        <v>1497</v>
      </c>
      <c r="G2988" s="33" t="s">
        <v>7062</v>
      </c>
      <c r="H2988" s="33" t="s">
        <v>7063</v>
      </c>
      <c r="I2988" s="33" t="s">
        <v>7064</v>
      </c>
      <c r="J2988" s="33">
        <v>203155</v>
      </c>
      <c r="K2988" s="33" t="s">
        <v>7547</v>
      </c>
      <c r="L2988" s="33" t="s">
        <v>7548</v>
      </c>
      <c r="M2988" s="33" t="s">
        <v>7549</v>
      </c>
      <c r="N2988" s="44">
        <v>42294534</v>
      </c>
      <c r="O2988" s="33" t="s">
        <v>7608</v>
      </c>
      <c r="P2988" s="33" t="s">
        <v>7609</v>
      </c>
      <c r="Q2988" s="34" t="s">
        <v>1494</v>
      </c>
      <c r="R2988" s="34" t="s">
        <v>1494</v>
      </c>
    </row>
    <row r="2989" spans="1:18" ht="15" customHeight="1" x14ac:dyDescent="0.25">
      <c r="A2989" t="str">
        <f>IFERROR(RANK(B2989,$B:$B,1)+COUNTIF($B$1:B2988,B2989),"")</f>
        <v/>
      </c>
      <c r="B2989" t="str">
        <f>IFERROR(SEARCH(#REF!,Table4[[#This Row],[Commodity Title]],1),"")</f>
        <v/>
      </c>
      <c r="C2989" s="35">
        <v>42294535</v>
      </c>
      <c r="D2989" s="33" t="s">
        <v>1495</v>
      </c>
      <c r="E2989" s="33" t="s">
        <v>1496</v>
      </c>
      <c r="F2989" s="33" t="s">
        <v>1497</v>
      </c>
      <c r="G2989" s="33" t="s">
        <v>7062</v>
      </c>
      <c r="H2989" s="33" t="s">
        <v>7063</v>
      </c>
      <c r="I2989" s="33" t="s">
        <v>7064</v>
      </c>
      <c r="J2989" s="33">
        <v>203156</v>
      </c>
      <c r="K2989" s="33" t="s">
        <v>7547</v>
      </c>
      <c r="L2989" s="33" t="s">
        <v>7548</v>
      </c>
      <c r="M2989" s="33" t="s">
        <v>7549</v>
      </c>
      <c r="N2989" s="44">
        <v>42294535</v>
      </c>
      <c r="O2989" s="33" t="s">
        <v>7610</v>
      </c>
      <c r="P2989" s="33" t="s">
        <v>7611</v>
      </c>
      <c r="Q2989" s="34" t="s">
        <v>1494</v>
      </c>
      <c r="R2989" s="34" t="s">
        <v>1494</v>
      </c>
    </row>
    <row r="2990" spans="1:18" ht="15" customHeight="1" x14ac:dyDescent="0.25">
      <c r="A2990" t="str">
        <f>IFERROR(RANK(B2990,$B:$B,1)+COUNTIF($B$1:B2989,B2990),"")</f>
        <v/>
      </c>
      <c r="B2990" t="str">
        <f>IFERROR(SEARCH(#REF!,Table4[[#This Row],[Commodity Title]],1),"")</f>
        <v/>
      </c>
      <c r="C2990" s="35">
        <v>42294536</v>
      </c>
      <c r="D2990" s="33" t="s">
        <v>1495</v>
      </c>
      <c r="E2990" s="33" t="s">
        <v>1496</v>
      </c>
      <c r="F2990" s="33" t="s">
        <v>1497</v>
      </c>
      <c r="G2990" s="33" t="s">
        <v>7062</v>
      </c>
      <c r="H2990" s="33" t="s">
        <v>7063</v>
      </c>
      <c r="I2990" s="33" t="s">
        <v>7064</v>
      </c>
      <c r="J2990" s="33">
        <v>203157</v>
      </c>
      <c r="K2990" s="33" t="s">
        <v>7547</v>
      </c>
      <c r="L2990" s="33" t="s">
        <v>7548</v>
      </c>
      <c r="M2990" s="33" t="s">
        <v>7549</v>
      </c>
      <c r="N2990" s="44">
        <v>42294536</v>
      </c>
      <c r="O2990" s="33" t="s">
        <v>7612</v>
      </c>
      <c r="P2990" s="33" t="s">
        <v>7613</v>
      </c>
      <c r="Q2990" s="34" t="s">
        <v>1494</v>
      </c>
      <c r="R2990" s="34" t="s">
        <v>1494</v>
      </c>
    </row>
    <row r="2991" spans="1:18" ht="15" customHeight="1" x14ac:dyDescent="0.25">
      <c r="A2991" t="str">
        <f>IFERROR(RANK(B2991,$B:$B,1)+COUNTIF($B$1:B2990,B2991),"")</f>
        <v/>
      </c>
      <c r="B2991" t="str">
        <f>IFERROR(SEARCH(#REF!,Table4[[#This Row],[Commodity Title]],1),"")</f>
        <v/>
      </c>
      <c r="C2991" s="35">
        <v>42294537</v>
      </c>
      <c r="D2991" s="33" t="s">
        <v>1495</v>
      </c>
      <c r="E2991" s="33" t="s">
        <v>1496</v>
      </c>
      <c r="F2991" s="33" t="s">
        <v>1497</v>
      </c>
      <c r="G2991" s="33" t="s">
        <v>7062</v>
      </c>
      <c r="H2991" s="33" t="s">
        <v>7063</v>
      </c>
      <c r="I2991" s="33" t="s">
        <v>7064</v>
      </c>
      <c r="J2991" s="33">
        <v>203158</v>
      </c>
      <c r="K2991" s="33" t="s">
        <v>7547</v>
      </c>
      <c r="L2991" s="33" t="s">
        <v>7548</v>
      </c>
      <c r="M2991" s="33" t="s">
        <v>7549</v>
      </c>
      <c r="N2991" s="44">
        <v>42294537</v>
      </c>
      <c r="O2991" s="33" t="s">
        <v>7614</v>
      </c>
      <c r="P2991" s="33" t="s">
        <v>7615</v>
      </c>
      <c r="Q2991" s="34" t="s">
        <v>1494</v>
      </c>
      <c r="R2991" s="34" t="s">
        <v>1494</v>
      </c>
    </row>
    <row r="2992" spans="1:18" ht="15" customHeight="1" x14ac:dyDescent="0.25">
      <c r="A2992" t="str">
        <f>IFERROR(RANK(B2992,$B:$B,1)+COUNTIF($B$1:B2991,B2992),"")</f>
        <v/>
      </c>
      <c r="B2992" t="str">
        <f>IFERROR(SEARCH(#REF!,Table4[[#This Row],[Commodity Title]],1),"")</f>
        <v/>
      </c>
      <c r="C2992" s="35">
        <v>42294538</v>
      </c>
      <c r="D2992" s="33" t="s">
        <v>1495</v>
      </c>
      <c r="E2992" s="33" t="s">
        <v>1496</v>
      </c>
      <c r="F2992" s="33" t="s">
        <v>1497</v>
      </c>
      <c r="G2992" s="33" t="s">
        <v>7062</v>
      </c>
      <c r="H2992" s="33" t="s">
        <v>7063</v>
      </c>
      <c r="I2992" s="33" t="s">
        <v>7064</v>
      </c>
      <c r="J2992" s="33">
        <v>203159</v>
      </c>
      <c r="K2992" s="33" t="s">
        <v>7547</v>
      </c>
      <c r="L2992" s="33" t="s">
        <v>7548</v>
      </c>
      <c r="M2992" s="33" t="s">
        <v>7549</v>
      </c>
      <c r="N2992" s="44">
        <v>42294538</v>
      </c>
      <c r="O2992" s="33" t="s">
        <v>7616</v>
      </c>
      <c r="P2992" s="33" t="s">
        <v>7617</v>
      </c>
      <c r="Q2992" s="34" t="s">
        <v>1494</v>
      </c>
      <c r="R2992" s="34" t="s">
        <v>1494</v>
      </c>
    </row>
    <row r="2993" spans="1:18" ht="15" customHeight="1" x14ac:dyDescent="0.25">
      <c r="A2993" t="str">
        <f>IFERROR(RANK(B2993,$B:$B,1)+COUNTIF($B$1:B2992,B2993),"")</f>
        <v/>
      </c>
      <c r="B2993" t="str">
        <f>IFERROR(SEARCH(#REF!,Table4[[#This Row],[Commodity Title]],1),"")</f>
        <v/>
      </c>
      <c r="C2993" s="35">
        <v>42294539</v>
      </c>
      <c r="D2993" s="33" t="s">
        <v>1495</v>
      </c>
      <c r="E2993" s="33" t="s">
        <v>1496</v>
      </c>
      <c r="F2993" s="33" t="s">
        <v>1497</v>
      </c>
      <c r="G2993" s="33" t="s">
        <v>7062</v>
      </c>
      <c r="H2993" s="33" t="s">
        <v>7063</v>
      </c>
      <c r="I2993" s="33" t="s">
        <v>7064</v>
      </c>
      <c r="J2993" s="33">
        <v>203160</v>
      </c>
      <c r="K2993" s="33" t="s">
        <v>7547</v>
      </c>
      <c r="L2993" s="33" t="s">
        <v>7548</v>
      </c>
      <c r="M2993" s="33" t="s">
        <v>7549</v>
      </c>
      <c r="N2993" s="44">
        <v>42294539</v>
      </c>
      <c r="O2993" s="33" t="s">
        <v>7618</v>
      </c>
      <c r="P2993" s="33" t="s">
        <v>7619</v>
      </c>
      <c r="Q2993" s="34" t="s">
        <v>1494</v>
      </c>
      <c r="R2993" s="34" t="s">
        <v>1494</v>
      </c>
    </row>
    <row r="2994" spans="1:18" ht="15" customHeight="1" x14ac:dyDescent="0.25">
      <c r="A2994" t="str">
        <f>IFERROR(RANK(B2994,$B:$B,1)+COUNTIF($B$1:B2993,B2994),"")</f>
        <v/>
      </c>
      <c r="B2994" t="str">
        <f>IFERROR(SEARCH(#REF!,Table4[[#This Row],[Commodity Title]],1),"")</f>
        <v/>
      </c>
      <c r="C2994" s="35">
        <v>42294540</v>
      </c>
      <c r="D2994" s="33" t="s">
        <v>1495</v>
      </c>
      <c r="E2994" s="33" t="s">
        <v>1496</v>
      </c>
      <c r="F2994" s="33" t="s">
        <v>1497</v>
      </c>
      <c r="G2994" s="33" t="s">
        <v>7062</v>
      </c>
      <c r="H2994" s="33" t="s">
        <v>7063</v>
      </c>
      <c r="I2994" s="33" t="s">
        <v>7064</v>
      </c>
      <c r="J2994" s="33">
        <v>203161</v>
      </c>
      <c r="K2994" s="33" t="s">
        <v>7547</v>
      </c>
      <c r="L2994" s="33" t="s">
        <v>7548</v>
      </c>
      <c r="M2994" s="33" t="s">
        <v>7549</v>
      </c>
      <c r="N2994" s="44">
        <v>42294540</v>
      </c>
      <c r="O2994" s="33" t="s">
        <v>7620</v>
      </c>
      <c r="P2994" s="33" t="s">
        <v>7621</v>
      </c>
      <c r="Q2994" s="34" t="s">
        <v>1494</v>
      </c>
      <c r="R2994" s="34" t="s">
        <v>1494</v>
      </c>
    </row>
    <row r="2995" spans="1:18" ht="15" customHeight="1" x14ac:dyDescent="0.25">
      <c r="A2995" t="str">
        <f>IFERROR(RANK(B2995,$B:$B,1)+COUNTIF($B$1:B2994,B2995),"")</f>
        <v/>
      </c>
      <c r="B2995" t="str">
        <f>IFERROR(SEARCH(#REF!,Table4[[#This Row],[Commodity Title]],1),"")</f>
        <v/>
      </c>
      <c r="C2995" s="35">
        <v>42294541</v>
      </c>
      <c r="D2995" s="33" t="s">
        <v>1495</v>
      </c>
      <c r="E2995" s="33" t="s">
        <v>1496</v>
      </c>
      <c r="F2995" s="33" t="s">
        <v>1497</v>
      </c>
      <c r="G2995" s="33" t="s">
        <v>7062</v>
      </c>
      <c r="H2995" s="33" t="s">
        <v>7063</v>
      </c>
      <c r="I2995" s="33" t="s">
        <v>7064</v>
      </c>
      <c r="J2995" s="33">
        <v>174377</v>
      </c>
      <c r="K2995" s="33" t="s">
        <v>7547</v>
      </c>
      <c r="L2995" s="33" t="s">
        <v>7548</v>
      </c>
      <c r="M2995" s="33" t="s">
        <v>7549</v>
      </c>
      <c r="N2995" s="44">
        <v>42294541</v>
      </c>
      <c r="O2995" s="33" t="s">
        <v>7622</v>
      </c>
      <c r="P2995" s="33" t="s">
        <v>7623</v>
      </c>
      <c r="Q2995" s="34" t="s">
        <v>1494</v>
      </c>
      <c r="R2995" s="34" t="s">
        <v>1494</v>
      </c>
    </row>
    <row r="2996" spans="1:18" ht="15" customHeight="1" x14ac:dyDescent="0.25">
      <c r="A2996" t="str">
        <f>IFERROR(RANK(B2996,$B:$B,1)+COUNTIF($B$1:B2995,B2996),"")</f>
        <v/>
      </c>
      <c r="B2996" t="str">
        <f>IFERROR(SEARCH(#REF!,Table4[[#This Row],[Commodity Title]],1),"")</f>
        <v/>
      </c>
      <c r="C2996" s="35">
        <v>42294542</v>
      </c>
      <c r="D2996" s="33" t="s">
        <v>1495</v>
      </c>
      <c r="E2996" s="33" t="s">
        <v>1496</v>
      </c>
      <c r="F2996" s="33" t="s">
        <v>1497</v>
      </c>
      <c r="G2996" s="33" t="s">
        <v>7062</v>
      </c>
      <c r="H2996" s="33" t="s">
        <v>7063</v>
      </c>
      <c r="I2996" s="33" t="s">
        <v>7064</v>
      </c>
      <c r="J2996" s="33">
        <v>203162</v>
      </c>
      <c r="K2996" s="33" t="s">
        <v>7547</v>
      </c>
      <c r="L2996" s="33" t="s">
        <v>7548</v>
      </c>
      <c r="M2996" s="33" t="s">
        <v>7549</v>
      </c>
      <c r="N2996" s="44">
        <v>42294542</v>
      </c>
      <c r="O2996" s="33" t="s">
        <v>7624</v>
      </c>
      <c r="P2996" s="33" t="s">
        <v>7625</v>
      </c>
      <c r="Q2996" s="34" t="s">
        <v>1494</v>
      </c>
      <c r="R2996" s="34" t="s">
        <v>1494</v>
      </c>
    </row>
    <row r="2997" spans="1:18" ht="15" customHeight="1" x14ac:dyDescent="0.25">
      <c r="A2997" t="str">
        <f>IFERROR(RANK(B2997,$B:$B,1)+COUNTIF($B$1:B2996,B2997),"")</f>
        <v/>
      </c>
      <c r="B2997" t="str">
        <f>IFERROR(SEARCH(#REF!,Table4[[#This Row],[Commodity Title]],1),"")</f>
        <v/>
      </c>
      <c r="C2997" s="35">
        <v>42294543</v>
      </c>
      <c r="D2997" s="33" t="s">
        <v>1495</v>
      </c>
      <c r="E2997" s="33" t="s">
        <v>1496</v>
      </c>
      <c r="F2997" s="33" t="s">
        <v>1497</v>
      </c>
      <c r="G2997" s="33" t="s">
        <v>7062</v>
      </c>
      <c r="H2997" s="33" t="s">
        <v>7063</v>
      </c>
      <c r="I2997" s="33" t="s">
        <v>7064</v>
      </c>
      <c r="J2997" s="33">
        <v>203163</v>
      </c>
      <c r="K2997" s="33" t="s">
        <v>7547</v>
      </c>
      <c r="L2997" s="33" t="s">
        <v>7548</v>
      </c>
      <c r="M2997" s="33" t="s">
        <v>7549</v>
      </c>
      <c r="N2997" s="44">
        <v>42294543</v>
      </c>
      <c r="O2997" s="33" t="s">
        <v>7626</v>
      </c>
      <c r="P2997" s="33" t="s">
        <v>7627</v>
      </c>
      <c r="Q2997" s="34" t="s">
        <v>1494</v>
      </c>
      <c r="R2997" s="34" t="s">
        <v>1494</v>
      </c>
    </row>
    <row r="2998" spans="1:18" ht="15" customHeight="1" x14ac:dyDescent="0.25">
      <c r="A2998" t="str">
        <f>IFERROR(RANK(B2998,$B:$B,1)+COUNTIF($B$1:B2997,B2998),"")</f>
        <v/>
      </c>
      <c r="B2998" t="str">
        <f>IFERROR(SEARCH(#REF!,Table4[[#This Row],[Commodity Title]],1),"")</f>
        <v/>
      </c>
      <c r="C2998" s="35">
        <v>42294544</v>
      </c>
      <c r="D2998" s="33" t="s">
        <v>1495</v>
      </c>
      <c r="E2998" s="33" t="s">
        <v>1496</v>
      </c>
      <c r="F2998" s="33" t="s">
        <v>1497</v>
      </c>
      <c r="G2998" s="33" t="s">
        <v>7062</v>
      </c>
      <c r="H2998" s="33" t="s">
        <v>7063</v>
      </c>
      <c r="I2998" s="33" t="s">
        <v>7064</v>
      </c>
      <c r="J2998" s="33">
        <v>203164</v>
      </c>
      <c r="K2998" s="33" t="s">
        <v>7547</v>
      </c>
      <c r="L2998" s="33" t="s">
        <v>7548</v>
      </c>
      <c r="M2998" s="33" t="s">
        <v>7549</v>
      </c>
      <c r="N2998" s="44">
        <v>42294544</v>
      </c>
      <c r="O2998" s="33" t="s">
        <v>7628</v>
      </c>
      <c r="P2998" s="33" t="s">
        <v>7629</v>
      </c>
      <c r="Q2998" s="34" t="s">
        <v>1494</v>
      </c>
      <c r="R2998" s="34" t="s">
        <v>1494</v>
      </c>
    </row>
    <row r="2999" spans="1:18" ht="15" customHeight="1" x14ac:dyDescent="0.25">
      <c r="A2999" t="str">
        <f>IFERROR(RANK(B2999,$B:$B,1)+COUNTIF($B$1:B2998,B2999),"")</f>
        <v/>
      </c>
      <c r="B2999" t="str">
        <f>IFERROR(SEARCH(#REF!,Table4[[#This Row],[Commodity Title]],1),"")</f>
        <v/>
      </c>
      <c r="C2999" s="35">
        <v>42294545</v>
      </c>
      <c r="D2999" s="33" t="s">
        <v>1495</v>
      </c>
      <c r="E2999" s="33" t="s">
        <v>1496</v>
      </c>
      <c r="F2999" s="33" t="s">
        <v>1497</v>
      </c>
      <c r="G2999" s="33" t="s">
        <v>7062</v>
      </c>
      <c r="H2999" s="33" t="s">
        <v>7063</v>
      </c>
      <c r="I2999" s="33" t="s">
        <v>7064</v>
      </c>
      <c r="J2999" s="33">
        <v>208434</v>
      </c>
      <c r="K2999" s="33" t="s">
        <v>7547</v>
      </c>
      <c r="L2999" s="33" t="s">
        <v>7548</v>
      </c>
      <c r="M2999" s="33" t="s">
        <v>7549</v>
      </c>
      <c r="N2999" s="44">
        <v>42294545</v>
      </c>
      <c r="O2999" s="33" t="s">
        <v>7630</v>
      </c>
      <c r="P2999" s="33" t="s">
        <v>7631</v>
      </c>
      <c r="Q2999" s="34" t="s">
        <v>1494</v>
      </c>
      <c r="R2999" s="34" t="s">
        <v>1494</v>
      </c>
    </row>
    <row r="3000" spans="1:18" ht="15" customHeight="1" x14ac:dyDescent="0.25">
      <c r="A3000" t="str">
        <f>IFERROR(RANK(B3000,$B:$B,1)+COUNTIF($B$1:B2999,B3000),"")</f>
        <v/>
      </c>
      <c r="B3000" t="str">
        <f>IFERROR(SEARCH(#REF!,Table4[[#This Row],[Commodity Title]],1),"")</f>
        <v/>
      </c>
      <c r="C3000" s="33" t="s">
        <v>1494</v>
      </c>
      <c r="D3000" s="33" t="s">
        <v>1495</v>
      </c>
      <c r="E3000" s="33" t="s">
        <v>1496</v>
      </c>
      <c r="F3000" s="33" t="s">
        <v>1497</v>
      </c>
      <c r="G3000" s="33" t="s">
        <v>7062</v>
      </c>
      <c r="H3000" s="33" t="s">
        <v>7063</v>
      </c>
      <c r="I3000" s="33" t="s">
        <v>7064</v>
      </c>
      <c r="J3000" s="33">
        <v>116304</v>
      </c>
      <c r="K3000" s="33" t="s">
        <v>7632</v>
      </c>
      <c r="L3000" s="33" t="s">
        <v>7633</v>
      </c>
      <c r="M3000" s="33" t="s">
        <v>7634</v>
      </c>
      <c r="N3000" s="44" t="s">
        <v>1494</v>
      </c>
      <c r="O3000" s="33" t="s">
        <v>1494</v>
      </c>
      <c r="P3000" s="33" t="s">
        <v>1494</v>
      </c>
      <c r="Q3000" s="34" t="s">
        <v>1494</v>
      </c>
      <c r="R3000" s="34" t="s">
        <v>1494</v>
      </c>
    </row>
    <row r="3001" spans="1:18" ht="15" customHeight="1" x14ac:dyDescent="0.25">
      <c r="A3001" t="str">
        <f>IFERROR(RANK(B3001,$B:$B,1)+COUNTIF($B$1:B3000,B3001),"")</f>
        <v/>
      </c>
      <c r="B3001" t="str">
        <f>IFERROR(SEARCH(#REF!,Table4[[#This Row],[Commodity Title]],1),"")</f>
        <v/>
      </c>
      <c r="C3001" s="35">
        <v>42294601</v>
      </c>
      <c r="D3001" s="33" t="s">
        <v>1495</v>
      </c>
      <c r="E3001" s="33" t="s">
        <v>1496</v>
      </c>
      <c r="F3001" s="33" t="s">
        <v>1497</v>
      </c>
      <c r="G3001" s="33" t="s">
        <v>7062</v>
      </c>
      <c r="H3001" s="33" t="s">
        <v>7063</v>
      </c>
      <c r="I3001" s="33" t="s">
        <v>7064</v>
      </c>
      <c r="J3001" s="33">
        <v>116305</v>
      </c>
      <c r="K3001" s="33" t="s">
        <v>7632</v>
      </c>
      <c r="L3001" s="33" t="s">
        <v>7633</v>
      </c>
      <c r="M3001" s="33" t="s">
        <v>7634</v>
      </c>
      <c r="N3001" s="44">
        <v>42294601</v>
      </c>
      <c r="O3001" s="33" t="s">
        <v>7635</v>
      </c>
      <c r="P3001" s="33" t="s">
        <v>7636</v>
      </c>
      <c r="Q3001" s="34" t="s">
        <v>1494</v>
      </c>
      <c r="R3001" s="34" t="s">
        <v>1494</v>
      </c>
    </row>
    <row r="3002" spans="1:18" ht="15" customHeight="1" x14ac:dyDescent="0.25">
      <c r="A3002" t="str">
        <f>IFERROR(RANK(B3002,$B:$B,1)+COUNTIF($B$1:B3001,B3002),"")</f>
        <v/>
      </c>
      <c r="B3002" t="str">
        <f>IFERROR(SEARCH(#REF!,Table4[[#This Row],[Commodity Title]],1),"")</f>
        <v/>
      </c>
      <c r="C3002" s="35">
        <v>42294602</v>
      </c>
      <c r="D3002" s="33" t="s">
        <v>1495</v>
      </c>
      <c r="E3002" s="33" t="s">
        <v>1496</v>
      </c>
      <c r="F3002" s="33" t="s">
        <v>1497</v>
      </c>
      <c r="G3002" s="33" t="s">
        <v>7062</v>
      </c>
      <c r="H3002" s="33" t="s">
        <v>7063</v>
      </c>
      <c r="I3002" s="33" t="s">
        <v>7064</v>
      </c>
      <c r="J3002" s="33">
        <v>116306</v>
      </c>
      <c r="K3002" s="33" t="s">
        <v>7632</v>
      </c>
      <c r="L3002" s="33" t="s">
        <v>7633</v>
      </c>
      <c r="M3002" s="33" t="s">
        <v>7634</v>
      </c>
      <c r="N3002" s="44">
        <v>42294602</v>
      </c>
      <c r="O3002" s="33" t="s">
        <v>7637</v>
      </c>
      <c r="P3002" s="33" t="s">
        <v>7638</v>
      </c>
      <c r="Q3002" s="34" t="s">
        <v>1494</v>
      </c>
      <c r="R3002" s="34" t="s">
        <v>1494</v>
      </c>
    </row>
    <row r="3003" spans="1:18" ht="15" customHeight="1" x14ac:dyDescent="0.25">
      <c r="A3003" t="str">
        <f>IFERROR(RANK(B3003,$B:$B,1)+COUNTIF($B$1:B3002,B3003),"")</f>
        <v/>
      </c>
      <c r="B3003" t="str">
        <f>IFERROR(SEARCH(#REF!,Table4[[#This Row],[Commodity Title]],1),"")</f>
        <v/>
      </c>
      <c r="C3003" s="35">
        <v>42294603</v>
      </c>
      <c r="D3003" s="33" t="s">
        <v>1495</v>
      </c>
      <c r="E3003" s="33" t="s">
        <v>1496</v>
      </c>
      <c r="F3003" s="33" t="s">
        <v>1497</v>
      </c>
      <c r="G3003" s="33" t="s">
        <v>7062</v>
      </c>
      <c r="H3003" s="33" t="s">
        <v>7063</v>
      </c>
      <c r="I3003" s="33" t="s">
        <v>7064</v>
      </c>
      <c r="J3003" s="33">
        <v>116307</v>
      </c>
      <c r="K3003" s="33" t="s">
        <v>7632</v>
      </c>
      <c r="L3003" s="33" t="s">
        <v>7633</v>
      </c>
      <c r="M3003" s="33" t="s">
        <v>7634</v>
      </c>
      <c r="N3003" s="44">
        <v>42294603</v>
      </c>
      <c r="O3003" s="33" t="s">
        <v>7639</v>
      </c>
      <c r="P3003" s="33" t="s">
        <v>7640</v>
      </c>
      <c r="Q3003" s="34" t="s">
        <v>1494</v>
      </c>
      <c r="R3003" s="34" t="s">
        <v>1494</v>
      </c>
    </row>
    <row r="3004" spans="1:18" ht="15" customHeight="1" x14ac:dyDescent="0.25">
      <c r="A3004" t="str">
        <f>IFERROR(RANK(B3004,$B:$B,1)+COUNTIF($B$1:B3003,B3004),"")</f>
        <v/>
      </c>
      <c r="B3004" t="str">
        <f>IFERROR(SEARCH(#REF!,Table4[[#This Row],[Commodity Title]],1),"")</f>
        <v/>
      </c>
      <c r="C3004" s="35">
        <v>42294604</v>
      </c>
      <c r="D3004" s="33" t="s">
        <v>1495</v>
      </c>
      <c r="E3004" s="33" t="s">
        <v>1496</v>
      </c>
      <c r="F3004" s="33" t="s">
        <v>1497</v>
      </c>
      <c r="G3004" s="33" t="s">
        <v>7062</v>
      </c>
      <c r="H3004" s="33" t="s">
        <v>7063</v>
      </c>
      <c r="I3004" s="33" t="s">
        <v>7064</v>
      </c>
      <c r="J3004" s="33">
        <v>116308</v>
      </c>
      <c r="K3004" s="33" t="s">
        <v>7632</v>
      </c>
      <c r="L3004" s="33" t="s">
        <v>7633</v>
      </c>
      <c r="M3004" s="33" t="s">
        <v>7634</v>
      </c>
      <c r="N3004" s="44">
        <v>42294604</v>
      </c>
      <c r="O3004" s="33" t="s">
        <v>7641</v>
      </c>
      <c r="P3004" s="33" t="s">
        <v>7642</v>
      </c>
      <c r="Q3004" s="34" t="s">
        <v>1494</v>
      </c>
      <c r="R3004" s="34" t="s">
        <v>1494</v>
      </c>
    </row>
    <row r="3005" spans="1:18" ht="15" customHeight="1" x14ac:dyDescent="0.25">
      <c r="A3005" t="str">
        <f>IFERROR(RANK(B3005,$B:$B,1)+COUNTIF($B$1:B3004,B3005),"")</f>
        <v/>
      </c>
      <c r="B3005" t="str">
        <f>IFERROR(SEARCH(#REF!,Table4[[#This Row],[Commodity Title]],1),"")</f>
        <v/>
      </c>
      <c r="C3005" s="35">
        <v>42294605</v>
      </c>
      <c r="D3005" s="33" t="s">
        <v>1495</v>
      </c>
      <c r="E3005" s="33" t="s">
        <v>1496</v>
      </c>
      <c r="F3005" s="33" t="s">
        <v>1497</v>
      </c>
      <c r="G3005" s="33" t="s">
        <v>7062</v>
      </c>
      <c r="H3005" s="33" t="s">
        <v>7063</v>
      </c>
      <c r="I3005" s="33" t="s">
        <v>7064</v>
      </c>
      <c r="J3005" s="33">
        <v>116309</v>
      </c>
      <c r="K3005" s="33" t="s">
        <v>7632</v>
      </c>
      <c r="L3005" s="33" t="s">
        <v>7633</v>
      </c>
      <c r="M3005" s="33" t="s">
        <v>7634</v>
      </c>
      <c r="N3005" s="44">
        <v>42294605</v>
      </c>
      <c r="O3005" s="33" t="s">
        <v>7643</v>
      </c>
      <c r="P3005" s="33" t="s">
        <v>7644</v>
      </c>
      <c r="Q3005" s="34" t="s">
        <v>1494</v>
      </c>
      <c r="R3005" s="34" t="s">
        <v>1494</v>
      </c>
    </row>
    <row r="3006" spans="1:18" ht="15" customHeight="1" x14ac:dyDescent="0.25">
      <c r="A3006" t="str">
        <f>IFERROR(RANK(B3006,$B:$B,1)+COUNTIF($B$1:B3005,B3006),"")</f>
        <v/>
      </c>
      <c r="B3006" t="str">
        <f>IFERROR(SEARCH(#REF!,Table4[[#This Row],[Commodity Title]],1),"")</f>
        <v/>
      </c>
      <c r="C3006" s="35">
        <v>42294606</v>
      </c>
      <c r="D3006" s="33" t="s">
        <v>1495</v>
      </c>
      <c r="E3006" s="33" t="s">
        <v>1496</v>
      </c>
      <c r="F3006" s="33" t="s">
        <v>1497</v>
      </c>
      <c r="G3006" s="33" t="s">
        <v>7062</v>
      </c>
      <c r="H3006" s="33" t="s">
        <v>7063</v>
      </c>
      <c r="I3006" s="33" t="s">
        <v>7064</v>
      </c>
      <c r="J3006" s="33">
        <v>116310</v>
      </c>
      <c r="K3006" s="33" t="s">
        <v>7632</v>
      </c>
      <c r="L3006" s="33" t="s">
        <v>7633</v>
      </c>
      <c r="M3006" s="33" t="s">
        <v>7634</v>
      </c>
      <c r="N3006" s="44">
        <v>42294606</v>
      </c>
      <c r="O3006" s="33" t="s">
        <v>7645</v>
      </c>
      <c r="P3006" s="33" t="s">
        <v>7646</v>
      </c>
      <c r="Q3006" s="34" t="s">
        <v>1494</v>
      </c>
      <c r="R3006" s="34" t="s">
        <v>1494</v>
      </c>
    </row>
    <row r="3007" spans="1:18" ht="15" customHeight="1" x14ac:dyDescent="0.25">
      <c r="A3007" t="str">
        <f>IFERROR(RANK(B3007,$B:$B,1)+COUNTIF($B$1:B3006,B3007),"")</f>
        <v/>
      </c>
      <c r="B3007" t="str">
        <f>IFERROR(SEARCH(#REF!,Table4[[#This Row],[Commodity Title]],1),"")</f>
        <v/>
      </c>
      <c r="C3007" s="35">
        <v>42294607</v>
      </c>
      <c r="D3007" s="33" t="s">
        <v>1495</v>
      </c>
      <c r="E3007" s="33" t="s">
        <v>1496</v>
      </c>
      <c r="F3007" s="33" t="s">
        <v>1497</v>
      </c>
      <c r="G3007" s="33" t="s">
        <v>7062</v>
      </c>
      <c r="H3007" s="33" t="s">
        <v>7063</v>
      </c>
      <c r="I3007" s="33" t="s">
        <v>7064</v>
      </c>
      <c r="J3007" s="33">
        <v>116311</v>
      </c>
      <c r="K3007" s="33" t="s">
        <v>7632</v>
      </c>
      <c r="L3007" s="33" t="s">
        <v>7633</v>
      </c>
      <c r="M3007" s="33" t="s">
        <v>7634</v>
      </c>
      <c r="N3007" s="44">
        <v>42294607</v>
      </c>
      <c r="O3007" s="33" t="s">
        <v>7647</v>
      </c>
      <c r="P3007" s="33" t="s">
        <v>7648</v>
      </c>
      <c r="Q3007" s="34" t="s">
        <v>1494</v>
      </c>
      <c r="R3007" s="34" t="s">
        <v>1494</v>
      </c>
    </row>
    <row r="3008" spans="1:18" ht="15" customHeight="1" x14ac:dyDescent="0.25">
      <c r="A3008" t="str">
        <f>IFERROR(RANK(B3008,$B:$B,1)+COUNTIF($B$1:B3007,B3008),"")</f>
        <v/>
      </c>
      <c r="B3008" t="str">
        <f>IFERROR(SEARCH(#REF!,Table4[[#This Row],[Commodity Title]],1),"")</f>
        <v/>
      </c>
      <c r="C3008" s="35">
        <v>42294608</v>
      </c>
      <c r="D3008" s="33" t="s">
        <v>1495</v>
      </c>
      <c r="E3008" s="33" t="s">
        <v>1496</v>
      </c>
      <c r="F3008" s="33" t="s">
        <v>1497</v>
      </c>
      <c r="G3008" s="33" t="s">
        <v>7062</v>
      </c>
      <c r="H3008" s="33" t="s">
        <v>7063</v>
      </c>
      <c r="I3008" s="33" t="s">
        <v>7064</v>
      </c>
      <c r="J3008" s="33">
        <v>203165</v>
      </c>
      <c r="K3008" s="33" t="s">
        <v>7632</v>
      </c>
      <c r="L3008" s="33" t="s">
        <v>7633</v>
      </c>
      <c r="M3008" s="33" t="s">
        <v>7634</v>
      </c>
      <c r="N3008" s="44">
        <v>42294608</v>
      </c>
      <c r="O3008" s="33" t="s">
        <v>7649</v>
      </c>
      <c r="P3008" s="33" t="s">
        <v>7650</v>
      </c>
      <c r="Q3008" s="34" t="s">
        <v>1494</v>
      </c>
      <c r="R3008" s="34" t="s">
        <v>1494</v>
      </c>
    </row>
    <row r="3009" spans="1:18" ht="15" customHeight="1" x14ac:dyDescent="0.25">
      <c r="A3009" t="str">
        <f>IFERROR(RANK(B3009,$B:$B,1)+COUNTIF($B$1:B3008,B3009),"")</f>
        <v/>
      </c>
      <c r="B3009" t="str">
        <f>IFERROR(SEARCH(#REF!,Table4[[#This Row],[Commodity Title]],1),"")</f>
        <v/>
      </c>
      <c r="C3009" s="35">
        <v>42294609</v>
      </c>
      <c r="D3009" s="33" t="s">
        <v>1495</v>
      </c>
      <c r="E3009" s="33" t="s">
        <v>1496</v>
      </c>
      <c r="F3009" s="33" t="s">
        <v>1497</v>
      </c>
      <c r="G3009" s="33" t="s">
        <v>7062</v>
      </c>
      <c r="H3009" s="33" t="s">
        <v>7063</v>
      </c>
      <c r="I3009" s="33" t="s">
        <v>7064</v>
      </c>
      <c r="J3009" s="33">
        <v>203166</v>
      </c>
      <c r="K3009" s="33" t="s">
        <v>7632</v>
      </c>
      <c r="L3009" s="33" t="s">
        <v>7633</v>
      </c>
      <c r="M3009" s="33" t="s">
        <v>7634</v>
      </c>
      <c r="N3009" s="44">
        <v>42294609</v>
      </c>
      <c r="O3009" s="33" t="s">
        <v>7651</v>
      </c>
      <c r="P3009" s="33" t="s">
        <v>7652</v>
      </c>
      <c r="Q3009" s="34" t="s">
        <v>1494</v>
      </c>
      <c r="R3009" s="34" t="s">
        <v>1494</v>
      </c>
    </row>
    <row r="3010" spans="1:18" ht="15" customHeight="1" x14ac:dyDescent="0.25">
      <c r="A3010" t="str">
        <f>IFERROR(RANK(B3010,$B:$B,1)+COUNTIF($B$1:B3009,B3010),"")</f>
        <v/>
      </c>
      <c r="B3010" t="str">
        <f>IFERROR(SEARCH(#REF!,Table4[[#This Row],[Commodity Title]],1),"")</f>
        <v/>
      </c>
      <c r="C3010" s="35">
        <v>42294610</v>
      </c>
      <c r="D3010" s="33" t="s">
        <v>1495</v>
      </c>
      <c r="E3010" s="33" t="s">
        <v>1496</v>
      </c>
      <c r="F3010" s="33" t="s">
        <v>1497</v>
      </c>
      <c r="G3010" s="33" t="s">
        <v>7062</v>
      </c>
      <c r="H3010" s="33" t="s">
        <v>7063</v>
      </c>
      <c r="I3010" s="33" t="s">
        <v>7064</v>
      </c>
      <c r="J3010" s="33">
        <v>203167</v>
      </c>
      <c r="K3010" s="33" t="s">
        <v>7632</v>
      </c>
      <c r="L3010" s="33" t="s">
        <v>7633</v>
      </c>
      <c r="M3010" s="33" t="s">
        <v>7634</v>
      </c>
      <c r="N3010" s="44">
        <v>42294610</v>
      </c>
      <c r="O3010" s="33" t="s">
        <v>7653</v>
      </c>
      <c r="P3010" s="33" t="s">
        <v>7654</v>
      </c>
      <c r="Q3010" s="34" t="s">
        <v>1494</v>
      </c>
      <c r="R3010" s="34" t="s">
        <v>1494</v>
      </c>
    </row>
    <row r="3011" spans="1:18" ht="15" customHeight="1" x14ac:dyDescent="0.25">
      <c r="A3011" t="str">
        <f>IFERROR(RANK(B3011,$B:$B,1)+COUNTIF($B$1:B3010,B3011),"")</f>
        <v/>
      </c>
      <c r="B3011" t="str">
        <f>IFERROR(SEARCH(#REF!,Table4[[#This Row],[Commodity Title]],1),"")</f>
        <v/>
      </c>
      <c r="C3011" s="35">
        <v>42294611</v>
      </c>
      <c r="D3011" s="33" t="s">
        <v>1495</v>
      </c>
      <c r="E3011" s="33" t="s">
        <v>1496</v>
      </c>
      <c r="F3011" s="33" t="s">
        <v>1497</v>
      </c>
      <c r="G3011" s="33" t="s">
        <v>7062</v>
      </c>
      <c r="H3011" s="33" t="s">
        <v>7063</v>
      </c>
      <c r="I3011" s="33" t="s">
        <v>7064</v>
      </c>
      <c r="J3011" s="33">
        <v>142624</v>
      </c>
      <c r="K3011" s="33" t="s">
        <v>7632</v>
      </c>
      <c r="L3011" s="33" t="s">
        <v>7633</v>
      </c>
      <c r="M3011" s="33" t="s">
        <v>7634</v>
      </c>
      <c r="N3011" s="44">
        <v>42294611</v>
      </c>
      <c r="O3011" s="33" t="s">
        <v>7655</v>
      </c>
      <c r="P3011" s="33" t="s">
        <v>7656</v>
      </c>
      <c r="Q3011" s="34" t="s">
        <v>1494</v>
      </c>
      <c r="R3011" s="34" t="s">
        <v>1494</v>
      </c>
    </row>
    <row r="3012" spans="1:18" ht="15" customHeight="1" x14ac:dyDescent="0.25">
      <c r="A3012" t="str">
        <f>IFERROR(RANK(B3012,$B:$B,1)+COUNTIF($B$1:B3011,B3012),"")</f>
        <v/>
      </c>
      <c r="B3012" t="str">
        <f>IFERROR(SEARCH(#REF!,Table4[[#This Row],[Commodity Title]],1),"")</f>
        <v/>
      </c>
      <c r="C3012" s="33" t="s">
        <v>1494</v>
      </c>
      <c r="D3012" s="33" t="s">
        <v>1495</v>
      </c>
      <c r="E3012" s="33" t="s">
        <v>1496</v>
      </c>
      <c r="F3012" s="33" t="s">
        <v>1497</v>
      </c>
      <c r="G3012" s="33" t="s">
        <v>7062</v>
      </c>
      <c r="H3012" s="33" t="s">
        <v>7063</v>
      </c>
      <c r="I3012" s="33" t="s">
        <v>7064</v>
      </c>
      <c r="J3012" s="33">
        <v>116312</v>
      </c>
      <c r="K3012" s="33" t="s">
        <v>7657</v>
      </c>
      <c r="L3012" s="33" t="s">
        <v>7658</v>
      </c>
      <c r="M3012" s="33" t="s">
        <v>7659</v>
      </c>
      <c r="N3012" s="44" t="s">
        <v>1494</v>
      </c>
      <c r="O3012" s="33" t="s">
        <v>1494</v>
      </c>
      <c r="P3012" s="33" t="s">
        <v>1494</v>
      </c>
      <c r="Q3012" s="34" t="s">
        <v>1494</v>
      </c>
      <c r="R3012" s="34" t="s">
        <v>1494</v>
      </c>
    </row>
    <row r="3013" spans="1:18" ht="15" customHeight="1" x14ac:dyDescent="0.25">
      <c r="A3013" t="str">
        <f>IFERROR(RANK(B3013,$B:$B,1)+COUNTIF($B$1:B3012,B3013),"")</f>
        <v/>
      </c>
      <c r="B3013" t="str">
        <f>IFERROR(SEARCH(#REF!,Table4[[#This Row],[Commodity Title]],1),"")</f>
        <v/>
      </c>
      <c r="C3013" s="35">
        <v>42294701</v>
      </c>
      <c r="D3013" s="33" t="s">
        <v>1495</v>
      </c>
      <c r="E3013" s="33" t="s">
        <v>1496</v>
      </c>
      <c r="F3013" s="33" t="s">
        <v>1497</v>
      </c>
      <c r="G3013" s="33" t="s">
        <v>7062</v>
      </c>
      <c r="H3013" s="33" t="s">
        <v>7063</v>
      </c>
      <c r="I3013" s="33" t="s">
        <v>7064</v>
      </c>
      <c r="J3013" s="33">
        <v>104345</v>
      </c>
      <c r="K3013" s="33" t="s">
        <v>7657</v>
      </c>
      <c r="L3013" s="33" t="s">
        <v>7658</v>
      </c>
      <c r="M3013" s="33" t="s">
        <v>7659</v>
      </c>
      <c r="N3013" s="44">
        <v>42294701</v>
      </c>
      <c r="O3013" s="33" t="s">
        <v>7660</v>
      </c>
      <c r="P3013" s="33" t="s">
        <v>7661</v>
      </c>
      <c r="Q3013" s="34" t="s">
        <v>1494</v>
      </c>
      <c r="R3013" s="34" t="s">
        <v>1494</v>
      </c>
    </row>
    <row r="3014" spans="1:18" ht="15" customHeight="1" x14ac:dyDescent="0.25">
      <c r="A3014" t="str">
        <f>IFERROR(RANK(B3014,$B:$B,1)+COUNTIF($B$1:B3013,B3014),"")</f>
        <v/>
      </c>
      <c r="B3014" t="str">
        <f>IFERROR(SEARCH(#REF!,Table4[[#This Row],[Commodity Title]],1),"")</f>
        <v/>
      </c>
      <c r="C3014" s="35">
        <v>42294702</v>
      </c>
      <c r="D3014" s="33" t="s">
        <v>1495</v>
      </c>
      <c r="E3014" s="33" t="s">
        <v>1496</v>
      </c>
      <c r="F3014" s="33" t="s">
        <v>1497</v>
      </c>
      <c r="G3014" s="33" t="s">
        <v>7062</v>
      </c>
      <c r="H3014" s="33" t="s">
        <v>7063</v>
      </c>
      <c r="I3014" s="33" t="s">
        <v>7064</v>
      </c>
      <c r="J3014" s="33">
        <v>104554</v>
      </c>
      <c r="K3014" s="33" t="s">
        <v>7657</v>
      </c>
      <c r="L3014" s="33" t="s">
        <v>7658</v>
      </c>
      <c r="M3014" s="33" t="s">
        <v>7659</v>
      </c>
      <c r="N3014" s="44">
        <v>42294702</v>
      </c>
      <c r="O3014" s="33" t="s">
        <v>7662</v>
      </c>
      <c r="P3014" s="33" t="s">
        <v>7663</v>
      </c>
      <c r="Q3014" s="34" t="s">
        <v>1494</v>
      </c>
      <c r="R3014" s="34" t="s">
        <v>1494</v>
      </c>
    </row>
    <row r="3015" spans="1:18" ht="15" customHeight="1" x14ac:dyDescent="0.25">
      <c r="A3015" t="str">
        <f>IFERROR(RANK(B3015,$B:$B,1)+COUNTIF($B$1:B3014,B3015),"")</f>
        <v/>
      </c>
      <c r="B3015" t="str">
        <f>IFERROR(SEARCH(#REF!,Table4[[#This Row],[Commodity Title]],1),"")</f>
        <v/>
      </c>
      <c r="C3015" s="35">
        <v>42294703</v>
      </c>
      <c r="D3015" s="33" t="s">
        <v>1495</v>
      </c>
      <c r="E3015" s="33" t="s">
        <v>1496</v>
      </c>
      <c r="F3015" s="33" t="s">
        <v>1497</v>
      </c>
      <c r="G3015" s="33" t="s">
        <v>7062</v>
      </c>
      <c r="H3015" s="33" t="s">
        <v>7063</v>
      </c>
      <c r="I3015" s="33" t="s">
        <v>7064</v>
      </c>
      <c r="J3015" s="33">
        <v>116315</v>
      </c>
      <c r="K3015" s="33" t="s">
        <v>7657</v>
      </c>
      <c r="L3015" s="33" t="s">
        <v>7658</v>
      </c>
      <c r="M3015" s="33" t="s">
        <v>7659</v>
      </c>
      <c r="N3015" s="44">
        <v>42294703</v>
      </c>
      <c r="O3015" s="33" t="s">
        <v>7664</v>
      </c>
      <c r="P3015" s="33" t="s">
        <v>7665</v>
      </c>
      <c r="Q3015" s="34" t="s">
        <v>1494</v>
      </c>
      <c r="R3015" s="34" t="s">
        <v>1494</v>
      </c>
    </row>
    <row r="3016" spans="1:18" ht="15" customHeight="1" x14ac:dyDescent="0.25">
      <c r="A3016" t="str">
        <f>IFERROR(RANK(B3016,$B:$B,1)+COUNTIF($B$1:B3015,B3016),"")</f>
        <v/>
      </c>
      <c r="B3016" t="str">
        <f>IFERROR(SEARCH(#REF!,Table4[[#This Row],[Commodity Title]],1),"")</f>
        <v/>
      </c>
      <c r="C3016" s="35">
        <v>42294704</v>
      </c>
      <c r="D3016" s="33" t="s">
        <v>1495</v>
      </c>
      <c r="E3016" s="33" t="s">
        <v>1496</v>
      </c>
      <c r="F3016" s="33" t="s">
        <v>1497</v>
      </c>
      <c r="G3016" s="33" t="s">
        <v>7062</v>
      </c>
      <c r="H3016" s="33" t="s">
        <v>7063</v>
      </c>
      <c r="I3016" s="33" t="s">
        <v>7064</v>
      </c>
      <c r="J3016" s="33">
        <v>116316</v>
      </c>
      <c r="K3016" s="33" t="s">
        <v>7657</v>
      </c>
      <c r="L3016" s="33" t="s">
        <v>7658</v>
      </c>
      <c r="M3016" s="33" t="s">
        <v>7659</v>
      </c>
      <c r="N3016" s="44">
        <v>42294704</v>
      </c>
      <c r="O3016" s="33" t="s">
        <v>7666</v>
      </c>
      <c r="P3016" s="33" t="s">
        <v>7667</v>
      </c>
      <c r="Q3016" s="34" t="s">
        <v>1494</v>
      </c>
      <c r="R3016" s="34" t="s">
        <v>1494</v>
      </c>
    </row>
    <row r="3017" spans="1:18" ht="15" customHeight="1" x14ac:dyDescent="0.25">
      <c r="A3017" t="str">
        <f>IFERROR(RANK(B3017,$B:$B,1)+COUNTIF($B$1:B3016,B3017),"")</f>
        <v/>
      </c>
      <c r="B3017" t="str">
        <f>IFERROR(SEARCH(#REF!,Table4[[#This Row],[Commodity Title]],1),"")</f>
        <v/>
      </c>
      <c r="C3017" s="35">
        <v>42294705</v>
      </c>
      <c r="D3017" s="33" t="s">
        <v>1495</v>
      </c>
      <c r="E3017" s="33" t="s">
        <v>1496</v>
      </c>
      <c r="F3017" s="33" t="s">
        <v>1497</v>
      </c>
      <c r="G3017" s="33" t="s">
        <v>7062</v>
      </c>
      <c r="H3017" s="33" t="s">
        <v>7063</v>
      </c>
      <c r="I3017" s="33" t="s">
        <v>7064</v>
      </c>
      <c r="J3017" s="33">
        <v>116317</v>
      </c>
      <c r="K3017" s="33" t="s">
        <v>7657</v>
      </c>
      <c r="L3017" s="33" t="s">
        <v>7658</v>
      </c>
      <c r="M3017" s="33" t="s">
        <v>7659</v>
      </c>
      <c r="N3017" s="44">
        <v>42294705</v>
      </c>
      <c r="O3017" s="33" t="s">
        <v>7668</v>
      </c>
      <c r="P3017" s="33" t="s">
        <v>7669</v>
      </c>
      <c r="Q3017" s="34" t="s">
        <v>1494</v>
      </c>
      <c r="R3017" s="34" t="s">
        <v>1494</v>
      </c>
    </row>
    <row r="3018" spans="1:18" ht="15" customHeight="1" x14ac:dyDescent="0.25">
      <c r="A3018" t="str">
        <f>IFERROR(RANK(B3018,$B:$B,1)+COUNTIF($B$1:B3017,B3018),"")</f>
        <v/>
      </c>
      <c r="B3018" t="str">
        <f>IFERROR(SEARCH(#REF!,Table4[[#This Row],[Commodity Title]],1),"")</f>
        <v/>
      </c>
      <c r="C3018" s="35">
        <v>42294706</v>
      </c>
      <c r="D3018" s="33" t="s">
        <v>1495</v>
      </c>
      <c r="E3018" s="33" t="s">
        <v>1496</v>
      </c>
      <c r="F3018" s="33" t="s">
        <v>1497</v>
      </c>
      <c r="G3018" s="33" t="s">
        <v>7062</v>
      </c>
      <c r="H3018" s="33" t="s">
        <v>7063</v>
      </c>
      <c r="I3018" s="33" t="s">
        <v>7064</v>
      </c>
      <c r="J3018" s="33">
        <v>116318</v>
      </c>
      <c r="K3018" s="33" t="s">
        <v>7657</v>
      </c>
      <c r="L3018" s="33" t="s">
        <v>7658</v>
      </c>
      <c r="M3018" s="33" t="s">
        <v>7659</v>
      </c>
      <c r="N3018" s="44">
        <v>42294706</v>
      </c>
      <c r="O3018" s="33" t="s">
        <v>7670</v>
      </c>
      <c r="P3018" s="33" t="s">
        <v>7671</v>
      </c>
      <c r="Q3018" s="34" t="s">
        <v>1494</v>
      </c>
      <c r="R3018" s="34" t="s">
        <v>1494</v>
      </c>
    </row>
    <row r="3019" spans="1:18" ht="15" customHeight="1" x14ac:dyDescent="0.25">
      <c r="A3019" t="str">
        <f>IFERROR(RANK(B3019,$B:$B,1)+COUNTIF($B$1:B3018,B3019),"")</f>
        <v/>
      </c>
      <c r="B3019" t="str">
        <f>IFERROR(SEARCH(#REF!,Table4[[#This Row],[Commodity Title]],1),"")</f>
        <v/>
      </c>
      <c r="C3019" s="35">
        <v>42294707</v>
      </c>
      <c r="D3019" s="33" t="s">
        <v>1495</v>
      </c>
      <c r="E3019" s="33" t="s">
        <v>1496</v>
      </c>
      <c r="F3019" s="33" t="s">
        <v>1497</v>
      </c>
      <c r="G3019" s="33" t="s">
        <v>7062</v>
      </c>
      <c r="H3019" s="33" t="s">
        <v>7063</v>
      </c>
      <c r="I3019" s="33" t="s">
        <v>7064</v>
      </c>
      <c r="J3019" s="33">
        <v>116319</v>
      </c>
      <c r="K3019" s="33" t="s">
        <v>7657</v>
      </c>
      <c r="L3019" s="33" t="s">
        <v>7658</v>
      </c>
      <c r="M3019" s="33" t="s">
        <v>7659</v>
      </c>
      <c r="N3019" s="44">
        <v>42294707</v>
      </c>
      <c r="O3019" s="33" t="s">
        <v>7672</v>
      </c>
      <c r="P3019" s="33" t="s">
        <v>7673</v>
      </c>
      <c r="Q3019" s="34" t="s">
        <v>1494</v>
      </c>
      <c r="R3019" s="34" t="s">
        <v>1494</v>
      </c>
    </row>
    <row r="3020" spans="1:18" ht="15" customHeight="1" x14ac:dyDescent="0.25">
      <c r="A3020" t="str">
        <f>IFERROR(RANK(B3020,$B:$B,1)+COUNTIF($B$1:B3019,B3020),"")</f>
        <v/>
      </c>
      <c r="B3020" t="str">
        <f>IFERROR(SEARCH(#REF!,Table4[[#This Row],[Commodity Title]],1),"")</f>
        <v/>
      </c>
      <c r="C3020" s="35">
        <v>42294708</v>
      </c>
      <c r="D3020" s="33" t="s">
        <v>1495</v>
      </c>
      <c r="E3020" s="33" t="s">
        <v>1496</v>
      </c>
      <c r="F3020" s="33" t="s">
        <v>1497</v>
      </c>
      <c r="G3020" s="33" t="s">
        <v>7062</v>
      </c>
      <c r="H3020" s="33" t="s">
        <v>7063</v>
      </c>
      <c r="I3020" s="33" t="s">
        <v>7064</v>
      </c>
      <c r="J3020" s="33">
        <v>116320</v>
      </c>
      <c r="K3020" s="33" t="s">
        <v>7657</v>
      </c>
      <c r="L3020" s="33" t="s">
        <v>7658</v>
      </c>
      <c r="M3020" s="33" t="s">
        <v>7659</v>
      </c>
      <c r="N3020" s="44">
        <v>42294708</v>
      </c>
      <c r="O3020" s="33" t="s">
        <v>7674</v>
      </c>
      <c r="P3020" s="33" t="s">
        <v>7675</v>
      </c>
      <c r="Q3020" s="34" t="s">
        <v>1494</v>
      </c>
      <c r="R3020" s="34" t="s">
        <v>1494</v>
      </c>
    </row>
    <row r="3021" spans="1:18" ht="15" customHeight="1" x14ac:dyDescent="0.25">
      <c r="A3021" t="str">
        <f>IFERROR(RANK(B3021,$B:$B,1)+COUNTIF($B$1:B3020,B3021),"")</f>
        <v/>
      </c>
      <c r="B3021" t="str">
        <f>IFERROR(SEARCH(#REF!,Table4[[#This Row],[Commodity Title]],1),"")</f>
        <v/>
      </c>
      <c r="C3021" s="35">
        <v>42294709</v>
      </c>
      <c r="D3021" s="33" t="s">
        <v>1495</v>
      </c>
      <c r="E3021" s="33" t="s">
        <v>1496</v>
      </c>
      <c r="F3021" s="33" t="s">
        <v>1497</v>
      </c>
      <c r="G3021" s="33" t="s">
        <v>7062</v>
      </c>
      <c r="H3021" s="33" t="s">
        <v>7063</v>
      </c>
      <c r="I3021" s="33" t="s">
        <v>7064</v>
      </c>
      <c r="J3021" s="33">
        <v>116321</v>
      </c>
      <c r="K3021" s="33" t="s">
        <v>7657</v>
      </c>
      <c r="L3021" s="33" t="s">
        <v>7658</v>
      </c>
      <c r="M3021" s="33" t="s">
        <v>7659</v>
      </c>
      <c r="N3021" s="44">
        <v>42294709</v>
      </c>
      <c r="O3021" s="33" t="s">
        <v>7676</v>
      </c>
      <c r="P3021" s="33" t="s">
        <v>7677</v>
      </c>
      <c r="Q3021" s="34" t="s">
        <v>1494</v>
      </c>
      <c r="R3021" s="34" t="s">
        <v>1494</v>
      </c>
    </row>
    <row r="3022" spans="1:18" ht="15" customHeight="1" x14ac:dyDescent="0.25">
      <c r="A3022" t="str">
        <f>IFERROR(RANK(B3022,$B:$B,1)+COUNTIF($B$1:B3021,B3022),"")</f>
        <v/>
      </c>
      <c r="B3022" t="str">
        <f>IFERROR(SEARCH(#REF!,Table4[[#This Row],[Commodity Title]],1),"")</f>
        <v/>
      </c>
      <c r="C3022" s="35">
        <v>42294710</v>
      </c>
      <c r="D3022" s="33" t="s">
        <v>1495</v>
      </c>
      <c r="E3022" s="33" t="s">
        <v>1496</v>
      </c>
      <c r="F3022" s="33" t="s">
        <v>1497</v>
      </c>
      <c r="G3022" s="33" t="s">
        <v>7062</v>
      </c>
      <c r="H3022" s="33" t="s">
        <v>7063</v>
      </c>
      <c r="I3022" s="33" t="s">
        <v>7064</v>
      </c>
      <c r="J3022" s="33">
        <v>116322</v>
      </c>
      <c r="K3022" s="33" t="s">
        <v>7657</v>
      </c>
      <c r="L3022" s="33" t="s">
        <v>7658</v>
      </c>
      <c r="M3022" s="33" t="s">
        <v>7659</v>
      </c>
      <c r="N3022" s="44">
        <v>42294710</v>
      </c>
      <c r="O3022" s="33" t="s">
        <v>7678</v>
      </c>
      <c r="P3022" s="33" t="s">
        <v>7679</v>
      </c>
      <c r="Q3022" s="34" t="s">
        <v>1494</v>
      </c>
      <c r="R3022" s="34" t="s">
        <v>1494</v>
      </c>
    </row>
    <row r="3023" spans="1:18" ht="15" customHeight="1" x14ac:dyDescent="0.25">
      <c r="A3023" t="str">
        <f>IFERROR(RANK(B3023,$B:$B,1)+COUNTIF($B$1:B3022,B3023),"")</f>
        <v/>
      </c>
      <c r="B3023" t="str">
        <f>IFERROR(SEARCH(#REF!,Table4[[#This Row],[Commodity Title]],1),"")</f>
        <v/>
      </c>
      <c r="C3023" s="35">
        <v>42294711</v>
      </c>
      <c r="D3023" s="33" t="s">
        <v>1495</v>
      </c>
      <c r="E3023" s="33" t="s">
        <v>1496</v>
      </c>
      <c r="F3023" s="33" t="s">
        <v>1497</v>
      </c>
      <c r="G3023" s="33" t="s">
        <v>7062</v>
      </c>
      <c r="H3023" s="33" t="s">
        <v>7063</v>
      </c>
      <c r="I3023" s="33" t="s">
        <v>7064</v>
      </c>
      <c r="J3023" s="33">
        <v>116323</v>
      </c>
      <c r="K3023" s="33" t="s">
        <v>7657</v>
      </c>
      <c r="L3023" s="33" t="s">
        <v>7658</v>
      </c>
      <c r="M3023" s="33" t="s">
        <v>7659</v>
      </c>
      <c r="N3023" s="44">
        <v>42294711</v>
      </c>
      <c r="O3023" s="33" t="s">
        <v>7680</v>
      </c>
      <c r="P3023" s="33" t="s">
        <v>7681</v>
      </c>
      <c r="Q3023" s="34" t="s">
        <v>1494</v>
      </c>
      <c r="R3023" s="34" t="s">
        <v>1494</v>
      </c>
    </row>
    <row r="3024" spans="1:18" ht="15" customHeight="1" x14ac:dyDescent="0.25">
      <c r="A3024" t="str">
        <f>IFERROR(RANK(B3024,$B:$B,1)+COUNTIF($B$1:B3023,B3024),"")</f>
        <v/>
      </c>
      <c r="B3024" t="str">
        <f>IFERROR(SEARCH(#REF!,Table4[[#This Row],[Commodity Title]],1),"")</f>
        <v/>
      </c>
      <c r="C3024" s="35">
        <v>42294712</v>
      </c>
      <c r="D3024" s="33" t="s">
        <v>1495</v>
      </c>
      <c r="E3024" s="33" t="s">
        <v>1496</v>
      </c>
      <c r="F3024" s="33" t="s">
        <v>1497</v>
      </c>
      <c r="G3024" s="33" t="s">
        <v>7062</v>
      </c>
      <c r="H3024" s="33" t="s">
        <v>7063</v>
      </c>
      <c r="I3024" s="33" t="s">
        <v>7064</v>
      </c>
      <c r="J3024" s="33">
        <v>116324</v>
      </c>
      <c r="K3024" s="33" t="s">
        <v>7657</v>
      </c>
      <c r="L3024" s="33" t="s">
        <v>7658</v>
      </c>
      <c r="M3024" s="33" t="s">
        <v>7659</v>
      </c>
      <c r="N3024" s="44">
        <v>42294712</v>
      </c>
      <c r="O3024" s="33" t="s">
        <v>7682</v>
      </c>
      <c r="P3024" s="33" t="s">
        <v>7683</v>
      </c>
      <c r="Q3024" s="34" t="s">
        <v>1494</v>
      </c>
      <c r="R3024" s="34" t="s">
        <v>1494</v>
      </c>
    </row>
    <row r="3025" spans="1:18" ht="15" customHeight="1" x14ac:dyDescent="0.25">
      <c r="A3025" t="str">
        <f>IFERROR(RANK(B3025,$B:$B,1)+COUNTIF($B$1:B3024,B3025),"")</f>
        <v/>
      </c>
      <c r="B3025" t="str">
        <f>IFERROR(SEARCH(#REF!,Table4[[#This Row],[Commodity Title]],1),"")</f>
        <v/>
      </c>
      <c r="C3025" s="35">
        <v>42294713</v>
      </c>
      <c r="D3025" s="33" t="s">
        <v>1495</v>
      </c>
      <c r="E3025" s="33" t="s">
        <v>1496</v>
      </c>
      <c r="F3025" s="33" t="s">
        <v>1497</v>
      </c>
      <c r="G3025" s="33" t="s">
        <v>7062</v>
      </c>
      <c r="H3025" s="33" t="s">
        <v>7063</v>
      </c>
      <c r="I3025" s="33" t="s">
        <v>7064</v>
      </c>
      <c r="J3025" s="33">
        <v>116325</v>
      </c>
      <c r="K3025" s="33" t="s">
        <v>7657</v>
      </c>
      <c r="L3025" s="33" t="s">
        <v>7658</v>
      </c>
      <c r="M3025" s="33" t="s">
        <v>7659</v>
      </c>
      <c r="N3025" s="44">
        <v>42294713</v>
      </c>
      <c r="O3025" s="33" t="s">
        <v>7684</v>
      </c>
      <c r="P3025" s="33" t="s">
        <v>7685</v>
      </c>
      <c r="Q3025" s="34" t="s">
        <v>1494</v>
      </c>
      <c r="R3025" s="34" t="s">
        <v>1494</v>
      </c>
    </row>
    <row r="3026" spans="1:18" ht="15" customHeight="1" x14ac:dyDescent="0.25">
      <c r="A3026" t="str">
        <f>IFERROR(RANK(B3026,$B:$B,1)+COUNTIF($B$1:B3025,B3026),"")</f>
        <v/>
      </c>
      <c r="B3026" t="str">
        <f>IFERROR(SEARCH(#REF!,Table4[[#This Row],[Commodity Title]],1),"")</f>
        <v/>
      </c>
      <c r="C3026" s="35">
        <v>42294714</v>
      </c>
      <c r="D3026" s="33" t="s">
        <v>1495</v>
      </c>
      <c r="E3026" s="33" t="s">
        <v>1496</v>
      </c>
      <c r="F3026" s="33" t="s">
        <v>1497</v>
      </c>
      <c r="G3026" s="33" t="s">
        <v>7062</v>
      </c>
      <c r="H3026" s="33" t="s">
        <v>7063</v>
      </c>
      <c r="I3026" s="33" t="s">
        <v>7064</v>
      </c>
      <c r="J3026" s="33">
        <v>116326</v>
      </c>
      <c r="K3026" s="33" t="s">
        <v>7657</v>
      </c>
      <c r="L3026" s="33" t="s">
        <v>7658</v>
      </c>
      <c r="M3026" s="33" t="s">
        <v>7659</v>
      </c>
      <c r="N3026" s="44">
        <v>42294714</v>
      </c>
      <c r="O3026" s="33" t="s">
        <v>7686</v>
      </c>
      <c r="P3026" s="33" t="s">
        <v>7687</v>
      </c>
      <c r="Q3026" s="34" t="s">
        <v>1494</v>
      </c>
      <c r="R3026" s="34" t="s">
        <v>1494</v>
      </c>
    </row>
    <row r="3027" spans="1:18" ht="15" customHeight="1" x14ac:dyDescent="0.25">
      <c r="A3027" t="str">
        <f>IFERROR(RANK(B3027,$B:$B,1)+COUNTIF($B$1:B3026,B3027),"")</f>
        <v/>
      </c>
      <c r="B3027" t="str">
        <f>IFERROR(SEARCH(#REF!,Table4[[#This Row],[Commodity Title]],1),"")</f>
        <v/>
      </c>
      <c r="C3027" s="35">
        <v>42294715</v>
      </c>
      <c r="D3027" s="33" t="s">
        <v>1495</v>
      </c>
      <c r="E3027" s="33" t="s">
        <v>1496</v>
      </c>
      <c r="F3027" s="33" t="s">
        <v>1497</v>
      </c>
      <c r="G3027" s="33" t="s">
        <v>7062</v>
      </c>
      <c r="H3027" s="33" t="s">
        <v>7063</v>
      </c>
      <c r="I3027" s="33" t="s">
        <v>7064</v>
      </c>
      <c r="J3027" s="33">
        <v>116327</v>
      </c>
      <c r="K3027" s="33" t="s">
        <v>7657</v>
      </c>
      <c r="L3027" s="33" t="s">
        <v>7658</v>
      </c>
      <c r="M3027" s="33" t="s">
        <v>7659</v>
      </c>
      <c r="N3027" s="44">
        <v>42294715</v>
      </c>
      <c r="O3027" s="33" t="s">
        <v>7688</v>
      </c>
      <c r="P3027" s="33" t="s">
        <v>7689</v>
      </c>
      <c r="Q3027" s="34" t="s">
        <v>1494</v>
      </c>
      <c r="R3027" s="34" t="s">
        <v>1494</v>
      </c>
    </row>
    <row r="3028" spans="1:18" ht="15" customHeight="1" x14ac:dyDescent="0.25">
      <c r="A3028" t="str">
        <f>IFERROR(RANK(B3028,$B:$B,1)+COUNTIF($B$1:B3027,B3028),"")</f>
        <v/>
      </c>
      <c r="B3028" t="str">
        <f>IFERROR(SEARCH(#REF!,Table4[[#This Row],[Commodity Title]],1),"")</f>
        <v/>
      </c>
      <c r="C3028" s="35">
        <v>42294717</v>
      </c>
      <c r="D3028" s="33" t="s">
        <v>1495</v>
      </c>
      <c r="E3028" s="33" t="s">
        <v>1496</v>
      </c>
      <c r="F3028" s="33" t="s">
        <v>1497</v>
      </c>
      <c r="G3028" s="33" t="s">
        <v>7062</v>
      </c>
      <c r="H3028" s="33" t="s">
        <v>7063</v>
      </c>
      <c r="I3028" s="33" t="s">
        <v>7064</v>
      </c>
      <c r="J3028" s="33">
        <v>116329</v>
      </c>
      <c r="K3028" s="33" t="s">
        <v>7657</v>
      </c>
      <c r="L3028" s="33" t="s">
        <v>7658</v>
      </c>
      <c r="M3028" s="33" t="s">
        <v>7659</v>
      </c>
      <c r="N3028" s="44">
        <v>42294717</v>
      </c>
      <c r="O3028" s="33" t="s">
        <v>7690</v>
      </c>
      <c r="P3028" s="33" t="s">
        <v>7691</v>
      </c>
      <c r="Q3028" s="34" t="s">
        <v>1494</v>
      </c>
      <c r="R3028" s="34" t="s">
        <v>1494</v>
      </c>
    </row>
    <row r="3029" spans="1:18" ht="15" customHeight="1" x14ac:dyDescent="0.25">
      <c r="A3029" t="str">
        <f>IFERROR(RANK(B3029,$B:$B,1)+COUNTIF($B$1:B3028,B3029),"")</f>
        <v/>
      </c>
      <c r="B3029" t="str">
        <f>IFERROR(SEARCH(#REF!,Table4[[#This Row],[Commodity Title]],1),"")</f>
        <v/>
      </c>
      <c r="C3029" s="35">
        <v>42294718</v>
      </c>
      <c r="D3029" s="33" t="s">
        <v>1495</v>
      </c>
      <c r="E3029" s="33" t="s">
        <v>1496</v>
      </c>
      <c r="F3029" s="33" t="s">
        <v>1497</v>
      </c>
      <c r="G3029" s="33" t="s">
        <v>7062</v>
      </c>
      <c r="H3029" s="33" t="s">
        <v>7063</v>
      </c>
      <c r="I3029" s="33" t="s">
        <v>7064</v>
      </c>
      <c r="J3029" s="33">
        <v>142796</v>
      </c>
      <c r="K3029" s="33" t="s">
        <v>7657</v>
      </c>
      <c r="L3029" s="33" t="s">
        <v>7658</v>
      </c>
      <c r="M3029" s="33" t="s">
        <v>7659</v>
      </c>
      <c r="N3029" s="44">
        <v>42294718</v>
      </c>
      <c r="O3029" s="33" t="s">
        <v>7692</v>
      </c>
      <c r="P3029" s="33" t="s">
        <v>7693</v>
      </c>
      <c r="Q3029" s="34" t="s">
        <v>1494</v>
      </c>
      <c r="R3029" s="34" t="s">
        <v>1494</v>
      </c>
    </row>
    <row r="3030" spans="1:18" ht="15" customHeight="1" x14ac:dyDescent="0.25">
      <c r="A3030" t="str">
        <f>IFERROR(RANK(B3030,$B:$B,1)+COUNTIF($B$1:B3029,B3030),"")</f>
        <v/>
      </c>
      <c r="B3030" t="str">
        <f>IFERROR(SEARCH(#REF!,Table4[[#This Row],[Commodity Title]],1),"")</f>
        <v/>
      </c>
      <c r="C3030" s="35">
        <v>42294720</v>
      </c>
      <c r="D3030" s="33" t="s">
        <v>1495</v>
      </c>
      <c r="E3030" s="33" t="s">
        <v>1496</v>
      </c>
      <c r="F3030" s="33" t="s">
        <v>1497</v>
      </c>
      <c r="G3030" s="33" t="s">
        <v>7062</v>
      </c>
      <c r="H3030" s="33" t="s">
        <v>7063</v>
      </c>
      <c r="I3030" s="33" t="s">
        <v>7064</v>
      </c>
      <c r="J3030" s="33">
        <v>142798</v>
      </c>
      <c r="K3030" s="33" t="s">
        <v>7657</v>
      </c>
      <c r="L3030" s="33" t="s">
        <v>7658</v>
      </c>
      <c r="M3030" s="33" t="s">
        <v>7659</v>
      </c>
      <c r="N3030" s="44">
        <v>42294720</v>
      </c>
      <c r="O3030" s="33" t="s">
        <v>7694</v>
      </c>
      <c r="P3030" s="33" t="s">
        <v>7695</v>
      </c>
      <c r="Q3030" s="34" t="s">
        <v>1494</v>
      </c>
      <c r="R3030" s="34" t="s">
        <v>1494</v>
      </c>
    </row>
    <row r="3031" spans="1:18" ht="15" customHeight="1" x14ac:dyDescent="0.25">
      <c r="A3031" t="str">
        <f>IFERROR(RANK(B3031,$B:$B,1)+COUNTIF($B$1:B3030,B3031),"")</f>
        <v/>
      </c>
      <c r="B3031" t="str">
        <f>IFERROR(SEARCH(#REF!,Table4[[#This Row],[Commodity Title]],1),"")</f>
        <v/>
      </c>
      <c r="C3031" s="35">
        <v>42294721</v>
      </c>
      <c r="D3031" s="33" t="s">
        <v>1495</v>
      </c>
      <c r="E3031" s="33" t="s">
        <v>1496</v>
      </c>
      <c r="F3031" s="33" t="s">
        <v>1497</v>
      </c>
      <c r="G3031" s="33" t="s">
        <v>7062</v>
      </c>
      <c r="H3031" s="33" t="s">
        <v>7063</v>
      </c>
      <c r="I3031" s="33" t="s">
        <v>7064</v>
      </c>
      <c r="J3031" s="33">
        <v>142799</v>
      </c>
      <c r="K3031" s="33" t="s">
        <v>7657</v>
      </c>
      <c r="L3031" s="33" t="s">
        <v>7658</v>
      </c>
      <c r="M3031" s="33" t="s">
        <v>7659</v>
      </c>
      <c r="N3031" s="44">
        <v>42294721</v>
      </c>
      <c r="O3031" s="33" t="s">
        <v>7696</v>
      </c>
      <c r="P3031" s="33" t="s">
        <v>7697</v>
      </c>
      <c r="Q3031" s="34" t="s">
        <v>1494</v>
      </c>
      <c r="R3031" s="34" t="s">
        <v>1494</v>
      </c>
    </row>
    <row r="3032" spans="1:18" ht="15" customHeight="1" x14ac:dyDescent="0.25">
      <c r="A3032" t="str">
        <f>IFERROR(RANK(B3032,$B:$B,1)+COUNTIF($B$1:B3031,B3032),"")</f>
        <v/>
      </c>
      <c r="B3032" t="str">
        <f>IFERROR(SEARCH(#REF!,Table4[[#This Row],[Commodity Title]],1),"")</f>
        <v/>
      </c>
      <c r="C3032" s="35">
        <v>42294722</v>
      </c>
      <c r="D3032" s="33" t="s">
        <v>1495</v>
      </c>
      <c r="E3032" s="33" t="s">
        <v>1496</v>
      </c>
      <c r="F3032" s="33" t="s">
        <v>1497</v>
      </c>
      <c r="G3032" s="33" t="s">
        <v>7062</v>
      </c>
      <c r="H3032" s="33" t="s">
        <v>7063</v>
      </c>
      <c r="I3032" s="33" t="s">
        <v>7064</v>
      </c>
      <c r="J3032" s="33">
        <v>142800</v>
      </c>
      <c r="K3032" s="33" t="s">
        <v>7657</v>
      </c>
      <c r="L3032" s="33" t="s">
        <v>7658</v>
      </c>
      <c r="M3032" s="33" t="s">
        <v>7659</v>
      </c>
      <c r="N3032" s="44">
        <v>42294722</v>
      </c>
      <c r="O3032" s="33" t="s">
        <v>7698</v>
      </c>
      <c r="P3032" s="33" t="s">
        <v>7699</v>
      </c>
      <c r="Q3032" s="34" t="s">
        <v>1494</v>
      </c>
      <c r="R3032" s="34" t="s">
        <v>1494</v>
      </c>
    </row>
    <row r="3033" spans="1:18" ht="15" customHeight="1" x14ac:dyDescent="0.25">
      <c r="A3033" t="str">
        <f>IFERROR(RANK(B3033,$B:$B,1)+COUNTIF($B$1:B3032,B3033),"")</f>
        <v/>
      </c>
      <c r="B3033" t="str">
        <f>IFERROR(SEARCH(#REF!,Table4[[#This Row],[Commodity Title]],1),"")</f>
        <v/>
      </c>
      <c r="C3033" s="35">
        <v>42294723</v>
      </c>
      <c r="D3033" s="33" t="s">
        <v>1495</v>
      </c>
      <c r="E3033" s="33" t="s">
        <v>1496</v>
      </c>
      <c r="F3033" s="33" t="s">
        <v>1497</v>
      </c>
      <c r="G3033" s="33" t="s">
        <v>7062</v>
      </c>
      <c r="H3033" s="33" t="s">
        <v>7063</v>
      </c>
      <c r="I3033" s="33" t="s">
        <v>7064</v>
      </c>
      <c r="J3033" s="33">
        <v>146150</v>
      </c>
      <c r="K3033" s="33" t="s">
        <v>7657</v>
      </c>
      <c r="L3033" s="33" t="s">
        <v>7658</v>
      </c>
      <c r="M3033" s="33" t="s">
        <v>7659</v>
      </c>
      <c r="N3033" s="44">
        <v>42294723</v>
      </c>
      <c r="O3033" s="33" t="s">
        <v>7700</v>
      </c>
      <c r="P3033" s="33" t="s">
        <v>7701</v>
      </c>
      <c r="Q3033" s="34" t="s">
        <v>1494</v>
      </c>
      <c r="R3033" s="34" t="s">
        <v>1494</v>
      </c>
    </row>
    <row r="3034" spans="1:18" ht="15" customHeight="1" x14ac:dyDescent="0.25">
      <c r="A3034" t="str">
        <f>IFERROR(RANK(B3034,$B:$B,1)+COUNTIF($B$1:B3033,B3034),"")</f>
        <v/>
      </c>
      <c r="B3034" t="str">
        <f>IFERROR(SEARCH(#REF!,Table4[[#This Row],[Commodity Title]],1),"")</f>
        <v/>
      </c>
      <c r="C3034" s="35">
        <v>42294724</v>
      </c>
      <c r="D3034" s="33" t="s">
        <v>1495</v>
      </c>
      <c r="E3034" s="33" t="s">
        <v>1496</v>
      </c>
      <c r="F3034" s="33" t="s">
        <v>1497</v>
      </c>
      <c r="G3034" s="33" t="s">
        <v>7062</v>
      </c>
      <c r="H3034" s="33" t="s">
        <v>7063</v>
      </c>
      <c r="I3034" s="33" t="s">
        <v>7064</v>
      </c>
      <c r="J3034" s="33">
        <v>146151</v>
      </c>
      <c r="K3034" s="33" t="s">
        <v>7657</v>
      </c>
      <c r="L3034" s="33" t="s">
        <v>7658</v>
      </c>
      <c r="M3034" s="33" t="s">
        <v>7659</v>
      </c>
      <c r="N3034" s="44">
        <v>42294724</v>
      </c>
      <c r="O3034" s="33" t="s">
        <v>7702</v>
      </c>
      <c r="P3034" s="33" t="s">
        <v>7703</v>
      </c>
      <c r="Q3034" s="34" t="s">
        <v>1494</v>
      </c>
      <c r="R3034" s="34" t="s">
        <v>1494</v>
      </c>
    </row>
    <row r="3035" spans="1:18" ht="15" customHeight="1" x14ac:dyDescent="0.25">
      <c r="A3035" t="str">
        <f>IFERROR(RANK(B3035,$B:$B,1)+COUNTIF($B$1:B3034,B3035),"")</f>
        <v/>
      </c>
      <c r="B3035" t="str">
        <f>IFERROR(SEARCH(#REF!,Table4[[#This Row],[Commodity Title]],1),"")</f>
        <v/>
      </c>
      <c r="C3035" s="35">
        <v>42294725</v>
      </c>
      <c r="D3035" s="33" t="s">
        <v>1495</v>
      </c>
      <c r="E3035" s="33" t="s">
        <v>1496</v>
      </c>
      <c r="F3035" s="33" t="s">
        <v>1497</v>
      </c>
      <c r="G3035" s="33" t="s">
        <v>7062</v>
      </c>
      <c r="H3035" s="33" t="s">
        <v>7063</v>
      </c>
      <c r="I3035" s="33" t="s">
        <v>7064</v>
      </c>
      <c r="J3035" s="33">
        <v>203168</v>
      </c>
      <c r="K3035" s="33" t="s">
        <v>7657</v>
      </c>
      <c r="L3035" s="33" t="s">
        <v>7658</v>
      </c>
      <c r="M3035" s="33" t="s">
        <v>7659</v>
      </c>
      <c r="N3035" s="44">
        <v>42294725</v>
      </c>
      <c r="O3035" s="33" t="s">
        <v>7704</v>
      </c>
      <c r="P3035" s="33" t="s">
        <v>7705</v>
      </c>
      <c r="Q3035" s="34" t="s">
        <v>1494</v>
      </c>
      <c r="R3035" s="34" t="s">
        <v>1494</v>
      </c>
    </row>
    <row r="3036" spans="1:18" ht="15" customHeight="1" x14ac:dyDescent="0.25">
      <c r="A3036" t="str">
        <f>IFERROR(RANK(B3036,$B:$B,1)+COUNTIF($B$1:B3035,B3036),"")</f>
        <v/>
      </c>
      <c r="B3036" t="str">
        <f>IFERROR(SEARCH(#REF!,Table4[[#This Row],[Commodity Title]],1),"")</f>
        <v/>
      </c>
      <c r="C3036" s="35">
        <v>42294726</v>
      </c>
      <c r="D3036" s="33" t="s">
        <v>1495</v>
      </c>
      <c r="E3036" s="33" t="s">
        <v>1496</v>
      </c>
      <c r="F3036" s="33" t="s">
        <v>1497</v>
      </c>
      <c r="G3036" s="33" t="s">
        <v>7062</v>
      </c>
      <c r="H3036" s="33" t="s">
        <v>7063</v>
      </c>
      <c r="I3036" s="33" t="s">
        <v>7064</v>
      </c>
      <c r="J3036" s="33">
        <v>203169</v>
      </c>
      <c r="K3036" s="33" t="s">
        <v>7657</v>
      </c>
      <c r="L3036" s="33" t="s">
        <v>7658</v>
      </c>
      <c r="M3036" s="33" t="s">
        <v>7659</v>
      </c>
      <c r="N3036" s="44">
        <v>42294726</v>
      </c>
      <c r="O3036" s="33" t="s">
        <v>7706</v>
      </c>
      <c r="P3036" s="33" t="s">
        <v>7707</v>
      </c>
      <c r="Q3036" s="34" t="s">
        <v>1494</v>
      </c>
      <c r="R3036" s="34" t="s">
        <v>1494</v>
      </c>
    </row>
    <row r="3037" spans="1:18" ht="15" customHeight="1" x14ac:dyDescent="0.25">
      <c r="A3037" t="str">
        <f>IFERROR(RANK(B3037,$B:$B,1)+COUNTIF($B$1:B3036,B3037),"")</f>
        <v/>
      </c>
      <c r="B3037" t="str">
        <f>IFERROR(SEARCH(#REF!,Table4[[#This Row],[Commodity Title]],1),"")</f>
        <v/>
      </c>
      <c r="C3037" s="35">
        <v>42294727</v>
      </c>
      <c r="D3037" s="33" t="s">
        <v>1495</v>
      </c>
      <c r="E3037" s="33" t="s">
        <v>1496</v>
      </c>
      <c r="F3037" s="33" t="s">
        <v>1497</v>
      </c>
      <c r="G3037" s="33" t="s">
        <v>7062</v>
      </c>
      <c r="H3037" s="33" t="s">
        <v>7063</v>
      </c>
      <c r="I3037" s="33" t="s">
        <v>7064</v>
      </c>
      <c r="J3037" s="33">
        <v>203170</v>
      </c>
      <c r="K3037" s="33" t="s">
        <v>7657</v>
      </c>
      <c r="L3037" s="33" t="s">
        <v>7658</v>
      </c>
      <c r="M3037" s="33" t="s">
        <v>7659</v>
      </c>
      <c r="N3037" s="44">
        <v>42294727</v>
      </c>
      <c r="O3037" s="33" t="s">
        <v>7708</v>
      </c>
      <c r="P3037" s="33" t="s">
        <v>7709</v>
      </c>
      <c r="Q3037" s="34" t="s">
        <v>1494</v>
      </c>
      <c r="R3037" s="34" t="s">
        <v>1494</v>
      </c>
    </row>
    <row r="3038" spans="1:18" ht="15" customHeight="1" x14ac:dyDescent="0.25">
      <c r="A3038" t="str">
        <f>IFERROR(RANK(B3038,$B:$B,1)+COUNTIF($B$1:B3037,B3038),"")</f>
        <v/>
      </c>
      <c r="B3038" t="str">
        <f>IFERROR(SEARCH(#REF!,Table4[[#This Row],[Commodity Title]],1),"")</f>
        <v/>
      </c>
      <c r="C3038" s="35">
        <v>42294728</v>
      </c>
      <c r="D3038" s="33" t="s">
        <v>1495</v>
      </c>
      <c r="E3038" s="33" t="s">
        <v>1496</v>
      </c>
      <c r="F3038" s="33" t="s">
        <v>1497</v>
      </c>
      <c r="G3038" s="33" t="s">
        <v>7062</v>
      </c>
      <c r="H3038" s="33" t="s">
        <v>7063</v>
      </c>
      <c r="I3038" s="33" t="s">
        <v>7064</v>
      </c>
      <c r="J3038" s="33">
        <v>203171</v>
      </c>
      <c r="K3038" s="33" t="s">
        <v>7657</v>
      </c>
      <c r="L3038" s="33" t="s">
        <v>7658</v>
      </c>
      <c r="M3038" s="33" t="s">
        <v>7659</v>
      </c>
      <c r="N3038" s="44">
        <v>42294728</v>
      </c>
      <c r="O3038" s="33" t="s">
        <v>7710</v>
      </c>
      <c r="P3038" s="33" t="s">
        <v>7711</v>
      </c>
      <c r="Q3038" s="34" t="s">
        <v>1494</v>
      </c>
      <c r="R3038" s="34" t="s">
        <v>1494</v>
      </c>
    </row>
    <row r="3039" spans="1:18" ht="15" customHeight="1" x14ac:dyDescent="0.25">
      <c r="A3039" t="str">
        <f>IFERROR(RANK(B3039,$B:$B,1)+COUNTIF($B$1:B3038,B3039),"")</f>
        <v/>
      </c>
      <c r="B3039" t="str">
        <f>IFERROR(SEARCH(#REF!,Table4[[#This Row],[Commodity Title]],1),"")</f>
        <v/>
      </c>
      <c r="C3039" s="35">
        <v>42294729</v>
      </c>
      <c r="D3039" s="33" t="s">
        <v>1495</v>
      </c>
      <c r="E3039" s="33" t="s">
        <v>1496</v>
      </c>
      <c r="F3039" s="33" t="s">
        <v>1497</v>
      </c>
      <c r="G3039" s="33" t="s">
        <v>7062</v>
      </c>
      <c r="H3039" s="33" t="s">
        <v>7063</v>
      </c>
      <c r="I3039" s="33" t="s">
        <v>7064</v>
      </c>
      <c r="J3039" s="33">
        <v>203172</v>
      </c>
      <c r="K3039" s="33" t="s">
        <v>7657</v>
      </c>
      <c r="L3039" s="33" t="s">
        <v>7658</v>
      </c>
      <c r="M3039" s="33" t="s">
        <v>7659</v>
      </c>
      <c r="N3039" s="44">
        <v>42294729</v>
      </c>
      <c r="O3039" s="33" t="s">
        <v>7712</v>
      </c>
      <c r="P3039" s="33" t="s">
        <v>7713</v>
      </c>
      <c r="Q3039" s="34" t="s">
        <v>1494</v>
      </c>
      <c r="R3039" s="34" t="s">
        <v>1494</v>
      </c>
    </row>
    <row r="3040" spans="1:18" ht="15" customHeight="1" x14ac:dyDescent="0.25">
      <c r="A3040" t="str">
        <f>IFERROR(RANK(B3040,$B:$B,1)+COUNTIF($B$1:B3039,B3040),"")</f>
        <v/>
      </c>
      <c r="B3040" t="str">
        <f>IFERROR(SEARCH(#REF!,Table4[[#This Row],[Commodity Title]],1),"")</f>
        <v/>
      </c>
      <c r="C3040" s="35">
        <v>42294730</v>
      </c>
      <c r="D3040" s="33" t="s">
        <v>1495</v>
      </c>
      <c r="E3040" s="33" t="s">
        <v>1496</v>
      </c>
      <c r="F3040" s="33" t="s">
        <v>1497</v>
      </c>
      <c r="G3040" s="33" t="s">
        <v>7062</v>
      </c>
      <c r="H3040" s="33" t="s">
        <v>7063</v>
      </c>
      <c r="I3040" s="33" t="s">
        <v>7064</v>
      </c>
      <c r="J3040" s="33">
        <v>203173</v>
      </c>
      <c r="K3040" s="33" t="s">
        <v>7657</v>
      </c>
      <c r="L3040" s="33" t="s">
        <v>7658</v>
      </c>
      <c r="M3040" s="33" t="s">
        <v>7659</v>
      </c>
      <c r="N3040" s="44">
        <v>42294730</v>
      </c>
      <c r="O3040" s="33" t="s">
        <v>7714</v>
      </c>
      <c r="P3040" s="33" t="s">
        <v>7715</v>
      </c>
      <c r="Q3040" s="34" t="s">
        <v>1494</v>
      </c>
      <c r="R3040" s="34" t="s">
        <v>1494</v>
      </c>
    </row>
    <row r="3041" spans="1:18" ht="15" customHeight="1" x14ac:dyDescent="0.25">
      <c r="A3041" t="str">
        <f>IFERROR(RANK(B3041,$B:$B,1)+COUNTIF($B$1:B3040,B3041),"")</f>
        <v/>
      </c>
      <c r="B3041" t="str">
        <f>IFERROR(SEARCH(#REF!,Table4[[#This Row],[Commodity Title]],1),"")</f>
        <v/>
      </c>
      <c r="C3041" s="35">
        <v>42294731</v>
      </c>
      <c r="D3041" s="33" t="s">
        <v>1495</v>
      </c>
      <c r="E3041" s="33" t="s">
        <v>1496</v>
      </c>
      <c r="F3041" s="33" t="s">
        <v>1497</v>
      </c>
      <c r="G3041" s="33" t="s">
        <v>7062</v>
      </c>
      <c r="H3041" s="33" t="s">
        <v>7063</v>
      </c>
      <c r="I3041" s="33" t="s">
        <v>7064</v>
      </c>
      <c r="J3041" s="33">
        <v>203174</v>
      </c>
      <c r="K3041" s="33" t="s">
        <v>7657</v>
      </c>
      <c r="L3041" s="33" t="s">
        <v>7658</v>
      </c>
      <c r="M3041" s="33" t="s">
        <v>7659</v>
      </c>
      <c r="N3041" s="44">
        <v>42294731</v>
      </c>
      <c r="O3041" s="33" t="s">
        <v>7716</v>
      </c>
      <c r="P3041" s="33" t="s">
        <v>7717</v>
      </c>
      <c r="Q3041" s="34" t="s">
        <v>1494</v>
      </c>
      <c r="R3041" s="34" t="s">
        <v>1494</v>
      </c>
    </row>
    <row r="3042" spans="1:18" ht="15" customHeight="1" x14ac:dyDescent="0.25">
      <c r="A3042" t="str">
        <f>IFERROR(RANK(B3042,$B:$B,1)+COUNTIF($B$1:B3041,B3042),"")</f>
        <v/>
      </c>
      <c r="B3042" t="str">
        <f>IFERROR(SEARCH(#REF!,Table4[[#This Row],[Commodity Title]],1),"")</f>
        <v/>
      </c>
      <c r="C3042" s="35">
        <v>42294732</v>
      </c>
      <c r="D3042" s="33" t="s">
        <v>1495</v>
      </c>
      <c r="E3042" s="33" t="s">
        <v>1496</v>
      </c>
      <c r="F3042" s="33" t="s">
        <v>1497</v>
      </c>
      <c r="G3042" s="33" t="s">
        <v>7062</v>
      </c>
      <c r="H3042" s="33" t="s">
        <v>7063</v>
      </c>
      <c r="I3042" s="33" t="s">
        <v>7064</v>
      </c>
      <c r="J3042" s="33">
        <v>203175</v>
      </c>
      <c r="K3042" s="33" t="s">
        <v>7657</v>
      </c>
      <c r="L3042" s="33" t="s">
        <v>7658</v>
      </c>
      <c r="M3042" s="33" t="s">
        <v>7659</v>
      </c>
      <c r="N3042" s="44">
        <v>42294732</v>
      </c>
      <c r="O3042" s="33" t="s">
        <v>7718</v>
      </c>
      <c r="P3042" s="33" t="s">
        <v>7719</v>
      </c>
      <c r="Q3042" s="34" t="s">
        <v>1494</v>
      </c>
      <c r="R3042" s="34" t="s">
        <v>1494</v>
      </c>
    </row>
    <row r="3043" spans="1:18" ht="15" customHeight="1" x14ac:dyDescent="0.25">
      <c r="A3043" t="str">
        <f>IFERROR(RANK(B3043,$B:$B,1)+COUNTIF($B$1:B3042,B3043),"")</f>
        <v/>
      </c>
      <c r="B3043" t="str">
        <f>IFERROR(SEARCH(#REF!,Table4[[#This Row],[Commodity Title]],1),"")</f>
        <v/>
      </c>
      <c r="C3043" s="35">
        <v>42294733</v>
      </c>
      <c r="D3043" s="33" t="s">
        <v>1495</v>
      </c>
      <c r="E3043" s="33" t="s">
        <v>1496</v>
      </c>
      <c r="F3043" s="33" t="s">
        <v>1497</v>
      </c>
      <c r="G3043" s="33" t="s">
        <v>7062</v>
      </c>
      <c r="H3043" s="33" t="s">
        <v>7063</v>
      </c>
      <c r="I3043" s="33" t="s">
        <v>7064</v>
      </c>
      <c r="J3043" s="33">
        <v>203176</v>
      </c>
      <c r="K3043" s="33" t="s">
        <v>7657</v>
      </c>
      <c r="L3043" s="33" t="s">
        <v>7658</v>
      </c>
      <c r="M3043" s="33" t="s">
        <v>7659</v>
      </c>
      <c r="N3043" s="44">
        <v>42294733</v>
      </c>
      <c r="O3043" s="33" t="s">
        <v>7720</v>
      </c>
      <c r="P3043" s="33" t="s">
        <v>7721</v>
      </c>
      <c r="Q3043" s="34" t="s">
        <v>1494</v>
      </c>
      <c r="R3043" s="34" t="s">
        <v>1494</v>
      </c>
    </row>
    <row r="3044" spans="1:18" ht="15" customHeight="1" x14ac:dyDescent="0.25">
      <c r="A3044" t="str">
        <f>IFERROR(RANK(B3044,$B:$B,1)+COUNTIF($B$1:B3043,B3044),"")</f>
        <v/>
      </c>
      <c r="B3044" t="str">
        <f>IFERROR(SEARCH(#REF!,Table4[[#This Row],[Commodity Title]],1),"")</f>
        <v/>
      </c>
      <c r="C3044" s="35">
        <v>42294734</v>
      </c>
      <c r="D3044" s="33" t="s">
        <v>1495</v>
      </c>
      <c r="E3044" s="33" t="s">
        <v>1496</v>
      </c>
      <c r="F3044" s="33" t="s">
        <v>1497</v>
      </c>
      <c r="G3044" s="33" t="s">
        <v>7062</v>
      </c>
      <c r="H3044" s="33" t="s">
        <v>7063</v>
      </c>
      <c r="I3044" s="33" t="s">
        <v>7064</v>
      </c>
      <c r="J3044" s="33">
        <v>203177</v>
      </c>
      <c r="K3044" s="33" t="s">
        <v>7657</v>
      </c>
      <c r="L3044" s="33" t="s">
        <v>7658</v>
      </c>
      <c r="M3044" s="33" t="s">
        <v>7659</v>
      </c>
      <c r="N3044" s="44">
        <v>42294734</v>
      </c>
      <c r="O3044" s="33" t="s">
        <v>7722</v>
      </c>
      <c r="P3044" s="33" t="s">
        <v>7723</v>
      </c>
      <c r="Q3044" s="34" t="s">
        <v>1494</v>
      </c>
      <c r="R3044" s="34" t="s">
        <v>1494</v>
      </c>
    </row>
    <row r="3045" spans="1:18" ht="15" customHeight="1" x14ac:dyDescent="0.25">
      <c r="A3045" t="str">
        <f>IFERROR(RANK(B3045,$B:$B,1)+COUNTIF($B$1:B3044,B3045),"")</f>
        <v/>
      </c>
      <c r="B3045" t="str">
        <f>IFERROR(SEARCH(#REF!,Table4[[#This Row],[Commodity Title]],1),"")</f>
        <v/>
      </c>
      <c r="C3045" s="35">
        <v>42294735</v>
      </c>
      <c r="D3045" s="33" t="s">
        <v>1495</v>
      </c>
      <c r="E3045" s="33" t="s">
        <v>1496</v>
      </c>
      <c r="F3045" s="33" t="s">
        <v>1497</v>
      </c>
      <c r="G3045" s="33" t="s">
        <v>7062</v>
      </c>
      <c r="H3045" s="33" t="s">
        <v>7063</v>
      </c>
      <c r="I3045" s="33" t="s">
        <v>7064</v>
      </c>
      <c r="J3045" s="33">
        <v>203178</v>
      </c>
      <c r="K3045" s="33" t="s">
        <v>7657</v>
      </c>
      <c r="L3045" s="33" t="s">
        <v>7658</v>
      </c>
      <c r="M3045" s="33" t="s">
        <v>7659</v>
      </c>
      <c r="N3045" s="44">
        <v>42294735</v>
      </c>
      <c r="O3045" s="33" t="s">
        <v>7724</v>
      </c>
      <c r="P3045" s="33" t="s">
        <v>7725</v>
      </c>
      <c r="Q3045" s="34" t="s">
        <v>1494</v>
      </c>
      <c r="R3045" s="34" t="s">
        <v>1494</v>
      </c>
    </row>
    <row r="3046" spans="1:18" ht="15" customHeight="1" x14ac:dyDescent="0.25">
      <c r="A3046" t="str">
        <f>IFERROR(RANK(B3046,$B:$B,1)+COUNTIF($B$1:B3045,B3046),"")</f>
        <v/>
      </c>
      <c r="B3046" t="str">
        <f>IFERROR(SEARCH(#REF!,Table4[[#This Row],[Commodity Title]],1),"")</f>
        <v/>
      </c>
      <c r="C3046" s="35">
        <v>42294736</v>
      </c>
      <c r="D3046" s="33" t="s">
        <v>1495</v>
      </c>
      <c r="E3046" s="33" t="s">
        <v>1496</v>
      </c>
      <c r="F3046" s="33" t="s">
        <v>1497</v>
      </c>
      <c r="G3046" s="33" t="s">
        <v>7062</v>
      </c>
      <c r="H3046" s="33" t="s">
        <v>7063</v>
      </c>
      <c r="I3046" s="33" t="s">
        <v>7064</v>
      </c>
      <c r="J3046" s="33">
        <v>203179</v>
      </c>
      <c r="K3046" s="33" t="s">
        <v>7657</v>
      </c>
      <c r="L3046" s="33" t="s">
        <v>7658</v>
      </c>
      <c r="M3046" s="33" t="s">
        <v>7659</v>
      </c>
      <c r="N3046" s="44">
        <v>42294736</v>
      </c>
      <c r="O3046" s="33" t="s">
        <v>7726</v>
      </c>
      <c r="P3046" s="33" t="s">
        <v>7727</v>
      </c>
      <c r="Q3046" s="34" t="s">
        <v>1494</v>
      </c>
      <c r="R3046" s="34" t="s">
        <v>1494</v>
      </c>
    </row>
    <row r="3047" spans="1:18" ht="15" customHeight="1" x14ac:dyDescent="0.25">
      <c r="A3047" t="str">
        <f>IFERROR(RANK(B3047,$B:$B,1)+COUNTIF($B$1:B3046,B3047),"")</f>
        <v/>
      </c>
      <c r="B3047" t="str">
        <f>IFERROR(SEARCH(#REF!,Table4[[#This Row],[Commodity Title]],1),"")</f>
        <v/>
      </c>
      <c r="C3047" s="35">
        <v>42294737</v>
      </c>
      <c r="D3047" s="33" t="s">
        <v>1495</v>
      </c>
      <c r="E3047" s="33" t="s">
        <v>1496</v>
      </c>
      <c r="F3047" s="33" t="s">
        <v>1497</v>
      </c>
      <c r="G3047" s="33" t="s">
        <v>7062</v>
      </c>
      <c r="H3047" s="33" t="s">
        <v>7063</v>
      </c>
      <c r="I3047" s="33" t="s">
        <v>7064</v>
      </c>
      <c r="J3047" s="33">
        <v>203180</v>
      </c>
      <c r="K3047" s="33" t="s">
        <v>7657</v>
      </c>
      <c r="L3047" s="33" t="s">
        <v>7658</v>
      </c>
      <c r="M3047" s="33" t="s">
        <v>7659</v>
      </c>
      <c r="N3047" s="44">
        <v>42294737</v>
      </c>
      <c r="O3047" s="33" t="s">
        <v>7728</v>
      </c>
      <c r="P3047" s="33" t="s">
        <v>7729</v>
      </c>
      <c r="Q3047" s="34" t="s">
        <v>1494</v>
      </c>
      <c r="R3047" s="34" t="s">
        <v>1494</v>
      </c>
    </row>
    <row r="3048" spans="1:18" ht="15" customHeight="1" x14ac:dyDescent="0.25">
      <c r="A3048" t="str">
        <f>IFERROR(RANK(B3048,$B:$B,1)+COUNTIF($B$1:B3047,B3048),"")</f>
        <v/>
      </c>
      <c r="B3048" t="str">
        <f>IFERROR(SEARCH(#REF!,Table4[[#This Row],[Commodity Title]],1),"")</f>
        <v/>
      </c>
      <c r="C3048" s="35">
        <v>42294738</v>
      </c>
      <c r="D3048" s="33" t="s">
        <v>1495</v>
      </c>
      <c r="E3048" s="33" t="s">
        <v>1496</v>
      </c>
      <c r="F3048" s="33" t="s">
        <v>1497</v>
      </c>
      <c r="G3048" s="33" t="s">
        <v>7062</v>
      </c>
      <c r="H3048" s="33" t="s">
        <v>7063</v>
      </c>
      <c r="I3048" s="33" t="s">
        <v>7064</v>
      </c>
      <c r="J3048" s="33">
        <v>203181</v>
      </c>
      <c r="K3048" s="33" t="s">
        <v>7657</v>
      </c>
      <c r="L3048" s="33" t="s">
        <v>7658</v>
      </c>
      <c r="M3048" s="33" t="s">
        <v>7659</v>
      </c>
      <c r="N3048" s="44">
        <v>42294738</v>
      </c>
      <c r="O3048" s="33" t="s">
        <v>7730</v>
      </c>
      <c r="P3048" s="33" t="s">
        <v>7731</v>
      </c>
      <c r="Q3048" s="34" t="s">
        <v>1494</v>
      </c>
      <c r="R3048" s="34" t="s">
        <v>1494</v>
      </c>
    </row>
    <row r="3049" spans="1:18" ht="15" customHeight="1" x14ac:dyDescent="0.25">
      <c r="A3049" t="str">
        <f>IFERROR(RANK(B3049,$B:$B,1)+COUNTIF($B$1:B3048,B3049),"")</f>
        <v/>
      </c>
      <c r="B3049" t="str">
        <f>IFERROR(SEARCH(#REF!,Table4[[#This Row],[Commodity Title]],1),"")</f>
        <v/>
      </c>
      <c r="C3049" s="35">
        <v>42294739</v>
      </c>
      <c r="D3049" s="33" t="s">
        <v>1495</v>
      </c>
      <c r="E3049" s="33" t="s">
        <v>1496</v>
      </c>
      <c r="F3049" s="33" t="s">
        <v>1497</v>
      </c>
      <c r="G3049" s="33" t="s">
        <v>7062</v>
      </c>
      <c r="H3049" s="33" t="s">
        <v>7063</v>
      </c>
      <c r="I3049" s="33" t="s">
        <v>7064</v>
      </c>
      <c r="J3049" s="33">
        <v>203182</v>
      </c>
      <c r="K3049" s="33" t="s">
        <v>7657</v>
      </c>
      <c r="L3049" s="33" t="s">
        <v>7658</v>
      </c>
      <c r="M3049" s="33" t="s">
        <v>7659</v>
      </c>
      <c r="N3049" s="44">
        <v>42294739</v>
      </c>
      <c r="O3049" s="33" t="s">
        <v>7732</v>
      </c>
      <c r="P3049" s="33" t="s">
        <v>7733</v>
      </c>
      <c r="Q3049" s="34" t="s">
        <v>1494</v>
      </c>
      <c r="R3049" s="34" t="s">
        <v>1494</v>
      </c>
    </row>
    <row r="3050" spans="1:18" ht="15" customHeight="1" x14ac:dyDescent="0.25">
      <c r="A3050" t="str">
        <f>IFERROR(RANK(B3050,$B:$B,1)+COUNTIF($B$1:B3049,B3050),"")</f>
        <v/>
      </c>
      <c r="B3050" t="str">
        <f>IFERROR(SEARCH(#REF!,Table4[[#This Row],[Commodity Title]],1),"")</f>
        <v/>
      </c>
      <c r="C3050" s="35">
        <v>42294740</v>
      </c>
      <c r="D3050" s="33" t="s">
        <v>1495</v>
      </c>
      <c r="E3050" s="33" t="s">
        <v>1496</v>
      </c>
      <c r="F3050" s="33" t="s">
        <v>1497</v>
      </c>
      <c r="G3050" s="33" t="s">
        <v>7062</v>
      </c>
      <c r="H3050" s="33" t="s">
        <v>7063</v>
      </c>
      <c r="I3050" s="33" t="s">
        <v>7064</v>
      </c>
      <c r="J3050" s="33">
        <v>203183</v>
      </c>
      <c r="K3050" s="33" t="s">
        <v>7657</v>
      </c>
      <c r="L3050" s="33" t="s">
        <v>7658</v>
      </c>
      <c r="M3050" s="33" t="s">
        <v>7659</v>
      </c>
      <c r="N3050" s="44">
        <v>42294740</v>
      </c>
      <c r="O3050" s="33" t="s">
        <v>7734</v>
      </c>
      <c r="P3050" s="33" t="s">
        <v>7735</v>
      </c>
      <c r="Q3050" s="34" t="s">
        <v>1494</v>
      </c>
      <c r="R3050" s="34" t="s">
        <v>1494</v>
      </c>
    </row>
    <row r="3051" spans="1:18" ht="15" customHeight="1" x14ac:dyDescent="0.25">
      <c r="A3051" t="str">
        <f>IFERROR(RANK(B3051,$B:$B,1)+COUNTIF($B$1:B3050,B3051),"")</f>
        <v/>
      </c>
      <c r="B3051" t="str">
        <f>IFERROR(SEARCH(#REF!,Table4[[#This Row],[Commodity Title]],1),"")</f>
        <v/>
      </c>
      <c r="C3051" s="33" t="s">
        <v>1494</v>
      </c>
      <c r="D3051" s="33" t="s">
        <v>1495</v>
      </c>
      <c r="E3051" s="33" t="s">
        <v>1496</v>
      </c>
      <c r="F3051" s="33" t="s">
        <v>1497</v>
      </c>
      <c r="G3051" s="33" t="s">
        <v>7062</v>
      </c>
      <c r="H3051" s="33" t="s">
        <v>7063</v>
      </c>
      <c r="I3051" s="33" t="s">
        <v>7064</v>
      </c>
      <c r="J3051" s="33">
        <v>116333</v>
      </c>
      <c r="K3051" s="33" t="s">
        <v>7736</v>
      </c>
      <c r="L3051" s="33" t="s">
        <v>7737</v>
      </c>
      <c r="M3051" s="33" t="s">
        <v>7738</v>
      </c>
      <c r="N3051" s="44" t="s">
        <v>1494</v>
      </c>
      <c r="O3051" s="33" t="s">
        <v>1494</v>
      </c>
      <c r="P3051" s="33" t="s">
        <v>1494</v>
      </c>
      <c r="Q3051" s="34" t="s">
        <v>1494</v>
      </c>
      <c r="R3051" s="34" t="s">
        <v>1494</v>
      </c>
    </row>
    <row r="3052" spans="1:18" ht="15" customHeight="1" x14ac:dyDescent="0.25">
      <c r="A3052" t="str">
        <f>IFERROR(RANK(B3052,$B:$B,1)+COUNTIF($B$1:B3051,B3052),"")</f>
        <v/>
      </c>
      <c r="B3052" t="str">
        <f>IFERROR(SEARCH(#REF!,Table4[[#This Row],[Commodity Title]],1),"")</f>
        <v/>
      </c>
      <c r="C3052" s="35">
        <v>42294902</v>
      </c>
      <c r="D3052" s="33" t="s">
        <v>1495</v>
      </c>
      <c r="E3052" s="33" t="s">
        <v>1496</v>
      </c>
      <c r="F3052" s="33" t="s">
        <v>1497</v>
      </c>
      <c r="G3052" s="33" t="s">
        <v>7062</v>
      </c>
      <c r="H3052" s="33" t="s">
        <v>7063</v>
      </c>
      <c r="I3052" s="33" t="s">
        <v>7064</v>
      </c>
      <c r="J3052" s="33">
        <v>116335</v>
      </c>
      <c r="K3052" s="33" t="s">
        <v>7736</v>
      </c>
      <c r="L3052" s="33" t="s">
        <v>7737</v>
      </c>
      <c r="M3052" s="33" t="s">
        <v>7738</v>
      </c>
      <c r="N3052" s="44">
        <v>42294902</v>
      </c>
      <c r="O3052" s="33" t="s">
        <v>7739</v>
      </c>
      <c r="P3052" s="33" t="s">
        <v>7740</v>
      </c>
      <c r="Q3052" s="34" t="s">
        <v>1494</v>
      </c>
      <c r="R3052" s="34" t="s">
        <v>1494</v>
      </c>
    </row>
    <row r="3053" spans="1:18" ht="15" customHeight="1" x14ac:dyDescent="0.25">
      <c r="A3053" t="str">
        <f>IFERROR(RANK(B3053,$B:$B,1)+COUNTIF($B$1:B3052,B3053),"")</f>
        <v/>
      </c>
      <c r="B3053" t="str">
        <f>IFERROR(SEARCH(#REF!,Table4[[#This Row],[Commodity Title]],1),"")</f>
        <v/>
      </c>
      <c r="C3053" s="35">
        <v>42294903</v>
      </c>
      <c r="D3053" s="33" t="s">
        <v>1495</v>
      </c>
      <c r="E3053" s="33" t="s">
        <v>1496</v>
      </c>
      <c r="F3053" s="33" t="s">
        <v>1497</v>
      </c>
      <c r="G3053" s="33" t="s">
        <v>7062</v>
      </c>
      <c r="H3053" s="33" t="s">
        <v>7063</v>
      </c>
      <c r="I3053" s="33" t="s">
        <v>7064</v>
      </c>
      <c r="J3053" s="33">
        <v>116336</v>
      </c>
      <c r="K3053" s="33" t="s">
        <v>7736</v>
      </c>
      <c r="L3053" s="33" t="s">
        <v>7737</v>
      </c>
      <c r="M3053" s="33" t="s">
        <v>7738</v>
      </c>
      <c r="N3053" s="44">
        <v>42294903</v>
      </c>
      <c r="O3053" s="33" t="s">
        <v>7741</v>
      </c>
      <c r="P3053" s="33" t="s">
        <v>7742</v>
      </c>
      <c r="Q3053" s="34" t="s">
        <v>1494</v>
      </c>
      <c r="R3053" s="34" t="s">
        <v>1494</v>
      </c>
    </row>
    <row r="3054" spans="1:18" ht="15" customHeight="1" x14ac:dyDescent="0.25">
      <c r="A3054" t="str">
        <f>IFERROR(RANK(B3054,$B:$B,1)+COUNTIF($B$1:B3053,B3054),"")</f>
        <v/>
      </c>
      <c r="B3054" t="str">
        <f>IFERROR(SEARCH(#REF!,Table4[[#This Row],[Commodity Title]],1),"")</f>
        <v/>
      </c>
      <c r="C3054" s="35">
        <v>42294904</v>
      </c>
      <c r="D3054" s="33" t="s">
        <v>1495</v>
      </c>
      <c r="E3054" s="33" t="s">
        <v>1496</v>
      </c>
      <c r="F3054" s="33" t="s">
        <v>1497</v>
      </c>
      <c r="G3054" s="33" t="s">
        <v>7062</v>
      </c>
      <c r="H3054" s="33" t="s">
        <v>7063</v>
      </c>
      <c r="I3054" s="33" t="s">
        <v>7064</v>
      </c>
      <c r="J3054" s="33">
        <v>116337</v>
      </c>
      <c r="K3054" s="33" t="s">
        <v>7736</v>
      </c>
      <c r="L3054" s="33" t="s">
        <v>7737</v>
      </c>
      <c r="M3054" s="33" t="s">
        <v>7738</v>
      </c>
      <c r="N3054" s="44">
        <v>42294904</v>
      </c>
      <c r="O3054" s="33" t="s">
        <v>7743</v>
      </c>
      <c r="P3054" s="33" t="s">
        <v>7744</v>
      </c>
      <c r="Q3054" s="34" t="s">
        <v>1494</v>
      </c>
      <c r="R3054" s="34" t="s">
        <v>1494</v>
      </c>
    </row>
    <row r="3055" spans="1:18" ht="15" customHeight="1" x14ac:dyDescent="0.25">
      <c r="A3055" t="str">
        <f>IFERROR(RANK(B3055,$B:$B,1)+COUNTIF($B$1:B3054,B3055),"")</f>
        <v/>
      </c>
      <c r="B3055" t="str">
        <f>IFERROR(SEARCH(#REF!,Table4[[#This Row],[Commodity Title]],1),"")</f>
        <v/>
      </c>
      <c r="C3055" s="35">
        <v>42294905</v>
      </c>
      <c r="D3055" s="33" t="s">
        <v>1495</v>
      </c>
      <c r="E3055" s="33" t="s">
        <v>1496</v>
      </c>
      <c r="F3055" s="33" t="s">
        <v>1497</v>
      </c>
      <c r="G3055" s="33" t="s">
        <v>7062</v>
      </c>
      <c r="H3055" s="33" t="s">
        <v>7063</v>
      </c>
      <c r="I3055" s="33" t="s">
        <v>7064</v>
      </c>
      <c r="J3055" s="33">
        <v>116338</v>
      </c>
      <c r="K3055" s="33" t="s">
        <v>7736</v>
      </c>
      <c r="L3055" s="33" t="s">
        <v>7737</v>
      </c>
      <c r="M3055" s="33" t="s">
        <v>7738</v>
      </c>
      <c r="N3055" s="44">
        <v>42294905</v>
      </c>
      <c r="O3055" s="33" t="s">
        <v>7745</v>
      </c>
      <c r="P3055" s="33" t="s">
        <v>7746</v>
      </c>
      <c r="Q3055" s="34" t="s">
        <v>1494</v>
      </c>
      <c r="R3055" s="34" t="s">
        <v>1494</v>
      </c>
    </row>
    <row r="3056" spans="1:18" ht="15" customHeight="1" x14ac:dyDescent="0.25">
      <c r="A3056" t="str">
        <f>IFERROR(RANK(B3056,$B:$B,1)+COUNTIF($B$1:B3055,B3056),"")</f>
        <v/>
      </c>
      <c r="B3056" t="str">
        <f>IFERROR(SEARCH(#REF!,Table4[[#This Row],[Commodity Title]],1),"")</f>
        <v/>
      </c>
      <c r="C3056" s="35">
        <v>42294906</v>
      </c>
      <c r="D3056" s="33" t="s">
        <v>1495</v>
      </c>
      <c r="E3056" s="33" t="s">
        <v>1496</v>
      </c>
      <c r="F3056" s="33" t="s">
        <v>1497</v>
      </c>
      <c r="G3056" s="33" t="s">
        <v>7062</v>
      </c>
      <c r="H3056" s="33" t="s">
        <v>7063</v>
      </c>
      <c r="I3056" s="33" t="s">
        <v>7064</v>
      </c>
      <c r="J3056" s="33">
        <v>116339</v>
      </c>
      <c r="K3056" s="33" t="s">
        <v>7736</v>
      </c>
      <c r="L3056" s="33" t="s">
        <v>7737</v>
      </c>
      <c r="M3056" s="33" t="s">
        <v>7738</v>
      </c>
      <c r="N3056" s="44">
        <v>42294906</v>
      </c>
      <c r="O3056" s="33" t="s">
        <v>7747</v>
      </c>
      <c r="P3056" s="33" t="s">
        <v>7748</v>
      </c>
      <c r="Q3056" s="34" t="s">
        <v>1494</v>
      </c>
      <c r="R3056" s="34" t="s">
        <v>1494</v>
      </c>
    </row>
    <row r="3057" spans="1:18" ht="15" customHeight="1" x14ac:dyDescent="0.25">
      <c r="A3057" t="str">
        <f>IFERROR(RANK(B3057,$B:$B,1)+COUNTIF($B$1:B3056,B3057),"")</f>
        <v/>
      </c>
      <c r="B3057" t="str">
        <f>IFERROR(SEARCH(#REF!,Table4[[#This Row],[Commodity Title]],1),"")</f>
        <v/>
      </c>
      <c r="C3057" s="35">
        <v>42294907</v>
      </c>
      <c r="D3057" s="33" t="s">
        <v>1495</v>
      </c>
      <c r="E3057" s="33" t="s">
        <v>1496</v>
      </c>
      <c r="F3057" s="33" t="s">
        <v>1497</v>
      </c>
      <c r="G3057" s="33" t="s">
        <v>7062</v>
      </c>
      <c r="H3057" s="33" t="s">
        <v>7063</v>
      </c>
      <c r="I3057" s="33" t="s">
        <v>7064</v>
      </c>
      <c r="J3057" s="33">
        <v>116340</v>
      </c>
      <c r="K3057" s="33" t="s">
        <v>7736</v>
      </c>
      <c r="L3057" s="33" t="s">
        <v>7737</v>
      </c>
      <c r="M3057" s="33" t="s">
        <v>7738</v>
      </c>
      <c r="N3057" s="44">
        <v>42294907</v>
      </c>
      <c r="O3057" s="33" t="s">
        <v>7749</v>
      </c>
      <c r="P3057" s="33" t="s">
        <v>7750</v>
      </c>
      <c r="Q3057" s="34" t="s">
        <v>1494</v>
      </c>
      <c r="R3057" s="34" t="s">
        <v>1494</v>
      </c>
    </row>
    <row r="3058" spans="1:18" ht="15" customHeight="1" x14ac:dyDescent="0.25">
      <c r="A3058" t="str">
        <f>IFERROR(RANK(B3058,$B:$B,1)+COUNTIF($B$1:B3057,B3058),"")</f>
        <v/>
      </c>
      <c r="B3058" t="str">
        <f>IFERROR(SEARCH(#REF!,Table4[[#This Row],[Commodity Title]],1),"")</f>
        <v/>
      </c>
      <c r="C3058" s="35">
        <v>42294908</v>
      </c>
      <c r="D3058" s="33" t="s">
        <v>1495</v>
      </c>
      <c r="E3058" s="33" t="s">
        <v>1496</v>
      </c>
      <c r="F3058" s="33" t="s">
        <v>1497</v>
      </c>
      <c r="G3058" s="33" t="s">
        <v>7062</v>
      </c>
      <c r="H3058" s="33" t="s">
        <v>7063</v>
      </c>
      <c r="I3058" s="33" t="s">
        <v>7064</v>
      </c>
      <c r="J3058" s="33">
        <v>116341</v>
      </c>
      <c r="K3058" s="33" t="s">
        <v>7736</v>
      </c>
      <c r="L3058" s="33" t="s">
        <v>7737</v>
      </c>
      <c r="M3058" s="33" t="s">
        <v>7738</v>
      </c>
      <c r="N3058" s="44">
        <v>42294908</v>
      </c>
      <c r="O3058" s="33" t="s">
        <v>7751</v>
      </c>
      <c r="P3058" s="33" t="s">
        <v>7752</v>
      </c>
      <c r="Q3058" s="34" t="s">
        <v>1494</v>
      </c>
      <c r="R3058" s="34" t="s">
        <v>1494</v>
      </c>
    </row>
    <row r="3059" spans="1:18" ht="15" customHeight="1" x14ac:dyDescent="0.25">
      <c r="A3059" t="str">
        <f>IFERROR(RANK(B3059,$B:$B,1)+COUNTIF($B$1:B3058,B3059),"")</f>
        <v/>
      </c>
      <c r="B3059" t="str">
        <f>IFERROR(SEARCH(#REF!,Table4[[#This Row],[Commodity Title]],1),"")</f>
        <v/>
      </c>
      <c r="C3059" s="35">
        <v>42294909</v>
      </c>
      <c r="D3059" s="33" t="s">
        <v>1495</v>
      </c>
      <c r="E3059" s="33" t="s">
        <v>1496</v>
      </c>
      <c r="F3059" s="33" t="s">
        <v>1497</v>
      </c>
      <c r="G3059" s="33" t="s">
        <v>7062</v>
      </c>
      <c r="H3059" s="33" t="s">
        <v>7063</v>
      </c>
      <c r="I3059" s="33" t="s">
        <v>7064</v>
      </c>
      <c r="J3059" s="33">
        <v>116342</v>
      </c>
      <c r="K3059" s="33" t="s">
        <v>7736</v>
      </c>
      <c r="L3059" s="33" t="s">
        <v>7737</v>
      </c>
      <c r="M3059" s="33" t="s">
        <v>7738</v>
      </c>
      <c r="N3059" s="44">
        <v>42294909</v>
      </c>
      <c r="O3059" s="33" t="s">
        <v>7753</v>
      </c>
      <c r="P3059" s="33" t="s">
        <v>7754</v>
      </c>
      <c r="Q3059" s="34" t="s">
        <v>1494</v>
      </c>
      <c r="R3059" s="34" t="s">
        <v>1494</v>
      </c>
    </row>
    <row r="3060" spans="1:18" ht="15" customHeight="1" x14ac:dyDescent="0.25">
      <c r="A3060" t="str">
        <f>IFERROR(RANK(B3060,$B:$B,1)+COUNTIF($B$1:B3059,B3060),"")</f>
        <v/>
      </c>
      <c r="B3060" t="str">
        <f>IFERROR(SEARCH(#REF!,Table4[[#This Row],[Commodity Title]],1),"")</f>
        <v/>
      </c>
      <c r="C3060" s="35">
        <v>42294910</v>
      </c>
      <c r="D3060" s="33" t="s">
        <v>1495</v>
      </c>
      <c r="E3060" s="33" t="s">
        <v>1496</v>
      </c>
      <c r="F3060" s="33" t="s">
        <v>1497</v>
      </c>
      <c r="G3060" s="33" t="s">
        <v>7062</v>
      </c>
      <c r="H3060" s="33" t="s">
        <v>7063</v>
      </c>
      <c r="I3060" s="33" t="s">
        <v>7064</v>
      </c>
      <c r="J3060" s="33">
        <v>116343</v>
      </c>
      <c r="K3060" s="33" t="s">
        <v>7736</v>
      </c>
      <c r="L3060" s="33" t="s">
        <v>7737</v>
      </c>
      <c r="M3060" s="33" t="s">
        <v>7738</v>
      </c>
      <c r="N3060" s="44">
        <v>42294910</v>
      </c>
      <c r="O3060" s="33" t="s">
        <v>7755</v>
      </c>
      <c r="P3060" s="33" t="s">
        <v>7756</v>
      </c>
      <c r="Q3060" s="34" t="s">
        <v>1494</v>
      </c>
      <c r="R3060" s="34" t="s">
        <v>1494</v>
      </c>
    </row>
    <row r="3061" spans="1:18" ht="15" customHeight="1" x14ac:dyDescent="0.25">
      <c r="A3061" t="str">
        <f>IFERROR(RANK(B3061,$B:$B,1)+COUNTIF($B$1:B3060,B3061),"")</f>
        <v/>
      </c>
      <c r="B3061" t="str">
        <f>IFERROR(SEARCH(#REF!,Table4[[#This Row],[Commodity Title]],1),"")</f>
        <v/>
      </c>
      <c r="C3061" s="35">
        <v>42294913</v>
      </c>
      <c r="D3061" s="33" t="s">
        <v>1495</v>
      </c>
      <c r="E3061" s="33" t="s">
        <v>1496</v>
      </c>
      <c r="F3061" s="33" t="s">
        <v>1497</v>
      </c>
      <c r="G3061" s="33" t="s">
        <v>7062</v>
      </c>
      <c r="H3061" s="33" t="s">
        <v>7063</v>
      </c>
      <c r="I3061" s="33" t="s">
        <v>7064</v>
      </c>
      <c r="J3061" s="33">
        <v>116346</v>
      </c>
      <c r="K3061" s="33" t="s">
        <v>7736</v>
      </c>
      <c r="L3061" s="33" t="s">
        <v>7737</v>
      </c>
      <c r="M3061" s="33" t="s">
        <v>7738</v>
      </c>
      <c r="N3061" s="44">
        <v>42294913</v>
      </c>
      <c r="O3061" s="33" t="s">
        <v>7757</v>
      </c>
      <c r="P3061" s="33" t="s">
        <v>7758</v>
      </c>
      <c r="Q3061" s="34" t="s">
        <v>1494</v>
      </c>
      <c r="R3061" s="34" t="s">
        <v>1494</v>
      </c>
    </row>
    <row r="3062" spans="1:18" ht="15" customHeight="1" x14ac:dyDescent="0.25">
      <c r="A3062" t="str">
        <f>IFERROR(RANK(B3062,$B:$B,1)+COUNTIF($B$1:B3061,B3062),"")</f>
        <v/>
      </c>
      <c r="B3062" t="str">
        <f>IFERROR(SEARCH(#REF!,Table4[[#This Row],[Commodity Title]],1),"")</f>
        <v/>
      </c>
      <c r="C3062" s="35">
        <v>42294914</v>
      </c>
      <c r="D3062" s="33" t="s">
        <v>1495</v>
      </c>
      <c r="E3062" s="33" t="s">
        <v>1496</v>
      </c>
      <c r="F3062" s="33" t="s">
        <v>1497</v>
      </c>
      <c r="G3062" s="33" t="s">
        <v>7062</v>
      </c>
      <c r="H3062" s="33" t="s">
        <v>7063</v>
      </c>
      <c r="I3062" s="33" t="s">
        <v>7064</v>
      </c>
      <c r="J3062" s="33">
        <v>116347</v>
      </c>
      <c r="K3062" s="33" t="s">
        <v>7736</v>
      </c>
      <c r="L3062" s="33" t="s">
        <v>7737</v>
      </c>
      <c r="M3062" s="33" t="s">
        <v>7738</v>
      </c>
      <c r="N3062" s="44">
        <v>42294914</v>
      </c>
      <c r="O3062" s="33" t="s">
        <v>7759</v>
      </c>
      <c r="P3062" s="33" t="s">
        <v>7760</v>
      </c>
      <c r="Q3062" s="34" t="s">
        <v>1494</v>
      </c>
      <c r="R3062" s="34" t="s">
        <v>1494</v>
      </c>
    </row>
    <row r="3063" spans="1:18" ht="15" customHeight="1" x14ac:dyDescent="0.25">
      <c r="A3063" t="str">
        <f>IFERROR(RANK(B3063,$B:$B,1)+COUNTIF($B$1:B3062,B3063),"")</f>
        <v/>
      </c>
      <c r="B3063" t="str">
        <f>IFERROR(SEARCH(#REF!,Table4[[#This Row],[Commodity Title]],1),"")</f>
        <v/>
      </c>
      <c r="C3063" s="35">
        <v>42294915</v>
      </c>
      <c r="D3063" s="33" t="s">
        <v>1495</v>
      </c>
      <c r="E3063" s="33" t="s">
        <v>1496</v>
      </c>
      <c r="F3063" s="33" t="s">
        <v>1497</v>
      </c>
      <c r="G3063" s="33" t="s">
        <v>7062</v>
      </c>
      <c r="H3063" s="33" t="s">
        <v>7063</v>
      </c>
      <c r="I3063" s="33" t="s">
        <v>7064</v>
      </c>
      <c r="J3063" s="33">
        <v>116348</v>
      </c>
      <c r="K3063" s="33" t="s">
        <v>7736</v>
      </c>
      <c r="L3063" s="33" t="s">
        <v>7737</v>
      </c>
      <c r="M3063" s="33" t="s">
        <v>7738</v>
      </c>
      <c r="N3063" s="44">
        <v>42294915</v>
      </c>
      <c r="O3063" s="33" t="s">
        <v>7761</v>
      </c>
      <c r="P3063" s="33" t="s">
        <v>7762</v>
      </c>
      <c r="Q3063" s="34" t="s">
        <v>1494</v>
      </c>
      <c r="R3063" s="34" t="s">
        <v>1494</v>
      </c>
    </row>
    <row r="3064" spans="1:18" ht="15" customHeight="1" x14ac:dyDescent="0.25">
      <c r="A3064" t="str">
        <f>IFERROR(RANK(B3064,$B:$B,1)+COUNTIF($B$1:B3063,B3064),"")</f>
        <v/>
      </c>
      <c r="B3064" t="str">
        <f>IFERROR(SEARCH(#REF!,Table4[[#This Row],[Commodity Title]],1),"")</f>
        <v/>
      </c>
      <c r="C3064" s="35">
        <v>42294917</v>
      </c>
      <c r="D3064" s="33" t="s">
        <v>1495</v>
      </c>
      <c r="E3064" s="33" t="s">
        <v>1496</v>
      </c>
      <c r="F3064" s="33" t="s">
        <v>1497</v>
      </c>
      <c r="G3064" s="33" t="s">
        <v>7062</v>
      </c>
      <c r="H3064" s="33" t="s">
        <v>7063</v>
      </c>
      <c r="I3064" s="33" t="s">
        <v>7064</v>
      </c>
      <c r="J3064" s="33">
        <v>116350</v>
      </c>
      <c r="K3064" s="33" t="s">
        <v>7736</v>
      </c>
      <c r="L3064" s="33" t="s">
        <v>7737</v>
      </c>
      <c r="M3064" s="33" t="s">
        <v>7738</v>
      </c>
      <c r="N3064" s="44">
        <v>42294917</v>
      </c>
      <c r="O3064" s="33" t="s">
        <v>7763</v>
      </c>
      <c r="P3064" s="33" t="s">
        <v>7764</v>
      </c>
      <c r="Q3064" s="34" t="s">
        <v>1494</v>
      </c>
      <c r="R3064" s="34" t="s">
        <v>1494</v>
      </c>
    </row>
    <row r="3065" spans="1:18" ht="15" customHeight="1" x14ac:dyDescent="0.25">
      <c r="A3065" t="str">
        <f>IFERROR(RANK(B3065,$B:$B,1)+COUNTIF($B$1:B3064,B3065),"")</f>
        <v/>
      </c>
      <c r="B3065" t="str">
        <f>IFERROR(SEARCH(#REF!,Table4[[#This Row],[Commodity Title]],1),"")</f>
        <v/>
      </c>
      <c r="C3065" s="35">
        <v>42294919</v>
      </c>
      <c r="D3065" s="33" t="s">
        <v>1495</v>
      </c>
      <c r="E3065" s="33" t="s">
        <v>1496</v>
      </c>
      <c r="F3065" s="33" t="s">
        <v>1497</v>
      </c>
      <c r="G3065" s="33" t="s">
        <v>7062</v>
      </c>
      <c r="H3065" s="33" t="s">
        <v>7063</v>
      </c>
      <c r="I3065" s="33" t="s">
        <v>7064</v>
      </c>
      <c r="J3065" s="33">
        <v>116352</v>
      </c>
      <c r="K3065" s="33" t="s">
        <v>7736</v>
      </c>
      <c r="L3065" s="33" t="s">
        <v>7737</v>
      </c>
      <c r="M3065" s="33" t="s">
        <v>7738</v>
      </c>
      <c r="N3065" s="44">
        <v>42294919</v>
      </c>
      <c r="O3065" s="33" t="s">
        <v>7765</v>
      </c>
      <c r="P3065" s="33" t="s">
        <v>7766</v>
      </c>
      <c r="Q3065" s="34" t="s">
        <v>1494</v>
      </c>
      <c r="R3065" s="34" t="s">
        <v>1494</v>
      </c>
    </row>
    <row r="3066" spans="1:18" ht="15" customHeight="1" x14ac:dyDescent="0.25">
      <c r="A3066" t="str">
        <f>IFERROR(RANK(B3066,$B:$B,1)+COUNTIF($B$1:B3065,B3066),"")</f>
        <v/>
      </c>
      <c r="B3066" t="str">
        <f>IFERROR(SEARCH(#REF!,Table4[[#This Row],[Commodity Title]],1),"")</f>
        <v/>
      </c>
      <c r="C3066" s="35">
        <v>42294920</v>
      </c>
      <c r="D3066" s="33" t="s">
        <v>1495</v>
      </c>
      <c r="E3066" s="33" t="s">
        <v>1496</v>
      </c>
      <c r="F3066" s="33" t="s">
        <v>1497</v>
      </c>
      <c r="G3066" s="33" t="s">
        <v>7062</v>
      </c>
      <c r="H3066" s="33" t="s">
        <v>7063</v>
      </c>
      <c r="I3066" s="33" t="s">
        <v>7064</v>
      </c>
      <c r="J3066" s="33">
        <v>116353</v>
      </c>
      <c r="K3066" s="33" t="s">
        <v>7736</v>
      </c>
      <c r="L3066" s="33" t="s">
        <v>7737</v>
      </c>
      <c r="M3066" s="33" t="s">
        <v>7738</v>
      </c>
      <c r="N3066" s="44">
        <v>42294920</v>
      </c>
      <c r="O3066" s="33" t="s">
        <v>7767</v>
      </c>
      <c r="P3066" s="33" t="s">
        <v>7768</v>
      </c>
      <c r="Q3066" s="34" t="s">
        <v>1494</v>
      </c>
      <c r="R3066" s="34" t="s">
        <v>1494</v>
      </c>
    </row>
    <row r="3067" spans="1:18" ht="15" customHeight="1" x14ac:dyDescent="0.25">
      <c r="A3067" t="str">
        <f>IFERROR(RANK(B3067,$B:$B,1)+COUNTIF($B$1:B3066,B3067),"")</f>
        <v/>
      </c>
      <c r="B3067" t="str">
        <f>IFERROR(SEARCH(#REF!,Table4[[#This Row],[Commodity Title]],1),"")</f>
        <v/>
      </c>
      <c r="C3067" s="35">
        <v>42294921</v>
      </c>
      <c r="D3067" s="33" t="s">
        <v>1495</v>
      </c>
      <c r="E3067" s="33" t="s">
        <v>1496</v>
      </c>
      <c r="F3067" s="33" t="s">
        <v>1497</v>
      </c>
      <c r="G3067" s="33" t="s">
        <v>7062</v>
      </c>
      <c r="H3067" s="33" t="s">
        <v>7063</v>
      </c>
      <c r="I3067" s="33" t="s">
        <v>7064</v>
      </c>
      <c r="J3067" s="33">
        <v>116354</v>
      </c>
      <c r="K3067" s="33" t="s">
        <v>7736</v>
      </c>
      <c r="L3067" s="33" t="s">
        <v>7737</v>
      </c>
      <c r="M3067" s="33" t="s">
        <v>7738</v>
      </c>
      <c r="N3067" s="44">
        <v>42294921</v>
      </c>
      <c r="O3067" s="33" t="s">
        <v>7769</v>
      </c>
      <c r="P3067" s="33" t="s">
        <v>7770</v>
      </c>
      <c r="Q3067" s="34" t="s">
        <v>1494</v>
      </c>
      <c r="R3067" s="34" t="s">
        <v>1494</v>
      </c>
    </row>
    <row r="3068" spans="1:18" ht="15" customHeight="1" x14ac:dyDescent="0.25">
      <c r="A3068" t="str">
        <f>IFERROR(RANK(B3068,$B:$B,1)+COUNTIF($B$1:B3067,B3068),"")</f>
        <v/>
      </c>
      <c r="B3068" t="str">
        <f>IFERROR(SEARCH(#REF!,Table4[[#This Row],[Commodity Title]],1),"")</f>
        <v/>
      </c>
      <c r="C3068" s="35">
        <v>42294922</v>
      </c>
      <c r="D3068" s="33" t="s">
        <v>1495</v>
      </c>
      <c r="E3068" s="33" t="s">
        <v>1496</v>
      </c>
      <c r="F3068" s="33" t="s">
        <v>1497</v>
      </c>
      <c r="G3068" s="33" t="s">
        <v>7062</v>
      </c>
      <c r="H3068" s="33" t="s">
        <v>7063</v>
      </c>
      <c r="I3068" s="33" t="s">
        <v>7064</v>
      </c>
      <c r="J3068" s="33">
        <v>116355</v>
      </c>
      <c r="K3068" s="33" t="s">
        <v>7736</v>
      </c>
      <c r="L3068" s="33" t="s">
        <v>7737</v>
      </c>
      <c r="M3068" s="33" t="s">
        <v>7738</v>
      </c>
      <c r="N3068" s="44">
        <v>42294922</v>
      </c>
      <c r="O3068" s="33" t="s">
        <v>7771</v>
      </c>
      <c r="P3068" s="33" t="s">
        <v>7772</v>
      </c>
      <c r="Q3068" s="34" t="s">
        <v>1494</v>
      </c>
      <c r="R3068" s="34" t="s">
        <v>1494</v>
      </c>
    </row>
    <row r="3069" spans="1:18" ht="15" customHeight="1" x14ac:dyDescent="0.25">
      <c r="A3069" t="str">
        <f>IFERROR(RANK(B3069,$B:$B,1)+COUNTIF($B$1:B3068,B3069),"")</f>
        <v/>
      </c>
      <c r="B3069" t="str">
        <f>IFERROR(SEARCH(#REF!,Table4[[#This Row],[Commodity Title]],1),"")</f>
        <v/>
      </c>
      <c r="C3069" s="35">
        <v>42294923</v>
      </c>
      <c r="D3069" s="33" t="s">
        <v>1495</v>
      </c>
      <c r="E3069" s="33" t="s">
        <v>1496</v>
      </c>
      <c r="F3069" s="33" t="s">
        <v>1497</v>
      </c>
      <c r="G3069" s="33" t="s">
        <v>7062</v>
      </c>
      <c r="H3069" s="33" t="s">
        <v>7063</v>
      </c>
      <c r="I3069" s="33" t="s">
        <v>7064</v>
      </c>
      <c r="J3069" s="33">
        <v>116356</v>
      </c>
      <c r="K3069" s="33" t="s">
        <v>7736</v>
      </c>
      <c r="L3069" s="33" t="s">
        <v>7737</v>
      </c>
      <c r="M3069" s="33" t="s">
        <v>7738</v>
      </c>
      <c r="N3069" s="44">
        <v>42294923</v>
      </c>
      <c r="O3069" s="33" t="s">
        <v>7773</v>
      </c>
      <c r="P3069" s="33" t="s">
        <v>7774</v>
      </c>
      <c r="Q3069" s="34" t="s">
        <v>1494</v>
      </c>
      <c r="R3069" s="34" t="s">
        <v>1494</v>
      </c>
    </row>
    <row r="3070" spans="1:18" ht="15" customHeight="1" x14ac:dyDescent="0.25">
      <c r="A3070" t="str">
        <f>IFERROR(RANK(B3070,$B:$B,1)+COUNTIF($B$1:B3069,B3070),"")</f>
        <v/>
      </c>
      <c r="B3070" t="str">
        <f>IFERROR(SEARCH(#REF!,Table4[[#This Row],[Commodity Title]],1),"")</f>
        <v/>
      </c>
      <c r="C3070" s="35">
        <v>42294924</v>
      </c>
      <c r="D3070" s="33" t="s">
        <v>1495</v>
      </c>
      <c r="E3070" s="33" t="s">
        <v>1496</v>
      </c>
      <c r="F3070" s="33" t="s">
        <v>1497</v>
      </c>
      <c r="G3070" s="33" t="s">
        <v>7062</v>
      </c>
      <c r="H3070" s="33" t="s">
        <v>7063</v>
      </c>
      <c r="I3070" s="33" t="s">
        <v>7064</v>
      </c>
      <c r="J3070" s="33">
        <v>116357</v>
      </c>
      <c r="K3070" s="33" t="s">
        <v>7736</v>
      </c>
      <c r="L3070" s="33" t="s">
        <v>7737</v>
      </c>
      <c r="M3070" s="33" t="s">
        <v>7738</v>
      </c>
      <c r="N3070" s="44">
        <v>42294924</v>
      </c>
      <c r="O3070" s="33" t="s">
        <v>7775</v>
      </c>
      <c r="P3070" s="33" t="s">
        <v>7776</v>
      </c>
      <c r="Q3070" s="34" t="s">
        <v>1494</v>
      </c>
      <c r="R3070" s="34" t="s">
        <v>1494</v>
      </c>
    </row>
    <row r="3071" spans="1:18" ht="15" customHeight="1" x14ac:dyDescent="0.25">
      <c r="A3071" t="str">
        <f>IFERROR(RANK(B3071,$B:$B,1)+COUNTIF($B$1:B3070,B3071),"")</f>
        <v/>
      </c>
      <c r="B3071" t="str">
        <f>IFERROR(SEARCH(#REF!,Table4[[#This Row],[Commodity Title]],1),"")</f>
        <v/>
      </c>
      <c r="C3071" s="35">
        <v>42294925</v>
      </c>
      <c r="D3071" s="33" t="s">
        <v>1495</v>
      </c>
      <c r="E3071" s="33" t="s">
        <v>1496</v>
      </c>
      <c r="F3071" s="33" t="s">
        <v>1497</v>
      </c>
      <c r="G3071" s="33" t="s">
        <v>7062</v>
      </c>
      <c r="H3071" s="33" t="s">
        <v>7063</v>
      </c>
      <c r="I3071" s="33" t="s">
        <v>7064</v>
      </c>
      <c r="J3071" s="33">
        <v>116358</v>
      </c>
      <c r="K3071" s="33" t="s">
        <v>7736</v>
      </c>
      <c r="L3071" s="33" t="s">
        <v>7737</v>
      </c>
      <c r="M3071" s="33" t="s">
        <v>7738</v>
      </c>
      <c r="N3071" s="44">
        <v>42294925</v>
      </c>
      <c r="O3071" s="33" t="s">
        <v>7777</v>
      </c>
      <c r="P3071" s="33" t="s">
        <v>7778</v>
      </c>
      <c r="Q3071" s="34" t="s">
        <v>1494</v>
      </c>
      <c r="R3071" s="34" t="s">
        <v>1494</v>
      </c>
    </row>
    <row r="3072" spans="1:18" ht="15" customHeight="1" x14ac:dyDescent="0.25">
      <c r="A3072" t="str">
        <f>IFERROR(RANK(B3072,$B:$B,1)+COUNTIF($B$1:B3071,B3072),"")</f>
        <v/>
      </c>
      <c r="B3072" t="str">
        <f>IFERROR(SEARCH(#REF!,Table4[[#This Row],[Commodity Title]],1),"")</f>
        <v/>
      </c>
      <c r="C3072" s="35">
        <v>42294926</v>
      </c>
      <c r="D3072" s="33" t="s">
        <v>1495</v>
      </c>
      <c r="E3072" s="33" t="s">
        <v>1496</v>
      </c>
      <c r="F3072" s="33" t="s">
        <v>1497</v>
      </c>
      <c r="G3072" s="33" t="s">
        <v>7062</v>
      </c>
      <c r="H3072" s="33" t="s">
        <v>7063</v>
      </c>
      <c r="I3072" s="33" t="s">
        <v>7064</v>
      </c>
      <c r="J3072" s="33">
        <v>116359</v>
      </c>
      <c r="K3072" s="33" t="s">
        <v>7736</v>
      </c>
      <c r="L3072" s="33" t="s">
        <v>7737</v>
      </c>
      <c r="M3072" s="33" t="s">
        <v>7738</v>
      </c>
      <c r="N3072" s="44">
        <v>42294926</v>
      </c>
      <c r="O3072" s="33" t="s">
        <v>7779</v>
      </c>
      <c r="P3072" s="33" t="s">
        <v>7780</v>
      </c>
      <c r="Q3072" s="34" t="s">
        <v>1494</v>
      </c>
      <c r="R3072" s="34" t="s">
        <v>1494</v>
      </c>
    </row>
    <row r="3073" spans="1:18" ht="15" customHeight="1" x14ac:dyDescent="0.25">
      <c r="A3073" t="str">
        <f>IFERROR(RANK(B3073,$B:$B,1)+COUNTIF($B$1:B3072,B3073),"")</f>
        <v/>
      </c>
      <c r="B3073" t="str">
        <f>IFERROR(SEARCH(#REF!,Table4[[#This Row],[Commodity Title]],1),"")</f>
        <v/>
      </c>
      <c r="C3073" s="35">
        <v>42294927</v>
      </c>
      <c r="D3073" s="33" t="s">
        <v>1495</v>
      </c>
      <c r="E3073" s="33" t="s">
        <v>1496</v>
      </c>
      <c r="F3073" s="33" t="s">
        <v>1497</v>
      </c>
      <c r="G3073" s="33" t="s">
        <v>7062</v>
      </c>
      <c r="H3073" s="33" t="s">
        <v>7063</v>
      </c>
      <c r="I3073" s="33" t="s">
        <v>7064</v>
      </c>
      <c r="J3073" s="33">
        <v>116360</v>
      </c>
      <c r="K3073" s="33" t="s">
        <v>7736</v>
      </c>
      <c r="L3073" s="33" t="s">
        <v>7737</v>
      </c>
      <c r="M3073" s="33" t="s">
        <v>7738</v>
      </c>
      <c r="N3073" s="44">
        <v>42294927</v>
      </c>
      <c r="O3073" s="33" t="s">
        <v>7781</v>
      </c>
      <c r="P3073" s="33" t="s">
        <v>7782</v>
      </c>
      <c r="Q3073" s="34" t="s">
        <v>1494</v>
      </c>
      <c r="R3073" s="34" t="s">
        <v>1494</v>
      </c>
    </row>
    <row r="3074" spans="1:18" ht="15" customHeight="1" x14ac:dyDescent="0.25">
      <c r="A3074" t="str">
        <f>IFERROR(RANK(B3074,$B:$B,1)+COUNTIF($B$1:B3073,B3074),"")</f>
        <v/>
      </c>
      <c r="B3074" t="str">
        <f>IFERROR(SEARCH(#REF!,Table4[[#This Row],[Commodity Title]],1),"")</f>
        <v/>
      </c>
      <c r="C3074" s="35">
        <v>42294928</v>
      </c>
      <c r="D3074" s="33" t="s">
        <v>1495</v>
      </c>
      <c r="E3074" s="33" t="s">
        <v>1496</v>
      </c>
      <c r="F3074" s="33" t="s">
        <v>1497</v>
      </c>
      <c r="G3074" s="33" t="s">
        <v>7062</v>
      </c>
      <c r="H3074" s="33" t="s">
        <v>7063</v>
      </c>
      <c r="I3074" s="33" t="s">
        <v>7064</v>
      </c>
      <c r="J3074" s="33">
        <v>116361</v>
      </c>
      <c r="K3074" s="33" t="s">
        <v>7736</v>
      </c>
      <c r="L3074" s="33" t="s">
        <v>7737</v>
      </c>
      <c r="M3074" s="33" t="s">
        <v>7738</v>
      </c>
      <c r="N3074" s="44">
        <v>42294928</v>
      </c>
      <c r="O3074" s="33" t="s">
        <v>7783</v>
      </c>
      <c r="P3074" s="33" t="s">
        <v>7784</v>
      </c>
      <c r="Q3074" s="34" t="s">
        <v>1494</v>
      </c>
      <c r="R3074" s="34" t="s">
        <v>1494</v>
      </c>
    </row>
    <row r="3075" spans="1:18" ht="15" customHeight="1" x14ac:dyDescent="0.25">
      <c r="A3075" t="str">
        <f>IFERROR(RANK(B3075,$B:$B,1)+COUNTIF($B$1:B3074,B3075),"")</f>
        <v/>
      </c>
      <c r="B3075" t="str">
        <f>IFERROR(SEARCH(#REF!,Table4[[#This Row],[Commodity Title]],1),"")</f>
        <v/>
      </c>
      <c r="C3075" s="35">
        <v>42294929</v>
      </c>
      <c r="D3075" s="33" t="s">
        <v>1495</v>
      </c>
      <c r="E3075" s="33" t="s">
        <v>1496</v>
      </c>
      <c r="F3075" s="33" t="s">
        <v>1497</v>
      </c>
      <c r="G3075" s="33" t="s">
        <v>7062</v>
      </c>
      <c r="H3075" s="33" t="s">
        <v>7063</v>
      </c>
      <c r="I3075" s="33" t="s">
        <v>7064</v>
      </c>
      <c r="J3075" s="33">
        <v>116362</v>
      </c>
      <c r="K3075" s="33" t="s">
        <v>7736</v>
      </c>
      <c r="L3075" s="33" t="s">
        <v>7737</v>
      </c>
      <c r="M3075" s="33" t="s">
        <v>7738</v>
      </c>
      <c r="N3075" s="44">
        <v>42294929</v>
      </c>
      <c r="O3075" s="33" t="s">
        <v>7785</v>
      </c>
      <c r="P3075" s="33" t="s">
        <v>7786</v>
      </c>
      <c r="Q3075" s="34" t="s">
        <v>1494</v>
      </c>
      <c r="R3075" s="34" t="s">
        <v>1494</v>
      </c>
    </row>
    <row r="3076" spans="1:18" ht="15" customHeight="1" x14ac:dyDescent="0.25">
      <c r="A3076" t="str">
        <f>IFERROR(RANK(B3076,$B:$B,1)+COUNTIF($B$1:B3075,B3076),"")</f>
        <v/>
      </c>
      <c r="B3076" t="str">
        <f>IFERROR(SEARCH(#REF!,Table4[[#This Row],[Commodity Title]],1),"")</f>
        <v/>
      </c>
      <c r="C3076" s="35">
        <v>42294930</v>
      </c>
      <c r="D3076" s="33" t="s">
        <v>1495</v>
      </c>
      <c r="E3076" s="33" t="s">
        <v>1496</v>
      </c>
      <c r="F3076" s="33" t="s">
        <v>1497</v>
      </c>
      <c r="G3076" s="33" t="s">
        <v>7062</v>
      </c>
      <c r="H3076" s="33" t="s">
        <v>7063</v>
      </c>
      <c r="I3076" s="33" t="s">
        <v>7064</v>
      </c>
      <c r="J3076" s="33">
        <v>116363</v>
      </c>
      <c r="K3076" s="33" t="s">
        <v>7736</v>
      </c>
      <c r="L3076" s="33" t="s">
        <v>7737</v>
      </c>
      <c r="M3076" s="33" t="s">
        <v>7738</v>
      </c>
      <c r="N3076" s="44">
        <v>42294930</v>
      </c>
      <c r="O3076" s="33" t="s">
        <v>7787</v>
      </c>
      <c r="P3076" s="33" t="s">
        <v>7788</v>
      </c>
      <c r="Q3076" s="34" t="s">
        <v>1494</v>
      </c>
      <c r="R3076" s="34" t="s">
        <v>1494</v>
      </c>
    </row>
    <row r="3077" spans="1:18" ht="15" customHeight="1" x14ac:dyDescent="0.25">
      <c r="A3077" t="str">
        <f>IFERROR(RANK(B3077,$B:$B,1)+COUNTIF($B$1:B3076,B3077),"")</f>
        <v/>
      </c>
      <c r="B3077" t="str">
        <f>IFERROR(SEARCH(#REF!,Table4[[#This Row],[Commodity Title]],1),"")</f>
        <v/>
      </c>
      <c r="C3077" s="35">
        <v>42294931</v>
      </c>
      <c r="D3077" s="33" t="s">
        <v>1495</v>
      </c>
      <c r="E3077" s="33" t="s">
        <v>1496</v>
      </c>
      <c r="F3077" s="33" t="s">
        <v>1497</v>
      </c>
      <c r="G3077" s="33" t="s">
        <v>7062</v>
      </c>
      <c r="H3077" s="33" t="s">
        <v>7063</v>
      </c>
      <c r="I3077" s="33" t="s">
        <v>7064</v>
      </c>
      <c r="J3077" s="33">
        <v>116364</v>
      </c>
      <c r="K3077" s="33" t="s">
        <v>7736</v>
      </c>
      <c r="L3077" s="33" t="s">
        <v>7737</v>
      </c>
      <c r="M3077" s="33" t="s">
        <v>7738</v>
      </c>
      <c r="N3077" s="44">
        <v>42294931</v>
      </c>
      <c r="O3077" s="33" t="s">
        <v>7789</v>
      </c>
      <c r="P3077" s="33" t="s">
        <v>7790</v>
      </c>
      <c r="Q3077" s="34" t="s">
        <v>1494</v>
      </c>
      <c r="R3077" s="34" t="s">
        <v>1494</v>
      </c>
    </row>
    <row r="3078" spans="1:18" ht="15" customHeight="1" x14ac:dyDescent="0.25">
      <c r="A3078" t="str">
        <f>IFERROR(RANK(B3078,$B:$B,1)+COUNTIF($B$1:B3077,B3078),"")</f>
        <v/>
      </c>
      <c r="B3078" t="str">
        <f>IFERROR(SEARCH(#REF!,Table4[[#This Row],[Commodity Title]],1),"")</f>
        <v/>
      </c>
      <c r="C3078" s="35">
        <v>42294933</v>
      </c>
      <c r="D3078" s="33" t="s">
        <v>1495</v>
      </c>
      <c r="E3078" s="33" t="s">
        <v>1496</v>
      </c>
      <c r="F3078" s="33" t="s">
        <v>1497</v>
      </c>
      <c r="G3078" s="33" t="s">
        <v>7062</v>
      </c>
      <c r="H3078" s="33" t="s">
        <v>7063</v>
      </c>
      <c r="I3078" s="33" t="s">
        <v>7064</v>
      </c>
      <c r="J3078" s="33">
        <v>116366</v>
      </c>
      <c r="K3078" s="33" t="s">
        <v>7736</v>
      </c>
      <c r="L3078" s="33" t="s">
        <v>7737</v>
      </c>
      <c r="M3078" s="33" t="s">
        <v>7738</v>
      </c>
      <c r="N3078" s="44">
        <v>42294933</v>
      </c>
      <c r="O3078" s="33" t="s">
        <v>7791</v>
      </c>
      <c r="P3078" s="33" t="s">
        <v>7792</v>
      </c>
      <c r="Q3078" s="34" t="s">
        <v>1494</v>
      </c>
      <c r="R3078" s="34" t="s">
        <v>1494</v>
      </c>
    </row>
    <row r="3079" spans="1:18" ht="15" customHeight="1" x14ac:dyDescent="0.25">
      <c r="A3079" t="str">
        <f>IFERROR(RANK(B3079,$B:$B,1)+COUNTIF($B$1:B3078,B3079),"")</f>
        <v/>
      </c>
      <c r="B3079" t="str">
        <f>IFERROR(SEARCH(#REF!,Table4[[#This Row],[Commodity Title]],1),"")</f>
        <v/>
      </c>
      <c r="C3079" s="35">
        <v>42294934</v>
      </c>
      <c r="D3079" s="33" t="s">
        <v>1495</v>
      </c>
      <c r="E3079" s="33" t="s">
        <v>1496</v>
      </c>
      <c r="F3079" s="33" t="s">
        <v>1497</v>
      </c>
      <c r="G3079" s="33" t="s">
        <v>7062</v>
      </c>
      <c r="H3079" s="33" t="s">
        <v>7063</v>
      </c>
      <c r="I3079" s="33" t="s">
        <v>7064</v>
      </c>
      <c r="J3079" s="33">
        <v>116367</v>
      </c>
      <c r="K3079" s="33" t="s">
        <v>7736</v>
      </c>
      <c r="L3079" s="33" t="s">
        <v>7737</v>
      </c>
      <c r="M3079" s="33" t="s">
        <v>7738</v>
      </c>
      <c r="N3079" s="44">
        <v>42294934</v>
      </c>
      <c r="O3079" s="33" t="s">
        <v>7793</v>
      </c>
      <c r="P3079" s="33" t="s">
        <v>7794</v>
      </c>
      <c r="Q3079" s="34" t="s">
        <v>1494</v>
      </c>
      <c r="R3079" s="34" t="s">
        <v>1494</v>
      </c>
    </row>
    <row r="3080" spans="1:18" ht="15" customHeight="1" x14ac:dyDescent="0.25">
      <c r="A3080" t="str">
        <f>IFERROR(RANK(B3080,$B:$B,1)+COUNTIF($B$1:B3079,B3080),"")</f>
        <v/>
      </c>
      <c r="B3080" t="str">
        <f>IFERROR(SEARCH(#REF!,Table4[[#This Row],[Commodity Title]],1),"")</f>
        <v/>
      </c>
      <c r="C3080" s="35">
        <v>42294936</v>
      </c>
      <c r="D3080" s="33" t="s">
        <v>1495</v>
      </c>
      <c r="E3080" s="33" t="s">
        <v>1496</v>
      </c>
      <c r="F3080" s="33" t="s">
        <v>1497</v>
      </c>
      <c r="G3080" s="33" t="s">
        <v>7062</v>
      </c>
      <c r="H3080" s="33" t="s">
        <v>7063</v>
      </c>
      <c r="I3080" s="33" t="s">
        <v>7064</v>
      </c>
      <c r="J3080" s="33">
        <v>116369</v>
      </c>
      <c r="K3080" s="33" t="s">
        <v>7736</v>
      </c>
      <c r="L3080" s="33" t="s">
        <v>7737</v>
      </c>
      <c r="M3080" s="33" t="s">
        <v>7738</v>
      </c>
      <c r="N3080" s="44">
        <v>42294936</v>
      </c>
      <c r="O3080" s="33" t="s">
        <v>7795</v>
      </c>
      <c r="P3080" s="33" t="s">
        <v>7796</v>
      </c>
      <c r="Q3080" s="34" t="s">
        <v>1494</v>
      </c>
      <c r="R3080" s="34" t="s">
        <v>1494</v>
      </c>
    </row>
    <row r="3081" spans="1:18" ht="15" customHeight="1" x14ac:dyDescent="0.25">
      <c r="A3081" t="str">
        <f>IFERROR(RANK(B3081,$B:$B,1)+COUNTIF($B$1:B3080,B3081),"")</f>
        <v/>
      </c>
      <c r="B3081" t="str">
        <f>IFERROR(SEARCH(#REF!,Table4[[#This Row],[Commodity Title]],1),"")</f>
        <v/>
      </c>
      <c r="C3081" s="35">
        <v>42294937</v>
      </c>
      <c r="D3081" s="33" t="s">
        <v>1495</v>
      </c>
      <c r="E3081" s="33" t="s">
        <v>1496</v>
      </c>
      <c r="F3081" s="33" t="s">
        <v>1497</v>
      </c>
      <c r="G3081" s="33" t="s">
        <v>7062</v>
      </c>
      <c r="H3081" s="33" t="s">
        <v>7063</v>
      </c>
      <c r="I3081" s="33" t="s">
        <v>7064</v>
      </c>
      <c r="J3081" s="33">
        <v>116370</v>
      </c>
      <c r="K3081" s="33" t="s">
        <v>7736</v>
      </c>
      <c r="L3081" s="33" t="s">
        <v>7737</v>
      </c>
      <c r="M3081" s="33" t="s">
        <v>7738</v>
      </c>
      <c r="N3081" s="44">
        <v>42294937</v>
      </c>
      <c r="O3081" s="33" t="s">
        <v>7797</v>
      </c>
      <c r="P3081" s="33" t="s">
        <v>7798</v>
      </c>
      <c r="Q3081" s="34" t="s">
        <v>1494</v>
      </c>
      <c r="R3081" s="34" t="s">
        <v>1494</v>
      </c>
    </row>
    <row r="3082" spans="1:18" ht="15" customHeight="1" x14ac:dyDescent="0.25">
      <c r="A3082" t="str">
        <f>IFERROR(RANK(B3082,$B:$B,1)+COUNTIF($B$1:B3081,B3082),"")</f>
        <v/>
      </c>
      <c r="B3082" t="str">
        <f>IFERROR(SEARCH(#REF!,Table4[[#This Row],[Commodity Title]],1),"")</f>
        <v/>
      </c>
      <c r="C3082" s="35">
        <v>42294938</v>
      </c>
      <c r="D3082" s="33" t="s">
        <v>1495</v>
      </c>
      <c r="E3082" s="33" t="s">
        <v>1496</v>
      </c>
      <c r="F3082" s="33" t="s">
        <v>1497</v>
      </c>
      <c r="G3082" s="33" t="s">
        <v>7062</v>
      </c>
      <c r="H3082" s="33" t="s">
        <v>7063</v>
      </c>
      <c r="I3082" s="33" t="s">
        <v>7064</v>
      </c>
      <c r="J3082" s="33">
        <v>142807</v>
      </c>
      <c r="K3082" s="33" t="s">
        <v>7736</v>
      </c>
      <c r="L3082" s="33" t="s">
        <v>7737</v>
      </c>
      <c r="M3082" s="33" t="s">
        <v>7738</v>
      </c>
      <c r="N3082" s="44">
        <v>42294938</v>
      </c>
      <c r="O3082" s="33" t="s">
        <v>7799</v>
      </c>
      <c r="P3082" s="33" t="s">
        <v>7800</v>
      </c>
      <c r="Q3082" s="34" t="s">
        <v>1494</v>
      </c>
      <c r="R3082" s="34" t="s">
        <v>1494</v>
      </c>
    </row>
    <row r="3083" spans="1:18" ht="15" customHeight="1" x14ac:dyDescent="0.25">
      <c r="A3083" t="str">
        <f>IFERROR(RANK(B3083,$B:$B,1)+COUNTIF($B$1:B3082,B3083),"")</f>
        <v/>
      </c>
      <c r="B3083" t="str">
        <f>IFERROR(SEARCH(#REF!,Table4[[#This Row],[Commodity Title]],1),"")</f>
        <v/>
      </c>
      <c r="C3083" s="35">
        <v>42294939</v>
      </c>
      <c r="D3083" s="33" t="s">
        <v>1495</v>
      </c>
      <c r="E3083" s="33" t="s">
        <v>1496</v>
      </c>
      <c r="F3083" s="33" t="s">
        <v>1497</v>
      </c>
      <c r="G3083" s="33" t="s">
        <v>7062</v>
      </c>
      <c r="H3083" s="33" t="s">
        <v>7063</v>
      </c>
      <c r="I3083" s="33" t="s">
        <v>7064</v>
      </c>
      <c r="J3083" s="33">
        <v>142808</v>
      </c>
      <c r="K3083" s="33" t="s">
        <v>7736</v>
      </c>
      <c r="L3083" s="33" t="s">
        <v>7737</v>
      </c>
      <c r="M3083" s="33" t="s">
        <v>7738</v>
      </c>
      <c r="N3083" s="44">
        <v>42294939</v>
      </c>
      <c r="O3083" s="33" t="s">
        <v>7801</v>
      </c>
      <c r="P3083" s="33" t="s">
        <v>7802</v>
      </c>
      <c r="Q3083" s="34" t="s">
        <v>1494</v>
      </c>
      <c r="R3083" s="34" t="s">
        <v>1494</v>
      </c>
    </row>
    <row r="3084" spans="1:18" ht="15" customHeight="1" x14ac:dyDescent="0.25">
      <c r="A3084" t="str">
        <f>IFERROR(RANK(B3084,$B:$B,1)+COUNTIF($B$1:B3083,B3084),"")</f>
        <v/>
      </c>
      <c r="B3084" t="str">
        <f>IFERROR(SEARCH(#REF!,Table4[[#This Row],[Commodity Title]],1),"")</f>
        <v/>
      </c>
      <c r="C3084" s="35">
        <v>42294941</v>
      </c>
      <c r="D3084" s="33" t="s">
        <v>1495</v>
      </c>
      <c r="E3084" s="33" t="s">
        <v>1496</v>
      </c>
      <c r="F3084" s="33" t="s">
        <v>1497</v>
      </c>
      <c r="G3084" s="33" t="s">
        <v>7062</v>
      </c>
      <c r="H3084" s="33" t="s">
        <v>7063</v>
      </c>
      <c r="I3084" s="33" t="s">
        <v>7064</v>
      </c>
      <c r="J3084" s="33">
        <v>142810</v>
      </c>
      <c r="K3084" s="33" t="s">
        <v>7736</v>
      </c>
      <c r="L3084" s="33" t="s">
        <v>7737</v>
      </c>
      <c r="M3084" s="33" t="s">
        <v>7738</v>
      </c>
      <c r="N3084" s="44">
        <v>42294941</v>
      </c>
      <c r="O3084" s="33" t="s">
        <v>7803</v>
      </c>
      <c r="P3084" s="33" t="s">
        <v>7804</v>
      </c>
      <c r="Q3084" s="34" t="s">
        <v>1494</v>
      </c>
      <c r="R3084" s="34" t="s">
        <v>1494</v>
      </c>
    </row>
    <row r="3085" spans="1:18" ht="15" customHeight="1" x14ac:dyDescent="0.25">
      <c r="A3085" t="str">
        <f>IFERROR(RANK(B3085,$B:$B,1)+COUNTIF($B$1:B3084,B3085),"")</f>
        <v/>
      </c>
      <c r="B3085" t="str">
        <f>IFERROR(SEARCH(#REF!,Table4[[#This Row],[Commodity Title]],1),"")</f>
        <v/>
      </c>
      <c r="C3085" s="35">
        <v>42294942</v>
      </c>
      <c r="D3085" s="33" t="s">
        <v>1495</v>
      </c>
      <c r="E3085" s="33" t="s">
        <v>1496</v>
      </c>
      <c r="F3085" s="33" t="s">
        <v>1497</v>
      </c>
      <c r="G3085" s="33" t="s">
        <v>7062</v>
      </c>
      <c r="H3085" s="33" t="s">
        <v>7063</v>
      </c>
      <c r="I3085" s="33" t="s">
        <v>7064</v>
      </c>
      <c r="J3085" s="33">
        <v>142811</v>
      </c>
      <c r="K3085" s="33" t="s">
        <v>7736</v>
      </c>
      <c r="L3085" s="33" t="s">
        <v>7737</v>
      </c>
      <c r="M3085" s="33" t="s">
        <v>7738</v>
      </c>
      <c r="N3085" s="44">
        <v>42294942</v>
      </c>
      <c r="O3085" s="33" t="s">
        <v>7805</v>
      </c>
      <c r="P3085" s="33" t="s">
        <v>7806</v>
      </c>
      <c r="Q3085" s="34" t="s">
        <v>1494</v>
      </c>
      <c r="R3085" s="34" t="s">
        <v>1494</v>
      </c>
    </row>
    <row r="3086" spans="1:18" ht="15" customHeight="1" x14ac:dyDescent="0.25">
      <c r="A3086" t="str">
        <f>IFERROR(RANK(B3086,$B:$B,1)+COUNTIF($B$1:B3085,B3086),"")</f>
        <v/>
      </c>
      <c r="B3086" t="str">
        <f>IFERROR(SEARCH(#REF!,Table4[[#This Row],[Commodity Title]],1),"")</f>
        <v/>
      </c>
      <c r="C3086" s="35">
        <v>42294943</v>
      </c>
      <c r="D3086" s="33" t="s">
        <v>1495</v>
      </c>
      <c r="E3086" s="33" t="s">
        <v>1496</v>
      </c>
      <c r="F3086" s="33" t="s">
        <v>1497</v>
      </c>
      <c r="G3086" s="33" t="s">
        <v>7062</v>
      </c>
      <c r="H3086" s="33" t="s">
        <v>7063</v>
      </c>
      <c r="I3086" s="33" t="s">
        <v>7064</v>
      </c>
      <c r="J3086" s="33">
        <v>142812</v>
      </c>
      <c r="K3086" s="33" t="s">
        <v>7736</v>
      </c>
      <c r="L3086" s="33" t="s">
        <v>7737</v>
      </c>
      <c r="M3086" s="33" t="s">
        <v>7738</v>
      </c>
      <c r="N3086" s="44">
        <v>42294943</v>
      </c>
      <c r="O3086" s="33" t="s">
        <v>7807</v>
      </c>
      <c r="P3086" s="33" t="s">
        <v>7808</v>
      </c>
      <c r="Q3086" s="34" t="s">
        <v>1494</v>
      </c>
      <c r="R3086" s="34" t="s">
        <v>1494</v>
      </c>
    </row>
    <row r="3087" spans="1:18" ht="15" customHeight="1" x14ac:dyDescent="0.25">
      <c r="A3087" t="str">
        <f>IFERROR(RANK(B3087,$B:$B,1)+COUNTIF($B$1:B3086,B3087),"")</f>
        <v/>
      </c>
      <c r="B3087" t="str">
        <f>IFERROR(SEARCH(#REF!,Table4[[#This Row],[Commodity Title]],1),"")</f>
        <v/>
      </c>
      <c r="C3087" s="35">
        <v>42294944</v>
      </c>
      <c r="D3087" s="33" t="s">
        <v>1495</v>
      </c>
      <c r="E3087" s="33" t="s">
        <v>1496</v>
      </c>
      <c r="F3087" s="33" t="s">
        <v>1497</v>
      </c>
      <c r="G3087" s="33" t="s">
        <v>7062</v>
      </c>
      <c r="H3087" s="33" t="s">
        <v>7063</v>
      </c>
      <c r="I3087" s="33" t="s">
        <v>7064</v>
      </c>
      <c r="J3087" s="33">
        <v>142813</v>
      </c>
      <c r="K3087" s="33" t="s">
        <v>7736</v>
      </c>
      <c r="L3087" s="33" t="s">
        <v>7737</v>
      </c>
      <c r="M3087" s="33" t="s">
        <v>7738</v>
      </c>
      <c r="N3087" s="44">
        <v>42294944</v>
      </c>
      <c r="O3087" s="33" t="s">
        <v>7809</v>
      </c>
      <c r="P3087" s="33" t="s">
        <v>7810</v>
      </c>
      <c r="Q3087" s="34" t="s">
        <v>1494</v>
      </c>
      <c r="R3087" s="34" t="s">
        <v>1494</v>
      </c>
    </row>
    <row r="3088" spans="1:18" ht="15" customHeight="1" x14ac:dyDescent="0.25">
      <c r="A3088" t="str">
        <f>IFERROR(RANK(B3088,$B:$B,1)+COUNTIF($B$1:B3087,B3088),"")</f>
        <v/>
      </c>
      <c r="B3088" t="str">
        <f>IFERROR(SEARCH(#REF!,Table4[[#This Row],[Commodity Title]],1),"")</f>
        <v/>
      </c>
      <c r="C3088" s="35">
        <v>42294946</v>
      </c>
      <c r="D3088" s="33" t="s">
        <v>1495</v>
      </c>
      <c r="E3088" s="33" t="s">
        <v>1496</v>
      </c>
      <c r="F3088" s="33" t="s">
        <v>1497</v>
      </c>
      <c r="G3088" s="33" t="s">
        <v>7062</v>
      </c>
      <c r="H3088" s="33" t="s">
        <v>7063</v>
      </c>
      <c r="I3088" s="33" t="s">
        <v>7064</v>
      </c>
      <c r="J3088" s="33">
        <v>142815</v>
      </c>
      <c r="K3088" s="33" t="s">
        <v>7736</v>
      </c>
      <c r="L3088" s="33" t="s">
        <v>7737</v>
      </c>
      <c r="M3088" s="33" t="s">
        <v>7738</v>
      </c>
      <c r="N3088" s="44">
        <v>42294946</v>
      </c>
      <c r="O3088" s="33" t="s">
        <v>7811</v>
      </c>
      <c r="P3088" s="33" t="s">
        <v>7812</v>
      </c>
      <c r="Q3088" s="34" t="s">
        <v>1494</v>
      </c>
      <c r="R3088" s="34" t="s">
        <v>1494</v>
      </c>
    </row>
    <row r="3089" spans="1:18" ht="15" customHeight="1" x14ac:dyDescent="0.25">
      <c r="A3089" t="str">
        <f>IFERROR(RANK(B3089,$B:$B,1)+COUNTIF($B$1:B3088,B3089),"")</f>
        <v/>
      </c>
      <c r="B3089" t="str">
        <f>IFERROR(SEARCH(#REF!,Table4[[#This Row],[Commodity Title]],1),"")</f>
        <v/>
      </c>
      <c r="C3089" s="35">
        <v>42294948</v>
      </c>
      <c r="D3089" s="33" t="s">
        <v>1495</v>
      </c>
      <c r="E3089" s="33" t="s">
        <v>1496</v>
      </c>
      <c r="F3089" s="33" t="s">
        <v>1497</v>
      </c>
      <c r="G3089" s="33" t="s">
        <v>7062</v>
      </c>
      <c r="H3089" s="33" t="s">
        <v>7063</v>
      </c>
      <c r="I3089" s="33" t="s">
        <v>7064</v>
      </c>
      <c r="J3089" s="33">
        <v>142817</v>
      </c>
      <c r="K3089" s="33" t="s">
        <v>7736</v>
      </c>
      <c r="L3089" s="33" t="s">
        <v>7737</v>
      </c>
      <c r="M3089" s="33" t="s">
        <v>7738</v>
      </c>
      <c r="N3089" s="44">
        <v>42294948</v>
      </c>
      <c r="O3089" s="33" t="s">
        <v>7813</v>
      </c>
      <c r="P3089" s="33" t="s">
        <v>7814</v>
      </c>
      <c r="Q3089" s="34" t="s">
        <v>1494</v>
      </c>
      <c r="R3089" s="34" t="s">
        <v>1494</v>
      </c>
    </row>
    <row r="3090" spans="1:18" ht="15" customHeight="1" x14ac:dyDescent="0.25">
      <c r="A3090" t="str">
        <f>IFERROR(RANK(B3090,$B:$B,1)+COUNTIF($B$1:B3089,B3090),"")</f>
        <v/>
      </c>
      <c r="B3090" t="str">
        <f>IFERROR(SEARCH(#REF!,Table4[[#This Row],[Commodity Title]],1),"")</f>
        <v/>
      </c>
      <c r="C3090" s="35">
        <v>42294949</v>
      </c>
      <c r="D3090" s="33" t="s">
        <v>1495</v>
      </c>
      <c r="E3090" s="33" t="s">
        <v>1496</v>
      </c>
      <c r="F3090" s="33" t="s">
        <v>1497</v>
      </c>
      <c r="G3090" s="33" t="s">
        <v>7062</v>
      </c>
      <c r="H3090" s="33" t="s">
        <v>7063</v>
      </c>
      <c r="I3090" s="33" t="s">
        <v>7064</v>
      </c>
      <c r="J3090" s="33">
        <v>142818</v>
      </c>
      <c r="K3090" s="33" t="s">
        <v>7736</v>
      </c>
      <c r="L3090" s="33" t="s">
        <v>7737</v>
      </c>
      <c r="M3090" s="33" t="s">
        <v>7738</v>
      </c>
      <c r="N3090" s="44">
        <v>42294949</v>
      </c>
      <c r="O3090" s="33" t="s">
        <v>7815</v>
      </c>
      <c r="P3090" s="33" t="s">
        <v>7816</v>
      </c>
      <c r="Q3090" s="34" t="s">
        <v>1494</v>
      </c>
      <c r="R3090" s="34" t="s">
        <v>1494</v>
      </c>
    </row>
    <row r="3091" spans="1:18" ht="15" customHeight="1" x14ac:dyDescent="0.25">
      <c r="A3091" t="str">
        <f>IFERROR(RANK(B3091,$B:$B,1)+COUNTIF($B$1:B3090,B3091),"")</f>
        <v/>
      </c>
      <c r="B3091" t="str">
        <f>IFERROR(SEARCH(#REF!,Table4[[#This Row],[Commodity Title]],1),"")</f>
        <v/>
      </c>
      <c r="C3091" s="35">
        <v>42294950</v>
      </c>
      <c r="D3091" s="33" t="s">
        <v>1495</v>
      </c>
      <c r="E3091" s="33" t="s">
        <v>1496</v>
      </c>
      <c r="F3091" s="33" t="s">
        <v>1497</v>
      </c>
      <c r="G3091" s="33" t="s">
        <v>7062</v>
      </c>
      <c r="H3091" s="33" t="s">
        <v>7063</v>
      </c>
      <c r="I3091" s="33" t="s">
        <v>7064</v>
      </c>
      <c r="J3091" s="33">
        <v>142819</v>
      </c>
      <c r="K3091" s="33" t="s">
        <v>7736</v>
      </c>
      <c r="L3091" s="33" t="s">
        <v>7737</v>
      </c>
      <c r="M3091" s="33" t="s">
        <v>7738</v>
      </c>
      <c r="N3091" s="44">
        <v>42294950</v>
      </c>
      <c r="O3091" s="33" t="s">
        <v>7817</v>
      </c>
      <c r="P3091" s="33" t="s">
        <v>7818</v>
      </c>
      <c r="Q3091" s="34" t="s">
        <v>1494</v>
      </c>
      <c r="R3091" s="34" t="s">
        <v>1494</v>
      </c>
    </row>
    <row r="3092" spans="1:18" ht="15" customHeight="1" x14ac:dyDescent="0.25">
      <c r="A3092" t="str">
        <f>IFERROR(RANK(B3092,$B:$B,1)+COUNTIF($B$1:B3091,B3092),"")</f>
        <v/>
      </c>
      <c r="B3092" t="str">
        <f>IFERROR(SEARCH(#REF!,Table4[[#This Row],[Commodity Title]],1),"")</f>
        <v/>
      </c>
      <c r="C3092" s="35">
        <v>42294951</v>
      </c>
      <c r="D3092" s="33" t="s">
        <v>1495</v>
      </c>
      <c r="E3092" s="33" t="s">
        <v>1496</v>
      </c>
      <c r="F3092" s="33" t="s">
        <v>1497</v>
      </c>
      <c r="G3092" s="33" t="s">
        <v>7062</v>
      </c>
      <c r="H3092" s="33" t="s">
        <v>7063</v>
      </c>
      <c r="I3092" s="33" t="s">
        <v>7064</v>
      </c>
      <c r="J3092" s="33">
        <v>142820</v>
      </c>
      <c r="K3092" s="33" t="s">
        <v>7736</v>
      </c>
      <c r="L3092" s="33" t="s">
        <v>7737</v>
      </c>
      <c r="M3092" s="33" t="s">
        <v>7738</v>
      </c>
      <c r="N3092" s="44">
        <v>42294951</v>
      </c>
      <c r="O3092" s="33" t="s">
        <v>7819</v>
      </c>
      <c r="P3092" s="33" t="s">
        <v>7820</v>
      </c>
      <c r="Q3092" s="34" t="s">
        <v>1494</v>
      </c>
      <c r="R3092" s="34" t="s">
        <v>1494</v>
      </c>
    </row>
    <row r="3093" spans="1:18" ht="15" customHeight="1" x14ac:dyDescent="0.25">
      <c r="A3093" t="str">
        <f>IFERROR(RANK(B3093,$B:$B,1)+COUNTIF($B$1:B3092,B3093),"")</f>
        <v/>
      </c>
      <c r="B3093" t="str">
        <f>IFERROR(SEARCH(#REF!,Table4[[#This Row],[Commodity Title]],1),"")</f>
        <v/>
      </c>
      <c r="C3093" s="35">
        <v>42294952</v>
      </c>
      <c r="D3093" s="33" t="s">
        <v>1495</v>
      </c>
      <c r="E3093" s="33" t="s">
        <v>1496</v>
      </c>
      <c r="F3093" s="33" t="s">
        <v>1497</v>
      </c>
      <c r="G3093" s="33" t="s">
        <v>7062</v>
      </c>
      <c r="H3093" s="33" t="s">
        <v>7063</v>
      </c>
      <c r="I3093" s="33" t="s">
        <v>7064</v>
      </c>
      <c r="J3093" s="33">
        <v>142821</v>
      </c>
      <c r="K3093" s="33" t="s">
        <v>7736</v>
      </c>
      <c r="L3093" s="33" t="s">
        <v>7737</v>
      </c>
      <c r="M3093" s="33" t="s">
        <v>7738</v>
      </c>
      <c r="N3093" s="44">
        <v>42294952</v>
      </c>
      <c r="O3093" s="33" t="s">
        <v>7821</v>
      </c>
      <c r="P3093" s="33" t="s">
        <v>7822</v>
      </c>
      <c r="Q3093" s="34" t="s">
        <v>1494</v>
      </c>
      <c r="R3093" s="34" t="s">
        <v>1494</v>
      </c>
    </row>
    <row r="3094" spans="1:18" ht="15" customHeight="1" x14ac:dyDescent="0.25">
      <c r="A3094" t="str">
        <f>IFERROR(RANK(B3094,$B:$B,1)+COUNTIF($B$1:B3093,B3094),"")</f>
        <v/>
      </c>
      <c r="B3094" t="str">
        <f>IFERROR(SEARCH(#REF!,Table4[[#This Row],[Commodity Title]],1),"")</f>
        <v/>
      </c>
      <c r="C3094" s="35">
        <v>42294953</v>
      </c>
      <c r="D3094" s="33" t="s">
        <v>1495</v>
      </c>
      <c r="E3094" s="33" t="s">
        <v>1496</v>
      </c>
      <c r="F3094" s="33" t="s">
        <v>1497</v>
      </c>
      <c r="G3094" s="33" t="s">
        <v>7062</v>
      </c>
      <c r="H3094" s="33" t="s">
        <v>7063</v>
      </c>
      <c r="I3094" s="33" t="s">
        <v>7064</v>
      </c>
      <c r="J3094" s="33">
        <v>142822</v>
      </c>
      <c r="K3094" s="33" t="s">
        <v>7736</v>
      </c>
      <c r="L3094" s="33" t="s">
        <v>7737</v>
      </c>
      <c r="M3094" s="33" t="s">
        <v>7738</v>
      </c>
      <c r="N3094" s="44">
        <v>42294953</v>
      </c>
      <c r="O3094" s="33" t="s">
        <v>7823</v>
      </c>
      <c r="P3094" s="33" t="s">
        <v>7824</v>
      </c>
      <c r="Q3094" s="34" t="s">
        <v>1494</v>
      </c>
      <c r="R3094" s="34" t="s">
        <v>1494</v>
      </c>
    </row>
    <row r="3095" spans="1:18" ht="15" customHeight="1" x14ac:dyDescent="0.25">
      <c r="A3095" t="str">
        <f>IFERROR(RANK(B3095,$B:$B,1)+COUNTIF($B$1:B3094,B3095),"")</f>
        <v/>
      </c>
      <c r="B3095" t="str">
        <f>IFERROR(SEARCH(#REF!,Table4[[#This Row],[Commodity Title]],1),"")</f>
        <v/>
      </c>
      <c r="C3095" s="35">
        <v>42294954</v>
      </c>
      <c r="D3095" s="33" t="s">
        <v>1495</v>
      </c>
      <c r="E3095" s="33" t="s">
        <v>1496</v>
      </c>
      <c r="F3095" s="33" t="s">
        <v>1497</v>
      </c>
      <c r="G3095" s="33" t="s">
        <v>7062</v>
      </c>
      <c r="H3095" s="33" t="s">
        <v>7063</v>
      </c>
      <c r="I3095" s="33" t="s">
        <v>7064</v>
      </c>
      <c r="J3095" s="33">
        <v>142823</v>
      </c>
      <c r="K3095" s="33" t="s">
        <v>7736</v>
      </c>
      <c r="L3095" s="33" t="s">
        <v>7737</v>
      </c>
      <c r="M3095" s="33" t="s">
        <v>7738</v>
      </c>
      <c r="N3095" s="44">
        <v>42294954</v>
      </c>
      <c r="O3095" s="33" t="s">
        <v>7825</v>
      </c>
      <c r="P3095" s="33" t="s">
        <v>7826</v>
      </c>
      <c r="Q3095" s="34" t="s">
        <v>1494</v>
      </c>
      <c r="R3095" s="34" t="s">
        <v>1494</v>
      </c>
    </row>
    <row r="3096" spans="1:18" ht="15" customHeight="1" x14ac:dyDescent="0.25">
      <c r="A3096" t="str">
        <f>IFERROR(RANK(B3096,$B:$B,1)+COUNTIF($B$1:B3095,B3096),"")</f>
        <v/>
      </c>
      <c r="B3096" t="str">
        <f>IFERROR(SEARCH(#REF!,Table4[[#This Row],[Commodity Title]],1),"")</f>
        <v/>
      </c>
      <c r="C3096" s="35">
        <v>42294955</v>
      </c>
      <c r="D3096" s="33" t="s">
        <v>1495</v>
      </c>
      <c r="E3096" s="33" t="s">
        <v>1496</v>
      </c>
      <c r="F3096" s="33" t="s">
        <v>1497</v>
      </c>
      <c r="G3096" s="33" t="s">
        <v>7062</v>
      </c>
      <c r="H3096" s="33" t="s">
        <v>7063</v>
      </c>
      <c r="I3096" s="33" t="s">
        <v>7064</v>
      </c>
      <c r="J3096" s="33">
        <v>142824</v>
      </c>
      <c r="K3096" s="33" t="s">
        <v>7736</v>
      </c>
      <c r="L3096" s="33" t="s">
        <v>7737</v>
      </c>
      <c r="M3096" s="33" t="s">
        <v>7738</v>
      </c>
      <c r="N3096" s="44">
        <v>42294955</v>
      </c>
      <c r="O3096" s="33" t="s">
        <v>7827</v>
      </c>
      <c r="P3096" s="33" t="s">
        <v>7828</v>
      </c>
      <c r="Q3096" s="34" t="s">
        <v>1494</v>
      </c>
      <c r="R3096" s="34" t="s">
        <v>1494</v>
      </c>
    </row>
    <row r="3097" spans="1:18" ht="15" customHeight="1" x14ac:dyDescent="0.25">
      <c r="A3097" t="str">
        <f>IFERROR(RANK(B3097,$B:$B,1)+COUNTIF($B$1:B3096,B3097),"")</f>
        <v/>
      </c>
      <c r="B3097" t="str">
        <f>IFERROR(SEARCH(#REF!,Table4[[#This Row],[Commodity Title]],1),"")</f>
        <v/>
      </c>
      <c r="C3097" s="35">
        <v>42294956</v>
      </c>
      <c r="D3097" s="33" t="s">
        <v>1495</v>
      </c>
      <c r="E3097" s="33" t="s">
        <v>1496</v>
      </c>
      <c r="F3097" s="33" t="s">
        <v>1497</v>
      </c>
      <c r="G3097" s="33" t="s">
        <v>7062</v>
      </c>
      <c r="H3097" s="33" t="s">
        <v>7063</v>
      </c>
      <c r="I3097" s="33" t="s">
        <v>7064</v>
      </c>
      <c r="J3097" s="33">
        <v>142825</v>
      </c>
      <c r="K3097" s="33" t="s">
        <v>7736</v>
      </c>
      <c r="L3097" s="33" t="s">
        <v>7737</v>
      </c>
      <c r="M3097" s="33" t="s">
        <v>7738</v>
      </c>
      <c r="N3097" s="44">
        <v>42294956</v>
      </c>
      <c r="O3097" s="33" t="s">
        <v>7829</v>
      </c>
      <c r="P3097" s="33" t="s">
        <v>7830</v>
      </c>
      <c r="Q3097" s="34" t="s">
        <v>1494</v>
      </c>
      <c r="R3097" s="34" t="s">
        <v>1494</v>
      </c>
    </row>
    <row r="3098" spans="1:18" ht="15" customHeight="1" x14ac:dyDescent="0.25">
      <c r="A3098" t="str">
        <f>IFERROR(RANK(B3098,$B:$B,1)+COUNTIF($B$1:B3097,B3098),"")</f>
        <v/>
      </c>
      <c r="B3098" t="str">
        <f>IFERROR(SEARCH(#REF!,Table4[[#This Row],[Commodity Title]],1),"")</f>
        <v/>
      </c>
      <c r="C3098" s="35">
        <v>42294957</v>
      </c>
      <c r="D3098" s="33" t="s">
        <v>1495</v>
      </c>
      <c r="E3098" s="33" t="s">
        <v>1496</v>
      </c>
      <c r="F3098" s="33" t="s">
        <v>1497</v>
      </c>
      <c r="G3098" s="33" t="s">
        <v>7062</v>
      </c>
      <c r="H3098" s="33" t="s">
        <v>7063</v>
      </c>
      <c r="I3098" s="33" t="s">
        <v>7064</v>
      </c>
      <c r="J3098" s="33">
        <v>144520</v>
      </c>
      <c r="K3098" s="33" t="s">
        <v>7736</v>
      </c>
      <c r="L3098" s="33" t="s">
        <v>7737</v>
      </c>
      <c r="M3098" s="33" t="s">
        <v>7738</v>
      </c>
      <c r="N3098" s="44">
        <v>42294957</v>
      </c>
      <c r="O3098" s="33" t="s">
        <v>7831</v>
      </c>
      <c r="P3098" s="33" t="s">
        <v>7832</v>
      </c>
      <c r="Q3098" s="34" t="s">
        <v>1494</v>
      </c>
      <c r="R3098" s="34" t="s">
        <v>1494</v>
      </c>
    </row>
    <row r="3099" spans="1:18" ht="15" customHeight="1" x14ac:dyDescent="0.25">
      <c r="A3099" t="str">
        <f>IFERROR(RANK(B3099,$B:$B,1)+COUNTIF($B$1:B3098,B3099),"")</f>
        <v/>
      </c>
      <c r="B3099" t="str">
        <f>IFERROR(SEARCH(#REF!,Table4[[#This Row],[Commodity Title]],1),"")</f>
        <v/>
      </c>
      <c r="C3099" s="35">
        <v>42294958</v>
      </c>
      <c r="D3099" s="33" t="s">
        <v>1495</v>
      </c>
      <c r="E3099" s="33" t="s">
        <v>1496</v>
      </c>
      <c r="F3099" s="33" t="s">
        <v>1497</v>
      </c>
      <c r="G3099" s="33" t="s">
        <v>7062</v>
      </c>
      <c r="H3099" s="33" t="s">
        <v>7063</v>
      </c>
      <c r="I3099" s="33" t="s">
        <v>7064</v>
      </c>
      <c r="J3099" s="33">
        <v>166870</v>
      </c>
      <c r="K3099" s="33" t="s">
        <v>7736</v>
      </c>
      <c r="L3099" s="33" t="s">
        <v>7737</v>
      </c>
      <c r="M3099" s="33" t="s">
        <v>7738</v>
      </c>
      <c r="N3099" s="44">
        <v>42294958</v>
      </c>
      <c r="O3099" s="33" t="s">
        <v>7833</v>
      </c>
      <c r="P3099" s="33" t="s">
        <v>7834</v>
      </c>
      <c r="Q3099" s="34" t="s">
        <v>1494</v>
      </c>
      <c r="R3099" s="34" t="s">
        <v>1494</v>
      </c>
    </row>
    <row r="3100" spans="1:18" ht="15" customHeight="1" x14ac:dyDescent="0.25">
      <c r="A3100" t="str">
        <f>IFERROR(RANK(B3100,$B:$B,1)+COUNTIF($B$1:B3099,B3100),"")</f>
        <v/>
      </c>
      <c r="B3100" t="str">
        <f>IFERROR(SEARCH(#REF!,Table4[[#This Row],[Commodity Title]],1),"")</f>
        <v/>
      </c>
      <c r="C3100" s="35">
        <v>42294959</v>
      </c>
      <c r="D3100" s="33" t="s">
        <v>1495</v>
      </c>
      <c r="E3100" s="33" t="s">
        <v>1496</v>
      </c>
      <c r="F3100" s="33" t="s">
        <v>1497</v>
      </c>
      <c r="G3100" s="33" t="s">
        <v>7062</v>
      </c>
      <c r="H3100" s="33" t="s">
        <v>7063</v>
      </c>
      <c r="I3100" s="33" t="s">
        <v>7064</v>
      </c>
      <c r="J3100" s="33">
        <v>142805</v>
      </c>
      <c r="K3100" s="33" t="s">
        <v>7736</v>
      </c>
      <c r="L3100" s="33" t="s">
        <v>7737</v>
      </c>
      <c r="M3100" s="33" t="s">
        <v>7738</v>
      </c>
      <c r="N3100" s="44">
        <v>42294959</v>
      </c>
      <c r="O3100" s="33" t="s">
        <v>7835</v>
      </c>
      <c r="P3100" s="33" t="s">
        <v>7836</v>
      </c>
      <c r="Q3100" s="34" t="s">
        <v>1494</v>
      </c>
      <c r="R3100" s="34" t="s">
        <v>1494</v>
      </c>
    </row>
    <row r="3101" spans="1:18" ht="15" customHeight="1" x14ac:dyDescent="0.25">
      <c r="A3101" t="str">
        <f>IFERROR(RANK(B3101,$B:$B,1)+COUNTIF($B$1:B3100,B3101),"")</f>
        <v/>
      </c>
      <c r="B3101" t="str">
        <f>IFERROR(SEARCH(#REF!,Table4[[#This Row],[Commodity Title]],1),"")</f>
        <v/>
      </c>
      <c r="C3101" s="35">
        <v>42294960</v>
      </c>
      <c r="D3101" s="33" t="s">
        <v>1495</v>
      </c>
      <c r="E3101" s="33" t="s">
        <v>1496</v>
      </c>
      <c r="F3101" s="33" t="s">
        <v>1497</v>
      </c>
      <c r="G3101" s="33" t="s">
        <v>7062</v>
      </c>
      <c r="H3101" s="33" t="s">
        <v>7063</v>
      </c>
      <c r="I3101" s="33" t="s">
        <v>7064</v>
      </c>
      <c r="J3101" s="33">
        <v>203184</v>
      </c>
      <c r="K3101" s="33" t="s">
        <v>7736</v>
      </c>
      <c r="L3101" s="33" t="s">
        <v>7737</v>
      </c>
      <c r="M3101" s="33" t="s">
        <v>7738</v>
      </c>
      <c r="N3101" s="44">
        <v>42294960</v>
      </c>
      <c r="O3101" s="33" t="s">
        <v>7837</v>
      </c>
      <c r="P3101" s="33" t="s">
        <v>7838</v>
      </c>
      <c r="Q3101" s="34" t="s">
        <v>1494</v>
      </c>
      <c r="R3101" s="34" t="s">
        <v>1494</v>
      </c>
    </row>
    <row r="3102" spans="1:18" ht="15" customHeight="1" x14ac:dyDescent="0.25">
      <c r="A3102" t="str">
        <f>IFERROR(RANK(B3102,$B:$B,1)+COUNTIF($B$1:B3101,B3102),"")</f>
        <v/>
      </c>
      <c r="B3102" t="str">
        <f>IFERROR(SEARCH(#REF!,Table4[[#This Row],[Commodity Title]],1),"")</f>
        <v/>
      </c>
      <c r="C3102" s="35">
        <v>42294961</v>
      </c>
      <c r="D3102" s="33" t="s">
        <v>1495</v>
      </c>
      <c r="E3102" s="33" t="s">
        <v>1496</v>
      </c>
      <c r="F3102" s="33" t="s">
        <v>1497</v>
      </c>
      <c r="G3102" s="33" t="s">
        <v>7062</v>
      </c>
      <c r="H3102" s="33" t="s">
        <v>7063</v>
      </c>
      <c r="I3102" s="33" t="s">
        <v>7064</v>
      </c>
      <c r="J3102" s="33">
        <v>203185</v>
      </c>
      <c r="K3102" s="33" t="s">
        <v>7736</v>
      </c>
      <c r="L3102" s="33" t="s">
        <v>7737</v>
      </c>
      <c r="M3102" s="33" t="s">
        <v>7738</v>
      </c>
      <c r="N3102" s="44">
        <v>42294961</v>
      </c>
      <c r="O3102" s="33" t="s">
        <v>7839</v>
      </c>
      <c r="P3102" s="33" t="s">
        <v>7840</v>
      </c>
      <c r="Q3102" s="34" t="s">
        <v>1494</v>
      </c>
      <c r="R3102" s="34" t="s">
        <v>1494</v>
      </c>
    </row>
    <row r="3103" spans="1:18" ht="15" customHeight="1" x14ac:dyDescent="0.25">
      <c r="A3103" t="str">
        <f>IFERROR(RANK(B3103,$B:$B,1)+COUNTIF($B$1:B3102,B3103),"")</f>
        <v/>
      </c>
      <c r="B3103" t="str">
        <f>IFERROR(SEARCH(#REF!,Table4[[#This Row],[Commodity Title]],1),"")</f>
        <v/>
      </c>
      <c r="C3103" s="35">
        <v>42294962</v>
      </c>
      <c r="D3103" s="33" t="s">
        <v>1495</v>
      </c>
      <c r="E3103" s="33" t="s">
        <v>1496</v>
      </c>
      <c r="F3103" s="33" t="s">
        <v>1497</v>
      </c>
      <c r="G3103" s="33" t="s">
        <v>7062</v>
      </c>
      <c r="H3103" s="33" t="s">
        <v>7063</v>
      </c>
      <c r="I3103" s="33" t="s">
        <v>7064</v>
      </c>
      <c r="J3103" s="33">
        <v>203186</v>
      </c>
      <c r="K3103" s="33" t="s">
        <v>7736</v>
      </c>
      <c r="L3103" s="33" t="s">
        <v>7737</v>
      </c>
      <c r="M3103" s="33" t="s">
        <v>7738</v>
      </c>
      <c r="N3103" s="44">
        <v>42294962</v>
      </c>
      <c r="O3103" s="33" t="s">
        <v>7841</v>
      </c>
      <c r="P3103" s="33" t="s">
        <v>7842</v>
      </c>
      <c r="Q3103" s="34" t="s">
        <v>1494</v>
      </c>
      <c r="R3103" s="34" t="s">
        <v>1494</v>
      </c>
    </row>
    <row r="3104" spans="1:18" ht="15" customHeight="1" x14ac:dyDescent="0.25">
      <c r="A3104" t="str">
        <f>IFERROR(RANK(B3104,$B:$B,1)+COUNTIF($B$1:B3103,B3104),"")</f>
        <v/>
      </c>
      <c r="B3104" t="str">
        <f>IFERROR(SEARCH(#REF!,Table4[[#This Row],[Commodity Title]],1),"")</f>
        <v/>
      </c>
      <c r="C3104" s="35">
        <v>42294963</v>
      </c>
      <c r="D3104" s="33" t="s">
        <v>1495</v>
      </c>
      <c r="E3104" s="33" t="s">
        <v>1496</v>
      </c>
      <c r="F3104" s="33" t="s">
        <v>1497</v>
      </c>
      <c r="G3104" s="33" t="s">
        <v>7062</v>
      </c>
      <c r="H3104" s="33" t="s">
        <v>7063</v>
      </c>
      <c r="I3104" s="33" t="s">
        <v>7064</v>
      </c>
      <c r="J3104" s="33">
        <v>203187</v>
      </c>
      <c r="K3104" s="33" t="s">
        <v>7736</v>
      </c>
      <c r="L3104" s="33" t="s">
        <v>7737</v>
      </c>
      <c r="M3104" s="33" t="s">
        <v>7738</v>
      </c>
      <c r="N3104" s="44">
        <v>42294963</v>
      </c>
      <c r="O3104" s="33" t="s">
        <v>7843</v>
      </c>
      <c r="P3104" s="33" t="s">
        <v>7844</v>
      </c>
      <c r="Q3104" s="34" t="s">
        <v>1494</v>
      </c>
      <c r="R3104" s="34" t="s">
        <v>1494</v>
      </c>
    </row>
    <row r="3105" spans="1:18" ht="15" customHeight="1" x14ac:dyDescent="0.25">
      <c r="A3105" t="str">
        <f>IFERROR(RANK(B3105,$B:$B,1)+COUNTIF($B$1:B3104,B3105),"")</f>
        <v/>
      </c>
      <c r="B3105" t="str">
        <f>IFERROR(SEARCH(#REF!,Table4[[#This Row],[Commodity Title]],1),"")</f>
        <v/>
      </c>
      <c r="C3105" s="35">
        <v>42294964</v>
      </c>
      <c r="D3105" s="33" t="s">
        <v>1495</v>
      </c>
      <c r="E3105" s="33" t="s">
        <v>1496</v>
      </c>
      <c r="F3105" s="33" t="s">
        <v>1497</v>
      </c>
      <c r="G3105" s="33" t="s">
        <v>7062</v>
      </c>
      <c r="H3105" s="33" t="s">
        <v>7063</v>
      </c>
      <c r="I3105" s="33" t="s">
        <v>7064</v>
      </c>
      <c r="J3105" s="33">
        <v>203188</v>
      </c>
      <c r="K3105" s="33" t="s">
        <v>7736</v>
      </c>
      <c r="L3105" s="33" t="s">
        <v>7737</v>
      </c>
      <c r="M3105" s="33" t="s">
        <v>7738</v>
      </c>
      <c r="N3105" s="44">
        <v>42294964</v>
      </c>
      <c r="O3105" s="33" t="s">
        <v>7845</v>
      </c>
      <c r="P3105" s="33" t="s">
        <v>7846</v>
      </c>
      <c r="Q3105" s="34" t="s">
        <v>1494</v>
      </c>
      <c r="R3105" s="34" t="s">
        <v>1494</v>
      </c>
    </row>
    <row r="3106" spans="1:18" ht="15" customHeight="1" x14ac:dyDescent="0.25">
      <c r="A3106" t="str">
        <f>IFERROR(RANK(B3106,$B:$B,1)+COUNTIF($B$1:B3105,B3106),"")</f>
        <v/>
      </c>
      <c r="B3106" t="str">
        <f>IFERROR(SEARCH(#REF!,Table4[[#This Row],[Commodity Title]],1),"")</f>
        <v/>
      </c>
      <c r="C3106" s="35">
        <v>42294965</v>
      </c>
      <c r="D3106" s="33" t="s">
        <v>1495</v>
      </c>
      <c r="E3106" s="33" t="s">
        <v>1496</v>
      </c>
      <c r="F3106" s="33" t="s">
        <v>1497</v>
      </c>
      <c r="G3106" s="33" t="s">
        <v>7062</v>
      </c>
      <c r="H3106" s="33" t="s">
        <v>7063</v>
      </c>
      <c r="I3106" s="33" t="s">
        <v>7064</v>
      </c>
      <c r="J3106" s="33">
        <v>203189</v>
      </c>
      <c r="K3106" s="33" t="s">
        <v>7736</v>
      </c>
      <c r="L3106" s="33" t="s">
        <v>7737</v>
      </c>
      <c r="M3106" s="33" t="s">
        <v>7738</v>
      </c>
      <c r="N3106" s="44">
        <v>42294965</v>
      </c>
      <c r="O3106" s="33" t="s">
        <v>7847</v>
      </c>
      <c r="P3106" s="33" t="s">
        <v>7848</v>
      </c>
      <c r="Q3106" s="34" t="s">
        <v>1494</v>
      </c>
      <c r="R3106" s="34" t="s">
        <v>1494</v>
      </c>
    </row>
    <row r="3107" spans="1:18" ht="15" customHeight="1" x14ac:dyDescent="0.25">
      <c r="A3107" t="str">
        <f>IFERROR(RANK(B3107,$B:$B,1)+COUNTIF($B$1:B3106,B3107),"")</f>
        <v/>
      </c>
      <c r="B3107" t="str">
        <f>IFERROR(SEARCH(#REF!,Table4[[#This Row],[Commodity Title]],1),"")</f>
        <v/>
      </c>
      <c r="C3107" s="35">
        <v>42294966</v>
      </c>
      <c r="D3107" s="33" t="s">
        <v>1495</v>
      </c>
      <c r="E3107" s="33" t="s">
        <v>1496</v>
      </c>
      <c r="F3107" s="33" t="s">
        <v>1497</v>
      </c>
      <c r="G3107" s="33" t="s">
        <v>7062</v>
      </c>
      <c r="H3107" s="33" t="s">
        <v>7063</v>
      </c>
      <c r="I3107" s="33" t="s">
        <v>7064</v>
      </c>
      <c r="J3107" s="33">
        <v>203190</v>
      </c>
      <c r="K3107" s="33" t="s">
        <v>7736</v>
      </c>
      <c r="L3107" s="33" t="s">
        <v>7737</v>
      </c>
      <c r="M3107" s="33" t="s">
        <v>7738</v>
      </c>
      <c r="N3107" s="44">
        <v>42294966</v>
      </c>
      <c r="O3107" s="33" t="s">
        <v>7849</v>
      </c>
      <c r="P3107" s="33" t="s">
        <v>7850</v>
      </c>
      <c r="Q3107" s="34" t="s">
        <v>1494</v>
      </c>
      <c r="R3107" s="34" t="s">
        <v>1494</v>
      </c>
    </row>
    <row r="3108" spans="1:18" ht="15" customHeight="1" x14ac:dyDescent="0.25">
      <c r="A3108" t="str">
        <f>IFERROR(RANK(B3108,$B:$B,1)+COUNTIF($B$1:B3107,B3108),"")</f>
        <v/>
      </c>
      <c r="B3108" t="str">
        <f>IFERROR(SEARCH(#REF!,Table4[[#This Row],[Commodity Title]],1),"")</f>
        <v/>
      </c>
      <c r="C3108" s="35">
        <v>42294967</v>
      </c>
      <c r="D3108" s="33" t="s">
        <v>1495</v>
      </c>
      <c r="E3108" s="33" t="s">
        <v>1496</v>
      </c>
      <c r="F3108" s="33" t="s">
        <v>1497</v>
      </c>
      <c r="G3108" s="33" t="s">
        <v>7062</v>
      </c>
      <c r="H3108" s="33" t="s">
        <v>7063</v>
      </c>
      <c r="I3108" s="33" t="s">
        <v>7064</v>
      </c>
      <c r="J3108" s="33">
        <v>203191</v>
      </c>
      <c r="K3108" s="33" t="s">
        <v>7736</v>
      </c>
      <c r="L3108" s="33" t="s">
        <v>7737</v>
      </c>
      <c r="M3108" s="33" t="s">
        <v>7738</v>
      </c>
      <c r="N3108" s="44">
        <v>42294967</v>
      </c>
      <c r="O3108" s="33" t="s">
        <v>7851</v>
      </c>
      <c r="P3108" s="33" t="s">
        <v>7852</v>
      </c>
      <c r="Q3108" s="34" t="s">
        <v>1494</v>
      </c>
      <c r="R3108" s="34" t="s">
        <v>1494</v>
      </c>
    </row>
    <row r="3109" spans="1:18" ht="15" customHeight="1" x14ac:dyDescent="0.25">
      <c r="A3109" t="str">
        <f>IFERROR(RANK(B3109,$B:$B,1)+COUNTIF($B$1:B3108,B3109),"")</f>
        <v/>
      </c>
      <c r="B3109" t="str">
        <f>IFERROR(SEARCH(#REF!,Table4[[#This Row],[Commodity Title]],1),"")</f>
        <v/>
      </c>
      <c r="C3109" s="35">
        <v>42294968</v>
      </c>
      <c r="D3109" s="33" t="s">
        <v>1495</v>
      </c>
      <c r="E3109" s="33" t="s">
        <v>1496</v>
      </c>
      <c r="F3109" s="33" t="s">
        <v>1497</v>
      </c>
      <c r="G3109" s="33" t="s">
        <v>7062</v>
      </c>
      <c r="H3109" s="33" t="s">
        <v>7063</v>
      </c>
      <c r="I3109" s="33" t="s">
        <v>7064</v>
      </c>
      <c r="J3109" s="33">
        <v>203192</v>
      </c>
      <c r="K3109" s="33" t="s">
        <v>7736</v>
      </c>
      <c r="L3109" s="33" t="s">
        <v>7737</v>
      </c>
      <c r="M3109" s="33" t="s">
        <v>7738</v>
      </c>
      <c r="N3109" s="44">
        <v>42294968</v>
      </c>
      <c r="O3109" s="33" t="s">
        <v>7853</v>
      </c>
      <c r="P3109" s="33" t="s">
        <v>7854</v>
      </c>
      <c r="Q3109" s="34" t="s">
        <v>1494</v>
      </c>
      <c r="R3109" s="34" t="s">
        <v>1494</v>
      </c>
    </row>
    <row r="3110" spans="1:18" ht="15" customHeight="1" x14ac:dyDescent="0.25">
      <c r="A3110" t="str">
        <f>IFERROR(RANK(B3110,$B:$B,1)+COUNTIF($B$1:B3109,B3110),"")</f>
        <v/>
      </c>
      <c r="B3110" t="str">
        <f>IFERROR(SEARCH(#REF!,Table4[[#This Row],[Commodity Title]],1),"")</f>
        <v/>
      </c>
      <c r="C3110" s="35">
        <v>42294969</v>
      </c>
      <c r="D3110" s="33" t="s">
        <v>1495</v>
      </c>
      <c r="E3110" s="33" t="s">
        <v>1496</v>
      </c>
      <c r="F3110" s="33" t="s">
        <v>1497</v>
      </c>
      <c r="G3110" s="33" t="s">
        <v>7062</v>
      </c>
      <c r="H3110" s="33" t="s">
        <v>7063</v>
      </c>
      <c r="I3110" s="33" t="s">
        <v>7064</v>
      </c>
      <c r="J3110" s="33">
        <v>203193</v>
      </c>
      <c r="K3110" s="33" t="s">
        <v>7736</v>
      </c>
      <c r="L3110" s="33" t="s">
        <v>7737</v>
      </c>
      <c r="M3110" s="33" t="s">
        <v>7738</v>
      </c>
      <c r="N3110" s="44">
        <v>42294969</v>
      </c>
      <c r="O3110" s="33" t="s">
        <v>7855</v>
      </c>
      <c r="P3110" s="33" t="s">
        <v>7856</v>
      </c>
      <c r="Q3110" s="34" t="s">
        <v>1494</v>
      </c>
      <c r="R3110" s="34" t="s">
        <v>1494</v>
      </c>
    </row>
    <row r="3111" spans="1:18" ht="15" customHeight="1" x14ac:dyDescent="0.25">
      <c r="A3111" t="str">
        <f>IFERROR(RANK(B3111,$B:$B,1)+COUNTIF($B$1:B3110,B3111),"")</f>
        <v/>
      </c>
      <c r="B3111" t="str">
        <f>IFERROR(SEARCH(#REF!,Table4[[#This Row],[Commodity Title]],1),"")</f>
        <v/>
      </c>
      <c r="C3111" s="35">
        <v>42294970</v>
      </c>
      <c r="D3111" s="33" t="s">
        <v>1495</v>
      </c>
      <c r="E3111" s="33" t="s">
        <v>1496</v>
      </c>
      <c r="F3111" s="33" t="s">
        <v>1497</v>
      </c>
      <c r="G3111" s="33" t="s">
        <v>7062</v>
      </c>
      <c r="H3111" s="33" t="s">
        <v>7063</v>
      </c>
      <c r="I3111" s="33" t="s">
        <v>7064</v>
      </c>
      <c r="J3111" s="33">
        <v>203194</v>
      </c>
      <c r="K3111" s="33" t="s">
        <v>7736</v>
      </c>
      <c r="L3111" s="33" t="s">
        <v>7737</v>
      </c>
      <c r="M3111" s="33" t="s">
        <v>7738</v>
      </c>
      <c r="N3111" s="44">
        <v>42294970</v>
      </c>
      <c r="O3111" s="33" t="s">
        <v>7857</v>
      </c>
      <c r="P3111" s="33" t="s">
        <v>7858</v>
      </c>
      <c r="Q3111" s="34" t="s">
        <v>1494</v>
      </c>
      <c r="R3111" s="34" t="s">
        <v>1494</v>
      </c>
    </row>
    <row r="3112" spans="1:18" ht="15" customHeight="1" x14ac:dyDescent="0.25">
      <c r="A3112" t="str">
        <f>IFERROR(RANK(B3112,$B:$B,1)+COUNTIF($B$1:B3111,B3112),"")</f>
        <v/>
      </c>
      <c r="B3112" t="str">
        <f>IFERROR(SEARCH(#REF!,Table4[[#This Row],[Commodity Title]],1),"")</f>
        <v/>
      </c>
      <c r="C3112" s="35">
        <v>42294971</v>
      </c>
      <c r="D3112" s="33" t="s">
        <v>1495</v>
      </c>
      <c r="E3112" s="33" t="s">
        <v>1496</v>
      </c>
      <c r="F3112" s="33" t="s">
        <v>1497</v>
      </c>
      <c r="G3112" s="33" t="s">
        <v>7062</v>
      </c>
      <c r="H3112" s="33" t="s">
        <v>7063</v>
      </c>
      <c r="I3112" s="33" t="s">
        <v>7064</v>
      </c>
      <c r="J3112" s="33">
        <v>203195</v>
      </c>
      <c r="K3112" s="33" t="s">
        <v>7736</v>
      </c>
      <c r="L3112" s="33" t="s">
        <v>7737</v>
      </c>
      <c r="M3112" s="33" t="s">
        <v>7738</v>
      </c>
      <c r="N3112" s="44">
        <v>42294971</v>
      </c>
      <c r="O3112" s="33" t="s">
        <v>7859</v>
      </c>
      <c r="P3112" s="33" t="s">
        <v>7860</v>
      </c>
      <c r="Q3112" s="34" t="s">
        <v>1494</v>
      </c>
      <c r="R3112" s="34" t="s">
        <v>1494</v>
      </c>
    </row>
    <row r="3113" spans="1:18" ht="15" customHeight="1" x14ac:dyDescent="0.25">
      <c r="A3113" t="str">
        <f>IFERROR(RANK(B3113,$B:$B,1)+COUNTIF($B$1:B3112,B3113),"")</f>
        <v/>
      </c>
      <c r="B3113" t="str">
        <f>IFERROR(SEARCH(#REF!,Table4[[#This Row],[Commodity Title]],1),"")</f>
        <v/>
      </c>
      <c r="C3113" s="35">
        <v>42294972</v>
      </c>
      <c r="D3113" s="33" t="s">
        <v>1495</v>
      </c>
      <c r="E3113" s="33" t="s">
        <v>1496</v>
      </c>
      <c r="F3113" s="33" t="s">
        <v>1497</v>
      </c>
      <c r="G3113" s="33" t="s">
        <v>7062</v>
      </c>
      <c r="H3113" s="33" t="s">
        <v>7063</v>
      </c>
      <c r="I3113" s="33" t="s">
        <v>7064</v>
      </c>
      <c r="J3113" s="33">
        <v>116380</v>
      </c>
      <c r="K3113" s="33" t="s">
        <v>7736</v>
      </c>
      <c r="L3113" s="33" t="s">
        <v>7737</v>
      </c>
      <c r="M3113" s="33" t="s">
        <v>7738</v>
      </c>
      <c r="N3113" s="44">
        <v>42294972</v>
      </c>
      <c r="O3113" s="33" t="s">
        <v>7861</v>
      </c>
      <c r="P3113" s="33" t="s">
        <v>7862</v>
      </c>
      <c r="Q3113" s="34" t="s">
        <v>1494</v>
      </c>
      <c r="R3113" s="34" t="s">
        <v>1494</v>
      </c>
    </row>
    <row r="3114" spans="1:18" ht="15" customHeight="1" x14ac:dyDescent="0.25">
      <c r="A3114" t="str">
        <f>IFERROR(RANK(B3114,$B:$B,1)+COUNTIF($B$1:B3113,B3114),"")</f>
        <v/>
      </c>
      <c r="B3114" t="str">
        <f>IFERROR(SEARCH(#REF!,Table4[[#This Row],[Commodity Title]],1),"")</f>
        <v/>
      </c>
      <c r="C3114" s="35">
        <v>42294978</v>
      </c>
      <c r="D3114" s="33" t="s">
        <v>1495</v>
      </c>
      <c r="E3114" s="33" t="s">
        <v>1496</v>
      </c>
      <c r="F3114" s="33" t="s">
        <v>1497</v>
      </c>
      <c r="G3114" s="33" t="s">
        <v>7062</v>
      </c>
      <c r="H3114" s="33" t="s">
        <v>7063</v>
      </c>
      <c r="I3114" s="33" t="s">
        <v>7064</v>
      </c>
      <c r="J3114" s="33">
        <v>116368</v>
      </c>
      <c r="K3114" s="33" t="s">
        <v>7736</v>
      </c>
      <c r="L3114" s="33" t="s">
        <v>7737</v>
      </c>
      <c r="M3114" s="33" t="s">
        <v>7738</v>
      </c>
      <c r="N3114" s="44">
        <v>42294978</v>
      </c>
      <c r="O3114" s="33" t="s">
        <v>7863</v>
      </c>
      <c r="P3114" s="33" t="s">
        <v>7864</v>
      </c>
      <c r="Q3114" s="34" t="s">
        <v>1494</v>
      </c>
      <c r="R3114" s="34" t="s">
        <v>1494</v>
      </c>
    </row>
    <row r="3115" spans="1:18" ht="15" customHeight="1" x14ac:dyDescent="0.25">
      <c r="A3115" t="str">
        <f>IFERROR(RANK(B3115,$B:$B,1)+COUNTIF($B$1:B3114,B3115),"")</f>
        <v/>
      </c>
      <c r="B3115" t="str">
        <f>IFERROR(SEARCH(#REF!,Table4[[#This Row],[Commodity Title]],1),"")</f>
        <v/>
      </c>
      <c r="C3115" s="35">
        <v>42294979</v>
      </c>
      <c r="D3115" s="33" t="s">
        <v>1495</v>
      </c>
      <c r="E3115" s="33" t="s">
        <v>1496</v>
      </c>
      <c r="F3115" s="33" t="s">
        <v>1497</v>
      </c>
      <c r="G3115" s="33" t="s">
        <v>7062</v>
      </c>
      <c r="H3115" s="33" t="s">
        <v>7063</v>
      </c>
      <c r="I3115" s="33" t="s">
        <v>7064</v>
      </c>
      <c r="J3115" s="33">
        <v>116158</v>
      </c>
      <c r="K3115" s="33" t="s">
        <v>7736</v>
      </c>
      <c r="L3115" s="33" t="s">
        <v>7737</v>
      </c>
      <c r="M3115" s="33" t="s">
        <v>7738</v>
      </c>
      <c r="N3115" s="44">
        <v>42294979</v>
      </c>
      <c r="O3115" s="33" t="s">
        <v>7865</v>
      </c>
      <c r="P3115" s="33" t="s">
        <v>7866</v>
      </c>
      <c r="Q3115" s="34" t="s">
        <v>1494</v>
      </c>
      <c r="R3115" s="34" t="s">
        <v>1494</v>
      </c>
    </row>
    <row r="3116" spans="1:18" ht="15" customHeight="1" x14ac:dyDescent="0.25">
      <c r="A3116" t="str">
        <f>IFERROR(RANK(B3116,$B:$B,1)+COUNTIF($B$1:B3115,B3116),"")</f>
        <v/>
      </c>
      <c r="B3116" t="str">
        <f>IFERROR(SEARCH(#REF!,Table4[[#This Row],[Commodity Title]],1),"")</f>
        <v/>
      </c>
      <c r="C3116" s="35">
        <v>42294980</v>
      </c>
      <c r="D3116" s="33" t="s">
        <v>1495</v>
      </c>
      <c r="E3116" s="33" t="s">
        <v>1496</v>
      </c>
      <c r="F3116" s="33" t="s">
        <v>1497</v>
      </c>
      <c r="G3116" s="33" t="s">
        <v>7062</v>
      </c>
      <c r="H3116" s="33" t="s">
        <v>7063</v>
      </c>
      <c r="I3116" s="33" t="s">
        <v>7064</v>
      </c>
      <c r="J3116" s="33">
        <v>208435</v>
      </c>
      <c r="K3116" s="33" t="s">
        <v>7736</v>
      </c>
      <c r="L3116" s="33" t="s">
        <v>7737</v>
      </c>
      <c r="M3116" s="33" t="s">
        <v>7738</v>
      </c>
      <c r="N3116" s="44">
        <v>42294980</v>
      </c>
      <c r="O3116" s="33" t="s">
        <v>7867</v>
      </c>
      <c r="P3116" s="33" t="s">
        <v>7868</v>
      </c>
      <c r="Q3116" s="34" t="s">
        <v>1494</v>
      </c>
      <c r="R3116" s="34" t="s">
        <v>1494</v>
      </c>
    </row>
    <row r="3117" spans="1:18" ht="15" customHeight="1" x14ac:dyDescent="0.25">
      <c r="A3117" t="str">
        <f>IFERROR(RANK(B3117,$B:$B,1)+COUNTIF($B$1:B3116,B3117),"")</f>
        <v/>
      </c>
      <c r="B3117" t="str">
        <f>IFERROR(SEARCH(#REF!,Table4[[#This Row],[Commodity Title]],1),"")</f>
        <v/>
      </c>
      <c r="C3117" s="35">
        <v>42294981</v>
      </c>
      <c r="D3117" s="33" t="s">
        <v>1495</v>
      </c>
      <c r="E3117" s="33" t="s">
        <v>1496</v>
      </c>
      <c r="F3117" s="33" t="s">
        <v>1497</v>
      </c>
      <c r="G3117" s="33" t="s">
        <v>7062</v>
      </c>
      <c r="H3117" s="33" t="s">
        <v>7063</v>
      </c>
      <c r="I3117" s="33" t="s">
        <v>7064</v>
      </c>
      <c r="J3117" s="33">
        <v>208436</v>
      </c>
      <c r="K3117" s="33" t="s">
        <v>7736</v>
      </c>
      <c r="L3117" s="33" t="s">
        <v>7737</v>
      </c>
      <c r="M3117" s="33" t="s">
        <v>7738</v>
      </c>
      <c r="N3117" s="44">
        <v>42294981</v>
      </c>
      <c r="O3117" s="33" t="s">
        <v>7869</v>
      </c>
      <c r="P3117" s="33" t="s">
        <v>7870</v>
      </c>
      <c r="Q3117" s="34" t="s">
        <v>1494</v>
      </c>
      <c r="R3117" s="34" t="s">
        <v>1494</v>
      </c>
    </row>
    <row r="3118" spans="1:18" ht="15" customHeight="1" x14ac:dyDescent="0.25">
      <c r="A3118" t="str">
        <f>IFERROR(RANK(B3118,$B:$B,1)+COUNTIF($B$1:B3117,B3118),"")</f>
        <v/>
      </c>
      <c r="B3118" t="str">
        <f>IFERROR(SEARCH(#REF!,Table4[[#This Row],[Commodity Title]],1),"")</f>
        <v/>
      </c>
      <c r="C3118" s="35">
        <v>42294982</v>
      </c>
      <c r="D3118" s="33" t="s">
        <v>1495</v>
      </c>
      <c r="E3118" s="33" t="s">
        <v>1496</v>
      </c>
      <c r="F3118" s="33" t="s">
        <v>1497</v>
      </c>
      <c r="G3118" s="33" t="s">
        <v>7062</v>
      </c>
      <c r="H3118" s="33" t="s">
        <v>7063</v>
      </c>
      <c r="I3118" s="33" t="s">
        <v>7064</v>
      </c>
      <c r="J3118" s="33">
        <v>208437</v>
      </c>
      <c r="K3118" s="33" t="s">
        <v>7736</v>
      </c>
      <c r="L3118" s="33" t="s">
        <v>7737</v>
      </c>
      <c r="M3118" s="33" t="s">
        <v>7738</v>
      </c>
      <c r="N3118" s="44">
        <v>42294982</v>
      </c>
      <c r="O3118" s="33" t="s">
        <v>7871</v>
      </c>
      <c r="P3118" s="33" t="s">
        <v>7872</v>
      </c>
      <c r="Q3118" s="34" t="s">
        <v>1494</v>
      </c>
      <c r="R3118" s="34" t="s">
        <v>1494</v>
      </c>
    </row>
    <row r="3119" spans="1:18" ht="15" customHeight="1" x14ac:dyDescent="0.25">
      <c r="A3119" t="str">
        <f>IFERROR(RANK(B3119,$B:$B,1)+COUNTIF($B$1:B3118,B3119),"")</f>
        <v/>
      </c>
      <c r="B3119" t="str">
        <f>IFERROR(SEARCH(#REF!,Table4[[#This Row],[Commodity Title]],1),"")</f>
        <v/>
      </c>
      <c r="C3119" s="35">
        <v>42294983</v>
      </c>
      <c r="D3119" s="33" t="s">
        <v>1495</v>
      </c>
      <c r="E3119" s="33" t="s">
        <v>1496</v>
      </c>
      <c r="F3119" s="33" t="s">
        <v>1497</v>
      </c>
      <c r="G3119" s="33" t="s">
        <v>7062</v>
      </c>
      <c r="H3119" s="33" t="s">
        <v>7063</v>
      </c>
      <c r="I3119" s="33" t="s">
        <v>7064</v>
      </c>
      <c r="J3119" s="33">
        <v>208438</v>
      </c>
      <c r="K3119" s="33" t="s">
        <v>7736</v>
      </c>
      <c r="L3119" s="33" t="s">
        <v>7737</v>
      </c>
      <c r="M3119" s="33" t="s">
        <v>7738</v>
      </c>
      <c r="N3119" s="44">
        <v>42294983</v>
      </c>
      <c r="O3119" s="33" t="s">
        <v>7873</v>
      </c>
      <c r="P3119" s="33" t="s">
        <v>7874</v>
      </c>
      <c r="Q3119" s="34" t="s">
        <v>1494</v>
      </c>
      <c r="R3119" s="34" t="s">
        <v>1494</v>
      </c>
    </row>
    <row r="3120" spans="1:18" ht="15" customHeight="1" x14ac:dyDescent="0.25">
      <c r="A3120" t="str">
        <f>IFERROR(RANK(B3120,$B:$B,1)+COUNTIF($B$1:B3119,B3120),"")</f>
        <v/>
      </c>
      <c r="B3120" t="str">
        <f>IFERROR(SEARCH(#REF!,Table4[[#This Row],[Commodity Title]],1),"")</f>
        <v/>
      </c>
      <c r="C3120" s="35">
        <v>42294984</v>
      </c>
      <c r="D3120" s="33" t="s">
        <v>1495</v>
      </c>
      <c r="E3120" s="33" t="s">
        <v>1496</v>
      </c>
      <c r="F3120" s="33" t="s">
        <v>1497</v>
      </c>
      <c r="G3120" s="33" t="s">
        <v>7062</v>
      </c>
      <c r="H3120" s="33" t="s">
        <v>7063</v>
      </c>
      <c r="I3120" s="33" t="s">
        <v>7064</v>
      </c>
      <c r="J3120" s="33">
        <v>208439</v>
      </c>
      <c r="K3120" s="33" t="s">
        <v>7736</v>
      </c>
      <c r="L3120" s="33" t="s">
        <v>7737</v>
      </c>
      <c r="M3120" s="33" t="s">
        <v>7738</v>
      </c>
      <c r="N3120" s="44">
        <v>42294984</v>
      </c>
      <c r="O3120" s="33" t="s">
        <v>7875</v>
      </c>
      <c r="P3120" s="33" t="s">
        <v>7876</v>
      </c>
      <c r="Q3120" s="34" t="s">
        <v>1494</v>
      </c>
      <c r="R3120" s="34" t="s">
        <v>1494</v>
      </c>
    </row>
    <row r="3121" spans="1:18" ht="15" customHeight="1" x14ac:dyDescent="0.25">
      <c r="A3121" t="str">
        <f>IFERROR(RANK(B3121,$B:$B,1)+COUNTIF($B$1:B3120,B3121),"")</f>
        <v/>
      </c>
      <c r="B3121" t="str">
        <f>IFERROR(SEARCH(#REF!,Table4[[#This Row],[Commodity Title]],1),"")</f>
        <v/>
      </c>
      <c r="C3121" s="35">
        <v>42294985</v>
      </c>
      <c r="D3121" s="33" t="s">
        <v>1495</v>
      </c>
      <c r="E3121" s="33" t="s">
        <v>1496</v>
      </c>
      <c r="F3121" s="33" t="s">
        <v>1497</v>
      </c>
      <c r="G3121" s="33" t="s">
        <v>7062</v>
      </c>
      <c r="H3121" s="33" t="s">
        <v>7063</v>
      </c>
      <c r="I3121" s="33" t="s">
        <v>7064</v>
      </c>
      <c r="J3121" s="33">
        <v>208440</v>
      </c>
      <c r="K3121" s="33" t="s">
        <v>7736</v>
      </c>
      <c r="L3121" s="33" t="s">
        <v>7737</v>
      </c>
      <c r="M3121" s="33" t="s">
        <v>7738</v>
      </c>
      <c r="N3121" s="44">
        <v>42294985</v>
      </c>
      <c r="O3121" s="33" t="s">
        <v>7877</v>
      </c>
      <c r="P3121" s="33" t="s">
        <v>7878</v>
      </c>
      <c r="Q3121" s="34" t="s">
        <v>1494</v>
      </c>
      <c r="R3121" s="34" t="s">
        <v>1494</v>
      </c>
    </row>
    <row r="3122" spans="1:18" ht="15" customHeight="1" x14ac:dyDescent="0.25">
      <c r="A3122" t="str">
        <f>IFERROR(RANK(B3122,$B:$B,1)+COUNTIF($B$1:B3121,B3122),"")</f>
        <v/>
      </c>
      <c r="B3122" t="str">
        <f>IFERROR(SEARCH(#REF!,Table4[[#This Row],[Commodity Title]],1),"")</f>
        <v/>
      </c>
      <c r="C3122" s="35">
        <v>42294986</v>
      </c>
      <c r="D3122" s="33" t="s">
        <v>1495</v>
      </c>
      <c r="E3122" s="33" t="s">
        <v>1496</v>
      </c>
      <c r="F3122" s="33" t="s">
        <v>1497</v>
      </c>
      <c r="G3122" s="33" t="s">
        <v>7062</v>
      </c>
      <c r="H3122" s="33" t="s">
        <v>7063</v>
      </c>
      <c r="I3122" s="33" t="s">
        <v>7064</v>
      </c>
      <c r="J3122" s="33">
        <v>208441</v>
      </c>
      <c r="K3122" s="33" t="s">
        <v>7736</v>
      </c>
      <c r="L3122" s="33" t="s">
        <v>7737</v>
      </c>
      <c r="M3122" s="33" t="s">
        <v>7738</v>
      </c>
      <c r="N3122" s="44">
        <v>42294986</v>
      </c>
      <c r="O3122" s="33" t="s">
        <v>7879</v>
      </c>
      <c r="P3122" s="33" t="s">
        <v>7880</v>
      </c>
      <c r="Q3122" s="34" t="s">
        <v>1494</v>
      </c>
      <c r="R3122" s="34" t="s">
        <v>1494</v>
      </c>
    </row>
    <row r="3123" spans="1:18" ht="15" customHeight="1" x14ac:dyDescent="0.25">
      <c r="A3123" t="str">
        <f>IFERROR(RANK(B3123,$B:$B,1)+COUNTIF($B$1:B3122,B3123),"")</f>
        <v/>
      </c>
      <c r="B3123" t="str">
        <f>IFERROR(SEARCH(#REF!,Table4[[#This Row],[Commodity Title]],1),"")</f>
        <v/>
      </c>
      <c r="C3123" s="35">
        <v>42294987</v>
      </c>
      <c r="D3123" s="33" t="s">
        <v>1495</v>
      </c>
      <c r="E3123" s="33" t="s">
        <v>1496</v>
      </c>
      <c r="F3123" s="33" t="s">
        <v>1497</v>
      </c>
      <c r="G3123" s="33" t="s">
        <v>7062</v>
      </c>
      <c r="H3123" s="33" t="s">
        <v>7063</v>
      </c>
      <c r="I3123" s="33" t="s">
        <v>7064</v>
      </c>
      <c r="J3123" s="33">
        <v>208442</v>
      </c>
      <c r="K3123" s="33" t="s">
        <v>7736</v>
      </c>
      <c r="L3123" s="33" t="s">
        <v>7737</v>
      </c>
      <c r="M3123" s="33" t="s">
        <v>7738</v>
      </c>
      <c r="N3123" s="44">
        <v>42294987</v>
      </c>
      <c r="O3123" s="33" t="s">
        <v>7881</v>
      </c>
      <c r="P3123" s="33" t="s">
        <v>7882</v>
      </c>
      <c r="Q3123" s="34" t="s">
        <v>1494</v>
      </c>
      <c r="R3123" s="34" t="s">
        <v>1494</v>
      </c>
    </row>
    <row r="3124" spans="1:18" ht="15" customHeight="1" x14ac:dyDescent="0.25">
      <c r="A3124" t="str">
        <f>IFERROR(RANK(B3124,$B:$B,1)+COUNTIF($B$1:B3123,B3124),"")</f>
        <v/>
      </c>
      <c r="B3124" t="str">
        <f>IFERROR(SEARCH(#REF!,Table4[[#This Row],[Commodity Title]],1),"")</f>
        <v/>
      </c>
      <c r="C3124" s="35">
        <v>42294988</v>
      </c>
      <c r="D3124" s="33" t="s">
        <v>1495</v>
      </c>
      <c r="E3124" s="33" t="s">
        <v>1496</v>
      </c>
      <c r="F3124" s="33" t="s">
        <v>1497</v>
      </c>
      <c r="G3124" s="33" t="s">
        <v>7062</v>
      </c>
      <c r="H3124" s="33" t="s">
        <v>7063</v>
      </c>
      <c r="I3124" s="33" t="s">
        <v>7064</v>
      </c>
      <c r="J3124" s="33">
        <v>208443</v>
      </c>
      <c r="K3124" s="33" t="s">
        <v>7736</v>
      </c>
      <c r="L3124" s="33" t="s">
        <v>7737</v>
      </c>
      <c r="M3124" s="33" t="s">
        <v>7738</v>
      </c>
      <c r="N3124" s="44">
        <v>42294988</v>
      </c>
      <c r="O3124" s="33" t="s">
        <v>7883</v>
      </c>
      <c r="P3124" s="33" t="s">
        <v>7884</v>
      </c>
      <c r="Q3124" s="34" t="s">
        <v>1494</v>
      </c>
      <c r="R3124" s="34" t="s">
        <v>1494</v>
      </c>
    </row>
    <row r="3125" spans="1:18" ht="15" customHeight="1" x14ac:dyDescent="0.25">
      <c r="A3125" t="str">
        <f>IFERROR(RANK(B3125,$B:$B,1)+COUNTIF($B$1:B3124,B3125),"")</f>
        <v/>
      </c>
      <c r="B3125" t="str">
        <f>IFERROR(SEARCH(#REF!,Table4[[#This Row],[Commodity Title]],1),"")</f>
        <v/>
      </c>
      <c r="C3125" s="35">
        <v>42294989</v>
      </c>
      <c r="D3125" s="33" t="s">
        <v>1495</v>
      </c>
      <c r="E3125" s="33" t="s">
        <v>1496</v>
      </c>
      <c r="F3125" s="33" t="s">
        <v>1497</v>
      </c>
      <c r="G3125" s="33" t="s">
        <v>7062</v>
      </c>
      <c r="H3125" s="33" t="s">
        <v>7063</v>
      </c>
      <c r="I3125" s="33" t="s">
        <v>7064</v>
      </c>
      <c r="J3125" s="33">
        <v>208444</v>
      </c>
      <c r="K3125" s="33" t="s">
        <v>7736</v>
      </c>
      <c r="L3125" s="33" t="s">
        <v>7737</v>
      </c>
      <c r="M3125" s="33" t="s">
        <v>7738</v>
      </c>
      <c r="N3125" s="44">
        <v>42294989</v>
      </c>
      <c r="O3125" s="33" t="s">
        <v>7885</v>
      </c>
      <c r="P3125" s="33" t="s">
        <v>7886</v>
      </c>
      <c r="Q3125" s="34" t="s">
        <v>1494</v>
      </c>
      <c r="R3125" s="34" t="s">
        <v>1494</v>
      </c>
    </row>
    <row r="3126" spans="1:18" ht="15" customHeight="1" x14ac:dyDescent="0.25">
      <c r="A3126" t="str">
        <f>IFERROR(RANK(B3126,$B:$B,1)+COUNTIF($B$1:B3125,B3126),"")</f>
        <v/>
      </c>
      <c r="B3126" t="str">
        <f>IFERROR(SEARCH(#REF!,Table4[[#This Row],[Commodity Title]],1),"")</f>
        <v/>
      </c>
      <c r="C3126" s="35">
        <v>42294990</v>
      </c>
      <c r="D3126" s="33" t="s">
        <v>1495</v>
      </c>
      <c r="E3126" s="33" t="s">
        <v>1496</v>
      </c>
      <c r="F3126" s="33" t="s">
        <v>1497</v>
      </c>
      <c r="G3126" s="33" t="s">
        <v>7062</v>
      </c>
      <c r="H3126" s="33" t="s">
        <v>7063</v>
      </c>
      <c r="I3126" s="33" t="s">
        <v>7064</v>
      </c>
      <c r="J3126" s="33">
        <v>208445</v>
      </c>
      <c r="K3126" s="33" t="s">
        <v>7736</v>
      </c>
      <c r="L3126" s="33" t="s">
        <v>7737</v>
      </c>
      <c r="M3126" s="33" t="s">
        <v>7738</v>
      </c>
      <c r="N3126" s="44">
        <v>42294990</v>
      </c>
      <c r="O3126" s="33" t="s">
        <v>7887</v>
      </c>
      <c r="P3126" s="33" t="s">
        <v>7888</v>
      </c>
      <c r="Q3126" s="34" t="s">
        <v>1494</v>
      </c>
      <c r="R3126" s="34" t="s">
        <v>1494</v>
      </c>
    </row>
    <row r="3127" spans="1:18" ht="15" customHeight="1" x14ac:dyDescent="0.25">
      <c r="A3127" t="str">
        <f>IFERROR(RANK(B3127,$B:$B,1)+COUNTIF($B$1:B3126,B3127),"")</f>
        <v/>
      </c>
      <c r="B3127" t="str">
        <f>IFERROR(SEARCH(#REF!,Table4[[#This Row],[Commodity Title]],1),"")</f>
        <v/>
      </c>
      <c r="C3127" s="35">
        <v>42294991</v>
      </c>
      <c r="D3127" s="33" t="s">
        <v>1495</v>
      </c>
      <c r="E3127" s="33" t="s">
        <v>1496</v>
      </c>
      <c r="F3127" s="33" t="s">
        <v>1497</v>
      </c>
      <c r="G3127" s="33" t="s">
        <v>7062</v>
      </c>
      <c r="H3127" s="33" t="s">
        <v>7063</v>
      </c>
      <c r="I3127" s="33" t="s">
        <v>7064</v>
      </c>
      <c r="J3127" s="33">
        <v>208446</v>
      </c>
      <c r="K3127" s="33" t="s">
        <v>7736</v>
      </c>
      <c r="L3127" s="33" t="s">
        <v>7737</v>
      </c>
      <c r="M3127" s="33" t="s">
        <v>7738</v>
      </c>
      <c r="N3127" s="44">
        <v>42294991</v>
      </c>
      <c r="O3127" s="33" t="s">
        <v>7889</v>
      </c>
      <c r="P3127" s="33" t="s">
        <v>7890</v>
      </c>
      <c r="Q3127" s="34" t="s">
        <v>1494</v>
      </c>
      <c r="R3127" s="34" t="s">
        <v>1494</v>
      </c>
    </row>
    <row r="3128" spans="1:18" ht="15" customHeight="1" x14ac:dyDescent="0.25">
      <c r="A3128" t="str">
        <f>IFERROR(RANK(B3128,$B:$B,1)+COUNTIF($B$1:B3127,B3128),"")</f>
        <v/>
      </c>
      <c r="B3128" t="str">
        <f>IFERROR(SEARCH(#REF!,Table4[[#This Row],[Commodity Title]],1),"")</f>
        <v/>
      </c>
      <c r="C3128" s="33" t="s">
        <v>1494</v>
      </c>
      <c r="D3128" s="33" t="s">
        <v>1495</v>
      </c>
      <c r="E3128" s="33" t="s">
        <v>1496</v>
      </c>
      <c r="F3128" s="33" t="s">
        <v>1497</v>
      </c>
      <c r="G3128" s="33" t="s">
        <v>7062</v>
      </c>
      <c r="H3128" s="33" t="s">
        <v>7063</v>
      </c>
      <c r="I3128" s="33" t="s">
        <v>7064</v>
      </c>
      <c r="J3128" s="33">
        <v>116371</v>
      </c>
      <c r="K3128" s="33" t="s">
        <v>7891</v>
      </c>
      <c r="L3128" s="33" t="s">
        <v>7892</v>
      </c>
      <c r="M3128" s="33" t="s">
        <v>7893</v>
      </c>
      <c r="N3128" s="44" t="s">
        <v>1494</v>
      </c>
      <c r="O3128" s="33" t="s">
        <v>1494</v>
      </c>
      <c r="P3128" s="33" t="s">
        <v>1494</v>
      </c>
      <c r="Q3128" s="34" t="s">
        <v>1494</v>
      </c>
      <c r="R3128" s="34" t="s">
        <v>1494</v>
      </c>
    </row>
    <row r="3129" spans="1:18" ht="15" customHeight="1" x14ac:dyDescent="0.25">
      <c r="A3129" t="str">
        <f>IFERROR(RANK(B3129,$B:$B,1)+COUNTIF($B$1:B3128,B3129),"")</f>
        <v/>
      </c>
      <c r="B3129" t="str">
        <f>IFERROR(SEARCH(#REF!,Table4[[#This Row],[Commodity Title]],1),"")</f>
        <v/>
      </c>
      <c r="C3129" s="35">
        <v>42295001</v>
      </c>
      <c r="D3129" s="33" t="s">
        <v>1495</v>
      </c>
      <c r="E3129" s="33" t="s">
        <v>1496</v>
      </c>
      <c r="F3129" s="33" t="s">
        <v>1497</v>
      </c>
      <c r="G3129" s="33" t="s">
        <v>7062</v>
      </c>
      <c r="H3129" s="33" t="s">
        <v>7063</v>
      </c>
      <c r="I3129" s="33" t="s">
        <v>7064</v>
      </c>
      <c r="J3129" s="33">
        <v>116372</v>
      </c>
      <c r="K3129" s="33" t="s">
        <v>7891</v>
      </c>
      <c r="L3129" s="33" t="s">
        <v>7892</v>
      </c>
      <c r="M3129" s="33" t="s">
        <v>7893</v>
      </c>
      <c r="N3129" s="44">
        <v>42295001</v>
      </c>
      <c r="O3129" s="33" t="s">
        <v>7894</v>
      </c>
      <c r="P3129" s="33" t="s">
        <v>7895</v>
      </c>
      <c r="Q3129" s="34" t="s">
        <v>1494</v>
      </c>
      <c r="R3129" s="34" t="s">
        <v>1494</v>
      </c>
    </row>
    <row r="3130" spans="1:18" ht="15" customHeight="1" x14ac:dyDescent="0.25">
      <c r="A3130" t="str">
        <f>IFERROR(RANK(B3130,$B:$B,1)+COUNTIF($B$1:B3129,B3130),"")</f>
        <v/>
      </c>
      <c r="B3130" t="str">
        <f>IFERROR(SEARCH(#REF!,Table4[[#This Row],[Commodity Title]],1),"")</f>
        <v/>
      </c>
      <c r="C3130" s="35">
        <v>42295002</v>
      </c>
      <c r="D3130" s="33" t="s">
        <v>1495</v>
      </c>
      <c r="E3130" s="33" t="s">
        <v>1496</v>
      </c>
      <c r="F3130" s="33" t="s">
        <v>1497</v>
      </c>
      <c r="G3130" s="33" t="s">
        <v>7062</v>
      </c>
      <c r="H3130" s="33" t="s">
        <v>7063</v>
      </c>
      <c r="I3130" s="33" t="s">
        <v>7064</v>
      </c>
      <c r="J3130" s="33">
        <v>116373</v>
      </c>
      <c r="K3130" s="33" t="s">
        <v>7891</v>
      </c>
      <c r="L3130" s="33" t="s">
        <v>7892</v>
      </c>
      <c r="M3130" s="33" t="s">
        <v>7893</v>
      </c>
      <c r="N3130" s="44">
        <v>42295002</v>
      </c>
      <c r="O3130" s="33" t="s">
        <v>7896</v>
      </c>
      <c r="P3130" s="33" t="s">
        <v>7897</v>
      </c>
      <c r="Q3130" s="34" t="s">
        <v>1494</v>
      </c>
      <c r="R3130" s="34" t="s">
        <v>1494</v>
      </c>
    </row>
    <row r="3131" spans="1:18" ht="15" customHeight="1" x14ac:dyDescent="0.25">
      <c r="A3131" t="str">
        <f>IFERROR(RANK(B3131,$B:$B,1)+COUNTIF($B$1:B3130,B3131),"")</f>
        <v/>
      </c>
      <c r="B3131" t="str">
        <f>IFERROR(SEARCH(#REF!,Table4[[#This Row],[Commodity Title]],1),"")</f>
        <v/>
      </c>
      <c r="C3131" s="35">
        <v>42295003</v>
      </c>
      <c r="D3131" s="33" t="s">
        <v>1495</v>
      </c>
      <c r="E3131" s="33" t="s">
        <v>1496</v>
      </c>
      <c r="F3131" s="33" t="s">
        <v>1497</v>
      </c>
      <c r="G3131" s="33" t="s">
        <v>7062</v>
      </c>
      <c r="H3131" s="33" t="s">
        <v>7063</v>
      </c>
      <c r="I3131" s="33" t="s">
        <v>7064</v>
      </c>
      <c r="J3131" s="33">
        <v>116374</v>
      </c>
      <c r="K3131" s="33" t="s">
        <v>7891</v>
      </c>
      <c r="L3131" s="33" t="s">
        <v>7892</v>
      </c>
      <c r="M3131" s="33" t="s">
        <v>7893</v>
      </c>
      <c r="N3131" s="44">
        <v>42295003</v>
      </c>
      <c r="O3131" s="33" t="s">
        <v>7898</v>
      </c>
      <c r="P3131" s="33" t="s">
        <v>7899</v>
      </c>
      <c r="Q3131" s="34" t="s">
        <v>1494</v>
      </c>
      <c r="R3131" s="34" t="s">
        <v>1494</v>
      </c>
    </row>
    <row r="3132" spans="1:18" ht="15" customHeight="1" x14ac:dyDescent="0.25">
      <c r="A3132" t="str">
        <f>IFERROR(RANK(B3132,$B:$B,1)+COUNTIF($B$1:B3131,B3132),"")</f>
        <v/>
      </c>
      <c r="B3132" t="str">
        <f>IFERROR(SEARCH(#REF!,Table4[[#This Row],[Commodity Title]],1),"")</f>
        <v/>
      </c>
      <c r="C3132" s="35">
        <v>42295004</v>
      </c>
      <c r="D3132" s="33" t="s">
        <v>1495</v>
      </c>
      <c r="E3132" s="33" t="s">
        <v>1496</v>
      </c>
      <c r="F3132" s="33" t="s">
        <v>1497</v>
      </c>
      <c r="G3132" s="33" t="s">
        <v>7062</v>
      </c>
      <c r="H3132" s="33" t="s">
        <v>7063</v>
      </c>
      <c r="I3132" s="33" t="s">
        <v>7064</v>
      </c>
      <c r="J3132" s="33">
        <v>116375</v>
      </c>
      <c r="K3132" s="33" t="s">
        <v>7891</v>
      </c>
      <c r="L3132" s="33" t="s">
        <v>7892</v>
      </c>
      <c r="M3132" s="33" t="s">
        <v>7893</v>
      </c>
      <c r="N3132" s="44">
        <v>42295004</v>
      </c>
      <c r="O3132" s="33" t="s">
        <v>7900</v>
      </c>
      <c r="P3132" s="33" t="s">
        <v>7901</v>
      </c>
      <c r="Q3132" s="34" t="s">
        <v>1494</v>
      </c>
      <c r="R3132" s="34" t="s">
        <v>1494</v>
      </c>
    </row>
    <row r="3133" spans="1:18" ht="15" customHeight="1" x14ac:dyDescent="0.25">
      <c r="A3133" t="str">
        <f>IFERROR(RANK(B3133,$B:$B,1)+COUNTIF($B$1:B3132,B3133),"")</f>
        <v/>
      </c>
      <c r="B3133" t="str">
        <f>IFERROR(SEARCH(#REF!,Table4[[#This Row],[Commodity Title]],1),"")</f>
        <v/>
      </c>
      <c r="C3133" s="35">
        <v>42295005</v>
      </c>
      <c r="D3133" s="33" t="s">
        <v>1495</v>
      </c>
      <c r="E3133" s="33" t="s">
        <v>1496</v>
      </c>
      <c r="F3133" s="33" t="s">
        <v>1497</v>
      </c>
      <c r="G3133" s="33" t="s">
        <v>7062</v>
      </c>
      <c r="H3133" s="33" t="s">
        <v>7063</v>
      </c>
      <c r="I3133" s="33" t="s">
        <v>7064</v>
      </c>
      <c r="J3133" s="33">
        <v>116376</v>
      </c>
      <c r="K3133" s="33" t="s">
        <v>7891</v>
      </c>
      <c r="L3133" s="33" t="s">
        <v>7892</v>
      </c>
      <c r="M3133" s="33" t="s">
        <v>7893</v>
      </c>
      <c r="N3133" s="44">
        <v>42295005</v>
      </c>
      <c r="O3133" s="33" t="s">
        <v>7902</v>
      </c>
      <c r="P3133" s="33" t="s">
        <v>7903</v>
      </c>
      <c r="Q3133" s="34" t="s">
        <v>1494</v>
      </c>
      <c r="R3133" s="34" t="s">
        <v>1494</v>
      </c>
    </row>
    <row r="3134" spans="1:18" ht="15" customHeight="1" x14ac:dyDescent="0.25">
      <c r="A3134" t="str">
        <f>IFERROR(RANK(B3134,$B:$B,1)+COUNTIF($B$1:B3133,B3134),"")</f>
        <v/>
      </c>
      <c r="B3134" t="str">
        <f>IFERROR(SEARCH(#REF!,Table4[[#This Row],[Commodity Title]],1),"")</f>
        <v/>
      </c>
      <c r="C3134" s="35">
        <v>42295006</v>
      </c>
      <c r="D3134" s="33" t="s">
        <v>1495</v>
      </c>
      <c r="E3134" s="33" t="s">
        <v>1496</v>
      </c>
      <c r="F3134" s="33" t="s">
        <v>1497</v>
      </c>
      <c r="G3134" s="33" t="s">
        <v>7062</v>
      </c>
      <c r="H3134" s="33" t="s">
        <v>7063</v>
      </c>
      <c r="I3134" s="33" t="s">
        <v>7064</v>
      </c>
      <c r="J3134" s="33">
        <v>116377</v>
      </c>
      <c r="K3134" s="33" t="s">
        <v>7891</v>
      </c>
      <c r="L3134" s="33" t="s">
        <v>7892</v>
      </c>
      <c r="M3134" s="33" t="s">
        <v>7893</v>
      </c>
      <c r="N3134" s="44">
        <v>42295006</v>
      </c>
      <c r="O3134" s="33" t="s">
        <v>7904</v>
      </c>
      <c r="P3134" s="33" t="s">
        <v>7905</v>
      </c>
      <c r="Q3134" s="34" t="s">
        <v>1494</v>
      </c>
      <c r="R3134" s="34" t="s">
        <v>1494</v>
      </c>
    </row>
    <row r="3135" spans="1:18" ht="15" customHeight="1" x14ac:dyDescent="0.25">
      <c r="A3135" t="str">
        <f>IFERROR(RANK(B3135,$B:$B,1)+COUNTIF($B$1:B3134,B3135),"")</f>
        <v/>
      </c>
      <c r="B3135" t="str">
        <f>IFERROR(SEARCH(#REF!,Table4[[#This Row],[Commodity Title]],1),"")</f>
        <v/>
      </c>
      <c r="C3135" s="35">
        <v>42295013</v>
      </c>
      <c r="D3135" s="33" t="s">
        <v>1495</v>
      </c>
      <c r="E3135" s="33" t="s">
        <v>1496</v>
      </c>
      <c r="F3135" s="33" t="s">
        <v>1497</v>
      </c>
      <c r="G3135" s="33" t="s">
        <v>7062</v>
      </c>
      <c r="H3135" s="33" t="s">
        <v>7063</v>
      </c>
      <c r="I3135" s="33" t="s">
        <v>7064</v>
      </c>
      <c r="J3135" s="33">
        <v>142826</v>
      </c>
      <c r="K3135" s="33" t="s">
        <v>7891</v>
      </c>
      <c r="L3135" s="33" t="s">
        <v>7892</v>
      </c>
      <c r="M3135" s="33" t="s">
        <v>7893</v>
      </c>
      <c r="N3135" s="44">
        <v>42295013</v>
      </c>
      <c r="O3135" s="33" t="s">
        <v>7906</v>
      </c>
      <c r="P3135" s="33" t="s">
        <v>7907</v>
      </c>
      <c r="Q3135" s="34" t="s">
        <v>1494</v>
      </c>
      <c r="R3135" s="34" t="s">
        <v>1494</v>
      </c>
    </row>
    <row r="3136" spans="1:18" ht="15" customHeight="1" x14ac:dyDescent="0.25">
      <c r="A3136" t="str">
        <f>IFERROR(RANK(B3136,$B:$B,1)+COUNTIF($B$1:B3135,B3136),"")</f>
        <v/>
      </c>
      <c r="B3136" t="str">
        <f>IFERROR(SEARCH(#REF!,Table4[[#This Row],[Commodity Title]],1),"")</f>
        <v/>
      </c>
      <c r="C3136" s="35">
        <v>42295014</v>
      </c>
      <c r="D3136" s="33" t="s">
        <v>1495</v>
      </c>
      <c r="E3136" s="33" t="s">
        <v>1496</v>
      </c>
      <c r="F3136" s="33" t="s">
        <v>1497</v>
      </c>
      <c r="G3136" s="33" t="s">
        <v>7062</v>
      </c>
      <c r="H3136" s="33" t="s">
        <v>7063</v>
      </c>
      <c r="I3136" s="33" t="s">
        <v>7064</v>
      </c>
      <c r="J3136" s="33">
        <v>142827</v>
      </c>
      <c r="K3136" s="33" t="s">
        <v>7891</v>
      </c>
      <c r="L3136" s="33" t="s">
        <v>7892</v>
      </c>
      <c r="M3136" s="33" t="s">
        <v>7893</v>
      </c>
      <c r="N3136" s="44">
        <v>42295014</v>
      </c>
      <c r="O3136" s="33" t="s">
        <v>7908</v>
      </c>
      <c r="P3136" s="33" t="s">
        <v>7909</v>
      </c>
      <c r="Q3136" s="34" t="s">
        <v>1494</v>
      </c>
      <c r="R3136" s="34" t="s">
        <v>1494</v>
      </c>
    </row>
    <row r="3137" spans="1:18" ht="15" customHeight="1" x14ac:dyDescent="0.25">
      <c r="A3137" t="str">
        <f>IFERROR(RANK(B3137,$B:$B,1)+COUNTIF($B$1:B3136,B3137),"")</f>
        <v/>
      </c>
      <c r="B3137" t="str">
        <f>IFERROR(SEARCH(#REF!,Table4[[#This Row],[Commodity Title]],1),"")</f>
        <v/>
      </c>
      <c r="C3137" s="35">
        <v>42295015</v>
      </c>
      <c r="D3137" s="33" t="s">
        <v>1495</v>
      </c>
      <c r="E3137" s="33" t="s">
        <v>1496</v>
      </c>
      <c r="F3137" s="33" t="s">
        <v>1497</v>
      </c>
      <c r="G3137" s="33" t="s">
        <v>7062</v>
      </c>
      <c r="H3137" s="33" t="s">
        <v>7063</v>
      </c>
      <c r="I3137" s="33" t="s">
        <v>7064</v>
      </c>
      <c r="J3137" s="33">
        <v>142828</v>
      </c>
      <c r="K3137" s="33" t="s">
        <v>7891</v>
      </c>
      <c r="L3137" s="33" t="s">
        <v>7892</v>
      </c>
      <c r="M3137" s="33" t="s">
        <v>7893</v>
      </c>
      <c r="N3137" s="44">
        <v>42295015</v>
      </c>
      <c r="O3137" s="33" t="s">
        <v>7910</v>
      </c>
      <c r="P3137" s="33" t="s">
        <v>7911</v>
      </c>
      <c r="Q3137" s="34" t="s">
        <v>1494</v>
      </c>
      <c r="R3137" s="34" t="s">
        <v>1494</v>
      </c>
    </row>
    <row r="3138" spans="1:18" ht="15" customHeight="1" x14ac:dyDescent="0.25">
      <c r="A3138" t="str">
        <f>IFERROR(RANK(B3138,$B:$B,1)+COUNTIF($B$1:B3137,B3138),"")</f>
        <v/>
      </c>
      <c r="B3138" t="str">
        <f>IFERROR(SEARCH(#REF!,Table4[[#This Row],[Commodity Title]],1),"")</f>
        <v/>
      </c>
      <c r="C3138" s="35">
        <v>42295016</v>
      </c>
      <c r="D3138" s="33" t="s">
        <v>1495</v>
      </c>
      <c r="E3138" s="33" t="s">
        <v>1496</v>
      </c>
      <c r="F3138" s="33" t="s">
        <v>1497</v>
      </c>
      <c r="G3138" s="33" t="s">
        <v>7062</v>
      </c>
      <c r="H3138" s="33" t="s">
        <v>7063</v>
      </c>
      <c r="I3138" s="33" t="s">
        <v>7064</v>
      </c>
      <c r="J3138" s="33">
        <v>150703</v>
      </c>
      <c r="K3138" s="33" t="s">
        <v>7891</v>
      </c>
      <c r="L3138" s="33" t="s">
        <v>7892</v>
      </c>
      <c r="M3138" s="33" t="s">
        <v>7893</v>
      </c>
      <c r="N3138" s="44">
        <v>42295016</v>
      </c>
      <c r="O3138" s="33" t="s">
        <v>7912</v>
      </c>
      <c r="P3138" s="33" t="s">
        <v>7913</v>
      </c>
      <c r="Q3138" s="34" t="s">
        <v>1494</v>
      </c>
      <c r="R3138" s="34" t="s">
        <v>1494</v>
      </c>
    </row>
    <row r="3139" spans="1:18" ht="15" customHeight="1" x14ac:dyDescent="0.25">
      <c r="A3139" t="str">
        <f>IFERROR(RANK(B3139,$B:$B,1)+COUNTIF($B$1:B3138,B3139),"")</f>
        <v/>
      </c>
      <c r="B3139" t="str">
        <f>IFERROR(SEARCH(#REF!,Table4[[#This Row],[Commodity Title]],1),"")</f>
        <v/>
      </c>
      <c r="C3139" s="35">
        <v>42295017</v>
      </c>
      <c r="D3139" s="33" t="s">
        <v>1495</v>
      </c>
      <c r="E3139" s="33" t="s">
        <v>1496</v>
      </c>
      <c r="F3139" s="33" t="s">
        <v>1497</v>
      </c>
      <c r="G3139" s="33" t="s">
        <v>7062</v>
      </c>
      <c r="H3139" s="33" t="s">
        <v>7063</v>
      </c>
      <c r="I3139" s="33" t="s">
        <v>7064</v>
      </c>
      <c r="J3139" s="33">
        <v>208447</v>
      </c>
      <c r="K3139" s="33" t="s">
        <v>7891</v>
      </c>
      <c r="L3139" s="33" t="s">
        <v>7892</v>
      </c>
      <c r="M3139" s="33" t="s">
        <v>7893</v>
      </c>
      <c r="N3139" s="44">
        <v>42295017</v>
      </c>
      <c r="O3139" s="33" t="s">
        <v>7914</v>
      </c>
      <c r="P3139" s="33" t="s">
        <v>7915</v>
      </c>
      <c r="Q3139" s="34" t="s">
        <v>1494</v>
      </c>
      <c r="R3139" s="34" t="s">
        <v>1494</v>
      </c>
    </row>
    <row r="3140" spans="1:18" ht="15" customHeight="1" x14ac:dyDescent="0.25">
      <c r="A3140" t="str">
        <f>IFERROR(RANK(B3140,$B:$B,1)+COUNTIF($B$1:B3139,B3140),"")</f>
        <v/>
      </c>
      <c r="B3140" t="str">
        <f>IFERROR(SEARCH(#REF!,Table4[[#This Row],[Commodity Title]],1),"")</f>
        <v/>
      </c>
      <c r="C3140" s="35">
        <v>42295018</v>
      </c>
      <c r="D3140" s="33" t="s">
        <v>1495</v>
      </c>
      <c r="E3140" s="33" t="s">
        <v>1496</v>
      </c>
      <c r="F3140" s="33" t="s">
        <v>1497</v>
      </c>
      <c r="G3140" s="33" t="s">
        <v>7062</v>
      </c>
      <c r="H3140" s="33" t="s">
        <v>7063</v>
      </c>
      <c r="I3140" s="33" t="s">
        <v>7064</v>
      </c>
      <c r="J3140" s="33">
        <v>208448</v>
      </c>
      <c r="K3140" s="33" t="s">
        <v>7891</v>
      </c>
      <c r="L3140" s="33" t="s">
        <v>7892</v>
      </c>
      <c r="M3140" s="33" t="s">
        <v>7893</v>
      </c>
      <c r="N3140" s="44">
        <v>42295018</v>
      </c>
      <c r="O3140" s="33" t="s">
        <v>7916</v>
      </c>
      <c r="P3140" s="33" t="s">
        <v>7917</v>
      </c>
      <c r="Q3140" s="34" t="s">
        <v>1494</v>
      </c>
      <c r="R3140" s="34" t="s">
        <v>1494</v>
      </c>
    </row>
    <row r="3141" spans="1:18" ht="15" customHeight="1" x14ac:dyDescent="0.25">
      <c r="A3141" t="str">
        <f>IFERROR(RANK(B3141,$B:$B,1)+COUNTIF($B$1:B3140,B3141),"")</f>
        <v/>
      </c>
      <c r="B3141" t="str">
        <f>IFERROR(SEARCH(#REF!,Table4[[#This Row],[Commodity Title]],1),"")</f>
        <v/>
      </c>
      <c r="C3141" s="35">
        <v>42295019</v>
      </c>
      <c r="D3141" s="33" t="s">
        <v>1495</v>
      </c>
      <c r="E3141" s="33" t="s">
        <v>1496</v>
      </c>
      <c r="F3141" s="33" t="s">
        <v>1497</v>
      </c>
      <c r="G3141" s="33" t="s">
        <v>7062</v>
      </c>
      <c r="H3141" s="33" t="s">
        <v>7063</v>
      </c>
      <c r="I3141" s="33" t="s">
        <v>7064</v>
      </c>
      <c r="J3141" s="33">
        <v>208449</v>
      </c>
      <c r="K3141" s="33" t="s">
        <v>7891</v>
      </c>
      <c r="L3141" s="33" t="s">
        <v>7892</v>
      </c>
      <c r="M3141" s="33" t="s">
        <v>7893</v>
      </c>
      <c r="N3141" s="44">
        <v>42295019</v>
      </c>
      <c r="O3141" s="33" t="s">
        <v>7918</v>
      </c>
      <c r="P3141" s="33" t="s">
        <v>7919</v>
      </c>
      <c r="Q3141" s="34" t="s">
        <v>1494</v>
      </c>
      <c r="R3141" s="34" t="s">
        <v>1494</v>
      </c>
    </row>
    <row r="3142" spans="1:18" ht="15" customHeight="1" x14ac:dyDescent="0.25">
      <c r="A3142" t="str">
        <f>IFERROR(RANK(B3142,$B:$B,1)+COUNTIF($B$1:B3141,B3142),"")</f>
        <v/>
      </c>
      <c r="B3142" t="str">
        <f>IFERROR(SEARCH(#REF!,Table4[[#This Row],[Commodity Title]],1),"")</f>
        <v/>
      </c>
      <c r="C3142" s="35">
        <v>42295020</v>
      </c>
      <c r="D3142" s="33" t="s">
        <v>1495</v>
      </c>
      <c r="E3142" s="33" t="s">
        <v>1496</v>
      </c>
      <c r="F3142" s="33" t="s">
        <v>1497</v>
      </c>
      <c r="G3142" s="33" t="s">
        <v>7062</v>
      </c>
      <c r="H3142" s="33" t="s">
        <v>7063</v>
      </c>
      <c r="I3142" s="33" t="s">
        <v>7064</v>
      </c>
      <c r="J3142" s="33">
        <v>208450</v>
      </c>
      <c r="K3142" s="33" t="s">
        <v>7891</v>
      </c>
      <c r="L3142" s="33" t="s">
        <v>7892</v>
      </c>
      <c r="M3142" s="33" t="s">
        <v>7893</v>
      </c>
      <c r="N3142" s="44">
        <v>42295020</v>
      </c>
      <c r="O3142" s="33" t="s">
        <v>7920</v>
      </c>
      <c r="P3142" s="33" t="s">
        <v>7921</v>
      </c>
      <c r="Q3142" s="34" t="s">
        <v>1494</v>
      </c>
      <c r="R3142" s="34" t="s">
        <v>1494</v>
      </c>
    </row>
    <row r="3143" spans="1:18" ht="15" customHeight="1" x14ac:dyDescent="0.25">
      <c r="A3143" t="str">
        <f>IFERROR(RANK(B3143,$B:$B,1)+COUNTIF($B$1:B3142,B3143),"")</f>
        <v/>
      </c>
      <c r="B3143" t="str">
        <f>IFERROR(SEARCH(#REF!,Table4[[#This Row],[Commodity Title]],1),"")</f>
        <v/>
      </c>
      <c r="C3143" s="35">
        <v>42295021</v>
      </c>
      <c r="D3143" s="33" t="s">
        <v>1495</v>
      </c>
      <c r="E3143" s="33" t="s">
        <v>1496</v>
      </c>
      <c r="F3143" s="33" t="s">
        <v>1497</v>
      </c>
      <c r="G3143" s="33" t="s">
        <v>7062</v>
      </c>
      <c r="H3143" s="33" t="s">
        <v>7063</v>
      </c>
      <c r="I3143" s="33" t="s">
        <v>7064</v>
      </c>
      <c r="J3143" s="33">
        <v>208451</v>
      </c>
      <c r="K3143" s="33" t="s">
        <v>7891</v>
      </c>
      <c r="L3143" s="33" t="s">
        <v>7892</v>
      </c>
      <c r="M3143" s="33" t="s">
        <v>7893</v>
      </c>
      <c r="N3143" s="44">
        <v>42295021</v>
      </c>
      <c r="O3143" s="33" t="s">
        <v>7922</v>
      </c>
      <c r="P3143" s="33" t="s">
        <v>7923</v>
      </c>
      <c r="Q3143" s="34" t="s">
        <v>1494</v>
      </c>
      <c r="R3143" s="34" t="s">
        <v>1494</v>
      </c>
    </row>
    <row r="3144" spans="1:18" ht="15" customHeight="1" x14ac:dyDescent="0.25">
      <c r="A3144" t="str">
        <f>IFERROR(RANK(B3144,$B:$B,1)+COUNTIF($B$1:B3143,B3144),"")</f>
        <v/>
      </c>
      <c r="B3144" t="str">
        <f>IFERROR(SEARCH(#REF!,Table4[[#This Row],[Commodity Title]],1),"")</f>
        <v/>
      </c>
      <c r="C3144" s="33" t="s">
        <v>1494</v>
      </c>
      <c r="D3144" s="33" t="s">
        <v>1495</v>
      </c>
      <c r="E3144" s="33" t="s">
        <v>1496</v>
      </c>
      <c r="F3144" s="33" t="s">
        <v>1497</v>
      </c>
      <c r="G3144" s="33" t="s">
        <v>7062</v>
      </c>
      <c r="H3144" s="33" t="s">
        <v>7063</v>
      </c>
      <c r="I3144" s="33" t="s">
        <v>7064</v>
      </c>
      <c r="J3144" s="33">
        <v>116384</v>
      </c>
      <c r="K3144" s="33" t="s">
        <v>7924</v>
      </c>
      <c r="L3144" s="33" t="s">
        <v>7925</v>
      </c>
      <c r="M3144" s="33" t="s">
        <v>7926</v>
      </c>
      <c r="N3144" s="44" t="s">
        <v>1494</v>
      </c>
      <c r="O3144" s="33" t="s">
        <v>1494</v>
      </c>
      <c r="P3144" s="33" t="s">
        <v>1494</v>
      </c>
      <c r="Q3144" s="34" t="s">
        <v>1494</v>
      </c>
      <c r="R3144" s="34" t="s">
        <v>1494</v>
      </c>
    </row>
    <row r="3145" spans="1:18" ht="15" customHeight="1" x14ac:dyDescent="0.25">
      <c r="A3145" t="str">
        <f>IFERROR(RANK(B3145,$B:$B,1)+COUNTIF($B$1:B3144,B3145),"")</f>
        <v/>
      </c>
      <c r="B3145" t="str">
        <f>IFERROR(SEARCH(#REF!,Table4[[#This Row],[Commodity Title]],1),"")</f>
        <v/>
      </c>
      <c r="C3145" s="35">
        <v>42295101</v>
      </c>
      <c r="D3145" s="33" t="s">
        <v>1495</v>
      </c>
      <c r="E3145" s="33" t="s">
        <v>1496</v>
      </c>
      <c r="F3145" s="33" t="s">
        <v>1497</v>
      </c>
      <c r="G3145" s="33" t="s">
        <v>7062</v>
      </c>
      <c r="H3145" s="33" t="s">
        <v>7063</v>
      </c>
      <c r="I3145" s="33" t="s">
        <v>7064</v>
      </c>
      <c r="J3145" s="33">
        <v>116385</v>
      </c>
      <c r="K3145" s="33" t="s">
        <v>7924</v>
      </c>
      <c r="L3145" s="33" t="s">
        <v>7925</v>
      </c>
      <c r="M3145" s="33" t="s">
        <v>7926</v>
      </c>
      <c r="N3145" s="44">
        <v>42295101</v>
      </c>
      <c r="O3145" s="33" t="s">
        <v>7927</v>
      </c>
      <c r="P3145" s="33" t="s">
        <v>7928</v>
      </c>
      <c r="Q3145" s="34" t="s">
        <v>1494</v>
      </c>
      <c r="R3145" s="34" t="s">
        <v>1494</v>
      </c>
    </row>
    <row r="3146" spans="1:18" ht="15" customHeight="1" x14ac:dyDescent="0.25">
      <c r="A3146" t="str">
        <f>IFERROR(RANK(B3146,$B:$B,1)+COUNTIF($B$1:B3145,B3146),"")</f>
        <v/>
      </c>
      <c r="B3146" t="str">
        <f>IFERROR(SEARCH(#REF!,Table4[[#This Row],[Commodity Title]],1),"")</f>
        <v/>
      </c>
      <c r="C3146" s="35">
        <v>42295102</v>
      </c>
      <c r="D3146" s="33" t="s">
        <v>1495</v>
      </c>
      <c r="E3146" s="33" t="s">
        <v>1496</v>
      </c>
      <c r="F3146" s="33" t="s">
        <v>1497</v>
      </c>
      <c r="G3146" s="33" t="s">
        <v>7062</v>
      </c>
      <c r="H3146" s="33" t="s">
        <v>7063</v>
      </c>
      <c r="I3146" s="33" t="s">
        <v>7064</v>
      </c>
      <c r="J3146" s="33">
        <v>104364</v>
      </c>
      <c r="K3146" s="33" t="s">
        <v>7924</v>
      </c>
      <c r="L3146" s="33" t="s">
        <v>7925</v>
      </c>
      <c r="M3146" s="33" t="s">
        <v>7926</v>
      </c>
      <c r="N3146" s="44">
        <v>42295102</v>
      </c>
      <c r="O3146" s="33" t="s">
        <v>7929</v>
      </c>
      <c r="P3146" s="33" t="s">
        <v>7930</v>
      </c>
      <c r="Q3146" s="34" t="s">
        <v>1494</v>
      </c>
      <c r="R3146" s="34" t="s">
        <v>1494</v>
      </c>
    </row>
    <row r="3147" spans="1:18" ht="15" customHeight="1" x14ac:dyDescent="0.25">
      <c r="A3147" t="str">
        <f>IFERROR(RANK(B3147,$B:$B,1)+COUNTIF($B$1:B3146,B3147),"")</f>
        <v/>
      </c>
      <c r="B3147" t="str">
        <f>IFERROR(SEARCH(#REF!,Table4[[#This Row],[Commodity Title]],1),"")</f>
        <v/>
      </c>
      <c r="C3147" s="35">
        <v>42295103</v>
      </c>
      <c r="D3147" s="33" t="s">
        <v>1495</v>
      </c>
      <c r="E3147" s="33" t="s">
        <v>1496</v>
      </c>
      <c r="F3147" s="33" t="s">
        <v>1497</v>
      </c>
      <c r="G3147" s="33" t="s">
        <v>7062</v>
      </c>
      <c r="H3147" s="33" t="s">
        <v>7063</v>
      </c>
      <c r="I3147" s="33" t="s">
        <v>7064</v>
      </c>
      <c r="J3147" s="33">
        <v>116387</v>
      </c>
      <c r="K3147" s="33" t="s">
        <v>7924</v>
      </c>
      <c r="L3147" s="33" t="s">
        <v>7925</v>
      </c>
      <c r="M3147" s="33" t="s">
        <v>7926</v>
      </c>
      <c r="N3147" s="44">
        <v>42295103</v>
      </c>
      <c r="O3147" s="33" t="s">
        <v>7931</v>
      </c>
      <c r="P3147" s="33" t="s">
        <v>7932</v>
      </c>
      <c r="Q3147" s="34" t="s">
        <v>1494</v>
      </c>
      <c r="R3147" s="34" t="s">
        <v>1494</v>
      </c>
    </row>
    <row r="3148" spans="1:18" ht="15" customHeight="1" x14ac:dyDescent="0.25">
      <c r="A3148" t="str">
        <f>IFERROR(RANK(B3148,$B:$B,1)+COUNTIF($B$1:B3147,B3148),"")</f>
        <v/>
      </c>
      <c r="B3148" t="str">
        <f>IFERROR(SEARCH(#REF!,Table4[[#This Row],[Commodity Title]],1),"")</f>
        <v/>
      </c>
      <c r="C3148" s="35">
        <v>42295104</v>
      </c>
      <c r="D3148" s="33" t="s">
        <v>1495</v>
      </c>
      <c r="E3148" s="33" t="s">
        <v>1496</v>
      </c>
      <c r="F3148" s="33" t="s">
        <v>1497</v>
      </c>
      <c r="G3148" s="33" t="s">
        <v>7062</v>
      </c>
      <c r="H3148" s="33" t="s">
        <v>7063</v>
      </c>
      <c r="I3148" s="33" t="s">
        <v>7064</v>
      </c>
      <c r="J3148" s="33">
        <v>116388</v>
      </c>
      <c r="K3148" s="33" t="s">
        <v>7924</v>
      </c>
      <c r="L3148" s="33" t="s">
        <v>7925</v>
      </c>
      <c r="M3148" s="33" t="s">
        <v>7926</v>
      </c>
      <c r="N3148" s="44">
        <v>42295104</v>
      </c>
      <c r="O3148" s="33" t="s">
        <v>10</v>
      </c>
      <c r="P3148" s="33" t="s">
        <v>7933</v>
      </c>
      <c r="Q3148" s="34" t="s">
        <v>1494</v>
      </c>
      <c r="R3148" s="34" t="s">
        <v>1494</v>
      </c>
    </row>
    <row r="3149" spans="1:18" ht="15" customHeight="1" x14ac:dyDescent="0.25">
      <c r="A3149" t="str">
        <f>IFERROR(RANK(B3149,$B:$B,1)+COUNTIF($B$1:B3148,B3149),"")</f>
        <v/>
      </c>
      <c r="B3149" t="str">
        <f>IFERROR(SEARCH(#REF!,Table4[[#This Row],[Commodity Title]],1),"")</f>
        <v/>
      </c>
      <c r="C3149" s="35">
        <v>42295105</v>
      </c>
      <c r="D3149" s="33" t="s">
        <v>1495</v>
      </c>
      <c r="E3149" s="33" t="s">
        <v>1496</v>
      </c>
      <c r="F3149" s="33" t="s">
        <v>1497</v>
      </c>
      <c r="G3149" s="33" t="s">
        <v>7062</v>
      </c>
      <c r="H3149" s="33" t="s">
        <v>7063</v>
      </c>
      <c r="I3149" s="33" t="s">
        <v>7064</v>
      </c>
      <c r="J3149" s="33">
        <v>116389</v>
      </c>
      <c r="K3149" s="33" t="s">
        <v>7924</v>
      </c>
      <c r="L3149" s="33" t="s">
        <v>7925</v>
      </c>
      <c r="M3149" s="33" t="s">
        <v>7926</v>
      </c>
      <c r="N3149" s="44">
        <v>42295105</v>
      </c>
      <c r="O3149" s="33" t="s">
        <v>7934</v>
      </c>
      <c r="P3149" s="33" t="s">
        <v>7935</v>
      </c>
      <c r="Q3149" s="34" t="s">
        <v>1494</v>
      </c>
      <c r="R3149" s="34" t="s">
        <v>1494</v>
      </c>
    </row>
    <row r="3150" spans="1:18" ht="15" customHeight="1" x14ac:dyDescent="0.25">
      <c r="A3150" t="str">
        <f>IFERROR(RANK(B3150,$B:$B,1)+COUNTIF($B$1:B3149,B3150),"")</f>
        <v/>
      </c>
      <c r="B3150" t="str">
        <f>IFERROR(SEARCH(#REF!,Table4[[#This Row],[Commodity Title]],1),"")</f>
        <v/>
      </c>
      <c r="C3150" s="35">
        <v>42295106</v>
      </c>
      <c r="D3150" s="33" t="s">
        <v>1495</v>
      </c>
      <c r="E3150" s="33" t="s">
        <v>1496</v>
      </c>
      <c r="F3150" s="33" t="s">
        <v>1497</v>
      </c>
      <c r="G3150" s="33" t="s">
        <v>7062</v>
      </c>
      <c r="H3150" s="33" t="s">
        <v>7063</v>
      </c>
      <c r="I3150" s="33" t="s">
        <v>7064</v>
      </c>
      <c r="J3150" s="33">
        <v>116390</v>
      </c>
      <c r="K3150" s="33" t="s">
        <v>7924</v>
      </c>
      <c r="L3150" s="33" t="s">
        <v>7925</v>
      </c>
      <c r="M3150" s="33" t="s">
        <v>7926</v>
      </c>
      <c r="N3150" s="44">
        <v>42295106</v>
      </c>
      <c r="O3150" s="33" t="s">
        <v>7936</v>
      </c>
      <c r="P3150" s="33" t="s">
        <v>7937</v>
      </c>
      <c r="Q3150" s="34" t="s">
        <v>1494</v>
      </c>
      <c r="R3150" s="34" t="s">
        <v>1494</v>
      </c>
    </row>
    <row r="3151" spans="1:18" ht="15" customHeight="1" x14ac:dyDescent="0.25">
      <c r="A3151" t="str">
        <f>IFERROR(RANK(B3151,$B:$B,1)+COUNTIF($B$1:B3150,B3151),"")</f>
        <v/>
      </c>
      <c r="B3151" t="str">
        <f>IFERROR(SEARCH(#REF!,Table4[[#This Row],[Commodity Title]],1),"")</f>
        <v/>
      </c>
      <c r="C3151" s="35">
        <v>42295107</v>
      </c>
      <c r="D3151" s="33" t="s">
        <v>1495</v>
      </c>
      <c r="E3151" s="33" t="s">
        <v>1496</v>
      </c>
      <c r="F3151" s="33" t="s">
        <v>1497</v>
      </c>
      <c r="G3151" s="33" t="s">
        <v>7062</v>
      </c>
      <c r="H3151" s="33" t="s">
        <v>7063</v>
      </c>
      <c r="I3151" s="33" t="s">
        <v>7064</v>
      </c>
      <c r="J3151" s="33">
        <v>116391</v>
      </c>
      <c r="K3151" s="33" t="s">
        <v>7924</v>
      </c>
      <c r="L3151" s="33" t="s">
        <v>7925</v>
      </c>
      <c r="M3151" s="33" t="s">
        <v>7926</v>
      </c>
      <c r="N3151" s="44">
        <v>42295107</v>
      </c>
      <c r="O3151" s="33" t="s">
        <v>7938</v>
      </c>
      <c r="P3151" s="33" t="s">
        <v>7939</v>
      </c>
      <c r="Q3151" s="34" t="s">
        <v>1494</v>
      </c>
      <c r="R3151" s="34" t="s">
        <v>1494</v>
      </c>
    </row>
    <row r="3152" spans="1:18" ht="15" customHeight="1" x14ac:dyDescent="0.25">
      <c r="A3152" t="str">
        <f>IFERROR(RANK(B3152,$B:$B,1)+COUNTIF($B$1:B3151,B3152),"")</f>
        <v/>
      </c>
      <c r="B3152" t="str">
        <f>IFERROR(SEARCH(#REF!,Table4[[#This Row],[Commodity Title]],1),"")</f>
        <v/>
      </c>
      <c r="C3152" s="35">
        <v>42295108</v>
      </c>
      <c r="D3152" s="33" t="s">
        <v>1495</v>
      </c>
      <c r="E3152" s="33" t="s">
        <v>1496</v>
      </c>
      <c r="F3152" s="33" t="s">
        <v>1497</v>
      </c>
      <c r="G3152" s="33" t="s">
        <v>7062</v>
      </c>
      <c r="H3152" s="33" t="s">
        <v>7063</v>
      </c>
      <c r="I3152" s="33" t="s">
        <v>7064</v>
      </c>
      <c r="J3152" s="33">
        <v>116392</v>
      </c>
      <c r="K3152" s="33" t="s">
        <v>7924</v>
      </c>
      <c r="L3152" s="33" t="s">
        <v>7925</v>
      </c>
      <c r="M3152" s="33" t="s">
        <v>7926</v>
      </c>
      <c r="N3152" s="44">
        <v>42295108</v>
      </c>
      <c r="O3152" s="33" t="s">
        <v>7940</v>
      </c>
      <c r="P3152" s="33" t="s">
        <v>7941</v>
      </c>
      <c r="Q3152" s="34" t="s">
        <v>1494</v>
      </c>
      <c r="R3152" s="34" t="s">
        <v>1494</v>
      </c>
    </row>
    <row r="3153" spans="1:18" ht="15" customHeight="1" x14ac:dyDescent="0.25">
      <c r="A3153" t="str">
        <f>IFERROR(RANK(B3153,$B:$B,1)+COUNTIF($B$1:B3152,B3153),"")</f>
        <v/>
      </c>
      <c r="B3153" t="str">
        <f>IFERROR(SEARCH(#REF!,Table4[[#This Row],[Commodity Title]],1),"")</f>
        <v/>
      </c>
      <c r="C3153" s="35">
        <v>42295109</v>
      </c>
      <c r="D3153" s="33" t="s">
        <v>1495</v>
      </c>
      <c r="E3153" s="33" t="s">
        <v>1496</v>
      </c>
      <c r="F3153" s="33" t="s">
        <v>1497</v>
      </c>
      <c r="G3153" s="33" t="s">
        <v>7062</v>
      </c>
      <c r="H3153" s="33" t="s">
        <v>7063</v>
      </c>
      <c r="I3153" s="33" t="s">
        <v>7064</v>
      </c>
      <c r="J3153" s="33">
        <v>116393</v>
      </c>
      <c r="K3153" s="33" t="s">
        <v>7924</v>
      </c>
      <c r="L3153" s="33" t="s">
        <v>7925</v>
      </c>
      <c r="M3153" s="33" t="s">
        <v>7926</v>
      </c>
      <c r="N3153" s="44">
        <v>42295109</v>
      </c>
      <c r="O3153" s="33" t="s">
        <v>7942</v>
      </c>
      <c r="P3153" s="33" t="s">
        <v>7943</v>
      </c>
      <c r="Q3153" s="34" t="s">
        <v>1494</v>
      </c>
      <c r="R3153" s="34" t="s">
        <v>1494</v>
      </c>
    </row>
    <row r="3154" spans="1:18" ht="15" customHeight="1" x14ac:dyDescent="0.25">
      <c r="A3154" t="str">
        <f>IFERROR(RANK(B3154,$B:$B,1)+COUNTIF($B$1:B3153,B3154),"")</f>
        <v/>
      </c>
      <c r="B3154" t="str">
        <f>IFERROR(SEARCH(#REF!,Table4[[#This Row],[Commodity Title]],1),"")</f>
        <v/>
      </c>
      <c r="C3154" s="35">
        <v>42295111</v>
      </c>
      <c r="D3154" s="33" t="s">
        <v>1495</v>
      </c>
      <c r="E3154" s="33" t="s">
        <v>1496</v>
      </c>
      <c r="F3154" s="33" t="s">
        <v>1497</v>
      </c>
      <c r="G3154" s="33" t="s">
        <v>7062</v>
      </c>
      <c r="H3154" s="33" t="s">
        <v>7063</v>
      </c>
      <c r="I3154" s="33" t="s">
        <v>7064</v>
      </c>
      <c r="J3154" s="33">
        <v>116395</v>
      </c>
      <c r="K3154" s="33" t="s">
        <v>7924</v>
      </c>
      <c r="L3154" s="33" t="s">
        <v>7925</v>
      </c>
      <c r="M3154" s="33" t="s">
        <v>7926</v>
      </c>
      <c r="N3154" s="44">
        <v>42295111</v>
      </c>
      <c r="O3154" s="33" t="s">
        <v>7944</v>
      </c>
      <c r="P3154" s="33" t="s">
        <v>7945</v>
      </c>
      <c r="Q3154" s="34" t="s">
        <v>1494</v>
      </c>
      <c r="R3154" s="34" t="s">
        <v>1494</v>
      </c>
    </row>
    <row r="3155" spans="1:18" ht="15" customHeight="1" x14ac:dyDescent="0.25">
      <c r="A3155" t="str">
        <f>IFERROR(RANK(B3155,$B:$B,1)+COUNTIF($B$1:B3154,B3155),"")</f>
        <v/>
      </c>
      <c r="B3155" t="str">
        <f>IFERROR(SEARCH(#REF!,Table4[[#This Row],[Commodity Title]],1),"")</f>
        <v/>
      </c>
      <c r="C3155" s="35">
        <v>42295112</v>
      </c>
      <c r="D3155" s="33" t="s">
        <v>1495</v>
      </c>
      <c r="E3155" s="33" t="s">
        <v>1496</v>
      </c>
      <c r="F3155" s="33" t="s">
        <v>1497</v>
      </c>
      <c r="G3155" s="33" t="s">
        <v>7062</v>
      </c>
      <c r="H3155" s="33" t="s">
        <v>7063</v>
      </c>
      <c r="I3155" s="33" t="s">
        <v>7064</v>
      </c>
      <c r="J3155" s="33">
        <v>116396</v>
      </c>
      <c r="K3155" s="33" t="s">
        <v>7924</v>
      </c>
      <c r="L3155" s="33" t="s">
        <v>7925</v>
      </c>
      <c r="M3155" s="33" t="s">
        <v>7926</v>
      </c>
      <c r="N3155" s="44">
        <v>42295112</v>
      </c>
      <c r="O3155" s="33" t="s">
        <v>7946</v>
      </c>
      <c r="P3155" s="33" t="s">
        <v>7947</v>
      </c>
      <c r="Q3155" s="34" t="s">
        <v>1494</v>
      </c>
      <c r="R3155" s="34" t="s">
        <v>1494</v>
      </c>
    </row>
    <row r="3156" spans="1:18" ht="15" customHeight="1" x14ac:dyDescent="0.25">
      <c r="A3156" t="str">
        <f>IFERROR(RANK(B3156,$B:$B,1)+COUNTIF($B$1:B3155,B3156),"")</f>
        <v/>
      </c>
      <c r="B3156" t="str">
        <f>IFERROR(SEARCH(#REF!,Table4[[#This Row],[Commodity Title]],1),"")</f>
        <v/>
      </c>
      <c r="C3156" s="35">
        <v>42295114</v>
      </c>
      <c r="D3156" s="33" t="s">
        <v>1495</v>
      </c>
      <c r="E3156" s="33" t="s">
        <v>1496</v>
      </c>
      <c r="F3156" s="33" t="s">
        <v>1497</v>
      </c>
      <c r="G3156" s="33" t="s">
        <v>7062</v>
      </c>
      <c r="H3156" s="33" t="s">
        <v>7063</v>
      </c>
      <c r="I3156" s="33" t="s">
        <v>7064</v>
      </c>
      <c r="J3156" s="33">
        <v>116398</v>
      </c>
      <c r="K3156" s="33" t="s">
        <v>7924</v>
      </c>
      <c r="L3156" s="33" t="s">
        <v>7925</v>
      </c>
      <c r="M3156" s="33" t="s">
        <v>7926</v>
      </c>
      <c r="N3156" s="44">
        <v>42295114</v>
      </c>
      <c r="O3156" s="33" t="s">
        <v>7948</v>
      </c>
      <c r="P3156" s="33" t="s">
        <v>7949</v>
      </c>
      <c r="Q3156" s="34" t="s">
        <v>1494</v>
      </c>
      <c r="R3156" s="34" t="s">
        <v>1494</v>
      </c>
    </row>
    <row r="3157" spans="1:18" ht="15" customHeight="1" x14ac:dyDescent="0.25">
      <c r="A3157" t="str">
        <f>IFERROR(RANK(B3157,$B:$B,1)+COUNTIF($B$1:B3156,B3157),"")</f>
        <v/>
      </c>
      <c r="B3157" t="str">
        <f>IFERROR(SEARCH(#REF!,Table4[[#This Row],[Commodity Title]],1),"")</f>
        <v/>
      </c>
      <c r="C3157" s="35">
        <v>42295116</v>
      </c>
      <c r="D3157" s="33" t="s">
        <v>1495</v>
      </c>
      <c r="E3157" s="33" t="s">
        <v>1496</v>
      </c>
      <c r="F3157" s="33" t="s">
        <v>1497</v>
      </c>
      <c r="G3157" s="33" t="s">
        <v>7062</v>
      </c>
      <c r="H3157" s="33" t="s">
        <v>7063</v>
      </c>
      <c r="I3157" s="33" t="s">
        <v>7064</v>
      </c>
      <c r="J3157" s="33">
        <v>116400</v>
      </c>
      <c r="K3157" s="33" t="s">
        <v>7924</v>
      </c>
      <c r="L3157" s="33" t="s">
        <v>7925</v>
      </c>
      <c r="M3157" s="33" t="s">
        <v>7926</v>
      </c>
      <c r="N3157" s="44">
        <v>42295116</v>
      </c>
      <c r="O3157" s="33" t="s">
        <v>7950</v>
      </c>
      <c r="P3157" s="33" t="s">
        <v>7951</v>
      </c>
      <c r="Q3157" s="34" t="s">
        <v>1494</v>
      </c>
      <c r="R3157" s="34" t="s">
        <v>1494</v>
      </c>
    </row>
    <row r="3158" spans="1:18" ht="15" customHeight="1" x14ac:dyDescent="0.25">
      <c r="A3158" t="str">
        <f>IFERROR(RANK(B3158,$B:$B,1)+COUNTIF($B$1:B3157,B3158),"")</f>
        <v/>
      </c>
      <c r="B3158" t="str">
        <f>IFERROR(SEARCH(#REF!,Table4[[#This Row],[Commodity Title]],1),"")</f>
        <v/>
      </c>
      <c r="C3158" s="35">
        <v>42295119</v>
      </c>
      <c r="D3158" s="33" t="s">
        <v>1495</v>
      </c>
      <c r="E3158" s="33" t="s">
        <v>1496</v>
      </c>
      <c r="F3158" s="33" t="s">
        <v>1497</v>
      </c>
      <c r="G3158" s="33" t="s">
        <v>7062</v>
      </c>
      <c r="H3158" s="33" t="s">
        <v>7063</v>
      </c>
      <c r="I3158" s="33" t="s">
        <v>7064</v>
      </c>
      <c r="J3158" s="33">
        <v>116403</v>
      </c>
      <c r="K3158" s="33" t="s">
        <v>7924</v>
      </c>
      <c r="L3158" s="33" t="s">
        <v>7925</v>
      </c>
      <c r="M3158" s="33" t="s">
        <v>7926</v>
      </c>
      <c r="N3158" s="44">
        <v>42295119</v>
      </c>
      <c r="O3158" s="33" t="s">
        <v>7952</v>
      </c>
      <c r="P3158" s="33" t="s">
        <v>7953</v>
      </c>
      <c r="Q3158" s="34" t="s">
        <v>1494</v>
      </c>
      <c r="R3158" s="34" t="s">
        <v>1494</v>
      </c>
    </row>
    <row r="3159" spans="1:18" ht="15" customHeight="1" x14ac:dyDescent="0.25">
      <c r="A3159" t="str">
        <f>IFERROR(RANK(B3159,$B:$B,1)+COUNTIF($B$1:B3158,B3159),"")</f>
        <v/>
      </c>
      <c r="B3159" t="str">
        <f>IFERROR(SEARCH(#REF!,Table4[[#This Row],[Commodity Title]],1),"")</f>
        <v/>
      </c>
      <c r="C3159" s="35">
        <v>42295120</v>
      </c>
      <c r="D3159" s="33" t="s">
        <v>1495</v>
      </c>
      <c r="E3159" s="33" t="s">
        <v>1496</v>
      </c>
      <c r="F3159" s="33" t="s">
        <v>1497</v>
      </c>
      <c r="G3159" s="33" t="s">
        <v>7062</v>
      </c>
      <c r="H3159" s="33" t="s">
        <v>7063</v>
      </c>
      <c r="I3159" s="33" t="s">
        <v>7064</v>
      </c>
      <c r="J3159" s="33">
        <v>116404</v>
      </c>
      <c r="K3159" s="33" t="s">
        <v>7924</v>
      </c>
      <c r="L3159" s="33" t="s">
        <v>7925</v>
      </c>
      <c r="M3159" s="33" t="s">
        <v>7926</v>
      </c>
      <c r="N3159" s="44">
        <v>42295120</v>
      </c>
      <c r="O3159" s="33" t="s">
        <v>7954</v>
      </c>
      <c r="P3159" s="33" t="s">
        <v>7955</v>
      </c>
      <c r="Q3159" s="34" t="s">
        <v>1494</v>
      </c>
      <c r="R3159" s="34" t="s">
        <v>1494</v>
      </c>
    </row>
    <row r="3160" spans="1:18" ht="15" customHeight="1" x14ac:dyDescent="0.25">
      <c r="A3160" t="str">
        <f>IFERROR(RANK(B3160,$B:$B,1)+COUNTIF($B$1:B3159,B3160),"")</f>
        <v/>
      </c>
      <c r="B3160" t="str">
        <f>IFERROR(SEARCH(#REF!,Table4[[#This Row],[Commodity Title]],1),"")</f>
        <v/>
      </c>
      <c r="C3160" s="35">
        <v>42295121</v>
      </c>
      <c r="D3160" s="33" t="s">
        <v>1495</v>
      </c>
      <c r="E3160" s="33" t="s">
        <v>1496</v>
      </c>
      <c r="F3160" s="33" t="s">
        <v>1497</v>
      </c>
      <c r="G3160" s="33" t="s">
        <v>7062</v>
      </c>
      <c r="H3160" s="33" t="s">
        <v>7063</v>
      </c>
      <c r="I3160" s="33" t="s">
        <v>7064</v>
      </c>
      <c r="J3160" s="33">
        <v>116405</v>
      </c>
      <c r="K3160" s="33" t="s">
        <v>7924</v>
      </c>
      <c r="L3160" s="33" t="s">
        <v>7925</v>
      </c>
      <c r="M3160" s="33" t="s">
        <v>7926</v>
      </c>
      <c r="N3160" s="44">
        <v>42295121</v>
      </c>
      <c r="O3160" s="33" t="s">
        <v>7956</v>
      </c>
      <c r="P3160" s="33" t="s">
        <v>7957</v>
      </c>
      <c r="Q3160" s="34" t="s">
        <v>1494</v>
      </c>
      <c r="R3160" s="34" t="s">
        <v>1494</v>
      </c>
    </row>
    <row r="3161" spans="1:18" ht="15" customHeight="1" x14ac:dyDescent="0.25">
      <c r="A3161" t="str">
        <f>IFERROR(RANK(B3161,$B:$B,1)+COUNTIF($B$1:B3160,B3161),"")</f>
        <v/>
      </c>
      <c r="B3161" t="str">
        <f>IFERROR(SEARCH(#REF!,Table4[[#This Row],[Commodity Title]],1),"")</f>
        <v/>
      </c>
      <c r="C3161" s="35">
        <v>42295122</v>
      </c>
      <c r="D3161" s="33" t="s">
        <v>1495</v>
      </c>
      <c r="E3161" s="33" t="s">
        <v>1496</v>
      </c>
      <c r="F3161" s="33" t="s">
        <v>1497</v>
      </c>
      <c r="G3161" s="33" t="s">
        <v>7062</v>
      </c>
      <c r="H3161" s="33" t="s">
        <v>7063</v>
      </c>
      <c r="I3161" s="33" t="s">
        <v>7064</v>
      </c>
      <c r="J3161" s="33">
        <v>116406</v>
      </c>
      <c r="K3161" s="33" t="s">
        <v>7924</v>
      </c>
      <c r="L3161" s="33" t="s">
        <v>7925</v>
      </c>
      <c r="M3161" s="33" t="s">
        <v>7926</v>
      </c>
      <c r="N3161" s="44">
        <v>42295122</v>
      </c>
      <c r="O3161" s="33" t="s">
        <v>7958</v>
      </c>
      <c r="P3161" s="33" t="s">
        <v>7959</v>
      </c>
      <c r="Q3161" s="34" t="s">
        <v>1494</v>
      </c>
      <c r="R3161" s="34" t="s">
        <v>1494</v>
      </c>
    </row>
    <row r="3162" spans="1:18" ht="15" customHeight="1" x14ac:dyDescent="0.25">
      <c r="A3162" t="str">
        <f>IFERROR(RANK(B3162,$B:$B,1)+COUNTIF($B$1:B3161,B3162),"")</f>
        <v/>
      </c>
      <c r="B3162" t="str">
        <f>IFERROR(SEARCH(#REF!,Table4[[#This Row],[Commodity Title]],1),"")</f>
        <v/>
      </c>
      <c r="C3162" s="35">
        <v>42295123</v>
      </c>
      <c r="D3162" s="33" t="s">
        <v>1495</v>
      </c>
      <c r="E3162" s="33" t="s">
        <v>1496</v>
      </c>
      <c r="F3162" s="33" t="s">
        <v>1497</v>
      </c>
      <c r="G3162" s="33" t="s">
        <v>7062</v>
      </c>
      <c r="H3162" s="33" t="s">
        <v>7063</v>
      </c>
      <c r="I3162" s="33" t="s">
        <v>7064</v>
      </c>
      <c r="J3162" s="33">
        <v>116407</v>
      </c>
      <c r="K3162" s="33" t="s">
        <v>7924</v>
      </c>
      <c r="L3162" s="33" t="s">
        <v>7925</v>
      </c>
      <c r="M3162" s="33" t="s">
        <v>7926</v>
      </c>
      <c r="N3162" s="44">
        <v>42295123</v>
      </c>
      <c r="O3162" s="33" t="s">
        <v>7960</v>
      </c>
      <c r="P3162" s="33" t="s">
        <v>7961</v>
      </c>
      <c r="Q3162" s="34" t="s">
        <v>1494</v>
      </c>
      <c r="R3162" s="34" t="s">
        <v>1494</v>
      </c>
    </row>
    <row r="3163" spans="1:18" ht="15" customHeight="1" x14ac:dyDescent="0.25">
      <c r="A3163" t="str">
        <f>IFERROR(RANK(B3163,$B:$B,1)+COUNTIF($B$1:B3162,B3163),"")</f>
        <v/>
      </c>
      <c r="B3163" t="str">
        <f>IFERROR(SEARCH(#REF!,Table4[[#This Row],[Commodity Title]],1),"")</f>
        <v/>
      </c>
      <c r="C3163" s="35">
        <v>42295124</v>
      </c>
      <c r="D3163" s="33" t="s">
        <v>1495</v>
      </c>
      <c r="E3163" s="33" t="s">
        <v>1496</v>
      </c>
      <c r="F3163" s="33" t="s">
        <v>1497</v>
      </c>
      <c r="G3163" s="33" t="s">
        <v>7062</v>
      </c>
      <c r="H3163" s="33" t="s">
        <v>7063</v>
      </c>
      <c r="I3163" s="33" t="s">
        <v>7064</v>
      </c>
      <c r="J3163" s="33">
        <v>116408</v>
      </c>
      <c r="K3163" s="33" t="s">
        <v>7924</v>
      </c>
      <c r="L3163" s="33" t="s">
        <v>7925</v>
      </c>
      <c r="M3163" s="33" t="s">
        <v>7926</v>
      </c>
      <c r="N3163" s="44">
        <v>42295124</v>
      </c>
      <c r="O3163" s="33" t="s">
        <v>7962</v>
      </c>
      <c r="P3163" s="33" t="s">
        <v>7963</v>
      </c>
      <c r="Q3163" s="34" t="s">
        <v>1494</v>
      </c>
      <c r="R3163" s="34" t="s">
        <v>1494</v>
      </c>
    </row>
    <row r="3164" spans="1:18" ht="15" customHeight="1" x14ac:dyDescent="0.25">
      <c r="A3164" t="str">
        <f>IFERROR(RANK(B3164,$B:$B,1)+COUNTIF($B$1:B3163,B3164),"")</f>
        <v/>
      </c>
      <c r="B3164" t="str">
        <f>IFERROR(SEARCH(#REF!,Table4[[#This Row],[Commodity Title]],1),"")</f>
        <v/>
      </c>
      <c r="C3164" s="35">
        <v>42295125</v>
      </c>
      <c r="D3164" s="33" t="s">
        <v>1495</v>
      </c>
      <c r="E3164" s="33" t="s">
        <v>1496</v>
      </c>
      <c r="F3164" s="33" t="s">
        <v>1497</v>
      </c>
      <c r="G3164" s="33" t="s">
        <v>7062</v>
      </c>
      <c r="H3164" s="33" t="s">
        <v>7063</v>
      </c>
      <c r="I3164" s="33" t="s">
        <v>7064</v>
      </c>
      <c r="J3164" s="33">
        <v>116409</v>
      </c>
      <c r="K3164" s="33" t="s">
        <v>7924</v>
      </c>
      <c r="L3164" s="33" t="s">
        <v>7925</v>
      </c>
      <c r="M3164" s="33" t="s">
        <v>7926</v>
      </c>
      <c r="N3164" s="44">
        <v>42295125</v>
      </c>
      <c r="O3164" s="33" t="s">
        <v>7964</v>
      </c>
      <c r="P3164" s="33" t="s">
        <v>7965</v>
      </c>
      <c r="Q3164" s="34" t="s">
        <v>1494</v>
      </c>
      <c r="R3164" s="34" t="s">
        <v>1494</v>
      </c>
    </row>
    <row r="3165" spans="1:18" ht="15" customHeight="1" x14ac:dyDescent="0.25">
      <c r="A3165" t="str">
        <f>IFERROR(RANK(B3165,$B:$B,1)+COUNTIF($B$1:B3164,B3165),"")</f>
        <v/>
      </c>
      <c r="B3165" t="str">
        <f>IFERROR(SEARCH(#REF!,Table4[[#This Row],[Commodity Title]],1),"")</f>
        <v/>
      </c>
      <c r="C3165" s="35">
        <v>42295129</v>
      </c>
      <c r="D3165" s="33" t="s">
        <v>1495</v>
      </c>
      <c r="E3165" s="33" t="s">
        <v>1496</v>
      </c>
      <c r="F3165" s="33" t="s">
        <v>1497</v>
      </c>
      <c r="G3165" s="33" t="s">
        <v>7062</v>
      </c>
      <c r="H3165" s="33" t="s">
        <v>7063</v>
      </c>
      <c r="I3165" s="33" t="s">
        <v>7064</v>
      </c>
      <c r="J3165" s="33">
        <v>142831</v>
      </c>
      <c r="K3165" s="33" t="s">
        <v>7924</v>
      </c>
      <c r="L3165" s="33" t="s">
        <v>7925</v>
      </c>
      <c r="M3165" s="33" t="s">
        <v>7926</v>
      </c>
      <c r="N3165" s="44">
        <v>42295129</v>
      </c>
      <c r="O3165" s="33" t="s">
        <v>7966</v>
      </c>
      <c r="P3165" s="33" t="s">
        <v>7967</v>
      </c>
      <c r="Q3165" s="34" t="s">
        <v>1494</v>
      </c>
      <c r="R3165" s="34" t="s">
        <v>1494</v>
      </c>
    </row>
    <row r="3166" spans="1:18" ht="15" customHeight="1" x14ac:dyDescent="0.25">
      <c r="A3166" t="str">
        <f>IFERROR(RANK(B3166,$B:$B,1)+COUNTIF($B$1:B3165,B3166),"")</f>
        <v/>
      </c>
      <c r="B3166" t="str">
        <f>IFERROR(SEARCH(#REF!,Table4[[#This Row],[Commodity Title]],1),"")</f>
        <v/>
      </c>
      <c r="C3166" s="35">
        <v>42295131</v>
      </c>
      <c r="D3166" s="33" t="s">
        <v>1495</v>
      </c>
      <c r="E3166" s="33" t="s">
        <v>1496</v>
      </c>
      <c r="F3166" s="33" t="s">
        <v>1497</v>
      </c>
      <c r="G3166" s="33" t="s">
        <v>7062</v>
      </c>
      <c r="H3166" s="33" t="s">
        <v>7063</v>
      </c>
      <c r="I3166" s="33" t="s">
        <v>7064</v>
      </c>
      <c r="J3166" s="33">
        <v>142833</v>
      </c>
      <c r="K3166" s="33" t="s">
        <v>7924</v>
      </c>
      <c r="L3166" s="33" t="s">
        <v>7925</v>
      </c>
      <c r="M3166" s="33" t="s">
        <v>7926</v>
      </c>
      <c r="N3166" s="44">
        <v>42295131</v>
      </c>
      <c r="O3166" s="33" t="s">
        <v>7968</v>
      </c>
      <c r="P3166" s="33" t="s">
        <v>7969</v>
      </c>
      <c r="Q3166" s="34" t="s">
        <v>1494</v>
      </c>
      <c r="R3166" s="34" t="s">
        <v>1494</v>
      </c>
    </row>
    <row r="3167" spans="1:18" ht="15" customHeight="1" x14ac:dyDescent="0.25">
      <c r="A3167" t="str">
        <f>IFERROR(RANK(B3167,$B:$B,1)+COUNTIF($B$1:B3166,B3167),"")</f>
        <v/>
      </c>
      <c r="B3167" t="str">
        <f>IFERROR(SEARCH(#REF!,Table4[[#This Row],[Commodity Title]],1),"")</f>
        <v/>
      </c>
      <c r="C3167" s="35">
        <v>42295134</v>
      </c>
      <c r="D3167" s="33" t="s">
        <v>1495</v>
      </c>
      <c r="E3167" s="33" t="s">
        <v>1496</v>
      </c>
      <c r="F3167" s="33" t="s">
        <v>1497</v>
      </c>
      <c r="G3167" s="33" t="s">
        <v>7062</v>
      </c>
      <c r="H3167" s="33" t="s">
        <v>7063</v>
      </c>
      <c r="I3167" s="33" t="s">
        <v>7064</v>
      </c>
      <c r="J3167" s="33">
        <v>142836</v>
      </c>
      <c r="K3167" s="33" t="s">
        <v>7924</v>
      </c>
      <c r="L3167" s="33" t="s">
        <v>7925</v>
      </c>
      <c r="M3167" s="33" t="s">
        <v>7926</v>
      </c>
      <c r="N3167" s="44">
        <v>42295134</v>
      </c>
      <c r="O3167" s="33" t="s">
        <v>7970</v>
      </c>
      <c r="P3167" s="33" t="s">
        <v>7971</v>
      </c>
      <c r="Q3167" s="34" t="s">
        <v>1494</v>
      </c>
      <c r="R3167" s="34" t="s">
        <v>1494</v>
      </c>
    </row>
    <row r="3168" spans="1:18" ht="15" customHeight="1" x14ac:dyDescent="0.25">
      <c r="A3168" t="str">
        <f>IFERROR(RANK(B3168,$B:$B,1)+COUNTIF($B$1:B3167,B3168),"")</f>
        <v/>
      </c>
      <c r="B3168" t="str">
        <f>IFERROR(SEARCH(#REF!,Table4[[#This Row],[Commodity Title]],1),"")</f>
        <v/>
      </c>
      <c r="C3168" s="35">
        <v>42295137</v>
      </c>
      <c r="D3168" s="33" t="s">
        <v>1495</v>
      </c>
      <c r="E3168" s="33" t="s">
        <v>1496</v>
      </c>
      <c r="F3168" s="33" t="s">
        <v>1497</v>
      </c>
      <c r="G3168" s="33" t="s">
        <v>7062</v>
      </c>
      <c r="H3168" s="33" t="s">
        <v>7063</v>
      </c>
      <c r="I3168" s="33" t="s">
        <v>7064</v>
      </c>
      <c r="J3168" s="33">
        <v>142839</v>
      </c>
      <c r="K3168" s="33" t="s">
        <v>7924</v>
      </c>
      <c r="L3168" s="33" t="s">
        <v>7925</v>
      </c>
      <c r="M3168" s="33" t="s">
        <v>7926</v>
      </c>
      <c r="N3168" s="44">
        <v>42295137</v>
      </c>
      <c r="O3168" s="33" t="s">
        <v>7972</v>
      </c>
      <c r="P3168" s="33" t="s">
        <v>7973</v>
      </c>
      <c r="Q3168" s="34" t="s">
        <v>1494</v>
      </c>
      <c r="R3168" s="34" t="s">
        <v>1494</v>
      </c>
    </row>
    <row r="3169" spans="1:18" ht="15" customHeight="1" x14ac:dyDescent="0.25">
      <c r="A3169" t="str">
        <f>IFERROR(RANK(B3169,$B:$B,1)+COUNTIF($B$1:B3168,B3169),"")</f>
        <v/>
      </c>
      <c r="B3169" t="str">
        <f>IFERROR(SEARCH(#REF!,Table4[[#This Row],[Commodity Title]],1),"")</f>
        <v/>
      </c>
      <c r="C3169" s="35">
        <v>42295141</v>
      </c>
      <c r="D3169" s="33" t="s">
        <v>1495</v>
      </c>
      <c r="E3169" s="33" t="s">
        <v>1496</v>
      </c>
      <c r="F3169" s="33" t="s">
        <v>1497</v>
      </c>
      <c r="G3169" s="33" t="s">
        <v>7062</v>
      </c>
      <c r="H3169" s="33" t="s">
        <v>7063</v>
      </c>
      <c r="I3169" s="33" t="s">
        <v>7064</v>
      </c>
      <c r="J3169" s="33">
        <v>146152</v>
      </c>
      <c r="K3169" s="33" t="s">
        <v>7924</v>
      </c>
      <c r="L3169" s="33" t="s">
        <v>7925</v>
      </c>
      <c r="M3169" s="33" t="s">
        <v>7926</v>
      </c>
      <c r="N3169" s="44">
        <v>42295141</v>
      </c>
      <c r="O3169" s="33" t="s">
        <v>7974</v>
      </c>
      <c r="P3169" s="33" t="s">
        <v>7975</v>
      </c>
      <c r="Q3169" s="34" t="s">
        <v>1494</v>
      </c>
      <c r="R3169" s="34" t="s">
        <v>1494</v>
      </c>
    </row>
    <row r="3170" spans="1:18" ht="15" customHeight="1" x14ac:dyDescent="0.25">
      <c r="A3170" t="str">
        <f>IFERROR(RANK(B3170,$B:$B,1)+COUNTIF($B$1:B3169,B3170),"")</f>
        <v/>
      </c>
      <c r="B3170" t="str">
        <f>IFERROR(SEARCH(#REF!,Table4[[#This Row],[Commodity Title]],1),"")</f>
        <v/>
      </c>
      <c r="C3170" s="35">
        <v>42295142</v>
      </c>
      <c r="D3170" s="33" t="s">
        <v>1495</v>
      </c>
      <c r="E3170" s="33" t="s">
        <v>1496</v>
      </c>
      <c r="F3170" s="33" t="s">
        <v>1497</v>
      </c>
      <c r="G3170" s="33" t="s">
        <v>7062</v>
      </c>
      <c r="H3170" s="33" t="s">
        <v>7063</v>
      </c>
      <c r="I3170" s="33" t="s">
        <v>7064</v>
      </c>
      <c r="J3170" s="33">
        <v>146153</v>
      </c>
      <c r="K3170" s="33" t="s">
        <v>7924</v>
      </c>
      <c r="L3170" s="33" t="s">
        <v>7925</v>
      </c>
      <c r="M3170" s="33" t="s">
        <v>7926</v>
      </c>
      <c r="N3170" s="44">
        <v>42295142</v>
      </c>
      <c r="O3170" s="33" t="s">
        <v>7976</v>
      </c>
      <c r="P3170" s="33" t="s">
        <v>7977</v>
      </c>
      <c r="Q3170" s="34" t="s">
        <v>1494</v>
      </c>
      <c r="R3170" s="34" t="s">
        <v>1494</v>
      </c>
    </row>
    <row r="3171" spans="1:18" ht="15" customHeight="1" x14ac:dyDescent="0.25">
      <c r="A3171" t="str">
        <f>IFERROR(RANK(B3171,$B:$B,1)+COUNTIF($B$1:B3170,B3171),"")</f>
        <v/>
      </c>
      <c r="B3171" t="str">
        <f>IFERROR(SEARCH(#REF!,Table4[[#This Row],[Commodity Title]],1),"")</f>
        <v/>
      </c>
      <c r="C3171" s="35">
        <v>42295143</v>
      </c>
      <c r="D3171" s="33" t="s">
        <v>1495</v>
      </c>
      <c r="E3171" s="33" t="s">
        <v>1496</v>
      </c>
      <c r="F3171" s="33" t="s">
        <v>1497</v>
      </c>
      <c r="G3171" s="33" t="s">
        <v>7062</v>
      </c>
      <c r="H3171" s="33" t="s">
        <v>7063</v>
      </c>
      <c r="I3171" s="33" t="s">
        <v>7064</v>
      </c>
      <c r="J3171" s="33">
        <v>164902</v>
      </c>
      <c r="K3171" s="33" t="s">
        <v>7924</v>
      </c>
      <c r="L3171" s="33" t="s">
        <v>7925</v>
      </c>
      <c r="M3171" s="33" t="s">
        <v>7926</v>
      </c>
      <c r="N3171" s="44">
        <v>42295143</v>
      </c>
      <c r="O3171" s="33" t="s">
        <v>7978</v>
      </c>
      <c r="P3171" s="33" t="s">
        <v>7979</v>
      </c>
      <c r="Q3171" s="34" t="s">
        <v>1494</v>
      </c>
      <c r="R3171" s="34" t="s">
        <v>1494</v>
      </c>
    </row>
    <row r="3172" spans="1:18" ht="15" customHeight="1" x14ac:dyDescent="0.25">
      <c r="A3172" t="str">
        <f>IFERROR(RANK(B3172,$B:$B,1)+COUNTIF($B$1:B3171,B3172),"")</f>
        <v/>
      </c>
      <c r="B3172" t="str">
        <f>IFERROR(SEARCH(#REF!,Table4[[#This Row],[Commodity Title]],1),"")</f>
        <v/>
      </c>
      <c r="C3172" s="35">
        <v>42295144</v>
      </c>
      <c r="D3172" s="33" t="s">
        <v>1495</v>
      </c>
      <c r="E3172" s="33" t="s">
        <v>1496</v>
      </c>
      <c r="F3172" s="33" t="s">
        <v>1497</v>
      </c>
      <c r="G3172" s="33" t="s">
        <v>7062</v>
      </c>
      <c r="H3172" s="33" t="s">
        <v>7063</v>
      </c>
      <c r="I3172" s="33" t="s">
        <v>7064</v>
      </c>
      <c r="J3172" s="33">
        <v>174407</v>
      </c>
      <c r="K3172" s="33" t="s">
        <v>7924</v>
      </c>
      <c r="L3172" s="33" t="s">
        <v>7925</v>
      </c>
      <c r="M3172" s="33" t="s">
        <v>7926</v>
      </c>
      <c r="N3172" s="44">
        <v>42295144</v>
      </c>
      <c r="O3172" s="33" t="s">
        <v>7980</v>
      </c>
      <c r="P3172" s="33" t="s">
        <v>7981</v>
      </c>
      <c r="Q3172" s="34" t="s">
        <v>1494</v>
      </c>
      <c r="R3172" s="34" t="s">
        <v>1494</v>
      </c>
    </row>
    <row r="3173" spans="1:18" ht="15" customHeight="1" x14ac:dyDescent="0.25">
      <c r="A3173" t="str">
        <f>IFERROR(RANK(B3173,$B:$B,1)+COUNTIF($B$1:B3172,B3173),"")</f>
        <v/>
      </c>
      <c r="B3173" t="str">
        <f>IFERROR(SEARCH(#REF!,Table4[[#This Row],[Commodity Title]],1),"")</f>
        <v/>
      </c>
      <c r="C3173" s="35">
        <v>42295148</v>
      </c>
      <c r="D3173" s="33" t="s">
        <v>1495</v>
      </c>
      <c r="E3173" s="33" t="s">
        <v>1496</v>
      </c>
      <c r="F3173" s="33" t="s">
        <v>1497</v>
      </c>
      <c r="G3173" s="33" t="s">
        <v>7062</v>
      </c>
      <c r="H3173" s="33" t="s">
        <v>7063</v>
      </c>
      <c r="I3173" s="33" t="s">
        <v>7064</v>
      </c>
      <c r="J3173" s="33">
        <v>176725</v>
      </c>
      <c r="K3173" s="33" t="s">
        <v>7924</v>
      </c>
      <c r="L3173" s="33" t="s">
        <v>7925</v>
      </c>
      <c r="M3173" s="33" t="s">
        <v>7926</v>
      </c>
      <c r="N3173" s="44">
        <v>42295148</v>
      </c>
      <c r="O3173" s="33" t="s">
        <v>7982</v>
      </c>
      <c r="P3173" s="33" t="s">
        <v>7983</v>
      </c>
      <c r="Q3173" s="34" t="s">
        <v>1494</v>
      </c>
      <c r="R3173" s="34" t="s">
        <v>1494</v>
      </c>
    </row>
    <row r="3174" spans="1:18" ht="15" customHeight="1" x14ac:dyDescent="0.25">
      <c r="A3174" t="str">
        <f>IFERROR(RANK(B3174,$B:$B,1)+COUNTIF($B$1:B3173,B3174),"")</f>
        <v/>
      </c>
      <c r="B3174" t="str">
        <f>IFERROR(SEARCH(#REF!,Table4[[#This Row],[Commodity Title]],1),"")</f>
        <v/>
      </c>
      <c r="C3174" s="35">
        <v>42295149</v>
      </c>
      <c r="D3174" s="33" t="s">
        <v>1495</v>
      </c>
      <c r="E3174" s="33" t="s">
        <v>1496</v>
      </c>
      <c r="F3174" s="33" t="s">
        <v>1497</v>
      </c>
      <c r="G3174" s="33" t="s">
        <v>7062</v>
      </c>
      <c r="H3174" s="33" t="s">
        <v>7063</v>
      </c>
      <c r="I3174" s="33" t="s">
        <v>7064</v>
      </c>
      <c r="J3174" s="33">
        <v>203196</v>
      </c>
      <c r="K3174" s="33" t="s">
        <v>7924</v>
      </c>
      <c r="L3174" s="33" t="s">
        <v>7925</v>
      </c>
      <c r="M3174" s="33" t="s">
        <v>7926</v>
      </c>
      <c r="N3174" s="44">
        <v>42295149</v>
      </c>
      <c r="O3174" s="33" t="s">
        <v>7984</v>
      </c>
      <c r="P3174" s="33" t="s">
        <v>7985</v>
      </c>
      <c r="Q3174" s="34" t="s">
        <v>1494</v>
      </c>
      <c r="R3174" s="34" t="s">
        <v>1494</v>
      </c>
    </row>
    <row r="3175" spans="1:18" ht="15" customHeight="1" x14ac:dyDescent="0.25">
      <c r="A3175" t="str">
        <f>IFERROR(RANK(B3175,$B:$B,1)+COUNTIF($B$1:B3174,B3175),"")</f>
        <v/>
      </c>
      <c r="B3175" t="str">
        <f>IFERROR(SEARCH(#REF!,Table4[[#This Row],[Commodity Title]],1),"")</f>
        <v/>
      </c>
      <c r="C3175" s="35">
        <v>42295150</v>
      </c>
      <c r="D3175" s="33" t="s">
        <v>1495</v>
      </c>
      <c r="E3175" s="33" t="s">
        <v>1496</v>
      </c>
      <c r="F3175" s="33" t="s">
        <v>1497</v>
      </c>
      <c r="G3175" s="33" t="s">
        <v>7062</v>
      </c>
      <c r="H3175" s="33" t="s">
        <v>7063</v>
      </c>
      <c r="I3175" s="33" t="s">
        <v>7064</v>
      </c>
      <c r="J3175" s="33">
        <v>203197</v>
      </c>
      <c r="K3175" s="33" t="s">
        <v>7924</v>
      </c>
      <c r="L3175" s="33" t="s">
        <v>7925</v>
      </c>
      <c r="M3175" s="33" t="s">
        <v>7926</v>
      </c>
      <c r="N3175" s="44">
        <v>42295150</v>
      </c>
      <c r="O3175" s="33" t="s">
        <v>7986</v>
      </c>
      <c r="P3175" s="33" t="s">
        <v>7987</v>
      </c>
      <c r="Q3175" s="34" t="s">
        <v>1494</v>
      </c>
      <c r="R3175" s="34" t="s">
        <v>1494</v>
      </c>
    </row>
    <row r="3176" spans="1:18" ht="15" customHeight="1" x14ac:dyDescent="0.25">
      <c r="A3176" t="str">
        <f>IFERROR(RANK(B3176,$B:$B,1)+COUNTIF($B$1:B3175,B3176),"")</f>
        <v/>
      </c>
      <c r="B3176" t="str">
        <f>IFERROR(SEARCH(#REF!,Table4[[#This Row],[Commodity Title]],1),"")</f>
        <v/>
      </c>
      <c r="C3176" s="35">
        <v>42295151</v>
      </c>
      <c r="D3176" s="33" t="s">
        <v>1495</v>
      </c>
      <c r="E3176" s="33" t="s">
        <v>1496</v>
      </c>
      <c r="F3176" s="33" t="s">
        <v>1497</v>
      </c>
      <c r="G3176" s="33" t="s">
        <v>7062</v>
      </c>
      <c r="H3176" s="33" t="s">
        <v>7063</v>
      </c>
      <c r="I3176" s="33" t="s">
        <v>7064</v>
      </c>
      <c r="J3176" s="33">
        <v>203198</v>
      </c>
      <c r="K3176" s="33" t="s">
        <v>7924</v>
      </c>
      <c r="L3176" s="33" t="s">
        <v>7925</v>
      </c>
      <c r="M3176" s="33" t="s">
        <v>7926</v>
      </c>
      <c r="N3176" s="44">
        <v>42295151</v>
      </c>
      <c r="O3176" s="33" t="s">
        <v>7988</v>
      </c>
      <c r="P3176" s="33" t="s">
        <v>7989</v>
      </c>
      <c r="Q3176" s="34" t="s">
        <v>1494</v>
      </c>
      <c r="R3176" s="34" t="s">
        <v>1494</v>
      </c>
    </row>
    <row r="3177" spans="1:18" ht="15" customHeight="1" x14ac:dyDescent="0.25">
      <c r="A3177" t="str">
        <f>IFERROR(RANK(B3177,$B:$B,1)+COUNTIF($B$1:B3176,B3177),"")</f>
        <v/>
      </c>
      <c r="B3177" t="str">
        <f>IFERROR(SEARCH(#REF!,Table4[[#This Row],[Commodity Title]],1),"")</f>
        <v/>
      </c>
      <c r="C3177" s="35">
        <v>42295152</v>
      </c>
      <c r="D3177" s="33" t="s">
        <v>1495</v>
      </c>
      <c r="E3177" s="33" t="s">
        <v>1496</v>
      </c>
      <c r="F3177" s="33" t="s">
        <v>1497</v>
      </c>
      <c r="G3177" s="33" t="s">
        <v>7062</v>
      </c>
      <c r="H3177" s="33" t="s">
        <v>7063</v>
      </c>
      <c r="I3177" s="33" t="s">
        <v>7064</v>
      </c>
      <c r="J3177" s="33">
        <v>203199</v>
      </c>
      <c r="K3177" s="33" t="s">
        <v>7924</v>
      </c>
      <c r="L3177" s="33" t="s">
        <v>7925</v>
      </c>
      <c r="M3177" s="33" t="s">
        <v>7926</v>
      </c>
      <c r="N3177" s="44">
        <v>42295152</v>
      </c>
      <c r="O3177" s="33" t="s">
        <v>7990</v>
      </c>
      <c r="P3177" s="33" t="s">
        <v>7991</v>
      </c>
      <c r="Q3177" s="34" t="s">
        <v>1494</v>
      </c>
      <c r="R3177" s="34" t="s">
        <v>1494</v>
      </c>
    </row>
    <row r="3178" spans="1:18" ht="15" customHeight="1" x14ac:dyDescent="0.25">
      <c r="A3178" t="str">
        <f>IFERROR(RANK(B3178,$B:$B,1)+COUNTIF($B$1:B3177,B3178),"")</f>
        <v/>
      </c>
      <c r="B3178" t="str">
        <f>IFERROR(SEARCH(#REF!,Table4[[#This Row],[Commodity Title]],1),"")</f>
        <v/>
      </c>
      <c r="C3178" s="35">
        <v>42295153</v>
      </c>
      <c r="D3178" s="33" t="s">
        <v>1495</v>
      </c>
      <c r="E3178" s="33" t="s">
        <v>1496</v>
      </c>
      <c r="F3178" s="33" t="s">
        <v>1497</v>
      </c>
      <c r="G3178" s="33" t="s">
        <v>7062</v>
      </c>
      <c r="H3178" s="33" t="s">
        <v>7063</v>
      </c>
      <c r="I3178" s="33" t="s">
        <v>7064</v>
      </c>
      <c r="J3178" s="33">
        <v>203200</v>
      </c>
      <c r="K3178" s="33" t="s">
        <v>7924</v>
      </c>
      <c r="L3178" s="33" t="s">
        <v>7925</v>
      </c>
      <c r="M3178" s="33" t="s">
        <v>7926</v>
      </c>
      <c r="N3178" s="44">
        <v>42295153</v>
      </c>
      <c r="O3178" s="33" t="s">
        <v>7992</v>
      </c>
      <c r="P3178" s="33" t="s">
        <v>7993</v>
      </c>
      <c r="Q3178" s="34" t="s">
        <v>1494</v>
      </c>
      <c r="R3178" s="34" t="s">
        <v>1494</v>
      </c>
    </row>
    <row r="3179" spans="1:18" ht="15" customHeight="1" x14ac:dyDescent="0.25">
      <c r="A3179" t="str">
        <f>IFERROR(RANK(B3179,$B:$B,1)+COUNTIF($B$1:B3178,B3179),"")</f>
        <v/>
      </c>
      <c r="B3179" t="str">
        <f>IFERROR(SEARCH(#REF!,Table4[[#This Row],[Commodity Title]],1),"")</f>
        <v/>
      </c>
      <c r="C3179" s="35">
        <v>42295154</v>
      </c>
      <c r="D3179" s="33" t="s">
        <v>1495</v>
      </c>
      <c r="E3179" s="33" t="s">
        <v>1496</v>
      </c>
      <c r="F3179" s="33" t="s">
        <v>1497</v>
      </c>
      <c r="G3179" s="33" t="s">
        <v>7062</v>
      </c>
      <c r="H3179" s="33" t="s">
        <v>7063</v>
      </c>
      <c r="I3179" s="33" t="s">
        <v>7064</v>
      </c>
      <c r="J3179" s="33">
        <v>203201</v>
      </c>
      <c r="K3179" s="33" t="s">
        <v>7924</v>
      </c>
      <c r="L3179" s="33" t="s">
        <v>7925</v>
      </c>
      <c r="M3179" s="33" t="s">
        <v>7926</v>
      </c>
      <c r="N3179" s="44">
        <v>42295154</v>
      </c>
      <c r="O3179" s="33" t="s">
        <v>7994</v>
      </c>
      <c r="P3179" s="33" t="s">
        <v>7995</v>
      </c>
      <c r="Q3179" s="34" t="s">
        <v>1494</v>
      </c>
      <c r="R3179" s="34" t="s">
        <v>1494</v>
      </c>
    </row>
    <row r="3180" spans="1:18" ht="15" customHeight="1" x14ac:dyDescent="0.25">
      <c r="A3180" t="str">
        <f>IFERROR(RANK(B3180,$B:$B,1)+COUNTIF($B$1:B3179,B3180),"")</f>
        <v/>
      </c>
      <c r="B3180" t="str">
        <f>IFERROR(SEARCH(#REF!,Table4[[#This Row],[Commodity Title]],1),"")</f>
        <v/>
      </c>
      <c r="C3180" s="35">
        <v>42295155</v>
      </c>
      <c r="D3180" s="33" t="s">
        <v>1495</v>
      </c>
      <c r="E3180" s="33" t="s">
        <v>1496</v>
      </c>
      <c r="F3180" s="33" t="s">
        <v>1497</v>
      </c>
      <c r="G3180" s="33" t="s">
        <v>7062</v>
      </c>
      <c r="H3180" s="33" t="s">
        <v>7063</v>
      </c>
      <c r="I3180" s="33" t="s">
        <v>7064</v>
      </c>
      <c r="J3180" s="33">
        <v>203202</v>
      </c>
      <c r="K3180" s="33" t="s">
        <v>7924</v>
      </c>
      <c r="L3180" s="33" t="s">
        <v>7925</v>
      </c>
      <c r="M3180" s="33" t="s">
        <v>7926</v>
      </c>
      <c r="N3180" s="44">
        <v>42295155</v>
      </c>
      <c r="O3180" s="33" t="s">
        <v>7996</v>
      </c>
      <c r="P3180" s="33" t="s">
        <v>7997</v>
      </c>
      <c r="Q3180" s="34" t="s">
        <v>1494</v>
      </c>
      <c r="R3180" s="34" t="s">
        <v>1494</v>
      </c>
    </row>
    <row r="3181" spans="1:18" ht="15" customHeight="1" x14ac:dyDescent="0.25">
      <c r="A3181" t="str">
        <f>IFERROR(RANK(B3181,$B:$B,1)+COUNTIF($B$1:B3180,B3181),"")</f>
        <v/>
      </c>
      <c r="B3181" t="str">
        <f>IFERROR(SEARCH(#REF!,Table4[[#This Row],[Commodity Title]],1),"")</f>
        <v/>
      </c>
      <c r="C3181" s="35">
        <v>42295156</v>
      </c>
      <c r="D3181" s="33" t="s">
        <v>1495</v>
      </c>
      <c r="E3181" s="33" t="s">
        <v>1496</v>
      </c>
      <c r="F3181" s="33" t="s">
        <v>1497</v>
      </c>
      <c r="G3181" s="33" t="s">
        <v>7062</v>
      </c>
      <c r="H3181" s="33" t="s">
        <v>7063</v>
      </c>
      <c r="I3181" s="33" t="s">
        <v>7064</v>
      </c>
      <c r="J3181" s="33">
        <v>203203</v>
      </c>
      <c r="K3181" s="33" t="s">
        <v>7924</v>
      </c>
      <c r="L3181" s="33" t="s">
        <v>7925</v>
      </c>
      <c r="M3181" s="33" t="s">
        <v>7926</v>
      </c>
      <c r="N3181" s="44">
        <v>42295156</v>
      </c>
      <c r="O3181" s="33" t="s">
        <v>7998</v>
      </c>
      <c r="P3181" s="33" t="s">
        <v>7999</v>
      </c>
      <c r="Q3181" s="34" t="s">
        <v>1494</v>
      </c>
      <c r="R3181" s="34" t="s">
        <v>1494</v>
      </c>
    </row>
    <row r="3182" spans="1:18" ht="15" customHeight="1" x14ac:dyDescent="0.25">
      <c r="A3182" t="str">
        <f>IFERROR(RANK(B3182,$B:$B,1)+COUNTIF($B$1:B3181,B3182),"")</f>
        <v/>
      </c>
      <c r="B3182" t="str">
        <f>IFERROR(SEARCH(#REF!,Table4[[#This Row],[Commodity Title]],1),"")</f>
        <v/>
      </c>
      <c r="C3182" s="35">
        <v>42295157</v>
      </c>
      <c r="D3182" s="33" t="s">
        <v>1495</v>
      </c>
      <c r="E3182" s="33" t="s">
        <v>1496</v>
      </c>
      <c r="F3182" s="33" t="s">
        <v>1497</v>
      </c>
      <c r="G3182" s="33" t="s">
        <v>7062</v>
      </c>
      <c r="H3182" s="33" t="s">
        <v>7063</v>
      </c>
      <c r="I3182" s="33" t="s">
        <v>7064</v>
      </c>
      <c r="J3182" s="33">
        <v>203204</v>
      </c>
      <c r="K3182" s="33" t="s">
        <v>7924</v>
      </c>
      <c r="L3182" s="33" t="s">
        <v>7925</v>
      </c>
      <c r="M3182" s="33" t="s">
        <v>7926</v>
      </c>
      <c r="N3182" s="44">
        <v>42295157</v>
      </c>
      <c r="O3182" s="33" t="s">
        <v>8000</v>
      </c>
      <c r="P3182" s="33" t="s">
        <v>8001</v>
      </c>
      <c r="Q3182" s="34" t="s">
        <v>1494</v>
      </c>
      <c r="R3182" s="34" t="s">
        <v>1494</v>
      </c>
    </row>
    <row r="3183" spans="1:18" ht="15" customHeight="1" x14ac:dyDescent="0.25">
      <c r="A3183" t="str">
        <f>IFERROR(RANK(B3183,$B:$B,1)+COUNTIF($B$1:B3182,B3183),"")</f>
        <v/>
      </c>
      <c r="B3183" t="str">
        <f>IFERROR(SEARCH(#REF!,Table4[[#This Row],[Commodity Title]],1),"")</f>
        <v/>
      </c>
      <c r="C3183" s="35">
        <v>42295158</v>
      </c>
      <c r="D3183" s="33" t="s">
        <v>1495</v>
      </c>
      <c r="E3183" s="33" t="s">
        <v>1496</v>
      </c>
      <c r="F3183" s="33" t="s">
        <v>1497</v>
      </c>
      <c r="G3183" s="33" t="s">
        <v>7062</v>
      </c>
      <c r="H3183" s="33" t="s">
        <v>7063</v>
      </c>
      <c r="I3183" s="33" t="s">
        <v>7064</v>
      </c>
      <c r="J3183" s="33">
        <v>203205</v>
      </c>
      <c r="K3183" s="33" t="s">
        <v>7924</v>
      </c>
      <c r="L3183" s="33" t="s">
        <v>7925</v>
      </c>
      <c r="M3183" s="33" t="s">
        <v>7926</v>
      </c>
      <c r="N3183" s="44">
        <v>42295158</v>
      </c>
      <c r="O3183" s="33" t="s">
        <v>8002</v>
      </c>
      <c r="P3183" s="33" t="s">
        <v>8001</v>
      </c>
      <c r="Q3183" s="34" t="s">
        <v>1494</v>
      </c>
      <c r="R3183" s="34" t="s">
        <v>1494</v>
      </c>
    </row>
    <row r="3184" spans="1:18" ht="15" customHeight="1" x14ac:dyDescent="0.25">
      <c r="A3184" t="str">
        <f>IFERROR(RANK(B3184,$B:$B,1)+COUNTIF($B$1:B3183,B3184),"")</f>
        <v/>
      </c>
      <c r="B3184" t="str">
        <f>IFERROR(SEARCH(#REF!,Table4[[#This Row],[Commodity Title]],1),"")</f>
        <v/>
      </c>
      <c r="C3184" s="35">
        <v>42295159</v>
      </c>
      <c r="D3184" s="33" t="s">
        <v>1495</v>
      </c>
      <c r="E3184" s="33" t="s">
        <v>1496</v>
      </c>
      <c r="F3184" s="33" t="s">
        <v>1497</v>
      </c>
      <c r="G3184" s="33" t="s">
        <v>7062</v>
      </c>
      <c r="H3184" s="33" t="s">
        <v>7063</v>
      </c>
      <c r="I3184" s="33" t="s">
        <v>7064</v>
      </c>
      <c r="J3184" s="33">
        <v>203206</v>
      </c>
      <c r="K3184" s="33" t="s">
        <v>7924</v>
      </c>
      <c r="L3184" s="33" t="s">
        <v>7925</v>
      </c>
      <c r="M3184" s="33" t="s">
        <v>7926</v>
      </c>
      <c r="N3184" s="44">
        <v>42295159</v>
      </c>
      <c r="O3184" s="33" t="s">
        <v>8003</v>
      </c>
      <c r="P3184" s="33" t="s">
        <v>8004</v>
      </c>
      <c r="Q3184" s="34" t="s">
        <v>1494</v>
      </c>
      <c r="R3184" s="34" t="s">
        <v>1494</v>
      </c>
    </row>
    <row r="3185" spans="1:18" ht="15" customHeight="1" x14ac:dyDescent="0.25">
      <c r="A3185" t="str">
        <f>IFERROR(RANK(B3185,$B:$B,1)+COUNTIF($B$1:B3184,B3185),"")</f>
        <v/>
      </c>
      <c r="B3185" t="str">
        <f>IFERROR(SEARCH(#REF!,Table4[[#This Row],[Commodity Title]],1),"")</f>
        <v/>
      </c>
      <c r="C3185" s="35">
        <v>42295160</v>
      </c>
      <c r="D3185" s="33" t="s">
        <v>1495</v>
      </c>
      <c r="E3185" s="33" t="s">
        <v>1496</v>
      </c>
      <c r="F3185" s="33" t="s">
        <v>1497</v>
      </c>
      <c r="G3185" s="33" t="s">
        <v>7062</v>
      </c>
      <c r="H3185" s="33" t="s">
        <v>7063</v>
      </c>
      <c r="I3185" s="33" t="s">
        <v>7064</v>
      </c>
      <c r="J3185" s="33">
        <v>203207</v>
      </c>
      <c r="K3185" s="33" t="s">
        <v>7924</v>
      </c>
      <c r="L3185" s="33" t="s">
        <v>7925</v>
      </c>
      <c r="M3185" s="33" t="s">
        <v>7926</v>
      </c>
      <c r="N3185" s="44">
        <v>42295160</v>
      </c>
      <c r="O3185" s="33" t="s">
        <v>8005</v>
      </c>
      <c r="P3185" s="33" t="s">
        <v>8006</v>
      </c>
      <c r="Q3185" s="34" t="s">
        <v>1494</v>
      </c>
      <c r="R3185" s="34" t="s">
        <v>1494</v>
      </c>
    </row>
    <row r="3186" spans="1:18" ht="15" customHeight="1" x14ac:dyDescent="0.25">
      <c r="A3186" t="str">
        <f>IFERROR(RANK(B3186,$B:$B,1)+COUNTIF($B$1:B3185,B3186),"")</f>
        <v/>
      </c>
      <c r="B3186" t="str">
        <f>IFERROR(SEARCH(#REF!,Table4[[#This Row],[Commodity Title]],1),"")</f>
        <v/>
      </c>
      <c r="C3186" s="35">
        <v>42295161</v>
      </c>
      <c r="D3186" s="33" t="s">
        <v>1495</v>
      </c>
      <c r="E3186" s="33" t="s">
        <v>1496</v>
      </c>
      <c r="F3186" s="33" t="s">
        <v>1497</v>
      </c>
      <c r="G3186" s="33" t="s">
        <v>7062</v>
      </c>
      <c r="H3186" s="33" t="s">
        <v>7063</v>
      </c>
      <c r="I3186" s="33" t="s">
        <v>7064</v>
      </c>
      <c r="J3186" s="33">
        <v>203208</v>
      </c>
      <c r="K3186" s="33" t="s">
        <v>7924</v>
      </c>
      <c r="L3186" s="33" t="s">
        <v>7925</v>
      </c>
      <c r="M3186" s="33" t="s">
        <v>7926</v>
      </c>
      <c r="N3186" s="44">
        <v>42295161</v>
      </c>
      <c r="O3186" s="33" t="s">
        <v>8007</v>
      </c>
      <c r="P3186" s="33" t="s">
        <v>8008</v>
      </c>
      <c r="Q3186" s="34" t="s">
        <v>1494</v>
      </c>
      <c r="R3186" s="34" t="s">
        <v>1494</v>
      </c>
    </row>
    <row r="3187" spans="1:18" ht="15" customHeight="1" x14ac:dyDescent="0.25">
      <c r="A3187" t="str">
        <f>IFERROR(RANK(B3187,$B:$B,1)+COUNTIF($B$1:B3186,B3187),"")</f>
        <v/>
      </c>
      <c r="B3187" t="str">
        <f>IFERROR(SEARCH(#REF!,Table4[[#This Row],[Commodity Title]],1),"")</f>
        <v/>
      </c>
      <c r="C3187" s="35">
        <v>42295162</v>
      </c>
      <c r="D3187" s="33" t="s">
        <v>1495</v>
      </c>
      <c r="E3187" s="33" t="s">
        <v>1496</v>
      </c>
      <c r="F3187" s="33" t="s">
        <v>1497</v>
      </c>
      <c r="G3187" s="33" t="s">
        <v>7062</v>
      </c>
      <c r="H3187" s="33" t="s">
        <v>7063</v>
      </c>
      <c r="I3187" s="33" t="s">
        <v>7064</v>
      </c>
      <c r="J3187" s="33">
        <v>203209</v>
      </c>
      <c r="K3187" s="33" t="s">
        <v>7924</v>
      </c>
      <c r="L3187" s="33" t="s">
        <v>7925</v>
      </c>
      <c r="M3187" s="33" t="s">
        <v>7926</v>
      </c>
      <c r="N3187" s="44">
        <v>42295162</v>
      </c>
      <c r="O3187" s="33" t="s">
        <v>8009</v>
      </c>
      <c r="P3187" s="33" t="s">
        <v>8010</v>
      </c>
      <c r="Q3187" s="34" t="s">
        <v>1494</v>
      </c>
      <c r="R3187" s="34" t="s">
        <v>1494</v>
      </c>
    </row>
    <row r="3188" spans="1:18" ht="15" customHeight="1" x14ac:dyDescent="0.25">
      <c r="A3188" t="str">
        <f>IFERROR(RANK(B3188,$B:$B,1)+COUNTIF($B$1:B3187,B3188),"")</f>
        <v/>
      </c>
      <c r="B3188" t="str">
        <f>IFERROR(SEARCH(#REF!,Table4[[#This Row],[Commodity Title]],1),"")</f>
        <v/>
      </c>
      <c r="C3188" s="35">
        <v>42295163</v>
      </c>
      <c r="D3188" s="33" t="s">
        <v>1495</v>
      </c>
      <c r="E3188" s="33" t="s">
        <v>1496</v>
      </c>
      <c r="F3188" s="33" t="s">
        <v>1497</v>
      </c>
      <c r="G3188" s="33" t="s">
        <v>7062</v>
      </c>
      <c r="H3188" s="33" t="s">
        <v>7063</v>
      </c>
      <c r="I3188" s="33" t="s">
        <v>7064</v>
      </c>
      <c r="J3188" s="33">
        <v>203210</v>
      </c>
      <c r="K3188" s="33" t="s">
        <v>7924</v>
      </c>
      <c r="L3188" s="33" t="s">
        <v>7925</v>
      </c>
      <c r="M3188" s="33" t="s">
        <v>7926</v>
      </c>
      <c r="N3188" s="44">
        <v>42295163</v>
      </c>
      <c r="O3188" s="33" t="s">
        <v>8011</v>
      </c>
      <c r="P3188" s="33" t="s">
        <v>8012</v>
      </c>
      <c r="Q3188" s="34" t="s">
        <v>1494</v>
      </c>
      <c r="R3188" s="34" t="s">
        <v>1494</v>
      </c>
    </row>
    <row r="3189" spans="1:18" ht="15" customHeight="1" x14ac:dyDescent="0.25">
      <c r="A3189" t="str">
        <f>IFERROR(RANK(B3189,$B:$B,1)+COUNTIF($B$1:B3188,B3189),"")</f>
        <v/>
      </c>
      <c r="B3189" t="str">
        <f>IFERROR(SEARCH(#REF!,Table4[[#This Row],[Commodity Title]],1),"")</f>
        <v/>
      </c>
      <c r="C3189" s="35">
        <v>42295164</v>
      </c>
      <c r="D3189" s="33" t="s">
        <v>1495</v>
      </c>
      <c r="E3189" s="33" t="s">
        <v>1496</v>
      </c>
      <c r="F3189" s="33" t="s">
        <v>1497</v>
      </c>
      <c r="G3189" s="33" t="s">
        <v>7062</v>
      </c>
      <c r="H3189" s="33" t="s">
        <v>7063</v>
      </c>
      <c r="I3189" s="33" t="s">
        <v>7064</v>
      </c>
      <c r="J3189" s="33">
        <v>203211</v>
      </c>
      <c r="K3189" s="33" t="s">
        <v>7924</v>
      </c>
      <c r="L3189" s="33" t="s">
        <v>7925</v>
      </c>
      <c r="M3189" s="33" t="s">
        <v>7926</v>
      </c>
      <c r="N3189" s="44">
        <v>42295164</v>
      </c>
      <c r="O3189" s="33" t="s">
        <v>8013</v>
      </c>
      <c r="P3189" s="33" t="s">
        <v>8014</v>
      </c>
      <c r="Q3189" s="34" t="s">
        <v>1494</v>
      </c>
      <c r="R3189" s="34" t="s">
        <v>1494</v>
      </c>
    </row>
    <row r="3190" spans="1:18" ht="15" customHeight="1" x14ac:dyDescent="0.25">
      <c r="A3190" t="str">
        <f>IFERROR(RANK(B3190,$B:$B,1)+COUNTIF($B$1:B3189,B3190),"")</f>
        <v/>
      </c>
      <c r="B3190" t="str">
        <f>IFERROR(SEARCH(#REF!,Table4[[#This Row],[Commodity Title]],1),"")</f>
        <v/>
      </c>
      <c r="C3190" s="35">
        <v>42295165</v>
      </c>
      <c r="D3190" s="33" t="s">
        <v>1495</v>
      </c>
      <c r="E3190" s="33" t="s">
        <v>1496</v>
      </c>
      <c r="F3190" s="33" t="s">
        <v>1497</v>
      </c>
      <c r="G3190" s="33" t="s">
        <v>7062</v>
      </c>
      <c r="H3190" s="33" t="s">
        <v>7063</v>
      </c>
      <c r="I3190" s="33" t="s">
        <v>7064</v>
      </c>
      <c r="J3190" s="33">
        <v>203212</v>
      </c>
      <c r="K3190" s="33" t="s">
        <v>7924</v>
      </c>
      <c r="L3190" s="33" t="s">
        <v>7925</v>
      </c>
      <c r="M3190" s="33" t="s">
        <v>7926</v>
      </c>
      <c r="N3190" s="44">
        <v>42295165</v>
      </c>
      <c r="O3190" s="33" t="s">
        <v>8015</v>
      </c>
      <c r="P3190" s="33" t="s">
        <v>8016</v>
      </c>
      <c r="Q3190" s="34" t="s">
        <v>1494</v>
      </c>
      <c r="R3190" s="34" t="s">
        <v>1494</v>
      </c>
    </row>
    <row r="3191" spans="1:18" ht="15" customHeight="1" x14ac:dyDescent="0.25">
      <c r="A3191" t="str">
        <f>IFERROR(RANK(B3191,$B:$B,1)+COUNTIF($B$1:B3190,B3191),"")</f>
        <v/>
      </c>
      <c r="B3191" t="str">
        <f>IFERROR(SEARCH(#REF!,Table4[[#This Row],[Commodity Title]],1),"")</f>
        <v/>
      </c>
      <c r="C3191" s="35">
        <v>42295166</v>
      </c>
      <c r="D3191" s="33" t="s">
        <v>1495</v>
      </c>
      <c r="E3191" s="33" t="s">
        <v>1496</v>
      </c>
      <c r="F3191" s="33" t="s">
        <v>1497</v>
      </c>
      <c r="G3191" s="33" t="s">
        <v>7062</v>
      </c>
      <c r="H3191" s="33" t="s">
        <v>7063</v>
      </c>
      <c r="I3191" s="33" t="s">
        <v>7064</v>
      </c>
      <c r="J3191" s="33">
        <v>203213</v>
      </c>
      <c r="K3191" s="33" t="s">
        <v>7924</v>
      </c>
      <c r="L3191" s="33" t="s">
        <v>7925</v>
      </c>
      <c r="M3191" s="33" t="s">
        <v>7926</v>
      </c>
      <c r="N3191" s="44">
        <v>42295166</v>
      </c>
      <c r="O3191" s="33" t="s">
        <v>8017</v>
      </c>
      <c r="P3191" s="33" t="s">
        <v>8018</v>
      </c>
      <c r="Q3191" s="34" t="s">
        <v>1494</v>
      </c>
      <c r="R3191" s="34" t="s">
        <v>1494</v>
      </c>
    </row>
    <row r="3192" spans="1:18" ht="15" customHeight="1" x14ac:dyDescent="0.25">
      <c r="A3192" t="str">
        <f>IFERROR(RANK(B3192,$B:$B,1)+COUNTIF($B$1:B3191,B3192),"")</f>
        <v/>
      </c>
      <c r="B3192" t="str">
        <f>IFERROR(SEARCH(#REF!,Table4[[#This Row],[Commodity Title]],1),"")</f>
        <v/>
      </c>
      <c r="C3192" s="35">
        <v>42295167</v>
      </c>
      <c r="D3192" s="33" t="s">
        <v>1495</v>
      </c>
      <c r="E3192" s="33" t="s">
        <v>1496</v>
      </c>
      <c r="F3192" s="33" t="s">
        <v>1497</v>
      </c>
      <c r="G3192" s="33" t="s">
        <v>7062</v>
      </c>
      <c r="H3192" s="33" t="s">
        <v>7063</v>
      </c>
      <c r="I3192" s="33" t="s">
        <v>7064</v>
      </c>
      <c r="J3192" s="33">
        <v>203214</v>
      </c>
      <c r="K3192" s="33" t="s">
        <v>7924</v>
      </c>
      <c r="L3192" s="33" t="s">
        <v>7925</v>
      </c>
      <c r="M3192" s="33" t="s">
        <v>7926</v>
      </c>
      <c r="N3192" s="44">
        <v>42295167</v>
      </c>
      <c r="O3192" s="33" t="s">
        <v>8019</v>
      </c>
      <c r="P3192" s="33" t="s">
        <v>8020</v>
      </c>
      <c r="Q3192" s="34" t="s">
        <v>1494</v>
      </c>
      <c r="R3192" s="34" t="s">
        <v>1494</v>
      </c>
    </row>
    <row r="3193" spans="1:18" ht="15" customHeight="1" x14ac:dyDescent="0.25">
      <c r="A3193" t="str">
        <f>IFERROR(RANK(B3193,$B:$B,1)+COUNTIF($B$1:B3192,B3193),"")</f>
        <v/>
      </c>
      <c r="B3193" t="str">
        <f>IFERROR(SEARCH(#REF!,Table4[[#This Row],[Commodity Title]],1),"")</f>
        <v/>
      </c>
      <c r="C3193" s="35">
        <v>42295168</v>
      </c>
      <c r="D3193" s="33" t="s">
        <v>1495</v>
      </c>
      <c r="E3193" s="33" t="s">
        <v>1496</v>
      </c>
      <c r="F3193" s="33" t="s">
        <v>1497</v>
      </c>
      <c r="G3193" s="33" t="s">
        <v>7062</v>
      </c>
      <c r="H3193" s="33" t="s">
        <v>7063</v>
      </c>
      <c r="I3193" s="33" t="s">
        <v>7064</v>
      </c>
      <c r="J3193" s="33">
        <v>203215</v>
      </c>
      <c r="K3193" s="33" t="s">
        <v>7924</v>
      </c>
      <c r="L3193" s="33" t="s">
        <v>7925</v>
      </c>
      <c r="M3193" s="33" t="s">
        <v>7926</v>
      </c>
      <c r="N3193" s="44">
        <v>42295168</v>
      </c>
      <c r="O3193" s="33" t="s">
        <v>8021</v>
      </c>
      <c r="P3193" s="33" t="s">
        <v>8022</v>
      </c>
      <c r="Q3193" s="34" t="s">
        <v>1494</v>
      </c>
      <c r="R3193" s="34" t="s">
        <v>1494</v>
      </c>
    </row>
    <row r="3194" spans="1:18" ht="15" customHeight="1" x14ac:dyDescent="0.25">
      <c r="A3194" t="str">
        <f>IFERROR(RANK(B3194,$B:$B,1)+COUNTIF($B$1:B3193,B3194),"")</f>
        <v/>
      </c>
      <c r="B3194" t="str">
        <f>IFERROR(SEARCH(#REF!,Table4[[#This Row],[Commodity Title]],1),"")</f>
        <v/>
      </c>
      <c r="C3194" s="35">
        <v>42295169</v>
      </c>
      <c r="D3194" s="33" t="s">
        <v>1495</v>
      </c>
      <c r="E3194" s="33" t="s">
        <v>1496</v>
      </c>
      <c r="F3194" s="33" t="s">
        <v>1497</v>
      </c>
      <c r="G3194" s="33" t="s">
        <v>7062</v>
      </c>
      <c r="H3194" s="33" t="s">
        <v>7063</v>
      </c>
      <c r="I3194" s="33" t="s">
        <v>7064</v>
      </c>
      <c r="J3194" s="33">
        <v>203216</v>
      </c>
      <c r="K3194" s="33" t="s">
        <v>7924</v>
      </c>
      <c r="L3194" s="33" t="s">
        <v>7925</v>
      </c>
      <c r="M3194" s="33" t="s">
        <v>7926</v>
      </c>
      <c r="N3194" s="44">
        <v>42295169</v>
      </c>
      <c r="O3194" s="33" t="s">
        <v>8023</v>
      </c>
      <c r="P3194" s="33" t="s">
        <v>8024</v>
      </c>
      <c r="Q3194" s="34" t="s">
        <v>1494</v>
      </c>
      <c r="R3194" s="34" t="s">
        <v>1494</v>
      </c>
    </row>
    <row r="3195" spans="1:18" ht="15" customHeight="1" x14ac:dyDescent="0.25">
      <c r="A3195" t="str">
        <f>IFERROR(RANK(B3195,$B:$B,1)+COUNTIF($B$1:B3194,B3195),"")</f>
        <v/>
      </c>
      <c r="B3195" t="str">
        <f>IFERROR(SEARCH(#REF!,Table4[[#This Row],[Commodity Title]],1),"")</f>
        <v/>
      </c>
      <c r="C3195" s="35">
        <v>42295170</v>
      </c>
      <c r="D3195" s="33" t="s">
        <v>1495</v>
      </c>
      <c r="E3195" s="33" t="s">
        <v>1496</v>
      </c>
      <c r="F3195" s="33" t="s">
        <v>1497</v>
      </c>
      <c r="G3195" s="33" t="s">
        <v>7062</v>
      </c>
      <c r="H3195" s="33" t="s">
        <v>7063</v>
      </c>
      <c r="I3195" s="33" t="s">
        <v>7064</v>
      </c>
      <c r="J3195" s="33">
        <v>203217</v>
      </c>
      <c r="K3195" s="33" t="s">
        <v>7924</v>
      </c>
      <c r="L3195" s="33" t="s">
        <v>7925</v>
      </c>
      <c r="M3195" s="33" t="s">
        <v>7926</v>
      </c>
      <c r="N3195" s="44">
        <v>42295170</v>
      </c>
      <c r="O3195" s="33" t="s">
        <v>8025</v>
      </c>
      <c r="P3195" s="33" t="s">
        <v>8026</v>
      </c>
      <c r="Q3195" s="34" t="s">
        <v>1494</v>
      </c>
      <c r="R3195" s="34" t="s">
        <v>1494</v>
      </c>
    </row>
    <row r="3196" spans="1:18" ht="15" customHeight="1" x14ac:dyDescent="0.25">
      <c r="A3196" t="str">
        <f>IFERROR(RANK(B3196,$B:$B,1)+COUNTIF($B$1:B3195,B3196),"")</f>
        <v/>
      </c>
      <c r="B3196" t="str">
        <f>IFERROR(SEARCH(#REF!,Table4[[#This Row],[Commodity Title]],1),"")</f>
        <v/>
      </c>
      <c r="C3196" s="35">
        <v>42295171</v>
      </c>
      <c r="D3196" s="33" t="s">
        <v>1495</v>
      </c>
      <c r="E3196" s="33" t="s">
        <v>1496</v>
      </c>
      <c r="F3196" s="33" t="s">
        <v>1497</v>
      </c>
      <c r="G3196" s="33" t="s">
        <v>7062</v>
      </c>
      <c r="H3196" s="33" t="s">
        <v>7063</v>
      </c>
      <c r="I3196" s="33" t="s">
        <v>7064</v>
      </c>
      <c r="J3196" s="33">
        <v>203218</v>
      </c>
      <c r="K3196" s="33" t="s">
        <v>7924</v>
      </c>
      <c r="L3196" s="33" t="s">
        <v>7925</v>
      </c>
      <c r="M3196" s="33" t="s">
        <v>7926</v>
      </c>
      <c r="N3196" s="44">
        <v>42295171</v>
      </c>
      <c r="O3196" s="33" t="s">
        <v>8027</v>
      </c>
      <c r="P3196" s="33" t="s">
        <v>8028</v>
      </c>
      <c r="Q3196" s="34" t="s">
        <v>1494</v>
      </c>
      <c r="R3196" s="34" t="s">
        <v>1494</v>
      </c>
    </row>
    <row r="3197" spans="1:18" ht="15" customHeight="1" x14ac:dyDescent="0.25">
      <c r="A3197" t="str">
        <f>IFERROR(RANK(B3197,$B:$B,1)+COUNTIF($B$1:B3196,B3197),"")</f>
        <v/>
      </c>
      <c r="B3197" t="str">
        <f>IFERROR(SEARCH(#REF!,Table4[[#This Row],[Commodity Title]],1),"")</f>
        <v/>
      </c>
      <c r="C3197" s="35">
        <v>42295172</v>
      </c>
      <c r="D3197" s="33" t="s">
        <v>1495</v>
      </c>
      <c r="E3197" s="33" t="s">
        <v>1496</v>
      </c>
      <c r="F3197" s="33" t="s">
        <v>1497</v>
      </c>
      <c r="G3197" s="33" t="s">
        <v>7062</v>
      </c>
      <c r="H3197" s="33" t="s">
        <v>7063</v>
      </c>
      <c r="I3197" s="33" t="s">
        <v>7064</v>
      </c>
      <c r="J3197" s="33">
        <v>203219</v>
      </c>
      <c r="K3197" s="33" t="s">
        <v>7924</v>
      </c>
      <c r="L3197" s="33" t="s">
        <v>7925</v>
      </c>
      <c r="M3197" s="33" t="s">
        <v>7926</v>
      </c>
      <c r="N3197" s="44">
        <v>42295172</v>
      </c>
      <c r="O3197" s="33" t="s">
        <v>8029</v>
      </c>
      <c r="P3197" s="33" t="s">
        <v>8030</v>
      </c>
      <c r="Q3197" s="34" t="s">
        <v>1494</v>
      </c>
      <c r="R3197" s="34" t="s">
        <v>1494</v>
      </c>
    </row>
    <row r="3198" spans="1:18" ht="15" customHeight="1" x14ac:dyDescent="0.25">
      <c r="A3198" t="str">
        <f>IFERROR(RANK(B3198,$B:$B,1)+COUNTIF($B$1:B3197,B3198),"")</f>
        <v/>
      </c>
      <c r="B3198" t="str">
        <f>IFERROR(SEARCH(#REF!,Table4[[#This Row],[Commodity Title]],1),"")</f>
        <v/>
      </c>
      <c r="C3198" s="35">
        <v>42295173</v>
      </c>
      <c r="D3198" s="33" t="s">
        <v>1495</v>
      </c>
      <c r="E3198" s="33" t="s">
        <v>1496</v>
      </c>
      <c r="F3198" s="33" t="s">
        <v>1497</v>
      </c>
      <c r="G3198" s="33" t="s">
        <v>7062</v>
      </c>
      <c r="H3198" s="33" t="s">
        <v>7063</v>
      </c>
      <c r="I3198" s="33" t="s">
        <v>7064</v>
      </c>
      <c r="J3198" s="33">
        <v>203220</v>
      </c>
      <c r="K3198" s="33" t="s">
        <v>7924</v>
      </c>
      <c r="L3198" s="33" t="s">
        <v>7925</v>
      </c>
      <c r="M3198" s="33" t="s">
        <v>7926</v>
      </c>
      <c r="N3198" s="44">
        <v>42295173</v>
      </c>
      <c r="O3198" s="33" t="s">
        <v>8031</v>
      </c>
      <c r="P3198" s="33" t="s">
        <v>8032</v>
      </c>
      <c r="Q3198" s="34" t="s">
        <v>1494</v>
      </c>
      <c r="R3198" s="34" t="s">
        <v>1494</v>
      </c>
    </row>
    <row r="3199" spans="1:18" ht="15" customHeight="1" x14ac:dyDescent="0.25">
      <c r="A3199" t="str">
        <f>IFERROR(RANK(B3199,$B:$B,1)+COUNTIF($B$1:B3198,B3199),"")</f>
        <v/>
      </c>
      <c r="B3199" t="str">
        <f>IFERROR(SEARCH(#REF!,Table4[[#This Row],[Commodity Title]],1),"")</f>
        <v/>
      </c>
      <c r="C3199" s="35">
        <v>42295174</v>
      </c>
      <c r="D3199" s="33" t="s">
        <v>1495</v>
      </c>
      <c r="E3199" s="33" t="s">
        <v>1496</v>
      </c>
      <c r="F3199" s="33" t="s">
        <v>1497</v>
      </c>
      <c r="G3199" s="33" t="s">
        <v>7062</v>
      </c>
      <c r="H3199" s="33" t="s">
        <v>7063</v>
      </c>
      <c r="I3199" s="33" t="s">
        <v>7064</v>
      </c>
      <c r="J3199" s="33">
        <v>142752</v>
      </c>
      <c r="K3199" s="33" t="s">
        <v>7924</v>
      </c>
      <c r="L3199" s="33" t="s">
        <v>7925</v>
      </c>
      <c r="M3199" s="33" t="s">
        <v>7926</v>
      </c>
      <c r="N3199" s="44">
        <v>42295174</v>
      </c>
      <c r="O3199" s="33" t="s">
        <v>8033</v>
      </c>
      <c r="P3199" s="33" t="s">
        <v>8034</v>
      </c>
      <c r="Q3199" s="34" t="s">
        <v>1494</v>
      </c>
      <c r="R3199" s="34" t="s">
        <v>1494</v>
      </c>
    </row>
    <row r="3200" spans="1:18" ht="15" customHeight="1" x14ac:dyDescent="0.25">
      <c r="A3200" t="str">
        <f>IFERROR(RANK(B3200,$B:$B,1)+COUNTIF($B$1:B3199,B3200),"")</f>
        <v/>
      </c>
      <c r="B3200" t="str">
        <f>IFERROR(SEARCH(#REF!,Table4[[#This Row],[Commodity Title]],1),"")</f>
        <v/>
      </c>
      <c r="C3200" s="33" t="s">
        <v>1494</v>
      </c>
      <c r="D3200" s="33" t="s">
        <v>1495</v>
      </c>
      <c r="E3200" s="33" t="s">
        <v>1496</v>
      </c>
      <c r="F3200" s="33" t="s">
        <v>1497</v>
      </c>
      <c r="G3200" s="33" t="s">
        <v>7062</v>
      </c>
      <c r="H3200" s="33" t="s">
        <v>7063</v>
      </c>
      <c r="I3200" s="33" t="s">
        <v>7064</v>
      </c>
      <c r="J3200" s="33">
        <v>116411</v>
      </c>
      <c r="K3200" s="33" t="s">
        <v>8035</v>
      </c>
      <c r="L3200" s="33" t="s">
        <v>8036</v>
      </c>
      <c r="M3200" s="33" t="s">
        <v>8037</v>
      </c>
      <c r="N3200" s="44" t="s">
        <v>1494</v>
      </c>
      <c r="O3200" s="33" t="s">
        <v>1494</v>
      </c>
      <c r="P3200" s="33" t="s">
        <v>1494</v>
      </c>
      <c r="Q3200" s="34" t="s">
        <v>1494</v>
      </c>
      <c r="R3200" s="34" t="s">
        <v>1494</v>
      </c>
    </row>
    <row r="3201" spans="1:18" ht="15" customHeight="1" x14ac:dyDescent="0.25">
      <c r="A3201" t="str">
        <f>IFERROR(RANK(B3201,$B:$B,1)+COUNTIF($B$1:B3200,B3201),"")</f>
        <v/>
      </c>
      <c r="B3201" t="str">
        <f>IFERROR(SEARCH(#REF!,Table4[[#This Row],[Commodity Title]],1),"")</f>
        <v/>
      </c>
      <c r="C3201" s="35">
        <v>42295201</v>
      </c>
      <c r="D3201" s="33" t="s">
        <v>1495</v>
      </c>
      <c r="E3201" s="33" t="s">
        <v>1496</v>
      </c>
      <c r="F3201" s="33" t="s">
        <v>1497</v>
      </c>
      <c r="G3201" s="33" t="s">
        <v>7062</v>
      </c>
      <c r="H3201" s="33" t="s">
        <v>7063</v>
      </c>
      <c r="I3201" s="33" t="s">
        <v>7064</v>
      </c>
      <c r="J3201" s="33">
        <v>116412</v>
      </c>
      <c r="K3201" s="33" t="s">
        <v>8035</v>
      </c>
      <c r="L3201" s="33" t="s">
        <v>8036</v>
      </c>
      <c r="M3201" s="33" t="s">
        <v>8037</v>
      </c>
      <c r="N3201" s="44">
        <v>42295201</v>
      </c>
      <c r="O3201" s="33" t="s">
        <v>8038</v>
      </c>
      <c r="P3201" s="33" t="s">
        <v>8039</v>
      </c>
      <c r="Q3201" s="34" t="s">
        <v>1494</v>
      </c>
      <c r="R3201" s="34" t="s">
        <v>1494</v>
      </c>
    </row>
    <row r="3202" spans="1:18" ht="15" customHeight="1" x14ac:dyDescent="0.25">
      <c r="A3202" t="str">
        <f>IFERROR(RANK(B3202,$B:$B,1)+COUNTIF($B$1:B3201,B3202),"")</f>
        <v/>
      </c>
      <c r="B3202" t="str">
        <f>IFERROR(SEARCH(#REF!,Table4[[#This Row],[Commodity Title]],1),"")</f>
        <v/>
      </c>
      <c r="C3202" s="35">
        <v>42295202</v>
      </c>
      <c r="D3202" s="33" t="s">
        <v>1495</v>
      </c>
      <c r="E3202" s="33" t="s">
        <v>1496</v>
      </c>
      <c r="F3202" s="33" t="s">
        <v>1497</v>
      </c>
      <c r="G3202" s="33" t="s">
        <v>7062</v>
      </c>
      <c r="H3202" s="33" t="s">
        <v>7063</v>
      </c>
      <c r="I3202" s="33" t="s">
        <v>7064</v>
      </c>
      <c r="J3202" s="33">
        <v>116413</v>
      </c>
      <c r="K3202" s="33" t="s">
        <v>8035</v>
      </c>
      <c r="L3202" s="33" t="s">
        <v>8036</v>
      </c>
      <c r="M3202" s="33" t="s">
        <v>8037</v>
      </c>
      <c r="N3202" s="44">
        <v>42295202</v>
      </c>
      <c r="O3202" s="33" t="s">
        <v>8040</v>
      </c>
      <c r="P3202" s="33" t="s">
        <v>8041</v>
      </c>
      <c r="Q3202" s="34" t="s">
        <v>1494</v>
      </c>
      <c r="R3202" s="34" t="s">
        <v>1494</v>
      </c>
    </row>
    <row r="3203" spans="1:18" ht="15" customHeight="1" x14ac:dyDescent="0.25">
      <c r="A3203" t="str">
        <f>IFERROR(RANK(B3203,$B:$B,1)+COUNTIF($B$1:B3202,B3203),"")</f>
        <v/>
      </c>
      <c r="B3203" t="str">
        <f>IFERROR(SEARCH(#REF!,Table4[[#This Row],[Commodity Title]],1),"")</f>
        <v/>
      </c>
      <c r="C3203" s="35">
        <v>42295203</v>
      </c>
      <c r="D3203" s="33" t="s">
        <v>1495</v>
      </c>
      <c r="E3203" s="33" t="s">
        <v>1496</v>
      </c>
      <c r="F3203" s="33" t="s">
        <v>1497</v>
      </c>
      <c r="G3203" s="33" t="s">
        <v>7062</v>
      </c>
      <c r="H3203" s="33" t="s">
        <v>7063</v>
      </c>
      <c r="I3203" s="33" t="s">
        <v>7064</v>
      </c>
      <c r="J3203" s="33">
        <v>116414</v>
      </c>
      <c r="K3203" s="33" t="s">
        <v>8035</v>
      </c>
      <c r="L3203" s="33" t="s">
        <v>8036</v>
      </c>
      <c r="M3203" s="33" t="s">
        <v>8037</v>
      </c>
      <c r="N3203" s="44">
        <v>42295203</v>
      </c>
      <c r="O3203" s="33" t="s">
        <v>8</v>
      </c>
      <c r="P3203" s="33" t="s">
        <v>8042</v>
      </c>
      <c r="Q3203" s="34" t="s">
        <v>1494</v>
      </c>
      <c r="R3203" s="34" t="s">
        <v>1494</v>
      </c>
    </row>
    <row r="3204" spans="1:18" ht="15" customHeight="1" x14ac:dyDescent="0.25">
      <c r="A3204" t="str">
        <f>IFERROR(RANK(B3204,$B:$B,1)+COUNTIF($B$1:B3203,B3204),"")</f>
        <v/>
      </c>
      <c r="B3204" t="str">
        <f>IFERROR(SEARCH(#REF!,Table4[[#This Row],[Commodity Title]],1),"")</f>
        <v/>
      </c>
      <c r="C3204" s="35">
        <v>42295204</v>
      </c>
      <c r="D3204" s="33" t="s">
        <v>1495</v>
      </c>
      <c r="E3204" s="33" t="s">
        <v>1496</v>
      </c>
      <c r="F3204" s="33" t="s">
        <v>1497</v>
      </c>
      <c r="G3204" s="33" t="s">
        <v>7062</v>
      </c>
      <c r="H3204" s="33" t="s">
        <v>7063</v>
      </c>
      <c r="I3204" s="33" t="s">
        <v>7064</v>
      </c>
      <c r="J3204" s="33">
        <v>116415</v>
      </c>
      <c r="K3204" s="33" t="s">
        <v>8035</v>
      </c>
      <c r="L3204" s="33" t="s">
        <v>8036</v>
      </c>
      <c r="M3204" s="33" t="s">
        <v>8037</v>
      </c>
      <c r="N3204" s="44">
        <v>42295204</v>
      </c>
      <c r="O3204" s="33" t="s">
        <v>8043</v>
      </c>
      <c r="P3204" s="33" t="s">
        <v>8044</v>
      </c>
      <c r="Q3204" s="34" t="s">
        <v>1494</v>
      </c>
      <c r="R3204" s="34" t="s">
        <v>1494</v>
      </c>
    </row>
    <row r="3205" spans="1:18" ht="15" customHeight="1" x14ac:dyDescent="0.25">
      <c r="A3205" t="str">
        <f>IFERROR(RANK(B3205,$B:$B,1)+COUNTIF($B$1:B3204,B3205),"")</f>
        <v/>
      </c>
      <c r="B3205" t="str">
        <f>IFERROR(SEARCH(#REF!,Table4[[#This Row],[Commodity Title]],1),"")</f>
        <v/>
      </c>
      <c r="C3205" s="35">
        <v>42295205</v>
      </c>
      <c r="D3205" s="33" t="s">
        <v>1495</v>
      </c>
      <c r="E3205" s="33" t="s">
        <v>1496</v>
      </c>
      <c r="F3205" s="33" t="s">
        <v>1497</v>
      </c>
      <c r="G3205" s="33" t="s">
        <v>7062</v>
      </c>
      <c r="H3205" s="33" t="s">
        <v>7063</v>
      </c>
      <c r="I3205" s="33" t="s">
        <v>7064</v>
      </c>
      <c r="J3205" s="33">
        <v>116416</v>
      </c>
      <c r="K3205" s="33" t="s">
        <v>8035</v>
      </c>
      <c r="L3205" s="33" t="s">
        <v>8036</v>
      </c>
      <c r="M3205" s="33" t="s">
        <v>8037</v>
      </c>
      <c r="N3205" s="44">
        <v>42295205</v>
      </c>
      <c r="O3205" s="33" t="s">
        <v>8045</v>
      </c>
      <c r="P3205" s="33" t="s">
        <v>8046</v>
      </c>
      <c r="Q3205" s="34" t="s">
        <v>1494</v>
      </c>
      <c r="R3205" s="34" t="s">
        <v>1494</v>
      </c>
    </row>
    <row r="3206" spans="1:18" ht="15" customHeight="1" x14ac:dyDescent="0.25">
      <c r="A3206" t="str">
        <f>IFERROR(RANK(B3206,$B:$B,1)+COUNTIF($B$1:B3205,B3206),"")</f>
        <v/>
      </c>
      <c r="B3206" t="str">
        <f>IFERROR(SEARCH(#REF!,Table4[[#This Row],[Commodity Title]],1),"")</f>
        <v/>
      </c>
      <c r="C3206" s="35">
        <v>42295207</v>
      </c>
      <c r="D3206" s="33" t="s">
        <v>1495</v>
      </c>
      <c r="E3206" s="33" t="s">
        <v>1496</v>
      </c>
      <c r="F3206" s="33" t="s">
        <v>1497</v>
      </c>
      <c r="G3206" s="33" t="s">
        <v>7062</v>
      </c>
      <c r="H3206" s="33" t="s">
        <v>7063</v>
      </c>
      <c r="I3206" s="33" t="s">
        <v>7064</v>
      </c>
      <c r="J3206" s="33">
        <v>146139</v>
      </c>
      <c r="K3206" s="33" t="s">
        <v>8035</v>
      </c>
      <c r="L3206" s="33" t="s">
        <v>8036</v>
      </c>
      <c r="M3206" s="33" t="s">
        <v>8037</v>
      </c>
      <c r="N3206" s="44">
        <v>42295207</v>
      </c>
      <c r="O3206" s="33" t="s">
        <v>109</v>
      </c>
      <c r="P3206" s="33" t="s">
        <v>8047</v>
      </c>
      <c r="Q3206" s="34" t="s">
        <v>1494</v>
      </c>
      <c r="R3206" s="34" t="s">
        <v>1494</v>
      </c>
    </row>
    <row r="3207" spans="1:18" ht="15" customHeight="1" x14ac:dyDescent="0.25">
      <c r="A3207" t="str">
        <f>IFERROR(RANK(B3207,$B:$B,1)+COUNTIF($B$1:B3206,B3207),"")</f>
        <v/>
      </c>
      <c r="B3207" t="str">
        <f>IFERROR(SEARCH(#REF!,Table4[[#This Row],[Commodity Title]],1),"")</f>
        <v/>
      </c>
      <c r="C3207" s="35">
        <v>42295208</v>
      </c>
      <c r="D3207" s="33" t="s">
        <v>1495</v>
      </c>
      <c r="E3207" s="33" t="s">
        <v>1496</v>
      </c>
      <c r="F3207" s="33" t="s">
        <v>1497</v>
      </c>
      <c r="G3207" s="33" t="s">
        <v>7062</v>
      </c>
      <c r="H3207" s="33" t="s">
        <v>7063</v>
      </c>
      <c r="I3207" s="33" t="s">
        <v>7064</v>
      </c>
      <c r="J3207" s="33">
        <v>203221</v>
      </c>
      <c r="K3207" s="33" t="s">
        <v>8035</v>
      </c>
      <c r="L3207" s="33" t="s">
        <v>8036</v>
      </c>
      <c r="M3207" s="33" t="s">
        <v>8037</v>
      </c>
      <c r="N3207" s="44">
        <v>42295208</v>
      </c>
      <c r="O3207" s="33" t="s">
        <v>8048</v>
      </c>
      <c r="P3207" s="33" t="s">
        <v>8049</v>
      </c>
      <c r="Q3207" s="34" t="s">
        <v>1494</v>
      </c>
      <c r="R3207" s="34" t="s">
        <v>1494</v>
      </c>
    </row>
    <row r="3208" spans="1:18" ht="15" customHeight="1" x14ac:dyDescent="0.25">
      <c r="A3208" t="str">
        <f>IFERROR(RANK(B3208,$B:$B,1)+COUNTIF($B$1:B3207,B3208),"")</f>
        <v/>
      </c>
      <c r="B3208" t="str">
        <f>IFERROR(SEARCH(#REF!,Table4[[#This Row],[Commodity Title]],1),"")</f>
        <v/>
      </c>
      <c r="C3208" s="35">
        <v>42295209</v>
      </c>
      <c r="D3208" s="33" t="s">
        <v>1495</v>
      </c>
      <c r="E3208" s="33" t="s">
        <v>1496</v>
      </c>
      <c r="F3208" s="33" t="s">
        <v>1497</v>
      </c>
      <c r="G3208" s="33" t="s">
        <v>7062</v>
      </c>
      <c r="H3208" s="33" t="s">
        <v>7063</v>
      </c>
      <c r="I3208" s="33" t="s">
        <v>7064</v>
      </c>
      <c r="J3208" s="33">
        <v>203222</v>
      </c>
      <c r="K3208" s="33" t="s">
        <v>8035</v>
      </c>
      <c r="L3208" s="33" t="s">
        <v>8036</v>
      </c>
      <c r="M3208" s="33" t="s">
        <v>8037</v>
      </c>
      <c r="N3208" s="44">
        <v>42295209</v>
      </c>
      <c r="O3208" s="33" t="s">
        <v>8050</v>
      </c>
      <c r="P3208" s="33" t="s">
        <v>8051</v>
      </c>
      <c r="Q3208" s="34" t="s">
        <v>1494</v>
      </c>
      <c r="R3208" s="34" t="s">
        <v>1494</v>
      </c>
    </row>
    <row r="3209" spans="1:18" ht="15" customHeight="1" x14ac:dyDescent="0.25">
      <c r="A3209" t="str">
        <f>IFERROR(RANK(B3209,$B:$B,1)+COUNTIF($B$1:B3208,B3209),"")</f>
        <v/>
      </c>
      <c r="B3209" t="str">
        <f>IFERROR(SEARCH(#REF!,Table4[[#This Row],[Commodity Title]],1),"")</f>
        <v/>
      </c>
      <c r="C3209" s="35">
        <v>42295210</v>
      </c>
      <c r="D3209" s="33" t="s">
        <v>1495</v>
      </c>
      <c r="E3209" s="33" t="s">
        <v>1496</v>
      </c>
      <c r="F3209" s="33" t="s">
        <v>1497</v>
      </c>
      <c r="G3209" s="33" t="s">
        <v>7062</v>
      </c>
      <c r="H3209" s="33" t="s">
        <v>7063</v>
      </c>
      <c r="I3209" s="33" t="s">
        <v>7064</v>
      </c>
      <c r="J3209" s="33">
        <v>203223</v>
      </c>
      <c r="K3209" s="33" t="s">
        <v>8035</v>
      </c>
      <c r="L3209" s="33" t="s">
        <v>8036</v>
      </c>
      <c r="M3209" s="33" t="s">
        <v>8037</v>
      </c>
      <c r="N3209" s="44">
        <v>42295210</v>
      </c>
      <c r="O3209" s="33" t="s">
        <v>8052</v>
      </c>
      <c r="P3209" s="33" t="s">
        <v>8053</v>
      </c>
      <c r="Q3209" s="34" t="s">
        <v>1494</v>
      </c>
      <c r="R3209" s="34" t="s">
        <v>1494</v>
      </c>
    </row>
    <row r="3210" spans="1:18" ht="15" customHeight="1" x14ac:dyDescent="0.25">
      <c r="A3210" t="str">
        <f>IFERROR(RANK(B3210,$B:$B,1)+COUNTIF($B$1:B3209,B3210),"")</f>
        <v/>
      </c>
      <c r="B3210" t="str">
        <f>IFERROR(SEARCH(#REF!,Table4[[#This Row],[Commodity Title]],1),"")</f>
        <v/>
      </c>
      <c r="C3210" s="35">
        <v>42295211</v>
      </c>
      <c r="D3210" s="33" t="s">
        <v>1495</v>
      </c>
      <c r="E3210" s="33" t="s">
        <v>1496</v>
      </c>
      <c r="F3210" s="33" t="s">
        <v>1497</v>
      </c>
      <c r="G3210" s="33" t="s">
        <v>7062</v>
      </c>
      <c r="H3210" s="33" t="s">
        <v>7063</v>
      </c>
      <c r="I3210" s="33" t="s">
        <v>7064</v>
      </c>
      <c r="J3210" s="33">
        <v>203224</v>
      </c>
      <c r="K3210" s="33" t="s">
        <v>8035</v>
      </c>
      <c r="L3210" s="33" t="s">
        <v>8036</v>
      </c>
      <c r="M3210" s="33" t="s">
        <v>8037</v>
      </c>
      <c r="N3210" s="44">
        <v>42295211</v>
      </c>
      <c r="O3210" s="33" t="s">
        <v>8054</v>
      </c>
      <c r="P3210" s="33" t="s">
        <v>8055</v>
      </c>
      <c r="Q3210" s="34" t="s">
        <v>1494</v>
      </c>
      <c r="R3210" s="34" t="s">
        <v>1494</v>
      </c>
    </row>
    <row r="3211" spans="1:18" ht="15" customHeight="1" x14ac:dyDescent="0.25">
      <c r="A3211" t="str">
        <f>IFERROR(RANK(B3211,$B:$B,1)+COUNTIF($B$1:B3210,B3211),"")</f>
        <v/>
      </c>
      <c r="B3211" t="str">
        <f>IFERROR(SEARCH(#REF!,Table4[[#This Row],[Commodity Title]],1),"")</f>
        <v/>
      </c>
      <c r="C3211" s="35">
        <v>42295212</v>
      </c>
      <c r="D3211" s="33" t="s">
        <v>1495</v>
      </c>
      <c r="E3211" s="33" t="s">
        <v>1496</v>
      </c>
      <c r="F3211" s="33" t="s">
        <v>1497</v>
      </c>
      <c r="G3211" s="33" t="s">
        <v>7062</v>
      </c>
      <c r="H3211" s="33" t="s">
        <v>7063</v>
      </c>
      <c r="I3211" s="33" t="s">
        <v>7064</v>
      </c>
      <c r="J3211" s="33">
        <v>203225</v>
      </c>
      <c r="K3211" s="33" t="s">
        <v>8035</v>
      </c>
      <c r="L3211" s="33" t="s">
        <v>8036</v>
      </c>
      <c r="M3211" s="33" t="s">
        <v>8037</v>
      </c>
      <c r="N3211" s="44">
        <v>42295212</v>
      </c>
      <c r="O3211" s="33" t="s">
        <v>8056</v>
      </c>
      <c r="P3211" s="33" t="s">
        <v>8057</v>
      </c>
      <c r="Q3211" s="34" t="s">
        <v>1494</v>
      </c>
      <c r="R3211" s="34" t="s">
        <v>1494</v>
      </c>
    </row>
    <row r="3212" spans="1:18" ht="15" customHeight="1" x14ac:dyDescent="0.25">
      <c r="A3212" t="str">
        <f>IFERROR(RANK(B3212,$B:$B,1)+COUNTIF($B$1:B3211,B3212),"")</f>
        <v/>
      </c>
      <c r="B3212" t="str">
        <f>IFERROR(SEARCH(#REF!,Table4[[#This Row],[Commodity Title]],1),"")</f>
        <v/>
      </c>
      <c r="C3212" s="35">
        <v>42295213</v>
      </c>
      <c r="D3212" s="33" t="s">
        <v>1495</v>
      </c>
      <c r="E3212" s="33" t="s">
        <v>1496</v>
      </c>
      <c r="F3212" s="33" t="s">
        <v>1497</v>
      </c>
      <c r="G3212" s="33" t="s">
        <v>7062</v>
      </c>
      <c r="H3212" s="33" t="s">
        <v>7063</v>
      </c>
      <c r="I3212" s="33" t="s">
        <v>7064</v>
      </c>
      <c r="J3212" s="33">
        <v>203226</v>
      </c>
      <c r="K3212" s="33" t="s">
        <v>8035</v>
      </c>
      <c r="L3212" s="33" t="s">
        <v>8036</v>
      </c>
      <c r="M3212" s="33" t="s">
        <v>8037</v>
      </c>
      <c r="N3212" s="44">
        <v>42295213</v>
      </c>
      <c r="O3212" s="33" t="s">
        <v>8058</v>
      </c>
      <c r="P3212" s="33" t="s">
        <v>8059</v>
      </c>
      <c r="Q3212" s="34" t="s">
        <v>1494</v>
      </c>
      <c r="R3212" s="34" t="s">
        <v>1494</v>
      </c>
    </row>
    <row r="3213" spans="1:18" ht="15" customHeight="1" x14ac:dyDescent="0.25">
      <c r="A3213" t="str">
        <f>IFERROR(RANK(B3213,$B:$B,1)+COUNTIF($B$1:B3212,B3213),"")</f>
        <v/>
      </c>
      <c r="B3213" t="str">
        <f>IFERROR(SEARCH(#REF!,Table4[[#This Row],[Commodity Title]],1),"")</f>
        <v/>
      </c>
      <c r="C3213" s="35">
        <v>42295214</v>
      </c>
      <c r="D3213" s="33" t="s">
        <v>1495</v>
      </c>
      <c r="E3213" s="33" t="s">
        <v>1496</v>
      </c>
      <c r="F3213" s="33" t="s">
        <v>1497</v>
      </c>
      <c r="G3213" s="33" t="s">
        <v>7062</v>
      </c>
      <c r="H3213" s="33" t="s">
        <v>7063</v>
      </c>
      <c r="I3213" s="33" t="s">
        <v>7064</v>
      </c>
      <c r="J3213" s="33">
        <v>203227</v>
      </c>
      <c r="K3213" s="33" t="s">
        <v>8035</v>
      </c>
      <c r="L3213" s="33" t="s">
        <v>8036</v>
      </c>
      <c r="M3213" s="33" t="s">
        <v>8037</v>
      </c>
      <c r="N3213" s="44">
        <v>42295214</v>
      </c>
      <c r="O3213" s="33" t="s">
        <v>8060</v>
      </c>
      <c r="P3213" s="33" t="s">
        <v>8061</v>
      </c>
      <c r="Q3213" s="34" t="s">
        <v>1494</v>
      </c>
      <c r="R3213" s="34" t="s">
        <v>1494</v>
      </c>
    </row>
    <row r="3214" spans="1:18" ht="15" customHeight="1" x14ac:dyDescent="0.25">
      <c r="A3214" t="str">
        <f>IFERROR(RANK(B3214,$B:$B,1)+COUNTIF($B$1:B3213,B3214),"")</f>
        <v/>
      </c>
      <c r="B3214" t="str">
        <f>IFERROR(SEARCH(#REF!,Table4[[#This Row],[Commodity Title]],1),"")</f>
        <v/>
      </c>
      <c r="C3214" s="35">
        <v>42295215</v>
      </c>
      <c r="D3214" s="33" t="s">
        <v>1495</v>
      </c>
      <c r="E3214" s="33" t="s">
        <v>1496</v>
      </c>
      <c r="F3214" s="33" t="s">
        <v>1497</v>
      </c>
      <c r="G3214" s="33" t="s">
        <v>7062</v>
      </c>
      <c r="H3214" s="33" t="s">
        <v>7063</v>
      </c>
      <c r="I3214" s="33" t="s">
        <v>7064</v>
      </c>
      <c r="J3214" s="33">
        <v>203228</v>
      </c>
      <c r="K3214" s="33" t="s">
        <v>8035</v>
      </c>
      <c r="L3214" s="33" t="s">
        <v>8036</v>
      </c>
      <c r="M3214" s="33" t="s">
        <v>8037</v>
      </c>
      <c r="N3214" s="44">
        <v>42295215</v>
      </c>
      <c r="O3214" s="33" t="s">
        <v>8062</v>
      </c>
      <c r="P3214" s="33" t="s">
        <v>8063</v>
      </c>
      <c r="Q3214" s="34" t="s">
        <v>1494</v>
      </c>
      <c r="R3214" s="34" t="s">
        <v>1494</v>
      </c>
    </row>
    <row r="3215" spans="1:18" ht="15" customHeight="1" x14ac:dyDescent="0.25">
      <c r="A3215" t="str">
        <f>IFERROR(RANK(B3215,$B:$B,1)+COUNTIF($B$1:B3214,B3215),"")</f>
        <v/>
      </c>
      <c r="B3215" t="str">
        <f>IFERROR(SEARCH(#REF!,Table4[[#This Row],[Commodity Title]],1),"")</f>
        <v/>
      </c>
      <c r="C3215" s="35">
        <v>42295216</v>
      </c>
      <c r="D3215" s="33" t="s">
        <v>1495</v>
      </c>
      <c r="E3215" s="33" t="s">
        <v>1496</v>
      </c>
      <c r="F3215" s="33" t="s">
        <v>1497</v>
      </c>
      <c r="G3215" s="33" t="s">
        <v>7062</v>
      </c>
      <c r="H3215" s="33" t="s">
        <v>7063</v>
      </c>
      <c r="I3215" s="33" t="s">
        <v>7064</v>
      </c>
      <c r="J3215" s="33">
        <v>203229</v>
      </c>
      <c r="K3215" s="33" t="s">
        <v>8035</v>
      </c>
      <c r="L3215" s="33" t="s">
        <v>8036</v>
      </c>
      <c r="M3215" s="33" t="s">
        <v>8037</v>
      </c>
      <c r="N3215" s="44">
        <v>42295216</v>
      </c>
      <c r="O3215" s="33" t="s">
        <v>8064</v>
      </c>
      <c r="P3215" s="33" t="s">
        <v>8065</v>
      </c>
      <c r="Q3215" s="34" t="s">
        <v>1494</v>
      </c>
      <c r="R3215" s="34" t="s">
        <v>1494</v>
      </c>
    </row>
    <row r="3216" spans="1:18" ht="15" customHeight="1" x14ac:dyDescent="0.25">
      <c r="A3216" t="str">
        <f>IFERROR(RANK(B3216,$B:$B,1)+COUNTIF($B$1:B3215,B3216),"")</f>
        <v/>
      </c>
      <c r="B3216" t="str">
        <f>IFERROR(SEARCH(#REF!,Table4[[#This Row],[Commodity Title]],1),"")</f>
        <v/>
      </c>
      <c r="C3216" s="33" t="s">
        <v>1494</v>
      </c>
      <c r="D3216" s="33" t="s">
        <v>1495</v>
      </c>
      <c r="E3216" s="33" t="s">
        <v>1496</v>
      </c>
      <c r="F3216" s="33" t="s">
        <v>1497</v>
      </c>
      <c r="G3216" s="33" t="s">
        <v>7062</v>
      </c>
      <c r="H3216" s="33" t="s">
        <v>7063</v>
      </c>
      <c r="I3216" s="33" t="s">
        <v>7064</v>
      </c>
      <c r="J3216" s="33">
        <v>116417</v>
      </c>
      <c r="K3216" s="33" t="s">
        <v>8066</v>
      </c>
      <c r="L3216" s="33" t="s">
        <v>8067</v>
      </c>
      <c r="M3216" s="33" t="s">
        <v>8068</v>
      </c>
      <c r="N3216" s="44" t="s">
        <v>1494</v>
      </c>
      <c r="O3216" s="33" t="s">
        <v>1494</v>
      </c>
      <c r="P3216" s="33" t="s">
        <v>1494</v>
      </c>
      <c r="Q3216" s="34" t="s">
        <v>1494</v>
      </c>
      <c r="R3216" s="34" t="s">
        <v>1494</v>
      </c>
    </row>
    <row r="3217" spans="1:18" ht="15" customHeight="1" x14ac:dyDescent="0.25">
      <c r="A3217" t="str">
        <f>IFERROR(RANK(B3217,$B:$B,1)+COUNTIF($B$1:B3216,B3217),"")</f>
        <v/>
      </c>
      <c r="B3217" t="str">
        <f>IFERROR(SEARCH(#REF!,Table4[[#This Row],[Commodity Title]],1),"")</f>
        <v/>
      </c>
      <c r="C3217" s="35">
        <v>42295301</v>
      </c>
      <c r="D3217" s="33" t="s">
        <v>1495</v>
      </c>
      <c r="E3217" s="33" t="s">
        <v>1496</v>
      </c>
      <c r="F3217" s="33" t="s">
        <v>1497</v>
      </c>
      <c r="G3217" s="33" t="s">
        <v>7062</v>
      </c>
      <c r="H3217" s="33" t="s">
        <v>7063</v>
      </c>
      <c r="I3217" s="33" t="s">
        <v>7064</v>
      </c>
      <c r="J3217" s="33">
        <v>116418</v>
      </c>
      <c r="K3217" s="33" t="s">
        <v>8066</v>
      </c>
      <c r="L3217" s="33" t="s">
        <v>8067</v>
      </c>
      <c r="M3217" s="33" t="s">
        <v>8068</v>
      </c>
      <c r="N3217" s="44">
        <v>42295301</v>
      </c>
      <c r="O3217" s="33" t="s">
        <v>8069</v>
      </c>
      <c r="P3217" s="33" t="s">
        <v>8070</v>
      </c>
      <c r="Q3217" s="34" t="s">
        <v>1494</v>
      </c>
      <c r="R3217" s="34" t="s">
        <v>1494</v>
      </c>
    </row>
    <row r="3218" spans="1:18" ht="15" customHeight="1" x14ac:dyDescent="0.25">
      <c r="A3218" t="str">
        <f>IFERROR(RANK(B3218,$B:$B,1)+COUNTIF($B$1:B3217,B3218),"")</f>
        <v/>
      </c>
      <c r="B3218" t="str">
        <f>IFERROR(SEARCH(#REF!,Table4[[#This Row],[Commodity Title]],1),"")</f>
        <v/>
      </c>
      <c r="C3218" s="35">
        <v>42295302</v>
      </c>
      <c r="D3218" s="33" t="s">
        <v>1495</v>
      </c>
      <c r="E3218" s="33" t="s">
        <v>1496</v>
      </c>
      <c r="F3218" s="33" t="s">
        <v>1497</v>
      </c>
      <c r="G3218" s="33" t="s">
        <v>7062</v>
      </c>
      <c r="H3218" s="33" t="s">
        <v>7063</v>
      </c>
      <c r="I3218" s="33" t="s">
        <v>7064</v>
      </c>
      <c r="J3218" s="33">
        <v>116419</v>
      </c>
      <c r="K3218" s="33" t="s">
        <v>8066</v>
      </c>
      <c r="L3218" s="33" t="s">
        <v>8067</v>
      </c>
      <c r="M3218" s="33" t="s">
        <v>8068</v>
      </c>
      <c r="N3218" s="44">
        <v>42295302</v>
      </c>
      <c r="O3218" s="33" t="s">
        <v>8071</v>
      </c>
      <c r="P3218" s="33" t="s">
        <v>8072</v>
      </c>
      <c r="Q3218" s="34" t="s">
        <v>1494</v>
      </c>
      <c r="R3218" s="34" t="s">
        <v>1494</v>
      </c>
    </row>
    <row r="3219" spans="1:18" ht="15" customHeight="1" x14ac:dyDescent="0.25">
      <c r="A3219" t="str">
        <f>IFERROR(RANK(B3219,$B:$B,1)+COUNTIF($B$1:B3218,B3219),"")</f>
        <v/>
      </c>
      <c r="B3219" t="str">
        <f>IFERROR(SEARCH(#REF!,Table4[[#This Row],[Commodity Title]],1),"")</f>
        <v/>
      </c>
      <c r="C3219" s="35">
        <v>42295304</v>
      </c>
      <c r="D3219" s="33" t="s">
        <v>1495</v>
      </c>
      <c r="E3219" s="33" t="s">
        <v>1496</v>
      </c>
      <c r="F3219" s="33" t="s">
        <v>1497</v>
      </c>
      <c r="G3219" s="33" t="s">
        <v>7062</v>
      </c>
      <c r="H3219" s="33" t="s">
        <v>7063</v>
      </c>
      <c r="I3219" s="33" t="s">
        <v>7064</v>
      </c>
      <c r="J3219" s="33">
        <v>116421</v>
      </c>
      <c r="K3219" s="33" t="s">
        <v>8066</v>
      </c>
      <c r="L3219" s="33" t="s">
        <v>8067</v>
      </c>
      <c r="M3219" s="33" t="s">
        <v>8068</v>
      </c>
      <c r="N3219" s="44">
        <v>42295304</v>
      </c>
      <c r="O3219" s="33" t="s">
        <v>8073</v>
      </c>
      <c r="P3219" s="33" t="s">
        <v>8074</v>
      </c>
      <c r="Q3219" s="34" t="s">
        <v>1494</v>
      </c>
      <c r="R3219" s="34" t="s">
        <v>1494</v>
      </c>
    </row>
    <row r="3220" spans="1:18" ht="15" customHeight="1" x14ac:dyDescent="0.25">
      <c r="A3220" t="str">
        <f>IFERROR(RANK(B3220,$B:$B,1)+COUNTIF($B$1:B3219,B3220),"")</f>
        <v/>
      </c>
      <c r="B3220" t="str">
        <f>IFERROR(SEARCH(#REF!,Table4[[#This Row],[Commodity Title]],1),"")</f>
        <v/>
      </c>
      <c r="C3220" s="35">
        <v>42295305</v>
      </c>
      <c r="D3220" s="33" t="s">
        <v>1495</v>
      </c>
      <c r="E3220" s="33" t="s">
        <v>1496</v>
      </c>
      <c r="F3220" s="33" t="s">
        <v>1497</v>
      </c>
      <c r="G3220" s="33" t="s">
        <v>7062</v>
      </c>
      <c r="H3220" s="33" t="s">
        <v>7063</v>
      </c>
      <c r="I3220" s="33" t="s">
        <v>7064</v>
      </c>
      <c r="J3220" s="33">
        <v>116422</v>
      </c>
      <c r="K3220" s="33" t="s">
        <v>8066</v>
      </c>
      <c r="L3220" s="33" t="s">
        <v>8067</v>
      </c>
      <c r="M3220" s="33" t="s">
        <v>8068</v>
      </c>
      <c r="N3220" s="44">
        <v>42295305</v>
      </c>
      <c r="O3220" s="33" t="s">
        <v>8075</v>
      </c>
      <c r="P3220" s="33" t="s">
        <v>8076</v>
      </c>
      <c r="Q3220" s="34" t="s">
        <v>1494</v>
      </c>
      <c r="R3220" s="34" t="s">
        <v>1494</v>
      </c>
    </row>
    <row r="3221" spans="1:18" ht="15" customHeight="1" x14ac:dyDescent="0.25">
      <c r="A3221" t="str">
        <f>IFERROR(RANK(B3221,$B:$B,1)+COUNTIF($B$1:B3220,B3221),"")</f>
        <v/>
      </c>
      <c r="B3221" t="str">
        <f>IFERROR(SEARCH(#REF!,Table4[[#This Row],[Commodity Title]],1),"")</f>
        <v/>
      </c>
      <c r="C3221" s="35">
        <v>42295306</v>
      </c>
      <c r="D3221" s="33" t="s">
        <v>1495</v>
      </c>
      <c r="E3221" s="33" t="s">
        <v>1496</v>
      </c>
      <c r="F3221" s="33" t="s">
        <v>1497</v>
      </c>
      <c r="G3221" s="33" t="s">
        <v>7062</v>
      </c>
      <c r="H3221" s="33" t="s">
        <v>7063</v>
      </c>
      <c r="I3221" s="33" t="s">
        <v>7064</v>
      </c>
      <c r="J3221" s="33">
        <v>116423</v>
      </c>
      <c r="K3221" s="33" t="s">
        <v>8066</v>
      </c>
      <c r="L3221" s="33" t="s">
        <v>8067</v>
      </c>
      <c r="M3221" s="33" t="s">
        <v>8068</v>
      </c>
      <c r="N3221" s="44">
        <v>42295306</v>
      </c>
      <c r="O3221" s="33" t="s">
        <v>8077</v>
      </c>
      <c r="P3221" s="33" t="s">
        <v>8078</v>
      </c>
      <c r="Q3221" s="34" t="s">
        <v>1494</v>
      </c>
      <c r="R3221" s="34" t="s">
        <v>1494</v>
      </c>
    </row>
    <row r="3222" spans="1:18" ht="15" customHeight="1" x14ac:dyDescent="0.25">
      <c r="A3222" t="str">
        <f>IFERROR(RANK(B3222,$B:$B,1)+COUNTIF($B$1:B3221,B3222),"")</f>
        <v/>
      </c>
      <c r="B3222" t="str">
        <f>IFERROR(SEARCH(#REF!,Table4[[#This Row],[Commodity Title]],1),"")</f>
        <v/>
      </c>
      <c r="C3222" s="35">
        <v>42295308</v>
      </c>
      <c r="D3222" s="33" t="s">
        <v>1495</v>
      </c>
      <c r="E3222" s="33" t="s">
        <v>1496</v>
      </c>
      <c r="F3222" s="33" t="s">
        <v>1497</v>
      </c>
      <c r="G3222" s="33" t="s">
        <v>7062</v>
      </c>
      <c r="H3222" s="33" t="s">
        <v>7063</v>
      </c>
      <c r="I3222" s="33" t="s">
        <v>7064</v>
      </c>
      <c r="J3222" s="33">
        <v>142846</v>
      </c>
      <c r="K3222" s="33" t="s">
        <v>8066</v>
      </c>
      <c r="L3222" s="33" t="s">
        <v>8067</v>
      </c>
      <c r="M3222" s="33" t="s">
        <v>8068</v>
      </c>
      <c r="N3222" s="44">
        <v>42295308</v>
      </c>
      <c r="O3222" s="33" t="s">
        <v>8079</v>
      </c>
      <c r="P3222" s="33" t="s">
        <v>8080</v>
      </c>
      <c r="Q3222" s="34" t="s">
        <v>1494</v>
      </c>
      <c r="R3222" s="34" t="s">
        <v>1494</v>
      </c>
    </row>
    <row r="3223" spans="1:18" ht="15" customHeight="1" x14ac:dyDescent="0.25">
      <c r="A3223" t="str">
        <f>IFERROR(RANK(B3223,$B:$B,1)+COUNTIF($B$1:B3222,B3223),"")</f>
        <v/>
      </c>
      <c r="B3223" t="str">
        <f>IFERROR(SEARCH(#REF!,Table4[[#This Row],[Commodity Title]],1),"")</f>
        <v/>
      </c>
      <c r="C3223" s="35">
        <v>42295309</v>
      </c>
      <c r="D3223" s="33" t="s">
        <v>1495</v>
      </c>
      <c r="E3223" s="33" t="s">
        <v>1496</v>
      </c>
      <c r="F3223" s="33" t="s">
        <v>1497</v>
      </c>
      <c r="G3223" s="33" t="s">
        <v>7062</v>
      </c>
      <c r="H3223" s="33" t="s">
        <v>7063</v>
      </c>
      <c r="I3223" s="33" t="s">
        <v>7064</v>
      </c>
      <c r="J3223" s="33">
        <v>203230</v>
      </c>
      <c r="K3223" s="33" t="s">
        <v>8066</v>
      </c>
      <c r="L3223" s="33" t="s">
        <v>8067</v>
      </c>
      <c r="M3223" s="33" t="s">
        <v>8068</v>
      </c>
      <c r="N3223" s="44">
        <v>42295309</v>
      </c>
      <c r="O3223" s="33" t="s">
        <v>8081</v>
      </c>
      <c r="P3223" s="33" t="s">
        <v>8082</v>
      </c>
      <c r="Q3223" s="34" t="s">
        <v>1494</v>
      </c>
      <c r="R3223" s="34" t="s">
        <v>1494</v>
      </c>
    </row>
    <row r="3224" spans="1:18" ht="15" customHeight="1" x14ac:dyDescent="0.25">
      <c r="A3224" t="str">
        <f>IFERROR(RANK(B3224,$B:$B,1)+COUNTIF($B$1:B3223,B3224),"")</f>
        <v/>
      </c>
      <c r="B3224" t="str">
        <f>IFERROR(SEARCH(#REF!,Table4[[#This Row],[Commodity Title]],1),"")</f>
        <v/>
      </c>
      <c r="C3224" s="35">
        <v>42295310</v>
      </c>
      <c r="D3224" s="33" t="s">
        <v>1495</v>
      </c>
      <c r="E3224" s="33" t="s">
        <v>1496</v>
      </c>
      <c r="F3224" s="33" t="s">
        <v>1497</v>
      </c>
      <c r="G3224" s="33" t="s">
        <v>7062</v>
      </c>
      <c r="H3224" s="33" t="s">
        <v>7063</v>
      </c>
      <c r="I3224" s="33" t="s">
        <v>7064</v>
      </c>
      <c r="J3224" s="33">
        <v>203231</v>
      </c>
      <c r="K3224" s="33" t="s">
        <v>8066</v>
      </c>
      <c r="L3224" s="33" t="s">
        <v>8067</v>
      </c>
      <c r="M3224" s="33" t="s">
        <v>8068</v>
      </c>
      <c r="N3224" s="44">
        <v>42295310</v>
      </c>
      <c r="O3224" s="33" t="s">
        <v>8083</v>
      </c>
      <c r="P3224" s="33" t="s">
        <v>8084</v>
      </c>
      <c r="Q3224" s="34" t="s">
        <v>1494</v>
      </c>
      <c r="R3224" s="34" t="s">
        <v>1494</v>
      </c>
    </row>
    <row r="3225" spans="1:18" ht="15" customHeight="1" x14ac:dyDescent="0.25">
      <c r="A3225" t="str">
        <f>IFERROR(RANK(B3225,$B:$B,1)+COUNTIF($B$1:B3224,B3225),"")</f>
        <v/>
      </c>
      <c r="B3225" t="str">
        <f>IFERROR(SEARCH(#REF!,Table4[[#This Row],[Commodity Title]],1),"")</f>
        <v/>
      </c>
      <c r="C3225" s="35">
        <v>42295311</v>
      </c>
      <c r="D3225" s="33" t="s">
        <v>1495</v>
      </c>
      <c r="E3225" s="33" t="s">
        <v>1496</v>
      </c>
      <c r="F3225" s="33" t="s">
        <v>1497</v>
      </c>
      <c r="G3225" s="33" t="s">
        <v>7062</v>
      </c>
      <c r="H3225" s="33" t="s">
        <v>7063</v>
      </c>
      <c r="I3225" s="33" t="s">
        <v>7064</v>
      </c>
      <c r="J3225" s="33">
        <v>203232</v>
      </c>
      <c r="K3225" s="33" t="s">
        <v>8066</v>
      </c>
      <c r="L3225" s="33" t="s">
        <v>8067</v>
      </c>
      <c r="M3225" s="33" t="s">
        <v>8068</v>
      </c>
      <c r="N3225" s="44">
        <v>42295311</v>
      </c>
      <c r="O3225" s="33" t="s">
        <v>8085</v>
      </c>
      <c r="P3225" s="33" t="s">
        <v>8086</v>
      </c>
      <c r="Q3225" s="34" t="s">
        <v>1494</v>
      </c>
      <c r="R3225" s="34" t="s">
        <v>1494</v>
      </c>
    </row>
    <row r="3226" spans="1:18" ht="15" customHeight="1" x14ac:dyDescent="0.25">
      <c r="A3226" t="str">
        <f>IFERROR(RANK(B3226,$B:$B,1)+COUNTIF($B$1:B3225,B3226),"")</f>
        <v/>
      </c>
      <c r="B3226" t="str">
        <f>IFERROR(SEARCH(#REF!,Table4[[#This Row],[Commodity Title]],1),"")</f>
        <v/>
      </c>
      <c r="C3226" s="35">
        <v>42295312</v>
      </c>
      <c r="D3226" s="33" t="s">
        <v>1495</v>
      </c>
      <c r="E3226" s="33" t="s">
        <v>1496</v>
      </c>
      <c r="F3226" s="33" t="s">
        <v>1497</v>
      </c>
      <c r="G3226" s="33" t="s">
        <v>7062</v>
      </c>
      <c r="H3226" s="33" t="s">
        <v>7063</v>
      </c>
      <c r="I3226" s="33" t="s">
        <v>7064</v>
      </c>
      <c r="J3226" s="33">
        <v>203233</v>
      </c>
      <c r="K3226" s="33" t="s">
        <v>8066</v>
      </c>
      <c r="L3226" s="33" t="s">
        <v>8067</v>
      </c>
      <c r="M3226" s="33" t="s">
        <v>8068</v>
      </c>
      <c r="N3226" s="44">
        <v>42295312</v>
      </c>
      <c r="O3226" s="33" t="s">
        <v>8087</v>
      </c>
      <c r="P3226" s="33" t="s">
        <v>8088</v>
      </c>
      <c r="Q3226" s="34" t="s">
        <v>1494</v>
      </c>
      <c r="R3226" s="34" t="s">
        <v>1494</v>
      </c>
    </row>
    <row r="3227" spans="1:18" ht="15" customHeight="1" x14ac:dyDescent="0.25">
      <c r="A3227" t="str">
        <f>IFERROR(RANK(B3227,$B:$B,1)+COUNTIF($B$1:B3226,B3227),"")</f>
        <v/>
      </c>
      <c r="B3227" t="str">
        <f>IFERROR(SEARCH(#REF!,Table4[[#This Row],[Commodity Title]],1),"")</f>
        <v/>
      </c>
      <c r="C3227" s="35">
        <v>42295313</v>
      </c>
      <c r="D3227" s="33" t="s">
        <v>1495</v>
      </c>
      <c r="E3227" s="33" t="s">
        <v>1496</v>
      </c>
      <c r="F3227" s="33" t="s">
        <v>1497</v>
      </c>
      <c r="G3227" s="33" t="s">
        <v>7062</v>
      </c>
      <c r="H3227" s="33" t="s">
        <v>7063</v>
      </c>
      <c r="I3227" s="33" t="s">
        <v>7064</v>
      </c>
      <c r="J3227" s="33">
        <v>115287</v>
      </c>
      <c r="K3227" s="33" t="s">
        <v>8066</v>
      </c>
      <c r="L3227" s="33" t="s">
        <v>8067</v>
      </c>
      <c r="M3227" s="33" t="s">
        <v>8068</v>
      </c>
      <c r="N3227" s="44">
        <v>42295313</v>
      </c>
      <c r="O3227" s="33" t="s">
        <v>8089</v>
      </c>
      <c r="P3227" s="33" t="s">
        <v>8090</v>
      </c>
      <c r="Q3227" s="34" t="s">
        <v>1494</v>
      </c>
      <c r="R3227" s="34" t="s">
        <v>1494</v>
      </c>
    </row>
    <row r="3228" spans="1:18" ht="15" customHeight="1" x14ac:dyDescent="0.25">
      <c r="A3228" t="str">
        <f>IFERROR(RANK(B3228,$B:$B,1)+COUNTIF($B$1:B3227,B3228),"")</f>
        <v/>
      </c>
      <c r="B3228" t="str">
        <f>IFERROR(SEARCH(#REF!,Table4[[#This Row],[Commodity Title]],1),"")</f>
        <v/>
      </c>
      <c r="C3228" s="33" t="s">
        <v>1494</v>
      </c>
      <c r="D3228" s="33" t="s">
        <v>1495</v>
      </c>
      <c r="E3228" s="33" t="s">
        <v>1496</v>
      </c>
      <c r="F3228" s="33" t="s">
        <v>1497</v>
      </c>
      <c r="G3228" s="33" t="s">
        <v>7062</v>
      </c>
      <c r="H3228" s="33" t="s">
        <v>7063</v>
      </c>
      <c r="I3228" s="33" t="s">
        <v>7064</v>
      </c>
      <c r="J3228" s="33">
        <v>116424</v>
      </c>
      <c r="K3228" s="33" t="s">
        <v>21</v>
      </c>
      <c r="L3228" s="33" t="s">
        <v>22</v>
      </c>
      <c r="M3228" s="33" t="s">
        <v>8091</v>
      </c>
      <c r="N3228" s="44" t="s">
        <v>1494</v>
      </c>
      <c r="O3228" s="33" t="s">
        <v>1494</v>
      </c>
      <c r="P3228" s="33" t="s">
        <v>1494</v>
      </c>
      <c r="Q3228" s="34" t="s">
        <v>1494</v>
      </c>
      <c r="R3228" s="34" t="s">
        <v>1494</v>
      </c>
    </row>
    <row r="3229" spans="1:18" ht="15" customHeight="1" x14ac:dyDescent="0.25">
      <c r="A3229" t="str">
        <f>IFERROR(RANK(B3229,$B:$B,1)+COUNTIF($B$1:B3228,B3229),"")</f>
        <v/>
      </c>
      <c r="B3229" t="str">
        <f>IFERROR(SEARCH(#REF!,Table4[[#This Row],[Commodity Title]],1),"")</f>
        <v/>
      </c>
      <c r="C3229" s="35">
        <v>42295401</v>
      </c>
      <c r="D3229" s="33" t="s">
        <v>1495</v>
      </c>
      <c r="E3229" s="33" t="s">
        <v>1496</v>
      </c>
      <c r="F3229" s="33" t="s">
        <v>1497</v>
      </c>
      <c r="G3229" s="33" t="s">
        <v>7062</v>
      </c>
      <c r="H3229" s="33" t="s">
        <v>7063</v>
      </c>
      <c r="I3229" s="33" t="s">
        <v>7064</v>
      </c>
      <c r="J3229" s="33">
        <v>116425</v>
      </c>
      <c r="K3229" s="33" t="s">
        <v>21</v>
      </c>
      <c r="L3229" s="33" t="s">
        <v>22</v>
      </c>
      <c r="M3229" s="33" t="s">
        <v>8091</v>
      </c>
      <c r="N3229" s="44">
        <v>42295401</v>
      </c>
      <c r="O3229" s="33" t="s">
        <v>8092</v>
      </c>
      <c r="P3229" s="33" t="s">
        <v>8093</v>
      </c>
      <c r="Q3229" s="34" t="s">
        <v>1494</v>
      </c>
      <c r="R3229" s="34" t="s">
        <v>1494</v>
      </c>
    </row>
    <row r="3230" spans="1:18" ht="15" customHeight="1" x14ac:dyDescent="0.25">
      <c r="A3230" t="str">
        <f>IFERROR(RANK(B3230,$B:$B,1)+COUNTIF($B$1:B3229,B3230),"")</f>
        <v/>
      </c>
      <c r="B3230" t="str">
        <f>IFERROR(SEARCH(#REF!,Table4[[#This Row],[Commodity Title]],1),"")</f>
        <v/>
      </c>
      <c r="C3230" s="35">
        <v>42295402</v>
      </c>
      <c r="D3230" s="33" t="s">
        <v>1495</v>
      </c>
      <c r="E3230" s="33" t="s">
        <v>1496</v>
      </c>
      <c r="F3230" s="33" t="s">
        <v>1497</v>
      </c>
      <c r="G3230" s="33" t="s">
        <v>7062</v>
      </c>
      <c r="H3230" s="33" t="s">
        <v>7063</v>
      </c>
      <c r="I3230" s="33" t="s">
        <v>7064</v>
      </c>
      <c r="J3230" s="33">
        <v>116426</v>
      </c>
      <c r="K3230" s="33" t="s">
        <v>21</v>
      </c>
      <c r="L3230" s="33" t="s">
        <v>22</v>
      </c>
      <c r="M3230" s="33" t="s">
        <v>8091</v>
      </c>
      <c r="N3230" s="44">
        <v>42295402</v>
      </c>
      <c r="O3230" s="33" t="s">
        <v>8094</v>
      </c>
      <c r="P3230" s="33" t="s">
        <v>8095</v>
      </c>
      <c r="Q3230" s="34" t="s">
        <v>1494</v>
      </c>
      <c r="R3230" s="34" t="s">
        <v>1494</v>
      </c>
    </row>
    <row r="3231" spans="1:18" ht="15" customHeight="1" x14ac:dyDescent="0.25">
      <c r="A3231" t="str">
        <f>IFERROR(RANK(B3231,$B:$B,1)+COUNTIF($B$1:B3230,B3231),"")</f>
        <v/>
      </c>
      <c r="B3231" t="str">
        <f>IFERROR(SEARCH(#REF!,Table4[[#This Row],[Commodity Title]],1),"")</f>
        <v/>
      </c>
      <c r="C3231" s="35">
        <v>42295406</v>
      </c>
      <c r="D3231" s="33" t="s">
        <v>1495</v>
      </c>
      <c r="E3231" s="33" t="s">
        <v>1496</v>
      </c>
      <c r="F3231" s="33" t="s">
        <v>1497</v>
      </c>
      <c r="G3231" s="33" t="s">
        <v>7062</v>
      </c>
      <c r="H3231" s="33" t="s">
        <v>7063</v>
      </c>
      <c r="I3231" s="33" t="s">
        <v>7064</v>
      </c>
      <c r="J3231" s="33">
        <v>116430</v>
      </c>
      <c r="K3231" s="33" t="s">
        <v>21</v>
      </c>
      <c r="L3231" s="33" t="s">
        <v>22</v>
      </c>
      <c r="M3231" s="33" t="s">
        <v>8091</v>
      </c>
      <c r="N3231" s="44">
        <v>42295406</v>
      </c>
      <c r="O3231" s="33" t="s">
        <v>8096</v>
      </c>
      <c r="P3231" s="33" t="s">
        <v>8097</v>
      </c>
      <c r="Q3231" s="34" t="s">
        <v>1494</v>
      </c>
      <c r="R3231" s="34" t="s">
        <v>1494</v>
      </c>
    </row>
    <row r="3232" spans="1:18" ht="15" customHeight="1" x14ac:dyDescent="0.25">
      <c r="A3232" t="str">
        <f>IFERROR(RANK(B3232,$B:$B,1)+COUNTIF($B$1:B3231,B3232),"")</f>
        <v/>
      </c>
      <c r="B3232" t="str">
        <f>IFERROR(SEARCH(#REF!,Table4[[#This Row],[Commodity Title]],1),"")</f>
        <v/>
      </c>
      <c r="C3232" s="35">
        <v>42295408</v>
      </c>
      <c r="D3232" s="33" t="s">
        <v>1495</v>
      </c>
      <c r="E3232" s="33" t="s">
        <v>1496</v>
      </c>
      <c r="F3232" s="33" t="s">
        <v>1497</v>
      </c>
      <c r="G3232" s="33" t="s">
        <v>7062</v>
      </c>
      <c r="H3232" s="33" t="s">
        <v>7063</v>
      </c>
      <c r="I3232" s="33" t="s">
        <v>7064</v>
      </c>
      <c r="J3232" s="33">
        <v>116432</v>
      </c>
      <c r="K3232" s="33" t="s">
        <v>21</v>
      </c>
      <c r="L3232" s="33" t="s">
        <v>22</v>
      </c>
      <c r="M3232" s="33" t="s">
        <v>8091</v>
      </c>
      <c r="N3232" s="44">
        <v>42295408</v>
      </c>
      <c r="O3232" s="33" t="s">
        <v>8098</v>
      </c>
      <c r="P3232" s="33" t="s">
        <v>8099</v>
      </c>
      <c r="Q3232" s="34" t="s">
        <v>1494</v>
      </c>
      <c r="R3232" s="34" t="s">
        <v>1494</v>
      </c>
    </row>
    <row r="3233" spans="1:18" ht="15" customHeight="1" x14ac:dyDescent="0.25">
      <c r="A3233" t="str">
        <f>IFERROR(RANK(B3233,$B:$B,1)+COUNTIF($B$1:B3232,B3233),"")</f>
        <v/>
      </c>
      <c r="B3233" t="str">
        <f>IFERROR(SEARCH(#REF!,Table4[[#This Row],[Commodity Title]],1),"")</f>
        <v/>
      </c>
      <c r="C3233" s="35">
        <v>42295409</v>
      </c>
      <c r="D3233" s="33" t="s">
        <v>1495</v>
      </c>
      <c r="E3233" s="33" t="s">
        <v>1496</v>
      </c>
      <c r="F3233" s="33" t="s">
        <v>1497</v>
      </c>
      <c r="G3233" s="33" t="s">
        <v>7062</v>
      </c>
      <c r="H3233" s="33" t="s">
        <v>7063</v>
      </c>
      <c r="I3233" s="33" t="s">
        <v>7064</v>
      </c>
      <c r="J3233" s="33">
        <v>116433</v>
      </c>
      <c r="K3233" s="33" t="s">
        <v>21</v>
      </c>
      <c r="L3233" s="33" t="s">
        <v>22</v>
      </c>
      <c r="M3233" s="33" t="s">
        <v>8091</v>
      </c>
      <c r="N3233" s="44">
        <v>42295409</v>
      </c>
      <c r="O3233" s="33" t="s">
        <v>8100</v>
      </c>
      <c r="P3233" s="33" t="s">
        <v>8101</v>
      </c>
      <c r="Q3233" s="34" t="s">
        <v>1494</v>
      </c>
      <c r="R3233" s="34" t="s">
        <v>1494</v>
      </c>
    </row>
    <row r="3234" spans="1:18" ht="15" customHeight="1" x14ac:dyDescent="0.25">
      <c r="A3234" t="str">
        <f>IFERROR(RANK(B3234,$B:$B,1)+COUNTIF($B$1:B3233,B3234),"")</f>
        <v/>
      </c>
      <c r="B3234" t="str">
        <f>IFERROR(SEARCH(#REF!,Table4[[#This Row],[Commodity Title]],1),"")</f>
        <v/>
      </c>
      <c r="C3234" s="35">
        <v>42295410</v>
      </c>
      <c r="D3234" s="33" t="s">
        <v>1495</v>
      </c>
      <c r="E3234" s="33" t="s">
        <v>1496</v>
      </c>
      <c r="F3234" s="33" t="s">
        <v>1497</v>
      </c>
      <c r="G3234" s="33" t="s">
        <v>7062</v>
      </c>
      <c r="H3234" s="33" t="s">
        <v>7063</v>
      </c>
      <c r="I3234" s="33" t="s">
        <v>7064</v>
      </c>
      <c r="J3234" s="33">
        <v>116434</v>
      </c>
      <c r="K3234" s="33" t="s">
        <v>21</v>
      </c>
      <c r="L3234" s="33" t="s">
        <v>22</v>
      </c>
      <c r="M3234" s="33" t="s">
        <v>8091</v>
      </c>
      <c r="N3234" s="44">
        <v>42295410</v>
      </c>
      <c r="O3234" s="33" t="s">
        <v>8102</v>
      </c>
      <c r="P3234" s="33" t="s">
        <v>8103</v>
      </c>
      <c r="Q3234" s="34" t="s">
        <v>1494</v>
      </c>
      <c r="R3234" s="34" t="s">
        <v>1494</v>
      </c>
    </row>
    <row r="3235" spans="1:18" ht="15" customHeight="1" x14ac:dyDescent="0.25">
      <c r="A3235" t="str">
        <f>IFERROR(RANK(B3235,$B:$B,1)+COUNTIF($B$1:B3234,B3235),"")</f>
        <v/>
      </c>
      <c r="B3235" t="str">
        <f>IFERROR(SEARCH(#REF!,Table4[[#This Row],[Commodity Title]],1),"")</f>
        <v/>
      </c>
      <c r="C3235" s="35">
        <v>42295411</v>
      </c>
      <c r="D3235" s="33" t="s">
        <v>1495</v>
      </c>
      <c r="E3235" s="33" t="s">
        <v>1496</v>
      </c>
      <c r="F3235" s="33" t="s">
        <v>1497</v>
      </c>
      <c r="G3235" s="33" t="s">
        <v>7062</v>
      </c>
      <c r="H3235" s="33" t="s">
        <v>7063</v>
      </c>
      <c r="I3235" s="33" t="s">
        <v>7064</v>
      </c>
      <c r="J3235" s="33">
        <v>116435</v>
      </c>
      <c r="K3235" s="33" t="s">
        <v>21</v>
      </c>
      <c r="L3235" s="33" t="s">
        <v>22</v>
      </c>
      <c r="M3235" s="33" t="s">
        <v>8091</v>
      </c>
      <c r="N3235" s="44">
        <v>42295411</v>
      </c>
      <c r="O3235" s="33" t="s">
        <v>8104</v>
      </c>
      <c r="P3235" s="33" t="s">
        <v>8105</v>
      </c>
      <c r="Q3235" s="34" t="s">
        <v>1494</v>
      </c>
      <c r="R3235" s="34" t="s">
        <v>1494</v>
      </c>
    </row>
    <row r="3236" spans="1:18" ht="15" customHeight="1" x14ac:dyDescent="0.25">
      <c r="A3236" t="str">
        <f>IFERROR(RANK(B3236,$B:$B,1)+COUNTIF($B$1:B3235,B3236),"")</f>
        <v/>
      </c>
      <c r="B3236" t="str">
        <f>IFERROR(SEARCH(#REF!,Table4[[#This Row],[Commodity Title]],1),"")</f>
        <v/>
      </c>
      <c r="C3236" s="35">
        <v>42295413</v>
      </c>
      <c r="D3236" s="33" t="s">
        <v>1495</v>
      </c>
      <c r="E3236" s="33" t="s">
        <v>1496</v>
      </c>
      <c r="F3236" s="33" t="s">
        <v>1497</v>
      </c>
      <c r="G3236" s="33" t="s">
        <v>7062</v>
      </c>
      <c r="H3236" s="33" t="s">
        <v>7063</v>
      </c>
      <c r="I3236" s="33" t="s">
        <v>7064</v>
      </c>
      <c r="J3236" s="33">
        <v>116437</v>
      </c>
      <c r="K3236" s="33" t="s">
        <v>21</v>
      </c>
      <c r="L3236" s="33" t="s">
        <v>22</v>
      </c>
      <c r="M3236" s="33" t="s">
        <v>8091</v>
      </c>
      <c r="N3236" s="44">
        <v>42295413</v>
      </c>
      <c r="O3236" s="33" t="s">
        <v>8106</v>
      </c>
      <c r="P3236" s="33" t="s">
        <v>8107</v>
      </c>
      <c r="Q3236" s="34" t="s">
        <v>1494</v>
      </c>
      <c r="R3236" s="34" t="s">
        <v>1494</v>
      </c>
    </row>
    <row r="3237" spans="1:18" ht="15" customHeight="1" x14ac:dyDescent="0.25">
      <c r="A3237" t="str">
        <f>IFERROR(RANK(B3237,$B:$B,1)+COUNTIF($B$1:B3236,B3237),"")</f>
        <v/>
      </c>
      <c r="B3237" t="str">
        <f>IFERROR(SEARCH(#REF!,Table4[[#This Row],[Commodity Title]],1),"")</f>
        <v/>
      </c>
      <c r="C3237" s="35">
        <v>42295414</v>
      </c>
      <c r="D3237" s="33" t="s">
        <v>1495</v>
      </c>
      <c r="E3237" s="33" t="s">
        <v>1496</v>
      </c>
      <c r="F3237" s="33" t="s">
        <v>1497</v>
      </c>
      <c r="G3237" s="33" t="s">
        <v>7062</v>
      </c>
      <c r="H3237" s="33" t="s">
        <v>7063</v>
      </c>
      <c r="I3237" s="33" t="s">
        <v>7064</v>
      </c>
      <c r="J3237" s="33">
        <v>116438</v>
      </c>
      <c r="K3237" s="33" t="s">
        <v>21</v>
      </c>
      <c r="L3237" s="33" t="s">
        <v>22</v>
      </c>
      <c r="M3237" s="33" t="s">
        <v>8091</v>
      </c>
      <c r="N3237" s="44">
        <v>42295414</v>
      </c>
      <c r="O3237" s="33" t="s">
        <v>8108</v>
      </c>
      <c r="P3237" s="33" t="s">
        <v>8109</v>
      </c>
      <c r="Q3237" s="34" t="s">
        <v>1494</v>
      </c>
      <c r="R3237" s="34" t="s">
        <v>1494</v>
      </c>
    </row>
    <row r="3238" spans="1:18" ht="15" customHeight="1" x14ac:dyDescent="0.25">
      <c r="A3238" t="str">
        <f>IFERROR(RANK(B3238,$B:$B,1)+COUNTIF($B$1:B3237,B3238),"")</f>
        <v/>
      </c>
      <c r="B3238" t="str">
        <f>IFERROR(SEARCH(#REF!,Table4[[#This Row],[Commodity Title]],1),"")</f>
        <v/>
      </c>
      <c r="C3238" s="35">
        <v>42295415</v>
      </c>
      <c r="D3238" s="33" t="s">
        <v>1495</v>
      </c>
      <c r="E3238" s="33" t="s">
        <v>1496</v>
      </c>
      <c r="F3238" s="33" t="s">
        <v>1497</v>
      </c>
      <c r="G3238" s="33" t="s">
        <v>7062</v>
      </c>
      <c r="H3238" s="33" t="s">
        <v>7063</v>
      </c>
      <c r="I3238" s="33" t="s">
        <v>7064</v>
      </c>
      <c r="J3238" s="33">
        <v>116439</v>
      </c>
      <c r="K3238" s="33" t="s">
        <v>21</v>
      </c>
      <c r="L3238" s="33" t="s">
        <v>22</v>
      </c>
      <c r="M3238" s="33" t="s">
        <v>8091</v>
      </c>
      <c r="N3238" s="44">
        <v>42295415</v>
      </c>
      <c r="O3238" s="33" t="s">
        <v>8110</v>
      </c>
      <c r="P3238" s="33" t="s">
        <v>8111</v>
      </c>
      <c r="Q3238" s="34" t="s">
        <v>1494</v>
      </c>
      <c r="R3238" s="34" t="s">
        <v>1494</v>
      </c>
    </row>
    <row r="3239" spans="1:18" ht="15" customHeight="1" x14ac:dyDescent="0.25">
      <c r="A3239" t="str">
        <f>IFERROR(RANK(B3239,$B:$B,1)+COUNTIF($B$1:B3238,B3239),"")</f>
        <v/>
      </c>
      <c r="B3239" t="str">
        <f>IFERROR(SEARCH(#REF!,Table4[[#This Row],[Commodity Title]],1),"")</f>
        <v/>
      </c>
      <c r="C3239" s="35">
        <v>42295417</v>
      </c>
      <c r="D3239" s="33" t="s">
        <v>1495</v>
      </c>
      <c r="E3239" s="33" t="s">
        <v>1496</v>
      </c>
      <c r="F3239" s="33" t="s">
        <v>1497</v>
      </c>
      <c r="G3239" s="33" t="s">
        <v>7062</v>
      </c>
      <c r="H3239" s="33" t="s">
        <v>7063</v>
      </c>
      <c r="I3239" s="33" t="s">
        <v>7064</v>
      </c>
      <c r="J3239" s="33">
        <v>116441</v>
      </c>
      <c r="K3239" s="33" t="s">
        <v>21</v>
      </c>
      <c r="L3239" s="33" t="s">
        <v>22</v>
      </c>
      <c r="M3239" s="33" t="s">
        <v>8091</v>
      </c>
      <c r="N3239" s="44">
        <v>42295417</v>
      </c>
      <c r="O3239" s="33" t="s">
        <v>8112</v>
      </c>
      <c r="P3239" s="33" t="s">
        <v>8113</v>
      </c>
      <c r="Q3239" s="34" t="s">
        <v>1494</v>
      </c>
      <c r="R3239" s="34" t="s">
        <v>1494</v>
      </c>
    </row>
    <row r="3240" spans="1:18" ht="15" customHeight="1" x14ac:dyDescent="0.25">
      <c r="A3240" t="str">
        <f>IFERROR(RANK(B3240,$B:$B,1)+COUNTIF($B$1:B3239,B3240),"")</f>
        <v/>
      </c>
      <c r="B3240" t="str">
        <f>IFERROR(SEARCH(#REF!,Table4[[#This Row],[Commodity Title]],1),"")</f>
        <v/>
      </c>
      <c r="C3240" s="35">
        <v>42295418</v>
      </c>
      <c r="D3240" s="33" t="s">
        <v>1495</v>
      </c>
      <c r="E3240" s="33" t="s">
        <v>1496</v>
      </c>
      <c r="F3240" s="33" t="s">
        <v>1497</v>
      </c>
      <c r="G3240" s="33" t="s">
        <v>7062</v>
      </c>
      <c r="H3240" s="33" t="s">
        <v>7063</v>
      </c>
      <c r="I3240" s="33" t="s">
        <v>7064</v>
      </c>
      <c r="J3240" s="33">
        <v>116442</v>
      </c>
      <c r="K3240" s="33" t="s">
        <v>21</v>
      </c>
      <c r="L3240" s="33" t="s">
        <v>22</v>
      </c>
      <c r="M3240" s="33" t="s">
        <v>8091</v>
      </c>
      <c r="N3240" s="44">
        <v>42295418</v>
      </c>
      <c r="O3240" s="33" t="s">
        <v>8114</v>
      </c>
      <c r="P3240" s="33" t="s">
        <v>8115</v>
      </c>
      <c r="Q3240" s="34" t="s">
        <v>1494</v>
      </c>
      <c r="R3240" s="34" t="s">
        <v>1494</v>
      </c>
    </row>
    <row r="3241" spans="1:18" ht="15" customHeight="1" x14ac:dyDescent="0.25">
      <c r="A3241" t="str">
        <f>IFERROR(RANK(B3241,$B:$B,1)+COUNTIF($B$1:B3240,B3241),"")</f>
        <v/>
      </c>
      <c r="B3241" t="str">
        <f>IFERROR(SEARCH(#REF!,Table4[[#This Row],[Commodity Title]],1),"")</f>
        <v/>
      </c>
      <c r="C3241" s="35">
        <v>42295419</v>
      </c>
      <c r="D3241" s="33" t="s">
        <v>1495</v>
      </c>
      <c r="E3241" s="33" t="s">
        <v>1496</v>
      </c>
      <c r="F3241" s="33" t="s">
        <v>1497</v>
      </c>
      <c r="G3241" s="33" t="s">
        <v>7062</v>
      </c>
      <c r="H3241" s="33" t="s">
        <v>7063</v>
      </c>
      <c r="I3241" s="33" t="s">
        <v>7064</v>
      </c>
      <c r="J3241" s="33">
        <v>116443</v>
      </c>
      <c r="K3241" s="33" t="s">
        <v>21</v>
      </c>
      <c r="L3241" s="33" t="s">
        <v>22</v>
      </c>
      <c r="M3241" s="33" t="s">
        <v>8091</v>
      </c>
      <c r="N3241" s="44">
        <v>42295419</v>
      </c>
      <c r="O3241" s="33" t="s">
        <v>8116</v>
      </c>
      <c r="P3241" s="33" t="s">
        <v>8117</v>
      </c>
      <c r="Q3241" s="34" t="s">
        <v>1494</v>
      </c>
      <c r="R3241" s="34" t="s">
        <v>1494</v>
      </c>
    </row>
    <row r="3242" spans="1:18" ht="15" customHeight="1" x14ac:dyDescent="0.25">
      <c r="A3242" t="str">
        <f>IFERROR(RANK(B3242,$B:$B,1)+COUNTIF($B$1:B3241,B3242),"")</f>
        <v/>
      </c>
      <c r="B3242" t="str">
        <f>IFERROR(SEARCH(#REF!,Table4[[#This Row],[Commodity Title]],1),"")</f>
        <v/>
      </c>
      <c r="C3242" s="35">
        <v>42295421</v>
      </c>
      <c r="D3242" s="33" t="s">
        <v>1495</v>
      </c>
      <c r="E3242" s="33" t="s">
        <v>1496</v>
      </c>
      <c r="F3242" s="33" t="s">
        <v>1497</v>
      </c>
      <c r="G3242" s="33" t="s">
        <v>7062</v>
      </c>
      <c r="H3242" s="33" t="s">
        <v>7063</v>
      </c>
      <c r="I3242" s="33" t="s">
        <v>7064</v>
      </c>
      <c r="J3242" s="33">
        <v>116445</v>
      </c>
      <c r="K3242" s="33" t="s">
        <v>21</v>
      </c>
      <c r="L3242" s="33" t="s">
        <v>22</v>
      </c>
      <c r="M3242" s="33" t="s">
        <v>8091</v>
      </c>
      <c r="N3242" s="44">
        <v>42295421</v>
      </c>
      <c r="O3242" s="33" t="s">
        <v>8118</v>
      </c>
      <c r="P3242" s="33" t="s">
        <v>8119</v>
      </c>
      <c r="Q3242" s="34" t="s">
        <v>1494</v>
      </c>
      <c r="R3242" s="34" t="s">
        <v>1494</v>
      </c>
    </row>
    <row r="3243" spans="1:18" ht="15" customHeight="1" x14ac:dyDescent="0.25">
      <c r="A3243" t="str">
        <f>IFERROR(RANK(B3243,$B:$B,1)+COUNTIF($B$1:B3242,B3243),"")</f>
        <v/>
      </c>
      <c r="B3243" t="str">
        <f>IFERROR(SEARCH(#REF!,Table4[[#This Row],[Commodity Title]],1),"")</f>
        <v/>
      </c>
      <c r="C3243" s="35">
        <v>42295422</v>
      </c>
      <c r="D3243" s="33" t="s">
        <v>1495</v>
      </c>
      <c r="E3243" s="33" t="s">
        <v>1496</v>
      </c>
      <c r="F3243" s="33" t="s">
        <v>1497</v>
      </c>
      <c r="G3243" s="33" t="s">
        <v>7062</v>
      </c>
      <c r="H3243" s="33" t="s">
        <v>7063</v>
      </c>
      <c r="I3243" s="33" t="s">
        <v>7064</v>
      </c>
      <c r="J3243" s="33">
        <v>116446</v>
      </c>
      <c r="K3243" s="33" t="s">
        <v>21</v>
      </c>
      <c r="L3243" s="33" t="s">
        <v>22</v>
      </c>
      <c r="M3243" s="33" t="s">
        <v>8091</v>
      </c>
      <c r="N3243" s="44">
        <v>42295422</v>
      </c>
      <c r="O3243" s="33" t="s">
        <v>8120</v>
      </c>
      <c r="P3243" s="33" t="s">
        <v>8121</v>
      </c>
      <c r="Q3243" s="34" t="s">
        <v>1494</v>
      </c>
      <c r="R3243" s="34" t="s">
        <v>1494</v>
      </c>
    </row>
    <row r="3244" spans="1:18" ht="15" customHeight="1" x14ac:dyDescent="0.25">
      <c r="A3244" t="str">
        <f>IFERROR(RANK(B3244,$B:$B,1)+COUNTIF($B$1:B3243,B3244),"")</f>
        <v/>
      </c>
      <c r="B3244" t="str">
        <f>IFERROR(SEARCH(#REF!,Table4[[#This Row],[Commodity Title]],1),"")</f>
        <v/>
      </c>
      <c r="C3244" s="35">
        <v>42295423</v>
      </c>
      <c r="D3244" s="33" t="s">
        <v>1495</v>
      </c>
      <c r="E3244" s="33" t="s">
        <v>1496</v>
      </c>
      <c r="F3244" s="33" t="s">
        <v>1497</v>
      </c>
      <c r="G3244" s="33" t="s">
        <v>7062</v>
      </c>
      <c r="H3244" s="33" t="s">
        <v>7063</v>
      </c>
      <c r="I3244" s="33" t="s">
        <v>7064</v>
      </c>
      <c r="J3244" s="33">
        <v>116447</v>
      </c>
      <c r="K3244" s="33" t="s">
        <v>21</v>
      </c>
      <c r="L3244" s="33" t="s">
        <v>22</v>
      </c>
      <c r="M3244" s="33" t="s">
        <v>8091</v>
      </c>
      <c r="N3244" s="44">
        <v>42295423</v>
      </c>
      <c r="O3244" s="33" t="s">
        <v>8122</v>
      </c>
      <c r="P3244" s="33" t="s">
        <v>8123</v>
      </c>
      <c r="Q3244" s="34" t="s">
        <v>1494</v>
      </c>
      <c r="R3244" s="34" t="s">
        <v>1494</v>
      </c>
    </row>
    <row r="3245" spans="1:18" ht="15" customHeight="1" x14ac:dyDescent="0.25">
      <c r="A3245" t="str">
        <f>IFERROR(RANK(B3245,$B:$B,1)+COUNTIF($B$1:B3244,B3245),"")</f>
        <v/>
      </c>
      <c r="B3245" t="str">
        <f>IFERROR(SEARCH(#REF!,Table4[[#This Row],[Commodity Title]],1),"")</f>
        <v/>
      </c>
      <c r="C3245" s="35">
        <v>42295424</v>
      </c>
      <c r="D3245" s="33" t="s">
        <v>1495</v>
      </c>
      <c r="E3245" s="33" t="s">
        <v>1496</v>
      </c>
      <c r="F3245" s="33" t="s">
        <v>1497</v>
      </c>
      <c r="G3245" s="33" t="s">
        <v>7062</v>
      </c>
      <c r="H3245" s="33" t="s">
        <v>7063</v>
      </c>
      <c r="I3245" s="33" t="s">
        <v>7064</v>
      </c>
      <c r="J3245" s="33">
        <v>116448</v>
      </c>
      <c r="K3245" s="33" t="s">
        <v>21</v>
      </c>
      <c r="L3245" s="33" t="s">
        <v>22</v>
      </c>
      <c r="M3245" s="33" t="s">
        <v>8091</v>
      </c>
      <c r="N3245" s="44">
        <v>42295424</v>
      </c>
      <c r="O3245" s="33" t="s">
        <v>8124</v>
      </c>
      <c r="P3245" s="33" t="s">
        <v>8125</v>
      </c>
      <c r="Q3245" s="34" t="s">
        <v>1494</v>
      </c>
      <c r="R3245" s="34" t="s">
        <v>1494</v>
      </c>
    </row>
    <row r="3246" spans="1:18" ht="15" customHeight="1" x14ac:dyDescent="0.25">
      <c r="A3246" t="str">
        <f>IFERROR(RANK(B3246,$B:$B,1)+COUNTIF($B$1:B3245,B3246),"")</f>
        <v/>
      </c>
      <c r="B3246" t="str">
        <f>IFERROR(SEARCH(#REF!,Table4[[#This Row],[Commodity Title]],1),"")</f>
        <v/>
      </c>
      <c r="C3246" s="35">
        <v>42295426</v>
      </c>
      <c r="D3246" s="33" t="s">
        <v>1495</v>
      </c>
      <c r="E3246" s="33" t="s">
        <v>1496</v>
      </c>
      <c r="F3246" s="33" t="s">
        <v>1497</v>
      </c>
      <c r="G3246" s="33" t="s">
        <v>7062</v>
      </c>
      <c r="H3246" s="33" t="s">
        <v>7063</v>
      </c>
      <c r="I3246" s="33" t="s">
        <v>7064</v>
      </c>
      <c r="J3246" s="33">
        <v>116450</v>
      </c>
      <c r="K3246" s="33" t="s">
        <v>21</v>
      </c>
      <c r="L3246" s="33" t="s">
        <v>22</v>
      </c>
      <c r="M3246" s="33" t="s">
        <v>8091</v>
      </c>
      <c r="N3246" s="44">
        <v>42295426</v>
      </c>
      <c r="O3246" s="33" t="s">
        <v>8126</v>
      </c>
      <c r="P3246" s="33" t="s">
        <v>8127</v>
      </c>
      <c r="Q3246" s="34" t="s">
        <v>1494</v>
      </c>
      <c r="R3246" s="34" t="s">
        <v>1494</v>
      </c>
    </row>
    <row r="3247" spans="1:18" ht="15" customHeight="1" x14ac:dyDescent="0.25">
      <c r="A3247" t="str">
        <f>IFERROR(RANK(B3247,$B:$B,1)+COUNTIF($B$1:B3246,B3247),"")</f>
        <v/>
      </c>
      <c r="B3247" t="str">
        <f>IFERROR(SEARCH(#REF!,Table4[[#This Row],[Commodity Title]],1),"")</f>
        <v/>
      </c>
      <c r="C3247" s="35">
        <v>42295427</v>
      </c>
      <c r="D3247" s="33" t="s">
        <v>1495</v>
      </c>
      <c r="E3247" s="33" t="s">
        <v>1496</v>
      </c>
      <c r="F3247" s="33" t="s">
        <v>1497</v>
      </c>
      <c r="G3247" s="33" t="s">
        <v>7062</v>
      </c>
      <c r="H3247" s="33" t="s">
        <v>7063</v>
      </c>
      <c r="I3247" s="33" t="s">
        <v>7064</v>
      </c>
      <c r="J3247" s="33">
        <v>116451</v>
      </c>
      <c r="K3247" s="33" t="s">
        <v>21</v>
      </c>
      <c r="L3247" s="33" t="s">
        <v>22</v>
      </c>
      <c r="M3247" s="33" t="s">
        <v>8091</v>
      </c>
      <c r="N3247" s="44">
        <v>42295427</v>
      </c>
      <c r="O3247" s="33" t="s">
        <v>8128</v>
      </c>
      <c r="P3247" s="33" t="s">
        <v>8129</v>
      </c>
      <c r="Q3247" s="34" t="s">
        <v>1494</v>
      </c>
      <c r="R3247" s="34" t="s">
        <v>1494</v>
      </c>
    </row>
    <row r="3248" spans="1:18" ht="15" customHeight="1" x14ac:dyDescent="0.25">
      <c r="A3248" t="str">
        <f>IFERROR(RANK(B3248,$B:$B,1)+COUNTIF($B$1:B3247,B3248),"")</f>
        <v/>
      </c>
      <c r="B3248" t="str">
        <f>IFERROR(SEARCH(#REF!,Table4[[#This Row],[Commodity Title]],1),"")</f>
        <v/>
      </c>
      <c r="C3248" s="35">
        <v>42295435</v>
      </c>
      <c r="D3248" s="33" t="s">
        <v>1495</v>
      </c>
      <c r="E3248" s="33" t="s">
        <v>1496</v>
      </c>
      <c r="F3248" s="33" t="s">
        <v>1497</v>
      </c>
      <c r="G3248" s="33" t="s">
        <v>7062</v>
      </c>
      <c r="H3248" s="33" t="s">
        <v>7063</v>
      </c>
      <c r="I3248" s="33" t="s">
        <v>7064</v>
      </c>
      <c r="J3248" s="33">
        <v>142744</v>
      </c>
      <c r="K3248" s="33" t="s">
        <v>21</v>
      </c>
      <c r="L3248" s="33" t="s">
        <v>22</v>
      </c>
      <c r="M3248" s="33" t="s">
        <v>8091</v>
      </c>
      <c r="N3248" s="44">
        <v>42295435</v>
      </c>
      <c r="O3248" s="33" t="s">
        <v>8130</v>
      </c>
      <c r="P3248" s="33" t="s">
        <v>8131</v>
      </c>
      <c r="Q3248" s="34" t="s">
        <v>1494</v>
      </c>
      <c r="R3248" s="34" t="s">
        <v>1494</v>
      </c>
    </row>
    <row r="3249" spans="1:18" ht="15" customHeight="1" x14ac:dyDescent="0.25">
      <c r="A3249" t="str">
        <f>IFERROR(RANK(B3249,$B:$B,1)+COUNTIF($B$1:B3248,B3249),"")</f>
        <v/>
      </c>
      <c r="B3249" t="str">
        <f>IFERROR(SEARCH(#REF!,Table4[[#This Row],[Commodity Title]],1),"")</f>
        <v/>
      </c>
      <c r="C3249" s="35">
        <v>42295440</v>
      </c>
      <c r="D3249" s="33" t="s">
        <v>1495</v>
      </c>
      <c r="E3249" s="33" t="s">
        <v>1496</v>
      </c>
      <c r="F3249" s="33" t="s">
        <v>1497</v>
      </c>
      <c r="G3249" s="33" t="s">
        <v>7062</v>
      </c>
      <c r="H3249" s="33" t="s">
        <v>7063</v>
      </c>
      <c r="I3249" s="33" t="s">
        <v>7064</v>
      </c>
      <c r="J3249" s="33">
        <v>142851</v>
      </c>
      <c r="K3249" s="33" t="s">
        <v>21</v>
      </c>
      <c r="L3249" s="33" t="s">
        <v>22</v>
      </c>
      <c r="M3249" s="33" t="s">
        <v>8091</v>
      </c>
      <c r="N3249" s="44">
        <v>42295440</v>
      </c>
      <c r="O3249" s="33" t="s">
        <v>8132</v>
      </c>
      <c r="P3249" s="33" t="s">
        <v>8133</v>
      </c>
      <c r="Q3249" s="34" t="s">
        <v>1494</v>
      </c>
      <c r="R3249" s="34" t="s">
        <v>1494</v>
      </c>
    </row>
    <row r="3250" spans="1:18" ht="15" customHeight="1" x14ac:dyDescent="0.25">
      <c r="A3250" t="str">
        <f>IFERROR(RANK(B3250,$B:$B,1)+COUNTIF($B$1:B3249,B3250),"")</f>
        <v/>
      </c>
      <c r="B3250" t="str">
        <f>IFERROR(SEARCH(#REF!,Table4[[#This Row],[Commodity Title]],1),"")</f>
        <v/>
      </c>
      <c r="C3250" s="35">
        <v>42295446</v>
      </c>
      <c r="D3250" s="33" t="s">
        <v>1495</v>
      </c>
      <c r="E3250" s="33" t="s">
        <v>1496</v>
      </c>
      <c r="F3250" s="33" t="s">
        <v>1497</v>
      </c>
      <c r="G3250" s="33" t="s">
        <v>7062</v>
      </c>
      <c r="H3250" s="33" t="s">
        <v>7063</v>
      </c>
      <c r="I3250" s="33" t="s">
        <v>7064</v>
      </c>
      <c r="J3250" s="33">
        <v>142857</v>
      </c>
      <c r="K3250" s="33" t="s">
        <v>21</v>
      </c>
      <c r="L3250" s="33" t="s">
        <v>22</v>
      </c>
      <c r="M3250" s="33" t="s">
        <v>8091</v>
      </c>
      <c r="N3250" s="44">
        <v>42295446</v>
      </c>
      <c r="O3250" s="33" t="s">
        <v>8134</v>
      </c>
      <c r="P3250" s="33" t="s">
        <v>8135</v>
      </c>
      <c r="Q3250" s="34" t="s">
        <v>1494</v>
      </c>
      <c r="R3250" s="34" t="s">
        <v>1494</v>
      </c>
    </row>
    <row r="3251" spans="1:18" ht="15" customHeight="1" x14ac:dyDescent="0.25">
      <c r="A3251" t="str">
        <f>IFERROR(RANK(B3251,$B:$B,1)+COUNTIF($B$1:B3250,B3251),"")</f>
        <v/>
      </c>
      <c r="B3251" t="str">
        <f>IFERROR(SEARCH(#REF!,Table4[[#This Row],[Commodity Title]],1),"")</f>
        <v/>
      </c>
      <c r="C3251" s="35">
        <v>42295448</v>
      </c>
      <c r="D3251" s="33" t="s">
        <v>1495</v>
      </c>
      <c r="E3251" s="33" t="s">
        <v>1496</v>
      </c>
      <c r="F3251" s="33" t="s">
        <v>1497</v>
      </c>
      <c r="G3251" s="33" t="s">
        <v>7062</v>
      </c>
      <c r="H3251" s="33" t="s">
        <v>7063</v>
      </c>
      <c r="I3251" s="33" t="s">
        <v>7064</v>
      </c>
      <c r="J3251" s="33">
        <v>142859</v>
      </c>
      <c r="K3251" s="33" t="s">
        <v>21</v>
      </c>
      <c r="L3251" s="33" t="s">
        <v>22</v>
      </c>
      <c r="M3251" s="33" t="s">
        <v>8091</v>
      </c>
      <c r="N3251" s="44">
        <v>42295448</v>
      </c>
      <c r="O3251" s="33" t="s">
        <v>8136</v>
      </c>
      <c r="P3251" s="33" t="s">
        <v>8137</v>
      </c>
      <c r="Q3251" s="34" t="s">
        <v>1494</v>
      </c>
      <c r="R3251" s="34" t="s">
        <v>1494</v>
      </c>
    </row>
    <row r="3252" spans="1:18" ht="15" customHeight="1" x14ac:dyDescent="0.25">
      <c r="A3252" t="str">
        <f>IFERROR(RANK(B3252,$B:$B,1)+COUNTIF($B$1:B3251,B3252),"")</f>
        <v/>
      </c>
      <c r="B3252" t="str">
        <f>IFERROR(SEARCH(#REF!,Table4[[#This Row],[Commodity Title]],1),"")</f>
        <v/>
      </c>
      <c r="C3252" s="35">
        <v>42295451</v>
      </c>
      <c r="D3252" s="33" t="s">
        <v>1495</v>
      </c>
      <c r="E3252" s="33" t="s">
        <v>1496</v>
      </c>
      <c r="F3252" s="33" t="s">
        <v>1497</v>
      </c>
      <c r="G3252" s="33" t="s">
        <v>7062</v>
      </c>
      <c r="H3252" s="33" t="s">
        <v>7063</v>
      </c>
      <c r="I3252" s="33" t="s">
        <v>7064</v>
      </c>
      <c r="J3252" s="33">
        <v>142862</v>
      </c>
      <c r="K3252" s="33" t="s">
        <v>21</v>
      </c>
      <c r="L3252" s="33" t="s">
        <v>22</v>
      </c>
      <c r="M3252" s="33" t="s">
        <v>8091</v>
      </c>
      <c r="N3252" s="44">
        <v>42295451</v>
      </c>
      <c r="O3252" s="33" t="s">
        <v>8138</v>
      </c>
      <c r="P3252" s="33" t="s">
        <v>8139</v>
      </c>
      <c r="Q3252" s="34" t="s">
        <v>1494</v>
      </c>
      <c r="R3252" s="34" t="s">
        <v>1494</v>
      </c>
    </row>
    <row r="3253" spans="1:18" ht="15" customHeight="1" x14ac:dyDescent="0.25">
      <c r="A3253" t="str">
        <f>IFERROR(RANK(B3253,$B:$B,1)+COUNTIF($B$1:B3252,B3253),"")</f>
        <v/>
      </c>
      <c r="B3253" t="str">
        <f>IFERROR(SEARCH(#REF!,Table4[[#This Row],[Commodity Title]],1),"")</f>
        <v/>
      </c>
      <c r="C3253" s="35">
        <v>42295452</v>
      </c>
      <c r="D3253" s="33" t="s">
        <v>1495</v>
      </c>
      <c r="E3253" s="33" t="s">
        <v>1496</v>
      </c>
      <c r="F3253" s="33" t="s">
        <v>1497</v>
      </c>
      <c r="G3253" s="33" t="s">
        <v>7062</v>
      </c>
      <c r="H3253" s="33" t="s">
        <v>7063</v>
      </c>
      <c r="I3253" s="33" t="s">
        <v>7064</v>
      </c>
      <c r="J3253" s="33">
        <v>142863</v>
      </c>
      <c r="K3253" s="33" t="s">
        <v>21</v>
      </c>
      <c r="L3253" s="33" t="s">
        <v>22</v>
      </c>
      <c r="M3253" s="33" t="s">
        <v>8091</v>
      </c>
      <c r="N3253" s="44">
        <v>42295452</v>
      </c>
      <c r="O3253" s="33" t="s">
        <v>8140</v>
      </c>
      <c r="P3253" s="33" t="s">
        <v>8141</v>
      </c>
      <c r="Q3253" s="34" t="s">
        <v>1494</v>
      </c>
      <c r="R3253" s="34" t="s">
        <v>1494</v>
      </c>
    </row>
    <row r="3254" spans="1:18" ht="15" customHeight="1" x14ac:dyDescent="0.25">
      <c r="A3254" t="str">
        <f>IFERROR(RANK(B3254,$B:$B,1)+COUNTIF($B$1:B3253,B3254),"")</f>
        <v/>
      </c>
      <c r="B3254" t="str">
        <f>IFERROR(SEARCH(#REF!,Table4[[#This Row],[Commodity Title]],1),"")</f>
        <v/>
      </c>
      <c r="C3254" s="35">
        <v>42295453</v>
      </c>
      <c r="D3254" s="33" t="s">
        <v>1495</v>
      </c>
      <c r="E3254" s="33" t="s">
        <v>1496</v>
      </c>
      <c r="F3254" s="33" t="s">
        <v>1497</v>
      </c>
      <c r="G3254" s="33" t="s">
        <v>7062</v>
      </c>
      <c r="H3254" s="33" t="s">
        <v>7063</v>
      </c>
      <c r="I3254" s="33" t="s">
        <v>7064</v>
      </c>
      <c r="J3254" s="33">
        <v>142864</v>
      </c>
      <c r="K3254" s="33" t="s">
        <v>21</v>
      </c>
      <c r="L3254" s="33" t="s">
        <v>22</v>
      </c>
      <c r="M3254" s="33" t="s">
        <v>8091</v>
      </c>
      <c r="N3254" s="44">
        <v>42295453</v>
      </c>
      <c r="O3254" s="33" t="s">
        <v>8142</v>
      </c>
      <c r="P3254" s="33" t="s">
        <v>8143</v>
      </c>
      <c r="Q3254" s="34" t="s">
        <v>1494</v>
      </c>
      <c r="R3254" s="34" t="s">
        <v>1494</v>
      </c>
    </row>
    <row r="3255" spans="1:18" ht="15" customHeight="1" x14ac:dyDescent="0.25">
      <c r="A3255" t="str">
        <f>IFERROR(RANK(B3255,$B:$B,1)+COUNTIF($B$1:B3254,B3255),"")</f>
        <v/>
      </c>
      <c r="B3255" t="str">
        <f>IFERROR(SEARCH(#REF!,Table4[[#This Row],[Commodity Title]],1),"")</f>
        <v/>
      </c>
      <c r="C3255" s="35">
        <v>42295454</v>
      </c>
      <c r="D3255" s="33" t="s">
        <v>1495</v>
      </c>
      <c r="E3255" s="33" t="s">
        <v>1496</v>
      </c>
      <c r="F3255" s="33" t="s">
        <v>1497</v>
      </c>
      <c r="G3255" s="33" t="s">
        <v>7062</v>
      </c>
      <c r="H3255" s="33" t="s">
        <v>7063</v>
      </c>
      <c r="I3255" s="33" t="s">
        <v>7064</v>
      </c>
      <c r="J3255" s="33">
        <v>142865</v>
      </c>
      <c r="K3255" s="33" t="s">
        <v>21</v>
      </c>
      <c r="L3255" s="33" t="s">
        <v>22</v>
      </c>
      <c r="M3255" s="33" t="s">
        <v>8091</v>
      </c>
      <c r="N3255" s="44">
        <v>42295454</v>
      </c>
      <c r="O3255" s="33" t="s">
        <v>8144</v>
      </c>
      <c r="P3255" s="33" t="s">
        <v>8145</v>
      </c>
      <c r="Q3255" s="34" t="s">
        <v>1494</v>
      </c>
      <c r="R3255" s="34" t="s">
        <v>1494</v>
      </c>
    </row>
    <row r="3256" spans="1:18" ht="15" customHeight="1" x14ac:dyDescent="0.25">
      <c r="A3256" t="str">
        <f>IFERROR(RANK(B3256,$B:$B,1)+COUNTIF($B$1:B3255,B3256),"")</f>
        <v/>
      </c>
      <c r="B3256" t="str">
        <f>IFERROR(SEARCH(#REF!,Table4[[#This Row],[Commodity Title]],1),"")</f>
        <v/>
      </c>
      <c r="C3256" s="35">
        <v>42295456</v>
      </c>
      <c r="D3256" s="33" t="s">
        <v>1495</v>
      </c>
      <c r="E3256" s="33" t="s">
        <v>1496</v>
      </c>
      <c r="F3256" s="33" t="s">
        <v>1497</v>
      </c>
      <c r="G3256" s="33" t="s">
        <v>7062</v>
      </c>
      <c r="H3256" s="33" t="s">
        <v>7063</v>
      </c>
      <c r="I3256" s="33" t="s">
        <v>7064</v>
      </c>
      <c r="J3256" s="33">
        <v>142867</v>
      </c>
      <c r="K3256" s="33" t="s">
        <v>21</v>
      </c>
      <c r="L3256" s="33" t="s">
        <v>22</v>
      </c>
      <c r="M3256" s="33" t="s">
        <v>8091</v>
      </c>
      <c r="N3256" s="44">
        <v>42295456</v>
      </c>
      <c r="O3256" s="33" t="s">
        <v>8146</v>
      </c>
      <c r="P3256" s="33" t="s">
        <v>8147</v>
      </c>
      <c r="Q3256" s="34" t="s">
        <v>1494</v>
      </c>
      <c r="R3256" s="34" t="s">
        <v>1494</v>
      </c>
    </row>
    <row r="3257" spans="1:18" ht="15" customHeight="1" x14ac:dyDescent="0.25">
      <c r="A3257" t="str">
        <f>IFERROR(RANK(B3257,$B:$B,1)+COUNTIF($B$1:B3256,B3257),"")</f>
        <v/>
      </c>
      <c r="B3257" t="str">
        <f>IFERROR(SEARCH(#REF!,Table4[[#This Row],[Commodity Title]],1),"")</f>
        <v/>
      </c>
      <c r="C3257" s="35">
        <v>42295458</v>
      </c>
      <c r="D3257" s="33" t="s">
        <v>1495</v>
      </c>
      <c r="E3257" s="33" t="s">
        <v>1496</v>
      </c>
      <c r="F3257" s="33" t="s">
        <v>1497</v>
      </c>
      <c r="G3257" s="33" t="s">
        <v>7062</v>
      </c>
      <c r="H3257" s="33" t="s">
        <v>7063</v>
      </c>
      <c r="I3257" s="33" t="s">
        <v>7064</v>
      </c>
      <c r="J3257" s="33">
        <v>142869</v>
      </c>
      <c r="K3257" s="33" t="s">
        <v>21</v>
      </c>
      <c r="L3257" s="33" t="s">
        <v>22</v>
      </c>
      <c r="M3257" s="33" t="s">
        <v>8091</v>
      </c>
      <c r="N3257" s="44">
        <v>42295458</v>
      </c>
      <c r="O3257" s="33" t="s">
        <v>8148</v>
      </c>
      <c r="P3257" s="33" t="s">
        <v>8149</v>
      </c>
      <c r="Q3257" s="34" t="s">
        <v>1494</v>
      </c>
      <c r="R3257" s="34" t="s">
        <v>1494</v>
      </c>
    </row>
    <row r="3258" spans="1:18" ht="15" customHeight="1" x14ac:dyDescent="0.25">
      <c r="A3258" t="str">
        <f>IFERROR(RANK(B3258,$B:$B,1)+COUNTIF($B$1:B3257,B3258),"")</f>
        <v/>
      </c>
      <c r="B3258" t="str">
        <f>IFERROR(SEARCH(#REF!,Table4[[#This Row],[Commodity Title]],1),"")</f>
        <v/>
      </c>
      <c r="C3258" s="35">
        <v>42295459</v>
      </c>
      <c r="D3258" s="33" t="s">
        <v>1495</v>
      </c>
      <c r="E3258" s="33" t="s">
        <v>1496</v>
      </c>
      <c r="F3258" s="33" t="s">
        <v>1497</v>
      </c>
      <c r="G3258" s="33" t="s">
        <v>7062</v>
      </c>
      <c r="H3258" s="33" t="s">
        <v>7063</v>
      </c>
      <c r="I3258" s="33" t="s">
        <v>7064</v>
      </c>
      <c r="J3258" s="33">
        <v>143503</v>
      </c>
      <c r="K3258" s="33" t="s">
        <v>21</v>
      </c>
      <c r="L3258" s="33" t="s">
        <v>22</v>
      </c>
      <c r="M3258" s="33" t="s">
        <v>8091</v>
      </c>
      <c r="N3258" s="44">
        <v>42295459</v>
      </c>
      <c r="O3258" s="33" t="s">
        <v>8150</v>
      </c>
      <c r="P3258" s="33" t="s">
        <v>8151</v>
      </c>
      <c r="Q3258" s="34" t="s">
        <v>1494</v>
      </c>
      <c r="R3258" s="34" t="s">
        <v>1494</v>
      </c>
    </row>
    <row r="3259" spans="1:18" ht="15" customHeight="1" x14ac:dyDescent="0.25">
      <c r="A3259" t="str">
        <f>IFERROR(RANK(B3259,$B:$B,1)+COUNTIF($B$1:B3258,B3259),"")</f>
        <v/>
      </c>
      <c r="B3259" t="str">
        <f>IFERROR(SEARCH(#REF!,Table4[[#This Row],[Commodity Title]],1),"")</f>
        <v/>
      </c>
      <c r="C3259" s="35">
        <v>42295460</v>
      </c>
      <c r="D3259" s="33" t="s">
        <v>1495</v>
      </c>
      <c r="E3259" s="33" t="s">
        <v>1496</v>
      </c>
      <c r="F3259" s="33" t="s">
        <v>1497</v>
      </c>
      <c r="G3259" s="33" t="s">
        <v>7062</v>
      </c>
      <c r="H3259" s="33" t="s">
        <v>7063</v>
      </c>
      <c r="I3259" s="33" t="s">
        <v>7064</v>
      </c>
      <c r="J3259" s="33">
        <v>143504</v>
      </c>
      <c r="K3259" s="33" t="s">
        <v>21</v>
      </c>
      <c r="L3259" s="33" t="s">
        <v>22</v>
      </c>
      <c r="M3259" s="33" t="s">
        <v>8091</v>
      </c>
      <c r="N3259" s="44">
        <v>42295460</v>
      </c>
      <c r="O3259" s="33" t="s">
        <v>8152</v>
      </c>
      <c r="P3259" s="33" t="s">
        <v>8153</v>
      </c>
      <c r="Q3259" s="34" t="s">
        <v>1494</v>
      </c>
      <c r="R3259" s="34" t="s">
        <v>1494</v>
      </c>
    </row>
    <row r="3260" spans="1:18" ht="15" customHeight="1" x14ac:dyDescent="0.25">
      <c r="A3260" t="str">
        <f>IFERROR(RANK(B3260,$B:$B,1)+COUNTIF($B$1:B3259,B3260),"")</f>
        <v/>
      </c>
      <c r="B3260" t="str">
        <f>IFERROR(SEARCH(#REF!,Table4[[#This Row],[Commodity Title]],1),"")</f>
        <v/>
      </c>
      <c r="C3260" s="35">
        <v>42295461</v>
      </c>
      <c r="D3260" s="33" t="s">
        <v>1495</v>
      </c>
      <c r="E3260" s="33" t="s">
        <v>1496</v>
      </c>
      <c r="F3260" s="33" t="s">
        <v>1497</v>
      </c>
      <c r="G3260" s="33" t="s">
        <v>7062</v>
      </c>
      <c r="H3260" s="33" t="s">
        <v>7063</v>
      </c>
      <c r="I3260" s="33" t="s">
        <v>7064</v>
      </c>
      <c r="J3260" s="33">
        <v>143505</v>
      </c>
      <c r="K3260" s="33" t="s">
        <v>21</v>
      </c>
      <c r="L3260" s="33" t="s">
        <v>22</v>
      </c>
      <c r="M3260" s="33" t="s">
        <v>8091</v>
      </c>
      <c r="N3260" s="44">
        <v>42295461</v>
      </c>
      <c r="O3260" s="33" t="s">
        <v>8154</v>
      </c>
      <c r="P3260" s="33" t="s">
        <v>8155</v>
      </c>
      <c r="Q3260" s="34" t="s">
        <v>1494</v>
      </c>
      <c r="R3260" s="34" t="s">
        <v>1494</v>
      </c>
    </row>
    <row r="3261" spans="1:18" ht="15" customHeight="1" x14ac:dyDescent="0.25">
      <c r="A3261" t="str">
        <f>IFERROR(RANK(B3261,$B:$B,1)+COUNTIF($B$1:B3260,B3261),"")</f>
        <v/>
      </c>
      <c r="B3261" t="str">
        <f>IFERROR(SEARCH(#REF!,Table4[[#This Row],[Commodity Title]],1),"")</f>
        <v/>
      </c>
      <c r="C3261" s="35">
        <v>42295462</v>
      </c>
      <c r="D3261" s="33" t="s">
        <v>1495</v>
      </c>
      <c r="E3261" s="33" t="s">
        <v>1496</v>
      </c>
      <c r="F3261" s="33" t="s">
        <v>1497</v>
      </c>
      <c r="G3261" s="33" t="s">
        <v>7062</v>
      </c>
      <c r="H3261" s="33" t="s">
        <v>7063</v>
      </c>
      <c r="I3261" s="33" t="s">
        <v>7064</v>
      </c>
      <c r="J3261" s="33">
        <v>143859</v>
      </c>
      <c r="K3261" s="33" t="s">
        <v>21</v>
      </c>
      <c r="L3261" s="33" t="s">
        <v>22</v>
      </c>
      <c r="M3261" s="33" t="s">
        <v>8091</v>
      </c>
      <c r="N3261" s="44">
        <v>42295462</v>
      </c>
      <c r="O3261" s="33" t="s">
        <v>8156</v>
      </c>
      <c r="P3261" s="33" t="s">
        <v>8157</v>
      </c>
      <c r="Q3261" s="34" t="s">
        <v>1494</v>
      </c>
      <c r="R3261" s="34" t="s">
        <v>1494</v>
      </c>
    </row>
    <row r="3262" spans="1:18" ht="15" customHeight="1" x14ac:dyDescent="0.25">
      <c r="A3262" t="str">
        <f>IFERROR(RANK(B3262,$B:$B,1)+COUNTIF($B$1:B3261,B3262),"")</f>
        <v/>
      </c>
      <c r="B3262" t="str">
        <f>IFERROR(SEARCH(#REF!,Table4[[#This Row],[Commodity Title]],1),"")</f>
        <v/>
      </c>
      <c r="C3262" s="35">
        <v>42295464</v>
      </c>
      <c r="D3262" s="33" t="s">
        <v>1495</v>
      </c>
      <c r="E3262" s="33" t="s">
        <v>1496</v>
      </c>
      <c r="F3262" s="33" t="s">
        <v>1497</v>
      </c>
      <c r="G3262" s="33" t="s">
        <v>7062</v>
      </c>
      <c r="H3262" s="33" t="s">
        <v>7063</v>
      </c>
      <c r="I3262" s="33" t="s">
        <v>7064</v>
      </c>
      <c r="J3262" s="33">
        <v>145306</v>
      </c>
      <c r="K3262" s="33" t="s">
        <v>21</v>
      </c>
      <c r="L3262" s="33" t="s">
        <v>22</v>
      </c>
      <c r="M3262" s="33" t="s">
        <v>8091</v>
      </c>
      <c r="N3262" s="44">
        <v>42295464</v>
      </c>
      <c r="O3262" s="33" t="s">
        <v>8158</v>
      </c>
      <c r="P3262" s="33" t="s">
        <v>8159</v>
      </c>
      <c r="Q3262" s="34" t="s">
        <v>1494</v>
      </c>
      <c r="R3262" s="34" t="s">
        <v>1494</v>
      </c>
    </row>
    <row r="3263" spans="1:18" ht="15" customHeight="1" x14ac:dyDescent="0.25">
      <c r="A3263" t="str">
        <f>IFERROR(RANK(B3263,$B:$B,1)+COUNTIF($B$1:B3262,B3263),"")</f>
        <v/>
      </c>
      <c r="B3263" t="str">
        <f>IFERROR(SEARCH(#REF!,Table4[[#This Row],[Commodity Title]],1),"")</f>
        <v/>
      </c>
      <c r="C3263" s="35">
        <v>42295465</v>
      </c>
      <c r="D3263" s="33" t="s">
        <v>1495</v>
      </c>
      <c r="E3263" s="33" t="s">
        <v>1496</v>
      </c>
      <c r="F3263" s="33" t="s">
        <v>1497</v>
      </c>
      <c r="G3263" s="33" t="s">
        <v>7062</v>
      </c>
      <c r="H3263" s="33" t="s">
        <v>7063</v>
      </c>
      <c r="I3263" s="33" t="s">
        <v>7064</v>
      </c>
      <c r="J3263" s="33">
        <v>164875</v>
      </c>
      <c r="K3263" s="33" t="s">
        <v>21</v>
      </c>
      <c r="L3263" s="33" t="s">
        <v>22</v>
      </c>
      <c r="M3263" s="33" t="s">
        <v>8091</v>
      </c>
      <c r="N3263" s="44">
        <v>42295465</v>
      </c>
      <c r="O3263" s="33" t="s">
        <v>8160</v>
      </c>
      <c r="P3263" s="33" t="s">
        <v>8161</v>
      </c>
      <c r="Q3263" s="34" t="s">
        <v>1494</v>
      </c>
      <c r="R3263" s="34" t="s">
        <v>1494</v>
      </c>
    </row>
    <row r="3264" spans="1:18" ht="15" customHeight="1" x14ac:dyDescent="0.25">
      <c r="A3264" t="str">
        <f>IFERROR(RANK(B3264,$B:$B,1)+COUNTIF($B$1:B3263,B3264),"")</f>
        <v/>
      </c>
      <c r="B3264" t="str">
        <f>IFERROR(SEARCH(#REF!,Table4[[#This Row],[Commodity Title]],1),"")</f>
        <v/>
      </c>
      <c r="C3264" s="35">
        <v>42295470</v>
      </c>
      <c r="D3264" s="33" t="s">
        <v>1495</v>
      </c>
      <c r="E3264" s="33" t="s">
        <v>1496</v>
      </c>
      <c r="F3264" s="33" t="s">
        <v>1497</v>
      </c>
      <c r="G3264" s="33" t="s">
        <v>7062</v>
      </c>
      <c r="H3264" s="33" t="s">
        <v>7063</v>
      </c>
      <c r="I3264" s="33" t="s">
        <v>7064</v>
      </c>
      <c r="J3264" s="33">
        <v>176726</v>
      </c>
      <c r="K3264" s="33" t="s">
        <v>21</v>
      </c>
      <c r="L3264" s="33" t="s">
        <v>22</v>
      </c>
      <c r="M3264" s="33" t="s">
        <v>8091</v>
      </c>
      <c r="N3264" s="44">
        <v>42295470</v>
      </c>
      <c r="O3264" s="33" t="s">
        <v>8162</v>
      </c>
      <c r="P3264" s="33" t="s">
        <v>8163</v>
      </c>
      <c r="Q3264" s="34" t="s">
        <v>1494</v>
      </c>
      <c r="R3264" s="34" t="s">
        <v>1494</v>
      </c>
    </row>
    <row r="3265" spans="1:18" ht="15" customHeight="1" x14ac:dyDescent="0.25">
      <c r="A3265" t="str">
        <f>IFERROR(RANK(B3265,$B:$B,1)+COUNTIF($B$1:B3264,B3265),"")</f>
        <v/>
      </c>
      <c r="B3265" t="str">
        <f>IFERROR(SEARCH(#REF!,Table4[[#This Row],[Commodity Title]],1),"")</f>
        <v/>
      </c>
      <c r="C3265" s="35">
        <v>42295471</v>
      </c>
      <c r="D3265" s="33" t="s">
        <v>1495</v>
      </c>
      <c r="E3265" s="33" t="s">
        <v>1496</v>
      </c>
      <c r="F3265" s="33" t="s">
        <v>1497</v>
      </c>
      <c r="G3265" s="33" t="s">
        <v>7062</v>
      </c>
      <c r="H3265" s="33" t="s">
        <v>7063</v>
      </c>
      <c r="I3265" s="33" t="s">
        <v>7064</v>
      </c>
      <c r="J3265" s="33">
        <v>177423</v>
      </c>
      <c r="K3265" s="33" t="s">
        <v>21</v>
      </c>
      <c r="L3265" s="33" t="s">
        <v>22</v>
      </c>
      <c r="M3265" s="33" t="s">
        <v>8091</v>
      </c>
      <c r="N3265" s="44">
        <v>42295471</v>
      </c>
      <c r="O3265" s="33" t="s">
        <v>8164</v>
      </c>
      <c r="P3265" s="33" t="s">
        <v>8165</v>
      </c>
      <c r="Q3265" s="34" t="s">
        <v>1494</v>
      </c>
      <c r="R3265" s="34" t="s">
        <v>1494</v>
      </c>
    </row>
    <row r="3266" spans="1:18" ht="15" customHeight="1" x14ac:dyDescent="0.25">
      <c r="A3266" t="str">
        <f>IFERROR(RANK(B3266,$B:$B,1)+COUNTIF($B$1:B3265,B3266),"")</f>
        <v/>
      </c>
      <c r="B3266" t="str">
        <f>IFERROR(SEARCH(#REF!,Table4[[#This Row],[Commodity Title]],1),"")</f>
        <v/>
      </c>
      <c r="C3266" s="35">
        <v>42295472</v>
      </c>
      <c r="D3266" s="33" t="s">
        <v>1495</v>
      </c>
      <c r="E3266" s="33" t="s">
        <v>1496</v>
      </c>
      <c r="F3266" s="33" t="s">
        <v>1497</v>
      </c>
      <c r="G3266" s="33" t="s">
        <v>7062</v>
      </c>
      <c r="H3266" s="33" t="s">
        <v>7063</v>
      </c>
      <c r="I3266" s="33" t="s">
        <v>7064</v>
      </c>
      <c r="J3266" s="33">
        <v>203234</v>
      </c>
      <c r="K3266" s="33" t="s">
        <v>21</v>
      </c>
      <c r="L3266" s="33" t="s">
        <v>22</v>
      </c>
      <c r="M3266" s="33" t="s">
        <v>8091</v>
      </c>
      <c r="N3266" s="44">
        <v>42295472</v>
      </c>
      <c r="O3266" s="33" t="s">
        <v>8166</v>
      </c>
      <c r="P3266" s="33" t="s">
        <v>8167</v>
      </c>
      <c r="Q3266" s="34" t="s">
        <v>1494</v>
      </c>
      <c r="R3266" s="34" t="s">
        <v>1494</v>
      </c>
    </row>
    <row r="3267" spans="1:18" ht="15" customHeight="1" x14ac:dyDescent="0.25">
      <c r="A3267" t="str">
        <f>IFERROR(RANK(B3267,$B:$B,1)+COUNTIF($B$1:B3266,B3267),"")</f>
        <v/>
      </c>
      <c r="B3267" t="str">
        <f>IFERROR(SEARCH(#REF!,Table4[[#This Row],[Commodity Title]],1),"")</f>
        <v/>
      </c>
      <c r="C3267" s="35">
        <v>42295473</v>
      </c>
      <c r="D3267" s="33" t="s">
        <v>1495</v>
      </c>
      <c r="E3267" s="33" t="s">
        <v>1496</v>
      </c>
      <c r="F3267" s="33" t="s">
        <v>1497</v>
      </c>
      <c r="G3267" s="33" t="s">
        <v>7062</v>
      </c>
      <c r="H3267" s="33" t="s">
        <v>7063</v>
      </c>
      <c r="I3267" s="33" t="s">
        <v>7064</v>
      </c>
      <c r="J3267" s="33">
        <v>203235</v>
      </c>
      <c r="K3267" s="33" t="s">
        <v>21</v>
      </c>
      <c r="L3267" s="33" t="s">
        <v>22</v>
      </c>
      <c r="M3267" s="33" t="s">
        <v>8091</v>
      </c>
      <c r="N3267" s="44">
        <v>42295473</v>
      </c>
      <c r="O3267" s="33" t="s">
        <v>8168</v>
      </c>
      <c r="P3267" s="33" t="s">
        <v>8169</v>
      </c>
      <c r="Q3267" s="34" t="s">
        <v>1494</v>
      </c>
      <c r="R3267" s="34" t="s">
        <v>1494</v>
      </c>
    </row>
    <row r="3268" spans="1:18" ht="15" customHeight="1" x14ac:dyDescent="0.25">
      <c r="A3268" t="str">
        <f>IFERROR(RANK(B3268,$B:$B,1)+COUNTIF($B$1:B3267,B3268),"")</f>
        <v/>
      </c>
      <c r="B3268" t="str">
        <f>IFERROR(SEARCH(#REF!,Table4[[#This Row],[Commodity Title]],1),"")</f>
        <v/>
      </c>
      <c r="C3268" s="35">
        <v>42295474</v>
      </c>
      <c r="D3268" s="33" t="s">
        <v>1495</v>
      </c>
      <c r="E3268" s="33" t="s">
        <v>1496</v>
      </c>
      <c r="F3268" s="33" t="s">
        <v>1497</v>
      </c>
      <c r="G3268" s="33" t="s">
        <v>7062</v>
      </c>
      <c r="H3268" s="33" t="s">
        <v>7063</v>
      </c>
      <c r="I3268" s="33" t="s">
        <v>7064</v>
      </c>
      <c r="J3268" s="33">
        <v>203236</v>
      </c>
      <c r="K3268" s="33" t="s">
        <v>21</v>
      </c>
      <c r="L3268" s="33" t="s">
        <v>22</v>
      </c>
      <c r="M3268" s="33" t="s">
        <v>8091</v>
      </c>
      <c r="N3268" s="44">
        <v>42295474</v>
      </c>
      <c r="O3268" s="33" t="s">
        <v>8170</v>
      </c>
      <c r="P3268" s="33" t="s">
        <v>8171</v>
      </c>
      <c r="Q3268" s="34" t="s">
        <v>1494</v>
      </c>
      <c r="R3268" s="34" t="s">
        <v>1494</v>
      </c>
    </row>
    <row r="3269" spans="1:18" ht="15" customHeight="1" x14ac:dyDescent="0.25">
      <c r="A3269" t="str">
        <f>IFERROR(RANK(B3269,$B:$B,1)+COUNTIF($B$1:B3268,B3269),"")</f>
        <v/>
      </c>
      <c r="B3269" t="str">
        <f>IFERROR(SEARCH(#REF!,Table4[[#This Row],[Commodity Title]],1),"")</f>
        <v/>
      </c>
      <c r="C3269" s="35">
        <v>42295475</v>
      </c>
      <c r="D3269" s="33" t="s">
        <v>1495</v>
      </c>
      <c r="E3269" s="33" t="s">
        <v>1496</v>
      </c>
      <c r="F3269" s="33" t="s">
        <v>1497</v>
      </c>
      <c r="G3269" s="33" t="s">
        <v>7062</v>
      </c>
      <c r="H3269" s="33" t="s">
        <v>7063</v>
      </c>
      <c r="I3269" s="33" t="s">
        <v>7064</v>
      </c>
      <c r="J3269" s="33">
        <v>203237</v>
      </c>
      <c r="K3269" s="33" t="s">
        <v>21</v>
      </c>
      <c r="L3269" s="33" t="s">
        <v>22</v>
      </c>
      <c r="M3269" s="33" t="s">
        <v>8091</v>
      </c>
      <c r="N3269" s="44">
        <v>42295475</v>
      </c>
      <c r="O3269" s="33" t="s">
        <v>8172</v>
      </c>
      <c r="P3269" s="33" t="s">
        <v>8173</v>
      </c>
      <c r="Q3269" s="34" t="s">
        <v>1494</v>
      </c>
      <c r="R3269" s="34" t="s">
        <v>1494</v>
      </c>
    </row>
    <row r="3270" spans="1:18" ht="15" customHeight="1" x14ac:dyDescent="0.25">
      <c r="A3270" t="str">
        <f>IFERROR(RANK(B3270,$B:$B,1)+COUNTIF($B$1:B3269,B3270),"")</f>
        <v/>
      </c>
      <c r="B3270" t="str">
        <f>IFERROR(SEARCH(#REF!,Table4[[#This Row],[Commodity Title]],1),"")</f>
        <v/>
      </c>
      <c r="C3270" s="35">
        <v>42295476</v>
      </c>
      <c r="D3270" s="33" t="s">
        <v>1495</v>
      </c>
      <c r="E3270" s="33" t="s">
        <v>1496</v>
      </c>
      <c r="F3270" s="33" t="s">
        <v>1497</v>
      </c>
      <c r="G3270" s="33" t="s">
        <v>7062</v>
      </c>
      <c r="H3270" s="33" t="s">
        <v>7063</v>
      </c>
      <c r="I3270" s="33" t="s">
        <v>7064</v>
      </c>
      <c r="J3270" s="33">
        <v>203238</v>
      </c>
      <c r="K3270" s="33" t="s">
        <v>21</v>
      </c>
      <c r="L3270" s="33" t="s">
        <v>22</v>
      </c>
      <c r="M3270" s="33" t="s">
        <v>8091</v>
      </c>
      <c r="N3270" s="44">
        <v>42295476</v>
      </c>
      <c r="O3270" s="33" t="s">
        <v>8174</v>
      </c>
      <c r="P3270" s="33" t="s">
        <v>8175</v>
      </c>
      <c r="Q3270" s="34" t="s">
        <v>1494</v>
      </c>
      <c r="R3270" s="34" t="s">
        <v>1494</v>
      </c>
    </row>
    <row r="3271" spans="1:18" ht="15" customHeight="1" x14ac:dyDescent="0.25">
      <c r="A3271" t="str">
        <f>IFERROR(RANK(B3271,$B:$B,1)+COUNTIF($B$1:B3270,B3271),"")</f>
        <v/>
      </c>
      <c r="B3271" t="str">
        <f>IFERROR(SEARCH(#REF!,Table4[[#This Row],[Commodity Title]],1),"")</f>
        <v/>
      </c>
      <c r="C3271" s="35">
        <v>42295477</v>
      </c>
      <c r="D3271" s="33" t="s">
        <v>1495</v>
      </c>
      <c r="E3271" s="33" t="s">
        <v>1496</v>
      </c>
      <c r="F3271" s="33" t="s">
        <v>1497</v>
      </c>
      <c r="G3271" s="33" t="s">
        <v>7062</v>
      </c>
      <c r="H3271" s="33" t="s">
        <v>7063</v>
      </c>
      <c r="I3271" s="33" t="s">
        <v>7064</v>
      </c>
      <c r="J3271" s="33">
        <v>203239</v>
      </c>
      <c r="K3271" s="33" t="s">
        <v>21</v>
      </c>
      <c r="L3271" s="33" t="s">
        <v>22</v>
      </c>
      <c r="M3271" s="33" t="s">
        <v>8091</v>
      </c>
      <c r="N3271" s="44">
        <v>42295477</v>
      </c>
      <c r="O3271" s="33" t="s">
        <v>8176</v>
      </c>
      <c r="P3271" s="33" t="s">
        <v>8177</v>
      </c>
      <c r="Q3271" s="34" t="s">
        <v>1494</v>
      </c>
      <c r="R3271" s="34" t="s">
        <v>1494</v>
      </c>
    </row>
    <row r="3272" spans="1:18" ht="15" customHeight="1" x14ac:dyDescent="0.25">
      <c r="A3272" t="str">
        <f>IFERROR(RANK(B3272,$B:$B,1)+COUNTIF($B$1:B3271,B3272),"")</f>
        <v/>
      </c>
      <c r="B3272" t="str">
        <f>IFERROR(SEARCH(#REF!,Table4[[#This Row],[Commodity Title]],1),"")</f>
        <v/>
      </c>
      <c r="C3272" s="35">
        <v>42295478</v>
      </c>
      <c r="D3272" s="33" t="s">
        <v>1495</v>
      </c>
      <c r="E3272" s="33" t="s">
        <v>1496</v>
      </c>
      <c r="F3272" s="33" t="s">
        <v>1497</v>
      </c>
      <c r="G3272" s="33" t="s">
        <v>7062</v>
      </c>
      <c r="H3272" s="33" t="s">
        <v>7063</v>
      </c>
      <c r="I3272" s="33" t="s">
        <v>7064</v>
      </c>
      <c r="J3272" s="33">
        <v>203240</v>
      </c>
      <c r="K3272" s="33" t="s">
        <v>21</v>
      </c>
      <c r="L3272" s="33" t="s">
        <v>22</v>
      </c>
      <c r="M3272" s="33" t="s">
        <v>8091</v>
      </c>
      <c r="N3272" s="44">
        <v>42295478</v>
      </c>
      <c r="O3272" s="33" t="s">
        <v>8178</v>
      </c>
      <c r="P3272" s="33" t="s">
        <v>8179</v>
      </c>
      <c r="Q3272" s="34" t="s">
        <v>1494</v>
      </c>
      <c r="R3272" s="34" t="s">
        <v>1494</v>
      </c>
    </row>
    <row r="3273" spans="1:18" ht="15" customHeight="1" x14ac:dyDescent="0.25">
      <c r="A3273" t="str">
        <f>IFERROR(RANK(B3273,$B:$B,1)+COUNTIF($B$1:B3272,B3273),"")</f>
        <v/>
      </c>
      <c r="B3273" t="str">
        <f>IFERROR(SEARCH(#REF!,Table4[[#This Row],[Commodity Title]],1),"")</f>
        <v/>
      </c>
      <c r="C3273" s="35">
        <v>42295479</v>
      </c>
      <c r="D3273" s="33" t="s">
        <v>1495</v>
      </c>
      <c r="E3273" s="33" t="s">
        <v>1496</v>
      </c>
      <c r="F3273" s="33" t="s">
        <v>1497</v>
      </c>
      <c r="G3273" s="33" t="s">
        <v>7062</v>
      </c>
      <c r="H3273" s="33" t="s">
        <v>7063</v>
      </c>
      <c r="I3273" s="33" t="s">
        <v>7064</v>
      </c>
      <c r="J3273" s="33">
        <v>203241</v>
      </c>
      <c r="K3273" s="33" t="s">
        <v>21</v>
      </c>
      <c r="L3273" s="33" t="s">
        <v>22</v>
      </c>
      <c r="M3273" s="33" t="s">
        <v>8091</v>
      </c>
      <c r="N3273" s="44">
        <v>42295479</v>
      </c>
      <c r="O3273" s="33" t="s">
        <v>8180</v>
      </c>
      <c r="P3273" s="33" t="s">
        <v>8181</v>
      </c>
      <c r="Q3273" s="34" t="s">
        <v>1494</v>
      </c>
      <c r="R3273" s="34" t="s">
        <v>1494</v>
      </c>
    </row>
    <row r="3274" spans="1:18" ht="15" customHeight="1" x14ac:dyDescent="0.25">
      <c r="A3274" t="str">
        <f>IFERROR(RANK(B3274,$B:$B,1)+COUNTIF($B$1:B3273,B3274),"")</f>
        <v/>
      </c>
      <c r="B3274" t="str">
        <f>IFERROR(SEARCH(#REF!,Table4[[#This Row],[Commodity Title]],1),"")</f>
        <v/>
      </c>
      <c r="C3274" s="35">
        <v>42295480</v>
      </c>
      <c r="D3274" s="33" t="s">
        <v>1495</v>
      </c>
      <c r="E3274" s="33" t="s">
        <v>1496</v>
      </c>
      <c r="F3274" s="33" t="s">
        <v>1497</v>
      </c>
      <c r="G3274" s="33" t="s">
        <v>7062</v>
      </c>
      <c r="H3274" s="33" t="s">
        <v>7063</v>
      </c>
      <c r="I3274" s="33" t="s">
        <v>7064</v>
      </c>
      <c r="J3274" s="33">
        <v>203242</v>
      </c>
      <c r="K3274" s="33" t="s">
        <v>21</v>
      </c>
      <c r="L3274" s="33" t="s">
        <v>22</v>
      </c>
      <c r="M3274" s="33" t="s">
        <v>8091</v>
      </c>
      <c r="N3274" s="44">
        <v>42295480</v>
      </c>
      <c r="O3274" s="33" t="s">
        <v>8182</v>
      </c>
      <c r="P3274" s="33" t="s">
        <v>8183</v>
      </c>
      <c r="Q3274" s="34" t="s">
        <v>1494</v>
      </c>
      <c r="R3274" s="34" t="s">
        <v>1494</v>
      </c>
    </row>
    <row r="3275" spans="1:18" ht="15" customHeight="1" x14ac:dyDescent="0.25">
      <c r="A3275" t="str">
        <f>IFERROR(RANK(B3275,$B:$B,1)+COUNTIF($B$1:B3274,B3275),"")</f>
        <v/>
      </c>
      <c r="B3275" t="str">
        <f>IFERROR(SEARCH(#REF!,Table4[[#This Row],[Commodity Title]],1),"")</f>
        <v/>
      </c>
      <c r="C3275" s="33" t="s">
        <v>1494</v>
      </c>
      <c r="D3275" s="33" t="s">
        <v>1495</v>
      </c>
      <c r="E3275" s="33" t="s">
        <v>1496</v>
      </c>
      <c r="F3275" s="33" t="s">
        <v>1497</v>
      </c>
      <c r="G3275" s="33" t="s">
        <v>7062</v>
      </c>
      <c r="H3275" s="33" t="s">
        <v>7063</v>
      </c>
      <c r="I3275" s="33" t="s">
        <v>7064</v>
      </c>
      <c r="J3275" s="33">
        <v>116459</v>
      </c>
      <c r="K3275" s="33" t="s">
        <v>8184</v>
      </c>
      <c r="L3275" s="33" t="s">
        <v>8185</v>
      </c>
      <c r="M3275" s="33" t="s">
        <v>8186</v>
      </c>
      <c r="N3275" s="44" t="s">
        <v>1494</v>
      </c>
      <c r="O3275" s="33" t="s">
        <v>1494</v>
      </c>
      <c r="P3275" s="33" t="s">
        <v>1494</v>
      </c>
      <c r="Q3275" s="34" t="s">
        <v>1494</v>
      </c>
      <c r="R3275" s="34" t="s">
        <v>1494</v>
      </c>
    </row>
    <row r="3276" spans="1:18" ht="15" customHeight="1" x14ac:dyDescent="0.25">
      <c r="A3276" t="str">
        <f>IFERROR(RANK(B3276,$B:$B,1)+COUNTIF($B$1:B3275,B3276),"")</f>
        <v/>
      </c>
      <c r="B3276" t="str">
        <f>IFERROR(SEARCH(#REF!,Table4[[#This Row],[Commodity Title]],1),"")</f>
        <v/>
      </c>
      <c r="C3276" s="35">
        <v>42295502</v>
      </c>
      <c r="D3276" s="33" t="s">
        <v>1495</v>
      </c>
      <c r="E3276" s="33" t="s">
        <v>1496</v>
      </c>
      <c r="F3276" s="33" t="s">
        <v>1497</v>
      </c>
      <c r="G3276" s="33" t="s">
        <v>7062</v>
      </c>
      <c r="H3276" s="33" t="s">
        <v>7063</v>
      </c>
      <c r="I3276" s="33" t="s">
        <v>7064</v>
      </c>
      <c r="J3276" s="33">
        <v>116461</v>
      </c>
      <c r="K3276" s="33" t="s">
        <v>8184</v>
      </c>
      <c r="L3276" s="33" t="s">
        <v>8185</v>
      </c>
      <c r="M3276" s="33" t="s">
        <v>8186</v>
      </c>
      <c r="N3276" s="44">
        <v>42295502</v>
      </c>
      <c r="O3276" s="33" t="s">
        <v>8187</v>
      </c>
      <c r="P3276" s="33" t="s">
        <v>8188</v>
      </c>
      <c r="Q3276" s="34" t="s">
        <v>1494</v>
      </c>
      <c r="R3276" s="34" t="s">
        <v>1494</v>
      </c>
    </row>
    <row r="3277" spans="1:18" ht="15" customHeight="1" x14ac:dyDescent="0.25">
      <c r="A3277" t="str">
        <f>IFERROR(RANK(B3277,$B:$B,1)+COUNTIF($B$1:B3276,B3277),"")</f>
        <v/>
      </c>
      <c r="B3277" t="str">
        <f>IFERROR(SEARCH(#REF!,Table4[[#This Row],[Commodity Title]],1),"")</f>
        <v/>
      </c>
      <c r="C3277" s="35">
        <v>42295503</v>
      </c>
      <c r="D3277" s="33" t="s">
        <v>1495</v>
      </c>
      <c r="E3277" s="33" t="s">
        <v>1496</v>
      </c>
      <c r="F3277" s="33" t="s">
        <v>1497</v>
      </c>
      <c r="G3277" s="33" t="s">
        <v>7062</v>
      </c>
      <c r="H3277" s="33" t="s">
        <v>7063</v>
      </c>
      <c r="I3277" s="33" t="s">
        <v>7064</v>
      </c>
      <c r="J3277" s="33">
        <v>116462</v>
      </c>
      <c r="K3277" s="33" t="s">
        <v>8184</v>
      </c>
      <c r="L3277" s="33" t="s">
        <v>8185</v>
      </c>
      <c r="M3277" s="33" t="s">
        <v>8186</v>
      </c>
      <c r="N3277" s="44">
        <v>42295503</v>
      </c>
      <c r="O3277" s="33" t="s">
        <v>8189</v>
      </c>
      <c r="P3277" s="33" t="s">
        <v>8190</v>
      </c>
      <c r="Q3277" s="34" t="s">
        <v>1494</v>
      </c>
      <c r="R3277" s="34" t="s">
        <v>1494</v>
      </c>
    </row>
    <row r="3278" spans="1:18" ht="15" customHeight="1" x14ac:dyDescent="0.25">
      <c r="A3278" t="str">
        <f>IFERROR(RANK(B3278,$B:$B,1)+COUNTIF($B$1:B3277,B3278),"")</f>
        <v/>
      </c>
      <c r="B3278" t="str">
        <f>IFERROR(SEARCH(#REF!,Table4[[#This Row],[Commodity Title]],1),"")</f>
        <v/>
      </c>
      <c r="C3278" s="35">
        <v>42295505</v>
      </c>
      <c r="D3278" s="33" t="s">
        <v>1495</v>
      </c>
      <c r="E3278" s="33" t="s">
        <v>1496</v>
      </c>
      <c r="F3278" s="33" t="s">
        <v>1497</v>
      </c>
      <c r="G3278" s="33" t="s">
        <v>7062</v>
      </c>
      <c r="H3278" s="33" t="s">
        <v>7063</v>
      </c>
      <c r="I3278" s="33" t="s">
        <v>7064</v>
      </c>
      <c r="J3278" s="33">
        <v>116464</v>
      </c>
      <c r="K3278" s="33" t="s">
        <v>8184</v>
      </c>
      <c r="L3278" s="33" t="s">
        <v>8185</v>
      </c>
      <c r="M3278" s="33" t="s">
        <v>8186</v>
      </c>
      <c r="N3278" s="44">
        <v>42295505</v>
      </c>
      <c r="O3278" s="33" t="s">
        <v>8191</v>
      </c>
      <c r="P3278" s="33" t="s">
        <v>8192</v>
      </c>
      <c r="Q3278" s="34" t="s">
        <v>1494</v>
      </c>
      <c r="R3278" s="34" t="s">
        <v>1494</v>
      </c>
    </row>
    <row r="3279" spans="1:18" ht="15" customHeight="1" x14ac:dyDescent="0.25">
      <c r="A3279" t="str">
        <f>IFERROR(RANK(B3279,$B:$B,1)+COUNTIF($B$1:B3278,B3279),"")</f>
        <v/>
      </c>
      <c r="B3279" t="str">
        <f>IFERROR(SEARCH(#REF!,Table4[[#This Row],[Commodity Title]],1),"")</f>
        <v/>
      </c>
      <c r="C3279" s="35">
        <v>42295506</v>
      </c>
      <c r="D3279" s="33" t="s">
        <v>1495</v>
      </c>
      <c r="E3279" s="33" t="s">
        <v>1496</v>
      </c>
      <c r="F3279" s="33" t="s">
        <v>1497</v>
      </c>
      <c r="G3279" s="33" t="s">
        <v>7062</v>
      </c>
      <c r="H3279" s="33" t="s">
        <v>7063</v>
      </c>
      <c r="I3279" s="33" t="s">
        <v>7064</v>
      </c>
      <c r="J3279" s="33">
        <v>116465</v>
      </c>
      <c r="K3279" s="33" t="s">
        <v>8184</v>
      </c>
      <c r="L3279" s="33" t="s">
        <v>8185</v>
      </c>
      <c r="M3279" s="33" t="s">
        <v>8186</v>
      </c>
      <c r="N3279" s="44">
        <v>42295506</v>
      </c>
      <c r="O3279" s="33" t="s">
        <v>8193</v>
      </c>
      <c r="P3279" s="33" t="s">
        <v>8194</v>
      </c>
      <c r="Q3279" s="34" t="s">
        <v>1494</v>
      </c>
      <c r="R3279" s="34" t="s">
        <v>1494</v>
      </c>
    </row>
    <row r="3280" spans="1:18" ht="15" customHeight="1" x14ac:dyDescent="0.25">
      <c r="A3280" t="str">
        <f>IFERROR(RANK(B3280,$B:$B,1)+COUNTIF($B$1:B3279,B3280),"")</f>
        <v/>
      </c>
      <c r="B3280" t="str">
        <f>IFERROR(SEARCH(#REF!,Table4[[#This Row],[Commodity Title]],1),"")</f>
        <v/>
      </c>
      <c r="C3280" s="35">
        <v>42295509</v>
      </c>
      <c r="D3280" s="33" t="s">
        <v>1495</v>
      </c>
      <c r="E3280" s="33" t="s">
        <v>1496</v>
      </c>
      <c r="F3280" s="33" t="s">
        <v>1497</v>
      </c>
      <c r="G3280" s="33" t="s">
        <v>7062</v>
      </c>
      <c r="H3280" s="33" t="s">
        <v>7063</v>
      </c>
      <c r="I3280" s="33" t="s">
        <v>7064</v>
      </c>
      <c r="J3280" s="33">
        <v>116468</v>
      </c>
      <c r="K3280" s="33" t="s">
        <v>8184</v>
      </c>
      <c r="L3280" s="33" t="s">
        <v>8185</v>
      </c>
      <c r="M3280" s="33" t="s">
        <v>8186</v>
      </c>
      <c r="N3280" s="44">
        <v>42295509</v>
      </c>
      <c r="O3280" s="33" t="s">
        <v>8195</v>
      </c>
      <c r="P3280" s="33" t="s">
        <v>8196</v>
      </c>
      <c r="Q3280" s="34" t="s">
        <v>1494</v>
      </c>
      <c r="R3280" s="34" t="s">
        <v>1494</v>
      </c>
    </row>
    <row r="3281" spans="1:18" ht="15" customHeight="1" x14ac:dyDescent="0.25">
      <c r="A3281" t="str">
        <f>IFERROR(RANK(B3281,$B:$B,1)+COUNTIF($B$1:B3280,B3281),"")</f>
        <v/>
      </c>
      <c r="B3281" t="str">
        <f>IFERROR(SEARCH(#REF!,Table4[[#This Row],[Commodity Title]],1),"")</f>
        <v/>
      </c>
      <c r="C3281" s="35">
        <v>42295510</v>
      </c>
      <c r="D3281" s="33" t="s">
        <v>1495</v>
      </c>
      <c r="E3281" s="33" t="s">
        <v>1496</v>
      </c>
      <c r="F3281" s="33" t="s">
        <v>1497</v>
      </c>
      <c r="G3281" s="33" t="s">
        <v>7062</v>
      </c>
      <c r="H3281" s="33" t="s">
        <v>7063</v>
      </c>
      <c r="I3281" s="33" t="s">
        <v>7064</v>
      </c>
      <c r="J3281" s="33">
        <v>116469</v>
      </c>
      <c r="K3281" s="33" t="s">
        <v>8184</v>
      </c>
      <c r="L3281" s="33" t="s">
        <v>8185</v>
      </c>
      <c r="M3281" s="33" t="s">
        <v>8186</v>
      </c>
      <c r="N3281" s="44">
        <v>42295510</v>
      </c>
      <c r="O3281" s="33" t="s">
        <v>8197</v>
      </c>
      <c r="P3281" s="33" t="s">
        <v>8198</v>
      </c>
      <c r="Q3281" s="34" t="s">
        <v>1494</v>
      </c>
      <c r="R3281" s="34" t="s">
        <v>1494</v>
      </c>
    </row>
    <row r="3282" spans="1:18" ht="15" customHeight="1" x14ac:dyDescent="0.25">
      <c r="A3282" t="str">
        <f>IFERROR(RANK(B3282,$B:$B,1)+COUNTIF($B$1:B3281,B3282),"")</f>
        <v/>
      </c>
      <c r="B3282" t="str">
        <f>IFERROR(SEARCH(#REF!,Table4[[#This Row],[Commodity Title]],1),"")</f>
        <v/>
      </c>
      <c r="C3282" s="35">
        <v>42295511</v>
      </c>
      <c r="D3282" s="33" t="s">
        <v>1495</v>
      </c>
      <c r="E3282" s="33" t="s">
        <v>1496</v>
      </c>
      <c r="F3282" s="33" t="s">
        <v>1497</v>
      </c>
      <c r="G3282" s="33" t="s">
        <v>7062</v>
      </c>
      <c r="H3282" s="33" t="s">
        <v>7063</v>
      </c>
      <c r="I3282" s="33" t="s">
        <v>7064</v>
      </c>
      <c r="J3282" s="33">
        <v>116470</v>
      </c>
      <c r="K3282" s="33" t="s">
        <v>8184</v>
      </c>
      <c r="L3282" s="33" t="s">
        <v>8185</v>
      </c>
      <c r="M3282" s="33" t="s">
        <v>8186</v>
      </c>
      <c r="N3282" s="44">
        <v>42295511</v>
      </c>
      <c r="O3282" s="33" t="s">
        <v>8199</v>
      </c>
      <c r="P3282" s="33" t="s">
        <v>8200</v>
      </c>
      <c r="Q3282" s="34" t="s">
        <v>1494</v>
      </c>
      <c r="R3282" s="34" t="s">
        <v>1494</v>
      </c>
    </row>
    <row r="3283" spans="1:18" ht="15" customHeight="1" x14ac:dyDescent="0.25">
      <c r="A3283" t="str">
        <f>IFERROR(RANK(B3283,$B:$B,1)+COUNTIF($B$1:B3282,B3283),"")</f>
        <v/>
      </c>
      <c r="B3283" t="str">
        <f>IFERROR(SEARCH(#REF!,Table4[[#This Row],[Commodity Title]],1),"")</f>
        <v/>
      </c>
      <c r="C3283" s="35">
        <v>42295512</v>
      </c>
      <c r="D3283" s="33" t="s">
        <v>1495</v>
      </c>
      <c r="E3283" s="33" t="s">
        <v>1496</v>
      </c>
      <c r="F3283" s="33" t="s">
        <v>1497</v>
      </c>
      <c r="G3283" s="33" t="s">
        <v>7062</v>
      </c>
      <c r="H3283" s="33" t="s">
        <v>7063</v>
      </c>
      <c r="I3283" s="33" t="s">
        <v>7064</v>
      </c>
      <c r="J3283" s="33">
        <v>116471</v>
      </c>
      <c r="K3283" s="33" t="s">
        <v>8184</v>
      </c>
      <c r="L3283" s="33" t="s">
        <v>8185</v>
      </c>
      <c r="M3283" s="33" t="s">
        <v>8186</v>
      </c>
      <c r="N3283" s="44">
        <v>42295512</v>
      </c>
      <c r="O3283" s="33" t="s">
        <v>192</v>
      </c>
      <c r="P3283" s="33" t="s">
        <v>8201</v>
      </c>
      <c r="Q3283" s="34" t="s">
        <v>1494</v>
      </c>
      <c r="R3283" s="34" t="s">
        <v>1494</v>
      </c>
    </row>
    <row r="3284" spans="1:18" ht="15" customHeight="1" x14ac:dyDescent="0.25">
      <c r="A3284" t="str">
        <f>IFERROR(RANK(B3284,$B:$B,1)+COUNTIF($B$1:B3283,B3284),"")</f>
        <v/>
      </c>
      <c r="B3284" t="str">
        <f>IFERROR(SEARCH(#REF!,Table4[[#This Row],[Commodity Title]],1),"")</f>
        <v/>
      </c>
      <c r="C3284" s="35">
        <v>42295513</v>
      </c>
      <c r="D3284" s="33" t="s">
        <v>1495</v>
      </c>
      <c r="E3284" s="33" t="s">
        <v>1496</v>
      </c>
      <c r="F3284" s="33" t="s">
        <v>1497</v>
      </c>
      <c r="G3284" s="33" t="s">
        <v>7062</v>
      </c>
      <c r="H3284" s="33" t="s">
        <v>7063</v>
      </c>
      <c r="I3284" s="33" t="s">
        <v>7064</v>
      </c>
      <c r="J3284" s="33">
        <v>116472</v>
      </c>
      <c r="K3284" s="33" t="s">
        <v>8184</v>
      </c>
      <c r="L3284" s="33" t="s">
        <v>8185</v>
      </c>
      <c r="M3284" s="33" t="s">
        <v>8186</v>
      </c>
      <c r="N3284" s="44">
        <v>42295513</v>
      </c>
      <c r="O3284" s="33" t="s">
        <v>8202</v>
      </c>
      <c r="P3284" s="33" t="s">
        <v>8203</v>
      </c>
      <c r="Q3284" s="34" t="s">
        <v>1494</v>
      </c>
      <c r="R3284" s="34" t="s">
        <v>1494</v>
      </c>
    </row>
    <row r="3285" spans="1:18" ht="15" customHeight="1" x14ac:dyDescent="0.25">
      <c r="A3285" t="str">
        <f>IFERROR(RANK(B3285,$B:$B,1)+COUNTIF($B$1:B3284,B3285),"")</f>
        <v/>
      </c>
      <c r="B3285" t="str">
        <f>IFERROR(SEARCH(#REF!,Table4[[#This Row],[Commodity Title]],1),"")</f>
        <v/>
      </c>
      <c r="C3285" s="35">
        <v>42295514</v>
      </c>
      <c r="D3285" s="33" t="s">
        <v>1495</v>
      </c>
      <c r="E3285" s="33" t="s">
        <v>1496</v>
      </c>
      <c r="F3285" s="33" t="s">
        <v>1497</v>
      </c>
      <c r="G3285" s="33" t="s">
        <v>7062</v>
      </c>
      <c r="H3285" s="33" t="s">
        <v>7063</v>
      </c>
      <c r="I3285" s="33" t="s">
        <v>7064</v>
      </c>
      <c r="J3285" s="33">
        <v>116473</v>
      </c>
      <c r="K3285" s="33" t="s">
        <v>8184</v>
      </c>
      <c r="L3285" s="33" t="s">
        <v>8185</v>
      </c>
      <c r="M3285" s="33" t="s">
        <v>8186</v>
      </c>
      <c r="N3285" s="44">
        <v>42295514</v>
      </c>
      <c r="O3285" s="33" t="s">
        <v>8204</v>
      </c>
      <c r="P3285" s="33" t="s">
        <v>8205</v>
      </c>
      <c r="Q3285" s="34" t="s">
        <v>1494</v>
      </c>
      <c r="R3285" s="34" t="s">
        <v>1494</v>
      </c>
    </row>
    <row r="3286" spans="1:18" ht="15" customHeight="1" x14ac:dyDescent="0.25">
      <c r="A3286" t="str">
        <f>IFERROR(RANK(B3286,$B:$B,1)+COUNTIF($B$1:B3285,B3286),"")</f>
        <v/>
      </c>
      <c r="B3286" t="str">
        <f>IFERROR(SEARCH(#REF!,Table4[[#This Row],[Commodity Title]],1),"")</f>
        <v/>
      </c>
      <c r="C3286" s="35">
        <v>42295515</v>
      </c>
      <c r="D3286" s="33" t="s">
        <v>1495</v>
      </c>
      <c r="E3286" s="33" t="s">
        <v>1496</v>
      </c>
      <c r="F3286" s="33" t="s">
        <v>1497</v>
      </c>
      <c r="G3286" s="33" t="s">
        <v>7062</v>
      </c>
      <c r="H3286" s="33" t="s">
        <v>7063</v>
      </c>
      <c r="I3286" s="33" t="s">
        <v>7064</v>
      </c>
      <c r="J3286" s="33">
        <v>116474</v>
      </c>
      <c r="K3286" s="33" t="s">
        <v>8184</v>
      </c>
      <c r="L3286" s="33" t="s">
        <v>8185</v>
      </c>
      <c r="M3286" s="33" t="s">
        <v>8186</v>
      </c>
      <c r="N3286" s="44">
        <v>42295515</v>
      </c>
      <c r="O3286" s="33" t="s">
        <v>8206</v>
      </c>
      <c r="P3286" s="33" t="s">
        <v>8207</v>
      </c>
      <c r="Q3286" s="34" t="s">
        <v>1494</v>
      </c>
      <c r="R3286" s="34" t="s">
        <v>1494</v>
      </c>
    </row>
    <row r="3287" spans="1:18" ht="15" customHeight="1" x14ac:dyDescent="0.25">
      <c r="A3287" t="str">
        <f>IFERROR(RANK(B3287,$B:$B,1)+COUNTIF($B$1:B3286,B3287),"")</f>
        <v/>
      </c>
      <c r="B3287" t="str">
        <f>IFERROR(SEARCH(#REF!,Table4[[#This Row],[Commodity Title]],1),"")</f>
        <v/>
      </c>
      <c r="C3287" s="35">
        <v>42295516</v>
      </c>
      <c r="D3287" s="33" t="s">
        <v>1495</v>
      </c>
      <c r="E3287" s="33" t="s">
        <v>1496</v>
      </c>
      <c r="F3287" s="33" t="s">
        <v>1497</v>
      </c>
      <c r="G3287" s="33" t="s">
        <v>7062</v>
      </c>
      <c r="H3287" s="33" t="s">
        <v>7063</v>
      </c>
      <c r="I3287" s="33" t="s">
        <v>7064</v>
      </c>
      <c r="J3287" s="33">
        <v>116475</v>
      </c>
      <c r="K3287" s="33" t="s">
        <v>8184</v>
      </c>
      <c r="L3287" s="33" t="s">
        <v>8185</v>
      </c>
      <c r="M3287" s="33" t="s">
        <v>8186</v>
      </c>
      <c r="N3287" s="44">
        <v>42295516</v>
      </c>
      <c r="O3287" s="33" t="s">
        <v>8208</v>
      </c>
      <c r="P3287" s="33" t="s">
        <v>8209</v>
      </c>
      <c r="Q3287" s="34" t="s">
        <v>1494</v>
      </c>
      <c r="R3287" s="34" t="s">
        <v>1494</v>
      </c>
    </row>
    <row r="3288" spans="1:18" ht="15" customHeight="1" x14ac:dyDescent="0.25">
      <c r="A3288" t="str">
        <f>IFERROR(RANK(B3288,$B:$B,1)+COUNTIF($B$1:B3287,B3288),"")</f>
        <v/>
      </c>
      <c r="B3288" t="str">
        <f>IFERROR(SEARCH(#REF!,Table4[[#This Row],[Commodity Title]],1),"")</f>
        <v/>
      </c>
      <c r="C3288" s="35">
        <v>42295517</v>
      </c>
      <c r="D3288" s="33" t="s">
        <v>1495</v>
      </c>
      <c r="E3288" s="33" t="s">
        <v>1496</v>
      </c>
      <c r="F3288" s="33" t="s">
        <v>1497</v>
      </c>
      <c r="G3288" s="33" t="s">
        <v>7062</v>
      </c>
      <c r="H3288" s="33" t="s">
        <v>7063</v>
      </c>
      <c r="I3288" s="33" t="s">
        <v>7064</v>
      </c>
      <c r="J3288" s="33">
        <v>142870</v>
      </c>
      <c r="K3288" s="33" t="s">
        <v>8184</v>
      </c>
      <c r="L3288" s="33" t="s">
        <v>8185</v>
      </c>
      <c r="M3288" s="33" t="s">
        <v>8186</v>
      </c>
      <c r="N3288" s="44">
        <v>42295517</v>
      </c>
      <c r="O3288" s="33" t="s">
        <v>8210</v>
      </c>
      <c r="P3288" s="33" t="s">
        <v>8211</v>
      </c>
      <c r="Q3288" s="34" t="s">
        <v>1494</v>
      </c>
      <c r="R3288" s="34" t="s">
        <v>1494</v>
      </c>
    </row>
    <row r="3289" spans="1:18" ht="15" customHeight="1" x14ac:dyDescent="0.25">
      <c r="A3289" t="str">
        <f>IFERROR(RANK(B3289,$B:$B,1)+COUNTIF($B$1:B3288,B3289),"")</f>
        <v/>
      </c>
      <c r="B3289" t="str">
        <f>IFERROR(SEARCH(#REF!,Table4[[#This Row],[Commodity Title]],1),"")</f>
        <v/>
      </c>
      <c r="C3289" s="35">
        <v>42295518</v>
      </c>
      <c r="D3289" s="33" t="s">
        <v>1495</v>
      </c>
      <c r="E3289" s="33" t="s">
        <v>1496</v>
      </c>
      <c r="F3289" s="33" t="s">
        <v>1497</v>
      </c>
      <c r="G3289" s="33" t="s">
        <v>7062</v>
      </c>
      <c r="H3289" s="33" t="s">
        <v>7063</v>
      </c>
      <c r="I3289" s="33" t="s">
        <v>7064</v>
      </c>
      <c r="J3289" s="33">
        <v>142871</v>
      </c>
      <c r="K3289" s="33" t="s">
        <v>8184</v>
      </c>
      <c r="L3289" s="33" t="s">
        <v>8185</v>
      </c>
      <c r="M3289" s="33" t="s">
        <v>8186</v>
      </c>
      <c r="N3289" s="44">
        <v>42295518</v>
      </c>
      <c r="O3289" s="33" t="s">
        <v>8212</v>
      </c>
      <c r="P3289" s="33" t="s">
        <v>8213</v>
      </c>
      <c r="Q3289" s="34" t="s">
        <v>1494</v>
      </c>
      <c r="R3289" s="34" t="s">
        <v>1494</v>
      </c>
    </row>
    <row r="3290" spans="1:18" ht="15" customHeight="1" x14ac:dyDescent="0.25">
      <c r="A3290" t="str">
        <f>IFERROR(RANK(B3290,$B:$B,1)+COUNTIF($B$1:B3289,B3290),"")</f>
        <v/>
      </c>
      <c r="B3290" t="str">
        <f>IFERROR(SEARCH(#REF!,Table4[[#This Row],[Commodity Title]],1),"")</f>
        <v/>
      </c>
      <c r="C3290" s="35">
        <v>42295519</v>
      </c>
      <c r="D3290" s="33" t="s">
        <v>1495</v>
      </c>
      <c r="E3290" s="33" t="s">
        <v>1496</v>
      </c>
      <c r="F3290" s="33" t="s">
        <v>1497</v>
      </c>
      <c r="G3290" s="33" t="s">
        <v>7062</v>
      </c>
      <c r="H3290" s="33" t="s">
        <v>7063</v>
      </c>
      <c r="I3290" s="33" t="s">
        <v>7064</v>
      </c>
      <c r="J3290" s="33">
        <v>142660</v>
      </c>
      <c r="K3290" s="33" t="s">
        <v>8184</v>
      </c>
      <c r="L3290" s="33" t="s">
        <v>8185</v>
      </c>
      <c r="M3290" s="33" t="s">
        <v>8186</v>
      </c>
      <c r="N3290" s="44">
        <v>42295519</v>
      </c>
      <c r="O3290" s="33" t="s">
        <v>8214</v>
      </c>
      <c r="P3290" s="33" t="s">
        <v>8215</v>
      </c>
      <c r="Q3290" s="34" t="s">
        <v>1494</v>
      </c>
      <c r="R3290" s="34" t="s">
        <v>1494</v>
      </c>
    </row>
    <row r="3291" spans="1:18" ht="15" customHeight="1" x14ac:dyDescent="0.25">
      <c r="A3291" t="str">
        <f>IFERROR(RANK(B3291,$B:$B,1)+COUNTIF($B$1:B3290,B3291),"")</f>
        <v/>
      </c>
      <c r="B3291" t="str">
        <f>IFERROR(SEARCH(#REF!,Table4[[#This Row],[Commodity Title]],1),"")</f>
        <v/>
      </c>
      <c r="C3291" s="35">
        <v>42295520</v>
      </c>
      <c r="D3291" s="33" t="s">
        <v>1495</v>
      </c>
      <c r="E3291" s="33" t="s">
        <v>1496</v>
      </c>
      <c r="F3291" s="33" t="s">
        <v>1497</v>
      </c>
      <c r="G3291" s="33" t="s">
        <v>7062</v>
      </c>
      <c r="H3291" s="33" t="s">
        <v>7063</v>
      </c>
      <c r="I3291" s="33" t="s">
        <v>7064</v>
      </c>
      <c r="J3291" s="33">
        <v>141996</v>
      </c>
      <c r="K3291" s="33" t="s">
        <v>8184</v>
      </c>
      <c r="L3291" s="33" t="s">
        <v>8185</v>
      </c>
      <c r="M3291" s="33" t="s">
        <v>8186</v>
      </c>
      <c r="N3291" s="44">
        <v>42295520</v>
      </c>
      <c r="O3291" s="33" t="s">
        <v>8216</v>
      </c>
      <c r="P3291" s="33" t="s">
        <v>8217</v>
      </c>
      <c r="Q3291" s="34" t="s">
        <v>1494</v>
      </c>
      <c r="R3291" s="34" t="s">
        <v>1494</v>
      </c>
    </row>
    <row r="3292" spans="1:18" ht="15" customHeight="1" x14ac:dyDescent="0.25">
      <c r="A3292" t="str">
        <f>IFERROR(RANK(B3292,$B:$B,1)+COUNTIF($B$1:B3291,B3292),"")</f>
        <v/>
      </c>
      <c r="B3292" t="str">
        <f>IFERROR(SEARCH(#REF!,Table4[[#This Row],[Commodity Title]],1),"")</f>
        <v/>
      </c>
      <c r="C3292" s="35">
        <v>42295521</v>
      </c>
      <c r="D3292" s="33" t="s">
        <v>1495</v>
      </c>
      <c r="E3292" s="33" t="s">
        <v>1496</v>
      </c>
      <c r="F3292" s="33" t="s">
        <v>1497</v>
      </c>
      <c r="G3292" s="33" t="s">
        <v>7062</v>
      </c>
      <c r="H3292" s="33" t="s">
        <v>7063</v>
      </c>
      <c r="I3292" s="33" t="s">
        <v>7064</v>
      </c>
      <c r="J3292" s="33">
        <v>146135</v>
      </c>
      <c r="K3292" s="33" t="s">
        <v>8184</v>
      </c>
      <c r="L3292" s="33" t="s">
        <v>8185</v>
      </c>
      <c r="M3292" s="33" t="s">
        <v>8186</v>
      </c>
      <c r="N3292" s="44">
        <v>42295521</v>
      </c>
      <c r="O3292" s="33" t="s">
        <v>8218</v>
      </c>
      <c r="P3292" s="33" t="s">
        <v>8219</v>
      </c>
      <c r="Q3292" s="34" t="s">
        <v>1494</v>
      </c>
      <c r="R3292" s="34" t="s">
        <v>1494</v>
      </c>
    </row>
    <row r="3293" spans="1:18" ht="15" customHeight="1" x14ac:dyDescent="0.25">
      <c r="A3293" t="str">
        <f>IFERROR(RANK(B3293,$B:$B,1)+COUNTIF($B$1:B3292,B3293),"")</f>
        <v/>
      </c>
      <c r="B3293" t="str">
        <f>IFERROR(SEARCH(#REF!,Table4[[#This Row],[Commodity Title]],1),"")</f>
        <v/>
      </c>
      <c r="C3293" s="35">
        <v>42295522</v>
      </c>
      <c r="D3293" s="33" t="s">
        <v>1495</v>
      </c>
      <c r="E3293" s="33" t="s">
        <v>1496</v>
      </c>
      <c r="F3293" s="33" t="s">
        <v>1497</v>
      </c>
      <c r="G3293" s="33" t="s">
        <v>7062</v>
      </c>
      <c r="H3293" s="33" t="s">
        <v>7063</v>
      </c>
      <c r="I3293" s="33" t="s">
        <v>7064</v>
      </c>
      <c r="J3293" s="33">
        <v>146136</v>
      </c>
      <c r="K3293" s="33" t="s">
        <v>8184</v>
      </c>
      <c r="L3293" s="33" t="s">
        <v>8185</v>
      </c>
      <c r="M3293" s="33" t="s">
        <v>8186</v>
      </c>
      <c r="N3293" s="44">
        <v>42295522</v>
      </c>
      <c r="O3293" s="33" t="s">
        <v>8220</v>
      </c>
      <c r="P3293" s="33" t="s">
        <v>8221</v>
      </c>
      <c r="Q3293" s="34" t="s">
        <v>1494</v>
      </c>
      <c r="R3293" s="34" t="s">
        <v>1494</v>
      </c>
    </row>
    <row r="3294" spans="1:18" ht="15" customHeight="1" x14ac:dyDescent="0.25">
      <c r="A3294" t="str">
        <f>IFERROR(RANK(B3294,$B:$B,1)+COUNTIF($B$1:B3293,B3294),"")</f>
        <v/>
      </c>
      <c r="B3294" t="str">
        <f>IFERROR(SEARCH(#REF!,Table4[[#This Row],[Commodity Title]],1),"")</f>
        <v/>
      </c>
      <c r="C3294" s="35">
        <v>42295523</v>
      </c>
      <c r="D3294" s="33" t="s">
        <v>1495</v>
      </c>
      <c r="E3294" s="33" t="s">
        <v>1496</v>
      </c>
      <c r="F3294" s="33" t="s">
        <v>1497</v>
      </c>
      <c r="G3294" s="33" t="s">
        <v>7062</v>
      </c>
      <c r="H3294" s="33" t="s">
        <v>7063</v>
      </c>
      <c r="I3294" s="33" t="s">
        <v>7064</v>
      </c>
      <c r="J3294" s="33">
        <v>146137</v>
      </c>
      <c r="K3294" s="33" t="s">
        <v>8184</v>
      </c>
      <c r="L3294" s="33" t="s">
        <v>8185</v>
      </c>
      <c r="M3294" s="33" t="s">
        <v>8186</v>
      </c>
      <c r="N3294" s="44">
        <v>42295523</v>
      </c>
      <c r="O3294" s="33" t="s">
        <v>8222</v>
      </c>
      <c r="P3294" s="33" t="s">
        <v>8223</v>
      </c>
      <c r="Q3294" s="34" t="s">
        <v>1494</v>
      </c>
      <c r="R3294" s="34" t="s">
        <v>1494</v>
      </c>
    </row>
    <row r="3295" spans="1:18" ht="15" customHeight="1" x14ac:dyDescent="0.25">
      <c r="A3295" t="str">
        <f>IFERROR(RANK(B3295,$B:$B,1)+COUNTIF($B$1:B3294,B3295),"")</f>
        <v/>
      </c>
      <c r="B3295" t="str">
        <f>IFERROR(SEARCH(#REF!,Table4[[#This Row],[Commodity Title]],1),"")</f>
        <v/>
      </c>
      <c r="C3295" s="35">
        <v>42295524</v>
      </c>
      <c r="D3295" s="33" t="s">
        <v>1495</v>
      </c>
      <c r="E3295" s="33" t="s">
        <v>1496</v>
      </c>
      <c r="F3295" s="33" t="s">
        <v>1497</v>
      </c>
      <c r="G3295" s="33" t="s">
        <v>7062</v>
      </c>
      <c r="H3295" s="33" t="s">
        <v>7063</v>
      </c>
      <c r="I3295" s="33" t="s">
        <v>7064</v>
      </c>
      <c r="J3295" s="33">
        <v>164876</v>
      </c>
      <c r="K3295" s="33" t="s">
        <v>8184</v>
      </c>
      <c r="L3295" s="33" t="s">
        <v>8185</v>
      </c>
      <c r="M3295" s="33" t="s">
        <v>8186</v>
      </c>
      <c r="N3295" s="44">
        <v>42295524</v>
      </c>
      <c r="O3295" s="33" t="s">
        <v>8224</v>
      </c>
      <c r="P3295" s="33" t="s">
        <v>8225</v>
      </c>
      <c r="Q3295" s="34" t="s">
        <v>1494</v>
      </c>
      <c r="R3295" s="34" t="s">
        <v>1494</v>
      </c>
    </row>
    <row r="3296" spans="1:18" ht="15" customHeight="1" x14ac:dyDescent="0.25">
      <c r="A3296" t="str">
        <f>IFERROR(RANK(B3296,$B:$B,1)+COUNTIF($B$1:B3295,B3296),"")</f>
        <v/>
      </c>
      <c r="B3296" t="str">
        <f>IFERROR(SEARCH(#REF!,Table4[[#This Row],[Commodity Title]],1),"")</f>
        <v/>
      </c>
      <c r="C3296" s="35">
        <v>42295525</v>
      </c>
      <c r="D3296" s="33" t="s">
        <v>1495</v>
      </c>
      <c r="E3296" s="33" t="s">
        <v>1496</v>
      </c>
      <c r="F3296" s="33" t="s">
        <v>1497</v>
      </c>
      <c r="G3296" s="33" t="s">
        <v>7062</v>
      </c>
      <c r="H3296" s="33" t="s">
        <v>7063</v>
      </c>
      <c r="I3296" s="33" t="s">
        <v>7064</v>
      </c>
      <c r="J3296" s="33">
        <v>164877</v>
      </c>
      <c r="K3296" s="33" t="s">
        <v>8184</v>
      </c>
      <c r="L3296" s="33" t="s">
        <v>8185</v>
      </c>
      <c r="M3296" s="33" t="s">
        <v>8186</v>
      </c>
      <c r="N3296" s="44">
        <v>42295525</v>
      </c>
      <c r="O3296" s="33" t="s">
        <v>8226</v>
      </c>
      <c r="P3296" s="33" t="s">
        <v>8227</v>
      </c>
      <c r="Q3296" s="34" t="s">
        <v>1494</v>
      </c>
      <c r="R3296" s="34" t="s">
        <v>1494</v>
      </c>
    </row>
    <row r="3297" spans="1:18" ht="15" customHeight="1" x14ac:dyDescent="0.25">
      <c r="A3297" t="str">
        <f>IFERROR(RANK(B3297,$B:$B,1)+COUNTIF($B$1:B3296,B3297),"")</f>
        <v/>
      </c>
      <c r="B3297" t="str">
        <f>IFERROR(SEARCH(#REF!,Table4[[#This Row],[Commodity Title]],1),"")</f>
        <v/>
      </c>
      <c r="C3297" s="35">
        <v>42295526</v>
      </c>
      <c r="D3297" s="33" t="s">
        <v>1495</v>
      </c>
      <c r="E3297" s="33" t="s">
        <v>1496</v>
      </c>
      <c r="F3297" s="33" t="s">
        <v>1497</v>
      </c>
      <c r="G3297" s="33" t="s">
        <v>7062</v>
      </c>
      <c r="H3297" s="33" t="s">
        <v>7063</v>
      </c>
      <c r="I3297" s="33" t="s">
        <v>7064</v>
      </c>
      <c r="J3297" s="33">
        <v>174411</v>
      </c>
      <c r="K3297" s="33" t="s">
        <v>8184</v>
      </c>
      <c r="L3297" s="33" t="s">
        <v>8185</v>
      </c>
      <c r="M3297" s="33" t="s">
        <v>8186</v>
      </c>
      <c r="N3297" s="44">
        <v>42295526</v>
      </c>
      <c r="O3297" s="33" t="s">
        <v>8228</v>
      </c>
      <c r="P3297" s="33" t="s">
        <v>8229</v>
      </c>
      <c r="Q3297" s="34" t="s">
        <v>1494</v>
      </c>
      <c r="R3297" s="34" t="s">
        <v>1494</v>
      </c>
    </row>
    <row r="3298" spans="1:18" ht="15" customHeight="1" x14ac:dyDescent="0.25">
      <c r="A3298" t="str">
        <f>IFERROR(RANK(B3298,$B:$B,1)+COUNTIF($B$1:B3297,B3298),"")</f>
        <v/>
      </c>
      <c r="B3298" t="str">
        <f>IFERROR(SEARCH(#REF!,Table4[[#This Row],[Commodity Title]],1),"")</f>
        <v/>
      </c>
      <c r="C3298" s="35">
        <v>42295527</v>
      </c>
      <c r="D3298" s="33" t="s">
        <v>1495</v>
      </c>
      <c r="E3298" s="33" t="s">
        <v>1496</v>
      </c>
      <c r="F3298" s="33" t="s">
        <v>1497</v>
      </c>
      <c r="G3298" s="33" t="s">
        <v>7062</v>
      </c>
      <c r="H3298" s="33" t="s">
        <v>7063</v>
      </c>
      <c r="I3298" s="33" t="s">
        <v>7064</v>
      </c>
      <c r="J3298" s="33">
        <v>143854</v>
      </c>
      <c r="K3298" s="33" t="s">
        <v>8184</v>
      </c>
      <c r="L3298" s="33" t="s">
        <v>8185</v>
      </c>
      <c r="M3298" s="33" t="s">
        <v>8186</v>
      </c>
      <c r="N3298" s="44">
        <v>42295527</v>
      </c>
      <c r="O3298" s="33" t="s">
        <v>8230</v>
      </c>
      <c r="P3298" s="33" t="s">
        <v>8231</v>
      </c>
      <c r="Q3298" s="34" t="s">
        <v>1494</v>
      </c>
      <c r="R3298" s="34" t="s">
        <v>1494</v>
      </c>
    </row>
    <row r="3299" spans="1:18" ht="15" customHeight="1" x14ac:dyDescent="0.25">
      <c r="A3299" t="str">
        <f>IFERROR(RANK(B3299,$B:$B,1)+COUNTIF($B$1:B3298,B3299),"")</f>
        <v/>
      </c>
      <c r="B3299" t="str">
        <f>IFERROR(SEARCH(#REF!,Table4[[#This Row],[Commodity Title]],1),"")</f>
        <v/>
      </c>
      <c r="C3299" s="35">
        <v>42295528</v>
      </c>
      <c r="D3299" s="33" t="s">
        <v>1495</v>
      </c>
      <c r="E3299" s="33" t="s">
        <v>1496</v>
      </c>
      <c r="F3299" s="33" t="s">
        <v>1497</v>
      </c>
      <c r="G3299" s="33" t="s">
        <v>7062</v>
      </c>
      <c r="H3299" s="33" t="s">
        <v>7063</v>
      </c>
      <c r="I3299" s="33" t="s">
        <v>7064</v>
      </c>
      <c r="J3299" s="33">
        <v>203243</v>
      </c>
      <c r="K3299" s="33" t="s">
        <v>8184</v>
      </c>
      <c r="L3299" s="33" t="s">
        <v>8185</v>
      </c>
      <c r="M3299" s="33" t="s">
        <v>8186</v>
      </c>
      <c r="N3299" s="44">
        <v>42295528</v>
      </c>
      <c r="O3299" s="33" t="s">
        <v>8232</v>
      </c>
      <c r="P3299" s="33" t="s">
        <v>8233</v>
      </c>
      <c r="Q3299" s="34" t="s">
        <v>1494</v>
      </c>
      <c r="R3299" s="34" t="s">
        <v>1494</v>
      </c>
    </row>
    <row r="3300" spans="1:18" ht="15" customHeight="1" x14ac:dyDescent="0.25">
      <c r="A3300" t="str">
        <f>IFERROR(RANK(B3300,$B:$B,1)+COUNTIF($B$1:B3299,B3300),"")</f>
        <v/>
      </c>
      <c r="B3300" t="str">
        <f>IFERROR(SEARCH(#REF!,Table4[[#This Row],[Commodity Title]],1),"")</f>
        <v/>
      </c>
      <c r="C3300" s="35">
        <v>42295529</v>
      </c>
      <c r="D3300" s="33" t="s">
        <v>1495</v>
      </c>
      <c r="E3300" s="33" t="s">
        <v>1496</v>
      </c>
      <c r="F3300" s="33" t="s">
        <v>1497</v>
      </c>
      <c r="G3300" s="33" t="s">
        <v>7062</v>
      </c>
      <c r="H3300" s="33" t="s">
        <v>7063</v>
      </c>
      <c r="I3300" s="33" t="s">
        <v>7064</v>
      </c>
      <c r="J3300" s="33">
        <v>203244</v>
      </c>
      <c r="K3300" s="33" t="s">
        <v>8184</v>
      </c>
      <c r="L3300" s="33" t="s">
        <v>8185</v>
      </c>
      <c r="M3300" s="33" t="s">
        <v>8186</v>
      </c>
      <c r="N3300" s="44">
        <v>42295529</v>
      </c>
      <c r="O3300" s="33" t="s">
        <v>8234</v>
      </c>
      <c r="P3300" s="33" t="s">
        <v>8235</v>
      </c>
      <c r="Q3300" s="34" t="s">
        <v>1494</v>
      </c>
      <c r="R3300" s="34" t="s">
        <v>1494</v>
      </c>
    </row>
    <row r="3301" spans="1:18" ht="15" customHeight="1" x14ac:dyDescent="0.25">
      <c r="A3301" t="str">
        <f>IFERROR(RANK(B3301,$B:$B,1)+COUNTIF($B$1:B3300,B3301),"")</f>
        <v/>
      </c>
      <c r="B3301" t="str">
        <f>IFERROR(SEARCH(#REF!,Table4[[#This Row],[Commodity Title]],1),"")</f>
        <v/>
      </c>
      <c r="C3301" s="35">
        <v>42295530</v>
      </c>
      <c r="D3301" s="33" t="s">
        <v>1495</v>
      </c>
      <c r="E3301" s="33" t="s">
        <v>1496</v>
      </c>
      <c r="F3301" s="33" t="s">
        <v>1497</v>
      </c>
      <c r="G3301" s="33" t="s">
        <v>7062</v>
      </c>
      <c r="H3301" s="33" t="s">
        <v>7063</v>
      </c>
      <c r="I3301" s="33" t="s">
        <v>7064</v>
      </c>
      <c r="J3301" s="33">
        <v>203245</v>
      </c>
      <c r="K3301" s="33" t="s">
        <v>8184</v>
      </c>
      <c r="L3301" s="33" t="s">
        <v>8185</v>
      </c>
      <c r="M3301" s="33" t="s">
        <v>8186</v>
      </c>
      <c r="N3301" s="44">
        <v>42295530</v>
      </c>
      <c r="O3301" s="33" t="s">
        <v>8236</v>
      </c>
      <c r="P3301" s="33" t="s">
        <v>8237</v>
      </c>
      <c r="Q3301" s="34" t="s">
        <v>1494</v>
      </c>
      <c r="R3301" s="34" t="s">
        <v>1494</v>
      </c>
    </row>
    <row r="3302" spans="1:18" ht="15" customHeight="1" x14ac:dyDescent="0.25">
      <c r="A3302" t="str">
        <f>IFERROR(RANK(B3302,$B:$B,1)+COUNTIF($B$1:B3301,B3302),"")</f>
        <v/>
      </c>
      <c r="B3302" t="str">
        <f>IFERROR(SEARCH(#REF!,Table4[[#This Row],[Commodity Title]],1),"")</f>
        <v/>
      </c>
      <c r="C3302" s="35">
        <v>42295531</v>
      </c>
      <c r="D3302" s="33" t="s">
        <v>1495</v>
      </c>
      <c r="E3302" s="33" t="s">
        <v>1496</v>
      </c>
      <c r="F3302" s="33" t="s">
        <v>1497</v>
      </c>
      <c r="G3302" s="33" t="s">
        <v>7062</v>
      </c>
      <c r="H3302" s="33" t="s">
        <v>7063</v>
      </c>
      <c r="I3302" s="33" t="s">
        <v>7064</v>
      </c>
      <c r="J3302" s="33">
        <v>203246</v>
      </c>
      <c r="K3302" s="33" t="s">
        <v>8184</v>
      </c>
      <c r="L3302" s="33" t="s">
        <v>8185</v>
      </c>
      <c r="M3302" s="33" t="s">
        <v>8186</v>
      </c>
      <c r="N3302" s="44">
        <v>42295531</v>
      </c>
      <c r="O3302" s="33" t="s">
        <v>8238</v>
      </c>
      <c r="P3302" s="33" t="s">
        <v>8239</v>
      </c>
      <c r="Q3302" s="34" t="s">
        <v>1494</v>
      </c>
      <c r="R3302" s="34" t="s">
        <v>1494</v>
      </c>
    </row>
    <row r="3303" spans="1:18" ht="15" customHeight="1" x14ac:dyDescent="0.25">
      <c r="A3303" t="str">
        <f>IFERROR(RANK(B3303,$B:$B,1)+COUNTIF($B$1:B3302,B3303),"")</f>
        <v/>
      </c>
      <c r="B3303" t="str">
        <f>IFERROR(SEARCH(#REF!,Table4[[#This Row],[Commodity Title]],1),"")</f>
        <v/>
      </c>
      <c r="C3303" s="35">
        <v>42295532</v>
      </c>
      <c r="D3303" s="33" t="s">
        <v>1495</v>
      </c>
      <c r="E3303" s="33" t="s">
        <v>1496</v>
      </c>
      <c r="F3303" s="33" t="s">
        <v>1497</v>
      </c>
      <c r="G3303" s="33" t="s">
        <v>7062</v>
      </c>
      <c r="H3303" s="33" t="s">
        <v>7063</v>
      </c>
      <c r="I3303" s="33" t="s">
        <v>7064</v>
      </c>
      <c r="J3303" s="33">
        <v>203247</v>
      </c>
      <c r="K3303" s="33" t="s">
        <v>8184</v>
      </c>
      <c r="L3303" s="33" t="s">
        <v>8185</v>
      </c>
      <c r="M3303" s="33" t="s">
        <v>8186</v>
      </c>
      <c r="N3303" s="44">
        <v>42295532</v>
      </c>
      <c r="O3303" s="33" t="s">
        <v>8240</v>
      </c>
      <c r="P3303" s="33" t="s">
        <v>8241</v>
      </c>
      <c r="Q3303" s="34" t="s">
        <v>1494</v>
      </c>
      <c r="R3303" s="34" t="s">
        <v>1494</v>
      </c>
    </row>
    <row r="3304" spans="1:18" ht="15" customHeight="1" x14ac:dyDescent="0.25">
      <c r="A3304" t="str">
        <f>IFERROR(RANK(B3304,$B:$B,1)+COUNTIF($B$1:B3303,B3304),"")</f>
        <v/>
      </c>
      <c r="B3304" t="str">
        <f>IFERROR(SEARCH(#REF!,Table4[[#This Row],[Commodity Title]],1),"")</f>
        <v/>
      </c>
      <c r="C3304" s="35">
        <v>42295533</v>
      </c>
      <c r="D3304" s="33" t="s">
        <v>1495</v>
      </c>
      <c r="E3304" s="33" t="s">
        <v>1496</v>
      </c>
      <c r="F3304" s="33" t="s">
        <v>1497</v>
      </c>
      <c r="G3304" s="33" t="s">
        <v>7062</v>
      </c>
      <c r="H3304" s="33" t="s">
        <v>7063</v>
      </c>
      <c r="I3304" s="33" t="s">
        <v>7064</v>
      </c>
      <c r="J3304" s="33">
        <v>203248</v>
      </c>
      <c r="K3304" s="33" t="s">
        <v>8184</v>
      </c>
      <c r="L3304" s="33" t="s">
        <v>8185</v>
      </c>
      <c r="M3304" s="33" t="s">
        <v>8186</v>
      </c>
      <c r="N3304" s="44">
        <v>42295533</v>
      </c>
      <c r="O3304" s="33" t="s">
        <v>8242</v>
      </c>
      <c r="P3304" s="33" t="s">
        <v>8243</v>
      </c>
      <c r="Q3304" s="34" t="s">
        <v>1494</v>
      </c>
      <c r="R3304" s="34" t="s">
        <v>1494</v>
      </c>
    </row>
    <row r="3305" spans="1:18" ht="15" customHeight="1" x14ac:dyDescent="0.25">
      <c r="A3305" t="str">
        <f>IFERROR(RANK(B3305,$B:$B,1)+COUNTIF($B$1:B3304,B3305),"")</f>
        <v/>
      </c>
      <c r="B3305" t="str">
        <f>IFERROR(SEARCH(#REF!,Table4[[#This Row],[Commodity Title]],1),"")</f>
        <v/>
      </c>
      <c r="C3305" s="35">
        <v>42295534</v>
      </c>
      <c r="D3305" s="33" t="s">
        <v>1495</v>
      </c>
      <c r="E3305" s="33" t="s">
        <v>1496</v>
      </c>
      <c r="F3305" s="33" t="s">
        <v>1497</v>
      </c>
      <c r="G3305" s="33" t="s">
        <v>7062</v>
      </c>
      <c r="H3305" s="33" t="s">
        <v>7063</v>
      </c>
      <c r="I3305" s="33" t="s">
        <v>7064</v>
      </c>
      <c r="J3305" s="33">
        <v>203249</v>
      </c>
      <c r="K3305" s="33" t="s">
        <v>8184</v>
      </c>
      <c r="L3305" s="33" t="s">
        <v>8185</v>
      </c>
      <c r="M3305" s="33" t="s">
        <v>8186</v>
      </c>
      <c r="N3305" s="44">
        <v>42295534</v>
      </c>
      <c r="O3305" s="33" t="s">
        <v>8244</v>
      </c>
      <c r="P3305" s="33" t="s">
        <v>8245</v>
      </c>
      <c r="Q3305" s="34" t="s">
        <v>1494</v>
      </c>
      <c r="R3305" s="34" t="s">
        <v>1494</v>
      </c>
    </row>
    <row r="3306" spans="1:18" ht="15" customHeight="1" x14ac:dyDescent="0.25">
      <c r="A3306" t="str">
        <f>IFERROR(RANK(B3306,$B:$B,1)+COUNTIF($B$1:B3305,B3306),"")</f>
        <v/>
      </c>
      <c r="B3306" t="str">
        <f>IFERROR(SEARCH(#REF!,Table4[[#This Row],[Commodity Title]],1),"")</f>
        <v/>
      </c>
      <c r="C3306" s="35">
        <v>42295535</v>
      </c>
      <c r="D3306" s="33" t="s">
        <v>1495</v>
      </c>
      <c r="E3306" s="33" t="s">
        <v>1496</v>
      </c>
      <c r="F3306" s="33" t="s">
        <v>1497</v>
      </c>
      <c r="G3306" s="33" t="s">
        <v>7062</v>
      </c>
      <c r="H3306" s="33" t="s">
        <v>7063</v>
      </c>
      <c r="I3306" s="33" t="s">
        <v>7064</v>
      </c>
      <c r="J3306" s="33">
        <v>203250</v>
      </c>
      <c r="K3306" s="33" t="s">
        <v>8184</v>
      </c>
      <c r="L3306" s="33" t="s">
        <v>8185</v>
      </c>
      <c r="M3306" s="33" t="s">
        <v>8186</v>
      </c>
      <c r="N3306" s="44">
        <v>42295535</v>
      </c>
      <c r="O3306" s="33" t="s">
        <v>8246</v>
      </c>
      <c r="P3306" s="33" t="s">
        <v>8247</v>
      </c>
      <c r="Q3306" s="34" t="s">
        <v>1494</v>
      </c>
      <c r="R3306" s="34" t="s">
        <v>1494</v>
      </c>
    </row>
    <row r="3307" spans="1:18" ht="15" customHeight="1" x14ac:dyDescent="0.25">
      <c r="A3307" t="str">
        <f>IFERROR(RANK(B3307,$B:$B,1)+COUNTIF($B$1:B3306,B3307),"")</f>
        <v/>
      </c>
      <c r="B3307" t="str">
        <f>IFERROR(SEARCH(#REF!,Table4[[#This Row],[Commodity Title]],1),"")</f>
        <v/>
      </c>
      <c r="C3307" s="35">
        <v>42295536</v>
      </c>
      <c r="D3307" s="33" t="s">
        <v>1495</v>
      </c>
      <c r="E3307" s="33" t="s">
        <v>1496</v>
      </c>
      <c r="F3307" s="33" t="s">
        <v>1497</v>
      </c>
      <c r="G3307" s="33" t="s">
        <v>7062</v>
      </c>
      <c r="H3307" s="33" t="s">
        <v>7063</v>
      </c>
      <c r="I3307" s="33" t="s">
        <v>7064</v>
      </c>
      <c r="J3307" s="33">
        <v>203251</v>
      </c>
      <c r="K3307" s="33" t="s">
        <v>8184</v>
      </c>
      <c r="L3307" s="33" t="s">
        <v>8185</v>
      </c>
      <c r="M3307" s="33" t="s">
        <v>8186</v>
      </c>
      <c r="N3307" s="44">
        <v>42295536</v>
      </c>
      <c r="O3307" s="33" t="s">
        <v>8248</v>
      </c>
      <c r="P3307" s="33" t="s">
        <v>8249</v>
      </c>
      <c r="Q3307" s="34" t="s">
        <v>1494</v>
      </c>
      <c r="R3307" s="34" t="s">
        <v>1494</v>
      </c>
    </row>
    <row r="3308" spans="1:18" ht="15" customHeight="1" x14ac:dyDescent="0.25">
      <c r="A3308" t="str">
        <f>IFERROR(RANK(B3308,$B:$B,1)+COUNTIF($B$1:B3307,B3308),"")</f>
        <v/>
      </c>
      <c r="B3308" t="str">
        <f>IFERROR(SEARCH(#REF!,Table4[[#This Row],[Commodity Title]],1),"")</f>
        <v/>
      </c>
      <c r="C3308" s="35">
        <v>42295537</v>
      </c>
      <c r="D3308" s="33" t="s">
        <v>1495</v>
      </c>
      <c r="E3308" s="33" t="s">
        <v>1496</v>
      </c>
      <c r="F3308" s="33" t="s">
        <v>1497</v>
      </c>
      <c r="G3308" s="33" t="s">
        <v>7062</v>
      </c>
      <c r="H3308" s="33" t="s">
        <v>7063</v>
      </c>
      <c r="I3308" s="33" t="s">
        <v>7064</v>
      </c>
      <c r="J3308" s="33">
        <v>203252</v>
      </c>
      <c r="K3308" s="33" t="s">
        <v>8184</v>
      </c>
      <c r="L3308" s="33" t="s">
        <v>8185</v>
      </c>
      <c r="M3308" s="33" t="s">
        <v>8186</v>
      </c>
      <c r="N3308" s="44">
        <v>42295537</v>
      </c>
      <c r="O3308" s="33" t="s">
        <v>8250</v>
      </c>
      <c r="P3308" s="33" t="s">
        <v>8251</v>
      </c>
      <c r="Q3308" s="34" t="s">
        <v>1494</v>
      </c>
      <c r="R3308" s="34" t="s">
        <v>1494</v>
      </c>
    </row>
    <row r="3309" spans="1:18" ht="15" customHeight="1" x14ac:dyDescent="0.25">
      <c r="A3309" t="str">
        <f>IFERROR(RANK(B3309,$B:$B,1)+COUNTIF($B$1:B3308,B3309),"")</f>
        <v/>
      </c>
      <c r="B3309" t="str">
        <f>IFERROR(SEARCH(#REF!,Table4[[#This Row],[Commodity Title]],1),"")</f>
        <v/>
      </c>
      <c r="C3309" s="35">
        <v>42295538</v>
      </c>
      <c r="D3309" s="33" t="s">
        <v>1495</v>
      </c>
      <c r="E3309" s="33" t="s">
        <v>1496</v>
      </c>
      <c r="F3309" s="33" t="s">
        <v>1497</v>
      </c>
      <c r="G3309" s="33" t="s">
        <v>7062</v>
      </c>
      <c r="H3309" s="33" t="s">
        <v>7063</v>
      </c>
      <c r="I3309" s="33" t="s">
        <v>7064</v>
      </c>
      <c r="J3309" s="33">
        <v>203253</v>
      </c>
      <c r="K3309" s="33" t="s">
        <v>8184</v>
      </c>
      <c r="L3309" s="33" t="s">
        <v>8185</v>
      </c>
      <c r="M3309" s="33" t="s">
        <v>8186</v>
      </c>
      <c r="N3309" s="44">
        <v>42295538</v>
      </c>
      <c r="O3309" s="33" t="s">
        <v>8252</v>
      </c>
      <c r="P3309" s="33" t="s">
        <v>8253</v>
      </c>
      <c r="Q3309" s="34" t="s">
        <v>1494</v>
      </c>
      <c r="R3309" s="34" t="s">
        <v>1494</v>
      </c>
    </row>
    <row r="3310" spans="1:18" ht="15" customHeight="1" x14ac:dyDescent="0.25">
      <c r="A3310" t="str">
        <f>IFERROR(RANK(B3310,$B:$B,1)+COUNTIF($B$1:B3309,B3310),"")</f>
        <v/>
      </c>
      <c r="B3310" t="str">
        <f>IFERROR(SEARCH(#REF!,Table4[[#This Row],[Commodity Title]],1),"")</f>
        <v/>
      </c>
      <c r="C3310" s="35">
        <v>42295539</v>
      </c>
      <c r="D3310" s="33" t="s">
        <v>1495</v>
      </c>
      <c r="E3310" s="33" t="s">
        <v>1496</v>
      </c>
      <c r="F3310" s="33" t="s">
        <v>1497</v>
      </c>
      <c r="G3310" s="33" t="s">
        <v>7062</v>
      </c>
      <c r="H3310" s="33" t="s">
        <v>7063</v>
      </c>
      <c r="I3310" s="33" t="s">
        <v>7064</v>
      </c>
      <c r="J3310" s="33">
        <v>203254</v>
      </c>
      <c r="K3310" s="33" t="s">
        <v>8184</v>
      </c>
      <c r="L3310" s="33" t="s">
        <v>8185</v>
      </c>
      <c r="M3310" s="33" t="s">
        <v>8186</v>
      </c>
      <c r="N3310" s="44">
        <v>42295539</v>
      </c>
      <c r="O3310" s="33" t="s">
        <v>8254</v>
      </c>
      <c r="P3310" s="33" t="s">
        <v>8255</v>
      </c>
      <c r="Q3310" s="34" t="s">
        <v>1494</v>
      </c>
      <c r="R3310" s="34" t="s">
        <v>1494</v>
      </c>
    </row>
    <row r="3311" spans="1:18" ht="15" customHeight="1" x14ac:dyDescent="0.25">
      <c r="A3311" t="str">
        <f>IFERROR(RANK(B3311,$B:$B,1)+COUNTIF($B$1:B3310,B3311),"")</f>
        <v/>
      </c>
      <c r="B3311" t="str">
        <f>IFERROR(SEARCH(#REF!,Table4[[#This Row],[Commodity Title]],1),"")</f>
        <v/>
      </c>
      <c r="C3311" s="35">
        <v>42295540</v>
      </c>
      <c r="D3311" s="33" t="s">
        <v>1495</v>
      </c>
      <c r="E3311" s="33" t="s">
        <v>1496</v>
      </c>
      <c r="F3311" s="33" t="s">
        <v>1497</v>
      </c>
      <c r="G3311" s="33" t="s">
        <v>7062</v>
      </c>
      <c r="H3311" s="33" t="s">
        <v>7063</v>
      </c>
      <c r="I3311" s="33" t="s">
        <v>7064</v>
      </c>
      <c r="J3311" s="33">
        <v>203255</v>
      </c>
      <c r="K3311" s="33" t="s">
        <v>8184</v>
      </c>
      <c r="L3311" s="33" t="s">
        <v>8185</v>
      </c>
      <c r="M3311" s="33" t="s">
        <v>8186</v>
      </c>
      <c r="N3311" s="44">
        <v>42295540</v>
      </c>
      <c r="O3311" s="33" t="s">
        <v>8256</v>
      </c>
      <c r="P3311" s="33" t="s">
        <v>8257</v>
      </c>
      <c r="Q3311" s="34" t="s">
        <v>1494</v>
      </c>
      <c r="R3311" s="34" t="s">
        <v>1494</v>
      </c>
    </row>
    <row r="3312" spans="1:18" ht="15" customHeight="1" x14ac:dyDescent="0.25">
      <c r="A3312" t="str">
        <f>IFERROR(RANK(B3312,$B:$B,1)+COUNTIF($B$1:B3311,B3312),"")</f>
        <v/>
      </c>
      <c r="B3312" t="str">
        <f>IFERROR(SEARCH(#REF!,Table4[[#This Row],[Commodity Title]],1),"")</f>
        <v/>
      </c>
      <c r="C3312" s="35">
        <v>42295541</v>
      </c>
      <c r="D3312" s="33" t="s">
        <v>1495</v>
      </c>
      <c r="E3312" s="33" t="s">
        <v>1496</v>
      </c>
      <c r="F3312" s="33" t="s">
        <v>1497</v>
      </c>
      <c r="G3312" s="33" t="s">
        <v>7062</v>
      </c>
      <c r="H3312" s="33" t="s">
        <v>7063</v>
      </c>
      <c r="I3312" s="33" t="s">
        <v>7064</v>
      </c>
      <c r="J3312" s="33">
        <v>203256</v>
      </c>
      <c r="K3312" s="33" t="s">
        <v>8184</v>
      </c>
      <c r="L3312" s="33" t="s">
        <v>8185</v>
      </c>
      <c r="M3312" s="33" t="s">
        <v>8186</v>
      </c>
      <c r="N3312" s="44">
        <v>42295541</v>
      </c>
      <c r="O3312" s="33" t="s">
        <v>118</v>
      </c>
      <c r="P3312" s="33" t="s">
        <v>8258</v>
      </c>
      <c r="Q3312" s="34" t="s">
        <v>1494</v>
      </c>
      <c r="R3312" s="34" t="s">
        <v>1494</v>
      </c>
    </row>
    <row r="3313" spans="1:18" ht="15" customHeight="1" x14ac:dyDescent="0.25">
      <c r="A3313" t="str">
        <f>IFERROR(RANK(B3313,$B:$B,1)+COUNTIF($B$1:B3312,B3313),"")</f>
        <v/>
      </c>
      <c r="B3313" t="str">
        <f>IFERROR(SEARCH(#REF!,Table4[[#This Row],[Commodity Title]],1),"")</f>
        <v/>
      </c>
      <c r="C3313" s="35">
        <v>42295542</v>
      </c>
      <c r="D3313" s="33" t="s">
        <v>1495</v>
      </c>
      <c r="E3313" s="33" t="s">
        <v>1496</v>
      </c>
      <c r="F3313" s="33" t="s">
        <v>1497</v>
      </c>
      <c r="G3313" s="33" t="s">
        <v>7062</v>
      </c>
      <c r="H3313" s="33" t="s">
        <v>7063</v>
      </c>
      <c r="I3313" s="33" t="s">
        <v>7064</v>
      </c>
      <c r="J3313" s="33">
        <v>203257</v>
      </c>
      <c r="K3313" s="33" t="s">
        <v>8184</v>
      </c>
      <c r="L3313" s="33" t="s">
        <v>8185</v>
      </c>
      <c r="M3313" s="33" t="s">
        <v>8186</v>
      </c>
      <c r="N3313" s="44">
        <v>42295542</v>
      </c>
      <c r="O3313" s="33" t="s">
        <v>8259</v>
      </c>
      <c r="P3313" s="33" t="s">
        <v>8260</v>
      </c>
      <c r="Q3313" s="34" t="s">
        <v>1494</v>
      </c>
      <c r="R3313" s="34" t="s">
        <v>1494</v>
      </c>
    </row>
    <row r="3314" spans="1:18" ht="15" customHeight="1" x14ac:dyDescent="0.25">
      <c r="A3314" t="str">
        <f>IFERROR(RANK(B3314,$B:$B,1)+COUNTIF($B$1:B3313,B3314),"")</f>
        <v/>
      </c>
      <c r="B3314" t="str">
        <f>IFERROR(SEARCH(#REF!,Table4[[#This Row],[Commodity Title]],1),"")</f>
        <v/>
      </c>
      <c r="C3314" s="35">
        <v>42295543</v>
      </c>
      <c r="D3314" s="33" t="s">
        <v>1495</v>
      </c>
      <c r="E3314" s="33" t="s">
        <v>1496</v>
      </c>
      <c r="F3314" s="33" t="s">
        <v>1497</v>
      </c>
      <c r="G3314" s="33" t="s">
        <v>7062</v>
      </c>
      <c r="H3314" s="33" t="s">
        <v>7063</v>
      </c>
      <c r="I3314" s="33" t="s">
        <v>7064</v>
      </c>
      <c r="J3314" s="33">
        <v>203258</v>
      </c>
      <c r="K3314" s="33" t="s">
        <v>8184</v>
      </c>
      <c r="L3314" s="33" t="s">
        <v>8185</v>
      </c>
      <c r="M3314" s="33" t="s">
        <v>8186</v>
      </c>
      <c r="N3314" s="44">
        <v>42295543</v>
      </c>
      <c r="O3314" s="33" t="s">
        <v>94</v>
      </c>
      <c r="P3314" s="33" t="s">
        <v>8261</v>
      </c>
      <c r="Q3314" s="34" t="s">
        <v>1494</v>
      </c>
      <c r="R3314" s="34" t="s">
        <v>1494</v>
      </c>
    </row>
    <row r="3315" spans="1:18" ht="15" customHeight="1" x14ac:dyDescent="0.25">
      <c r="A3315" t="str">
        <f>IFERROR(RANK(B3315,$B:$B,1)+COUNTIF($B$1:B3314,B3315),"")</f>
        <v/>
      </c>
      <c r="B3315" t="str">
        <f>IFERROR(SEARCH(#REF!,Table4[[#This Row],[Commodity Title]],1),"")</f>
        <v/>
      </c>
      <c r="C3315" s="35">
        <v>42295544</v>
      </c>
      <c r="D3315" s="33" t="s">
        <v>1495</v>
      </c>
      <c r="E3315" s="33" t="s">
        <v>1496</v>
      </c>
      <c r="F3315" s="33" t="s">
        <v>1497</v>
      </c>
      <c r="G3315" s="33" t="s">
        <v>7062</v>
      </c>
      <c r="H3315" s="33" t="s">
        <v>7063</v>
      </c>
      <c r="I3315" s="33" t="s">
        <v>7064</v>
      </c>
      <c r="J3315" s="33">
        <v>203259</v>
      </c>
      <c r="K3315" s="33" t="s">
        <v>8184</v>
      </c>
      <c r="L3315" s="33" t="s">
        <v>8185</v>
      </c>
      <c r="M3315" s="33" t="s">
        <v>8186</v>
      </c>
      <c r="N3315" s="44">
        <v>42295544</v>
      </c>
      <c r="O3315" s="33" t="s">
        <v>8262</v>
      </c>
      <c r="P3315" s="33" t="s">
        <v>8263</v>
      </c>
      <c r="Q3315" s="34" t="s">
        <v>1494</v>
      </c>
      <c r="R3315" s="34" t="s">
        <v>1494</v>
      </c>
    </row>
    <row r="3316" spans="1:18" ht="15" customHeight="1" x14ac:dyDescent="0.25">
      <c r="A3316" t="str">
        <f>IFERROR(RANK(B3316,$B:$B,1)+COUNTIF($B$1:B3315,B3316),"")</f>
        <v/>
      </c>
      <c r="B3316" t="str">
        <f>IFERROR(SEARCH(#REF!,Table4[[#This Row],[Commodity Title]],1),"")</f>
        <v/>
      </c>
      <c r="C3316" s="35">
        <v>42295545</v>
      </c>
      <c r="D3316" s="33" t="s">
        <v>1495</v>
      </c>
      <c r="E3316" s="33" t="s">
        <v>1496</v>
      </c>
      <c r="F3316" s="33" t="s">
        <v>1497</v>
      </c>
      <c r="G3316" s="33" t="s">
        <v>7062</v>
      </c>
      <c r="H3316" s="33" t="s">
        <v>7063</v>
      </c>
      <c r="I3316" s="33" t="s">
        <v>7064</v>
      </c>
      <c r="J3316" s="33">
        <v>146120</v>
      </c>
      <c r="K3316" s="33" t="s">
        <v>8184</v>
      </c>
      <c r="L3316" s="33" t="s">
        <v>8185</v>
      </c>
      <c r="M3316" s="33" t="s">
        <v>8186</v>
      </c>
      <c r="N3316" s="44">
        <v>42295545</v>
      </c>
      <c r="O3316" s="33" t="s">
        <v>179</v>
      </c>
      <c r="P3316" s="33" t="s">
        <v>8264</v>
      </c>
      <c r="Q3316" s="34" t="s">
        <v>1494</v>
      </c>
      <c r="R3316" s="34" t="s">
        <v>1494</v>
      </c>
    </row>
    <row r="3317" spans="1:18" ht="15" customHeight="1" x14ac:dyDescent="0.25">
      <c r="A3317" t="str">
        <f>IFERROR(RANK(B3317,$B:$B,1)+COUNTIF($B$1:B3316,B3317),"")</f>
        <v/>
      </c>
      <c r="B3317" t="str">
        <f>IFERROR(SEARCH(#REF!,Table4[[#This Row],[Commodity Title]],1),"")</f>
        <v/>
      </c>
      <c r="C3317" s="33" t="s">
        <v>1494</v>
      </c>
      <c r="D3317" s="33" t="s">
        <v>1495</v>
      </c>
      <c r="E3317" s="33" t="s">
        <v>1496</v>
      </c>
      <c r="F3317" s="33" t="s">
        <v>1497</v>
      </c>
      <c r="G3317" s="33" t="s">
        <v>7062</v>
      </c>
      <c r="H3317" s="33" t="s">
        <v>7063</v>
      </c>
      <c r="I3317" s="33" t="s">
        <v>7064</v>
      </c>
      <c r="J3317" s="33">
        <v>145094</v>
      </c>
      <c r="K3317" s="33" t="s">
        <v>8265</v>
      </c>
      <c r="L3317" s="33" t="s">
        <v>8266</v>
      </c>
      <c r="M3317" s="33" t="s">
        <v>8267</v>
      </c>
      <c r="N3317" s="44">
        <v>42295600</v>
      </c>
      <c r="O3317" s="48" t="s">
        <v>8266</v>
      </c>
      <c r="P3317" s="33" t="s">
        <v>1494</v>
      </c>
      <c r="Q3317" s="34" t="s">
        <v>1494</v>
      </c>
      <c r="R3317" s="34" t="s">
        <v>1494</v>
      </c>
    </row>
    <row r="3318" spans="1:18" ht="15" customHeight="1" x14ac:dyDescent="0.25">
      <c r="A3318" t="str">
        <f>IFERROR(RANK(B3318,$B:$B,1)+COUNTIF($B$1:B3317,B3318),"")</f>
        <v/>
      </c>
      <c r="B3318" t="str">
        <f>IFERROR(SEARCH(#REF!,Table4[[#This Row],[Commodity Title]],1),"")</f>
        <v/>
      </c>
      <c r="C3318" s="35">
        <v>42295601</v>
      </c>
      <c r="D3318" s="33" t="s">
        <v>1495</v>
      </c>
      <c r="E3318" s="33" t="s">
        <v>1496</v>
      </c>
      <c r="F3318" s="33" t="s">
        <v>1497</v>
      </c>
      <c r="G3318" s="33" t="s">
        <v>7062</v>
      </c>
      <c r="H3318" s="33" t="s">
        <v>7063</v>
      </c>
      <c r="I3318" s="33" t="s">
        <v>7064</v>
      </c>
      <c r="J3318" s="33">
        <v>145096</v>
      </c>
      <c r="K3318" s="33" t="s">
        <v>8265</v>
      </c>
      <c r="L3318" s="33" t="s">
        <v>8266</v>
      </c>
      <c r="M3318" s="33" t="s">
        <v>8267</v>
      </c>
      <c r="N3318" s="44">
        <v>42295601</v>
      </c>
      <c r="O3318" s="33" t="s">
        <v>299</v>
      </c>
      <c r="P3318" s="33" t="s">
        <v>8268</v>
      </c>
      <c r="Q3318" s="34" t="s">
        <v>1494</v>
      </c>
      <c r="R3318" s="34" t="s">
        <v>1494</v>
      </c>
    </row>
    <row r="3319" spans="1:18" ht="15" customHeight="1" x14ac:dyDescent="0.25">
      <c r="A3319" t="str">
        <f>IFERROR(RANK(B3319,$B:$B,1)+COUNTIF($B$1:B3318,B3319),"")</f>
        <v/>
      </c>
      <c r="B3319" t="str">
        <f>IFERROR(SEARCH(#REF!,Table4[[#This Row],[Commodity Title]],1),"")</f>
        <v/>
      </c>
      <c r="C3319" s="35">
        <v>42295602</v>
      </c>
      <c r="D3319" s="33" t="s">
        <v>1495</v>
      </c>
      <c r="E3319" s="33" t="s">
        <v>1496</v>
      </c>
      <c r="F3319" s="33" t="s">
        <v>1497</v>
      </c>
      <c r="G3319" s="33" t="s">
        <v>7062</v>
      </c>
      <c r="H3319" s="33" t="s">
        <v>7063</v>
      </c>
      <c r="I3319" s="33" t="s">
        <v>7064</v>
      </c>
      <c r="J3319" s="33">
        <v>146148</v>
      </c>
      <c r="K3319" s="33" t="s">
        <v>8265</v>
      </c>
      <c r="L3319" s="33" t="s">
        <v>8266</v>
      </c>
      <c r="M3319" s="33" t="s">
        <v>8267</v>
      </c>
      <c r="N3319" s="44">
        <v>42295602</v>
      </c>
      <c r="O3319" s="33" t="s">
        <v>31</v>
      </c>
      <c r="P3319" s="33" t="s">
        <v>8269</v>
      </c>
      <c r="Q3319" s="34" t="s">
        <v>1494</v>
      </c>
      <c r="R3319" s="34" t="s">
        <v>1494</v>
      </c>
    </row>
    <row r="3320" spans="1:18" ht="15" customHeight="1" x14ac:dyDescent="0.25">
      <c r="A3320" t="str">
        <f>IFERROR(RANK(B3320,$B:$B,1)+COUNTIF($B$1:B3319,B3320),"")</f>
        <v/>
      </c>
      <c r="B3320" t="str">
        <f>IFERROR(SEARCH(#REF!,Table4[[#This Row],[Commodity Title]],1),"")</f>
        <v/>
      </c>
      <c r="C3320" s="35">
        <v>42295603</v>
      </c>
      <c r="D3320" s="33" t="s">
        <v>1495</v>
      </c>
      <c r="E3320" s="33" t="s">
        <v>1496</v>
      </c>
      <c r="F3320" s="33" t="s">
        <v>1497</v>
      </c>
      <c r="G3320" s="33" t="s">
        <v>7062</v>
      </c>
      <c r="H3320" s="33" t="s">
        <v>7063</v>
      </c>
      <c r="I3320" s="33" t="s">
        <v>7064</v>
      </c>
      <c r="J3320" s="33">
        <v>166793</v>
      </c>
      <c r="K3320" s="33" t="s">
        <v>8265</v>
      </c>
      <c r="L3320" s="33" t="s">
        <v>8266</v>
      </c>
      <c r="M3320" s="33" t="s">
        <v>8267</v>
      </c>
      <c r="N3320" s="44">
        <v>42295603</v>
      </c>
      <c r="O3320" s="33" t="s">
        <v>8270</v>
      </c>
      <c r="P3320" s="33" t="s">
        <v>8271</v>
      </c>
      <c r="Q3320" s="34" t="s">
        <v>1494</v>
      </c>
      <c r="R3320" s="34" t="s">
        <v>1494</v>
      </c>
    </row>
    <row r="3321" spans="1:18" ht="15" customHeight="1" x14ac:dyDescent="0.25">
      <c r="A3321" t="str">
        <f>IFERROR(RANK(B3321,$B:$B,1)+COUNTIF($B$1:B3320,B3321),"")</f>
        <v/>
      </c>
      <c r="B3321" t="str">
        <f>IFERROR(SEARCH(#REF!,Table4[[#This Row],[Commodity Title]],1),"")</f>
        <v/>
      </c>
      <c r="C3321" s="33" t="s">
        <v>1494</v>
      </c>
      <c r="D3321" s="33" t="s">
        <v>1495</v>
      </c>
      <c r="E3321" s="33" t="s">
        <v>1496</v>
      </c>
      <c r="F3321" s="33" t="s">
        <v>1497</v>
      </c>
      <c r="G3321" s="33" t="s">
        <v>7062</v>
      </c>
      <c r="H3321" s="33" t="s">
        <v>7063</v>
      </c>
      <c r="I3321" s="33" t="s">
        <v>7064</v>
      </c>
      <c r="J3321" s="33">
        <v>146132</v>
      </c>
      <c r="K3321" s="33" t="s">
        <v>8272</v>
      </c>
      <c r="L3321" s="33" t="s">
        <v>8273</v>
      </c>
      <c r="M3321" s="33" t="s">
        <v>8274</v>
      </c>
      <c r="N3321" s="44" t="s">
        <v>1494</v>
      </c>
      <c r="O3321" s="33" t="s">
        <v>1494</v>
      </c>
      <c r="P3321" s="33" t="s">
        <v>1494</v>
      </c>
      <c r="Q3321" s="34" t="s">
        <v>1494</v>
      </c>
      <c r="R3321" s="34" t="s">
        <v>1494</v>
      </c>
    </row>
    <row r="3322" spans="1:18" ht="15" customHeight="1" x14ac:dyDescent="0.25">
      <c r="A3322" t="str">
        <f>IFERROR(RANK(B3322,$B:$B,1)+COUNTIF($B$1:B3321,B3322),"")</f>
        <v/>
      </c>
      <c r="B3322" t="str">
        <f>IFERROR(SEARCH(#REF!,Table4[[#This Row],[Commodity Title]],1),"")</f>
        <v/>
      </c>
      <c r="C3322" s="35">
        <v>42295801</v>
      </c>
      <c r="D3322" s="33" t="s">
        <v>1495</v>
      </c>
      <c r="E3322" s="33" t="s">
        <v>1496</v>
      </c>
      <c r="F3322" s="33" t="s">
        <v>1497</v>
      </c>
      <c r="G3322" s="33" t="s">
        <v>7062</v>
      </c>
      <c r="H3322" s="33" t="s">
        <v>7063</v>
      </c>
      <c r="I3322" s="33" t="s">
        <v>7064</v>
      </c>
      <c r="J3322" s="33">
        <v>146133</v>
      </c>
      <c r="K3322" s="33" t="s">
        <v>8272</v>
      </c>
      <c r="L3322" s="33" t="s">
        <v>8273</v>
      </c>
      <c r="M3322" s="33" t="s">
        <v>8274</v>
      </c>
      <c r="N3322" s="44">
        <v>42295801</v>
      </c>
      <c r="O3322" s="33" t="s">
        <v>8275</v>
      </c>
      <c r="P3322" s="33" t="s">
        <v>8276</v>
      </c>
      <c r="Q3322" s="34" t="s">
        <v>1494</v>
      </c>
      <c r="R3322" s="34" t="s">
        <v>1494</v>
      </c>
    </row>
    <row r="3323" spans="1:18" ht="15" customHeight="1" x14ac:dyDescent="0.25">
      <c r="A3323" t="str">
        <f>IFERROR(RANK(B3323,$B:$B,1)+COUNTIF($B$1:B3322,B3323),"")</f>
        <v/>
      </c>
      <c r="B3323" t="str">
        <f>IFERROR(SEARCH(#REF!,Table4[[#This Row],[Commodity Title]],1),"")</f>
        <v/>
      </c>
      <c r="C3323" s="35">
        <v>42295802</v>
      </c>
      <c r="D3323" s="33" t="s">
        <v>1495</v>
      </c>
      <c r="E3323" s="33" t="s">
        <v>1496</v>
      </c>
      <c r="F3323" s="33" t="s">
        <v>1497</v>
      </c>
      <c r="G3323" s="33" t="s">
        <v>7062</v>
      </c>
      <c r="H3323" s="33" t="s">
        <v>7063</v>
      </c>
      <c r="I3323" s="33" t="s">
        <v>7064</v>
      </c>
      <c r="J3323" s="33">
        <v>146134</v>
      </c>
      <c r="K3323" s="33" t="s">
        <v>8272</v>
      </c>
      <c r="L3323" s="33" t="s">
        <v>8273</v>
      </c>
      <c r="M3323" s="33" t="s">
        <v>8274</v>
      </c>
      <c r="N3323" s="44">
        <v>42295802</v>
      </c>
      <c r="O3323" s="33" t="s">
        <v>8277</v>
      </c>
      <c r="P3323" s="33" t="s">
        <v>8278</v>
      </c>
      <c r="Q3323" s="34" t="s">
        <v>1494</v>
      </c>
      <c r="R3323" s="34" t="s">
        <v>1494</v>
      </c>
    </row>
    <row r="3324" spans="1:18" ht="15" customHeight="1" x14ac:dyDescent="0.25">
      <c r="A3324" t="str">
        <f>IFERROR(RANK(B3324,$B:$B,1)+COUNTIF($B$1:B3323,B3324),"")</f>
        <v/>
      </c>
      <c r="B3324" t="str">
        <f>IFERROR(SEARCH(#REF!,Table4[[#This Row],[Commodity Title]],1),"")</f>
        <v/>
      </c>
      <c r="C3324" s="35">
        <v>42295803</v>
      </c>
      <c r="D3324" s="33" t="s">
        <v>1495</v>
      </c>
      <c r="E3324" s="33" t="s">
        <v>1496</v>
      </c>
      <c r="F3324" s="33" t="s">
        <v>1497</v>
      </c>
      <c r="G3324" s="33" t="s">
        <v>7062</v>
      </c>
      <c r="H3324" s="33" t="s">
        <v>7063</v>
      </c>
      <c r="I3324" s="33" t="s">
        <v>7064</v>
      </c>
      <c r="J3324" s="33">
        <v>174412</v>
      </c>
      <c r="K3324" s="33" t="s">
        <v>8272</v>
      </c>
      <c r="L3324" s="33" t="s">
        <v>8273</v>
      </c>
      <c r="M3324" s="33" t="s">
        <v>8274</v>
      </c>
      <c r="N3324" s="44">
        <v>42295803</v>
      </c>
      <c r="O3324" s="33" t="s">
        <v>8279</v>
      </c>
      <c r="P3324" s="33" t="s">
        <v>8280</v>
      </c>
      <c r="Q3324" s="34" t="s">
        <v>1494</v>
      </c>
      <c r="R3324" s="34" t="s">
        <v>1494</v>
      </c>
    </row>
    <row r="3325" spans="1:18" ht="15" customHeight="1" x14ac:dyDescent="0.25">
      <c r="A3325" t="str">
        <f>IFERROR(RANK(B3325,$B:$B,1)+COUNTIF($B$1:B3324,B3325),"")</f>
        <v/>
      </c>
      <c r="B3325" t="str">
        <f>IFERROR(SEARCH(#REF!,Table4[[#This Row],[Commodity Title]],1),"")</f>
        <v/>
      </c>
      <c r="C3325" s="35">
        <v>42295804</v>
      </c>
      <c r="D3325" s="33" t="s">
        <v>1495</v>
      </c>
      <c r="E3325" s="33" t="s">
        <v>1496</v>
      </c>
      <c r="F3325" s="33" t="s">
        <v>1497</v>
      </c>
      <c r="G3325" s="33" t="s">
        <v>7062</v>
      </c>
      <c r="H3325" s="33" t="s">
        <v>7063</v>
      </c>
      <c r="I3325" s="33" t="s">
        <v>7064</v>
      </c>
      <c r="J3325" s="33">
        <v>203260</v>
      </c>
      <c r="K3325" s="33" t="s">
        <v>8272</v>
      </c>
      <c r="L3325" s="33" t="s">
        <v>8273</v>
      </c>
      <c r="M3325" s="33" t="s">
        <v>8274</v>
      </c>
      <c r="N3325" s="44">
        <v>42295804</v>
      </c>
      <c r="O3325" s="33" t="s">
        <v>8281</v>
      </c>
      <c r="P3325" s="33" t="s">
        <v>8282</v>
      </c>
      <c r="Q3325" s="34" t="s">
        <v>1494</v>
      </c>
      <c r="R3325" s="34" t="s">
        <v>1494</v>
      </c>
    </row>
    <row r="3326" spans="1:18" ht="15" customHeight="1" x14ac:dyDescent="0.25">
      <c r="A3326" t="str">
        <f>IFERROR(RANK(B3326,$B:$B,1)+COUNTIF($B$1:B3325,B3326),"")</f>
        <v/>
      </c>
      <c r="B3326" t="str">
        <f>IFERROR(SEARCH(#REF!,Table4[[#This Row],[Commodity Title]],1),"")</f>
        <v/>
      </c>
      <c r="C3326" s="35">
        <v>42295805</v>
      </c>
      <c r="D3326" s="33" t="s">
        <v>1495</v>
      </c>
      <c r="E3326" s="33" t="s">
        <v>1496</v>
      </c>
      <c r="F3326" s="33" t="s">
        <v>1497</v>
      </c>
      <c r="G3326" s="33" t="s">
        <v>7062</v>
      </c>
      <c r="H3326" s="33" t="s">
        <v>7063</v>
      </c>
      <c r="I3326" s="33" t="s">
        <v>7064</v>
      </c>
      <c r="J3326" s="33">
        <v>203261</v>
      </c>
      <c r="K3326" s="33" t="s">
        <v>8272</v>
      </c>
      <c r="L3326" s="33" t="s">
        <v>8273</v>
      </c>
      <c r="M3326" s="33" t="s">
        <v>8274</v>
      </c>
      <c r="N3326" s="44">
        <v>42295805</v>
      </c>
      <c r="O3326" s="33" t="s">
        <v>8283</v>
      </c>
      <c r="P3326" s="33" t="s">
        <v>8284</v>
      </c>
      <c r="Q3326" s="34" t="s">
        <v>1494</v>
      </c>
      <c r="R3326" s="34" t="s">
        <v>1494</v>
      </c>
    </row>
    <row r="3327" spans="1:18" ht="15" customHeight="1" x14ac:dyDescent="0.25">
      <c r="A3327" t="str">
        <f>IFERROR(RANK(B3327,$B:$B,1)+COUNTIF($B$1:B3326,B3327),"")</f>
        <v/>
      </c>
      <c r="B3327" t="str">
        <f>IFERROR(SEARCH(#REF!,Table4[[#This Row],[Commodity Title]],1),"")</f>
        <v/>
      </c>
      <c r="C3327" s="35">
        <v>42295806</v>
      </c>
      <c r="D3327" s="33" t="s">
        <v>1495</v>
      </c>
      <c r="E3327" s="33" t="s">
        <v>1496</v>
      </c>
      <c r="F3327" s="33" t="s">
        <v>1497</v>
      </c>
      <c r="G3327" s="33" t="s">
        <v>7062</v>
      </c>
      <c r="H3327" s="33" t="s">
        <v>7063</v>
      </c>
      <c r="I3327" s="33" t="s">
        <v>7064</v>
      </c>
      <c r="J3327" s="33">
        <v>203262</v>
      </c>
      <c r="K3327" s="33" t="s">
        <v>8272</v>
      </c>
      <c r="L3327" s="33" t="s">
        <v>8273</v>
      </c>
      <c r="M3327" s="33" t="s">
        <v>8274</v>
      </c>
      <c r="N3327" s="44">
        <v>42295806</v>
      </c>
      <c r="O3327" s="33" t="s">
        <v>8285</v>
      </c>
      <c r="P3327" s="33" t="s">
        <v>8286</v>
      </c>
      <c r="Q3327" s="34" t="s">
        <v>1494</v>
      </c>
      <c r="R3327" s="34" t="s">
        <v>1494</v>
      </c>
    </row>
    <row r="3328" spans="1:18" ht="15" customHeight="1" x14ac:dyDescent="0.25">
      <c r="A3328" t="str">
        <f>IFERROR(RANK(B3328,$B:$B,1)+COUNTIF($B$1:B3327,B3328),"")</f>
        <v/>
      </c>
      <c r="B3328" t="str">
        <f>IFERROR(SEARCH(#REF!,Table4[[#This Row],[Commodity Title]],1),"")</f>
        <v/>
      </c>
      <c r="C3328" s="35">
        <v>42295807</v>
      </c>
      <c r="D3328" s="33" t="s">
        <v>1495</v>
      </c>
      <c r="E3328" s="33" t="s">
        <v>1496</v>
      </c>
      <c r="F3328" s="33" t="s">
        <v>1497</v>
      </c>
      <c r="G3328" s="33" t="s">
        <v>7062</v>
      </c>
      <c r="H3328" s="33" t="s">
        <v>7063</v>
      </c>
      <c r="I3328" s="33" t="s">
        <v>7064</v>
      </c>
      <c r="J3328" s="33">
        <v>203263</v>
      </c>
      <c r="K3328" s="33" t="s">
        <v>8272</v>
      </c>
      <c r="L3328" s="33" t="s">
        <v>8273</v>
      </c>
      <c r="M3328" s="33" t="s">
        <v>8274</v>
      </c>
      <c r="N3328" s="44">
        <v>42295807</v>
      </c>
      <c r="O3328" s="33" t="s">
        <v>8287</v>
      </c>
      <c r="P3328" s="33" t="s">
        <v>8288</v>
      </c>
      <c r="Q3328" s="34" t="s">
        <v>1494</v>
      </c>
      <c r="R3328" s="34" t="s">
        <v>1494</v>
      </c>
    </row>
    <row r="3329" spans="1:18" ht="15" customHeight="1" x14ac:dyDescent="0.25">
      <c r="A3329" t="str">
        <f>IFERROR(RANK(B3329,$B:$B,1)+COUNTIF($B$1:B3328,B3329),"")</f>
        <v/>
      </c>
      <c r="B3329" t="str">
        <f>IFERROR(SEARCH(#REF!,Table4[[#This Row],[Commodity Title]],1),"")</f>
        <v/>
      </c>
      <c r="C3329" s="35">
        <v>42295808</v>
      </c>
      <c r="D3329" s="33" t="s">
        <v>1495</v>
      </c>
      <c r="E3329" s="33" t="s">
        <v>1496</v>
      </c>
      <c r="F3329" s="33" t="s">
        <v>1497</v>
      </c>
      <c r="G3329" s="33" t="s">
        <v>7062</v>
      </c>
      <c r="H3329" s="33" t="s">
        <v>7063</v>
      </c>
      <c r="I3329" s="33" t="s">
        <v>7064</v>
      </c>
      <c r="J3329" s="33">
        <v>203264</v>
      </c>
      <c r="K3329" s="33" t="s">
        <v>8272</v>
      </c>
      <c r="L3329" s="33" t="s">
        <v>8273</v>
      </c>
      <c r="M3329" s="33" t="s">
        <v>8274</v>
      </c>
      <c r="N3329" s="44">
        <v>42295808</v>
      </c>
      <c r="O3329" s="33" t="s">
        <v>8289</v>
      </c>
      <c r="P3329" s="33" t="s">
        <v>8290</v>
      </c>
      <c r="Q3329" s="34" t="s">
        <v>1494</v>
      </c>
      <c r="R3329" s="34" t="s">
        <v>1494</v>
      </c>
    </row>
    <row r="3330" spans="1:18" ht="15" customHeight="1" x14ac:dyDescent="0.25">
      <c r="A3330" t="str">
        <f>IFERROR(RANK(B3330,$B:$B,1)+COUNTIF($B$1:B3329,B3330),"")</f>
        <v/>
      </c>
      <c r="B3330" t="str">
        <f>IFERROR(SEARCH(#REF!,Table4[[#This Row],[Commodity Title]],1),"")</f>
        <v/>
      </c>
      <c r="C3330" s="35">
        <v>42295809</v>
      </c>
      <c r="D3330" s="33" t="s">
        <v>1495</v>
      </c>
      <c r="E3330" s="33" t="s">
        <v>1496</v>
      </c>
      <c r="F3330" s="33" t="s">
        <v>1497</v>
      </c>
      <c r="G3330" s="33" t="s">
        <v>7062</v>
      </c>
      <c r="H3330" s="33" t="s">
        <v>7063</v>
      </c>
      <c r="I3330" s="33" t="s">
        <v>7064</v>
      </c>
      <c r="J3330" s="33">
        <v>203265</v>
      </c>
      <c r="K3330" s="33" t="s">
        <v>8272</v>
      </c>
      <c r="L3330" s="33" t="s">
        <v>8273</v>
      </c>
      <c r="M3330" s="33" t="s">
        <v>8274</v>
      </c>
      <c r="N3330" s="44">
        <v>42295809</v>
      </c>
      <c r="O3330" s="33" t="s">
        <v>8291</v>
      </c>
      <c r="P3330" s="33" t="s">
        <v>8292</v>
      </c>
      <c r="Q3330" s="34" t="s">
        <v>1494</v>
      </c>
      <c r="R3330" s="34" t="s">
        <v>1494</v>
      </c>
    </row>
    <row r="3331" spans="1:18" ht="15" customHeight="1" x14ac:dyDescent="0.25">
      <c r="A3331" t="str">
        <f>IFERROR(RANK(B3331,$B:$B,1)+COUNTIF($B$1:B3330,B3331),"")</f>
        <v/>
      </c>
      <c r="B3331" t="str">
        <f>IFERROR(SEARCH(#REF!,Table4[[#This Row],[Commodity Title]],1),"")</f>
        <v/>
      </c>
      <c r="C3331" s="35">
        <v>42295810</v>
      </c>
      <c r="D3331" s="33" t="s">
        <v>1495</v>
      </c>
      <c r="E3331" s="33" t="s">
        <v>1496</v>
      </c>
      <c r="F3331" s="33" t="s">
        <v>1497</v>
      </c>
      <c r="G3331" s="33" t="s">
        <v>7062</v>
      </c>
      <c r="H3331" s="33" t="s">
        <v>7063</v>
      </c>
      <c r="I3331" s="33" t="s">
        <v>7064</v>
      </c>
      <c r="J3331" s="33">
        <v>203266</v>
      </c>
      <c r="K3331" s="33" t="s">
        <v>8272</v>
      </c>
      <c r="L3331" s="33" t="s">
        <v>8273</v>
      </c>
      <c r="M3331" s="33" t="s">
        <v>8274</v>
      </c>
      <c r="N3331" s="44">
        <v>42295810</v>
      </c>
      <c r="O3331" s="33" t="s">
        <v>8293</v>
      </c>
      <c r="P3331" s="33" t="s">
        <v>8294</v>
      </c>
      <c r="Q3331" s="34" t="s">
        <v>1494</v>
      </c>
      <c r="R3331" s="34" t="s">
        <v>1494</v>
      </c>
    </row>
    <row r="3332" spans="1:18" ht="15" customHeight="1" x14ac:dyDescent="0.25">
      <c r="A3332" t="str">
        <f>IFERROR(RANK(B3332,$B:$B,1)+COUNTIF($B$1:B3331,B3332),"")</f>
        <v/>
      </c>
      <c r="B3332" t="str">
        <f>IFERROR(SEARCH(#REF!,Table4[[#This Row],[Commodity Title]],1),"")</f>
        <v/>
      </c>
      <c r="C3332" s="33" t="s">
        <v>1494</v>
      </c>
      <c r="D3332" s="33" t="s">
        <v>1495</v>
      </c>
      <c r="E3332" s="33" t="s">
        <v>1496</v>
      </c>
      <c r="F3332" s="33" t="s">
        <v>1497</v>
      </c>
      <c r="G3332" s="33" t="s">
        <v>7062</v>
      </c>
      <c r="H3332" s="33" t="s">
        <v>7063</v>
      </c>
      <c r="I3332" s="33" t="s">
        <v>7064</v>
      </c>
      <c r="J3332" s="33">
        <v>146198</v>
      </c>
      <c r="K3332" s="33" t="s">
        <v>8295</v>
      </c>
      <c r="L3332" s="33" t="s">
        <v>8296</v>
      </c>
      <c r="M3332" s="33" t="s">
        <v>8297</v>
      </c>
      <c r="N3332" s="44" t="s">
        <v>1494</v>
      </c>
      <c r="O3332" s="33" t="s">
        <v>1494</v>
      </c>
      <c r="P3332" s="33" t="s">
        <v>1494</v>
      </c>
      <c r="Q3332" s="34" t="s">
        <v>1494</v>
      </c>
      <c r="R3332" s="34" t="s">
        <v>1494</v>
      </c>
    </row>
    <row r="3333" spans="1:18" ht="15" customHeight="1" x14ac:dyDescent="0.25">
      <c r="A3333" t="str">
        <f>IFERROR(RANK(B3333,$B:$B,1)+COUNTIF($B$1:B3332,B3333),"")</f>
        <v/>
      </c>
      <c r="B3333" t="str">
        <f>IFERROR(SEARCH(#REF!,Table4[[#This Row],[Commodity Title]],1),"")</f>
        <v/>
      </c>
      <c r="C3333" s="35">
        <v>42295901</v>
      </c>
      <c r="D3333" s="33" t="s">
        <v>1495</v>
      </c>
      <c r="E3333" s="33" t="s">
        <v>1496</v>
      </c>
      <c r="F3333" s="33" t="s">
        <v>1497</v>
      </c>
      <c r="G3333" s="33" t="s">
        <v>7062</v>
      </c>
      <c r="H3333" s="33" t="s">
        <v>7063</v>
      </c>
      <c r="I3333" s="33" t="s">
        <v>7064</v>
      </c>
      <c r="J3333" s="33">
        <v>116428</v>
      </c>
      <c r="K3333" s="33" t="s">
        <v>8295</v>
      </c>
      <c r="L3333" s="33" t="s">
        <v>8296</v>
      </c>
      <c r="M3333" s="33" t="s">
        <v>8297</v>
      </c>
      <c r="N3333" s="44">
        <v>42295901</v>
      </c>
      <c r="O3333" s="33" t="s">
        <v>8298</v>
      </c>
      <c r="P3333" s="33" t="s">
        <v>8299</v>
      </c>
      <c r="Q3333" s="34" t="s">
        <v>1494</v>
      </c>
      <c r="R3333" s="34" t="s">
        <v>1494</v>
      </c>
    </row>
    <row r="3334" spans="1:18" ht="15" customHeight="1" x14ac:dyDescent="0.25">
      <c r="A3334" t="str">
        <f>IFERROR(RANK(B3334,$B:$B,1)+COUNTIF($B$1:B3333,B3334),"")</f>
        <v/>
      </c>
      <c r="B3334" t="str">
        <f>IFERROR(SEARCH(#REF!,Table4[[#This Row],[Commodity Title]],1),"")</f>
        <v/>
      </c>
      <c r="C3334" s="35">
        <v>42295902</v>
      </c>
      <c r="D3334" s="33" t="s">
        <v>1495</v>
      </c>
      <c r="E3334" s="33" t="s">
        <v>1496</v>
      </c>
      <c r="F3334" s="33" t="s">
        <v>1497</v>
      </c>
      <c r="G3334" s="33" t="s">
        <v>7062</v>
      </c>
      <c r="H3334" s="33" t="s">
        <v>7063</v>
      </c>
      <c r="I3334" s="33" t="s">
        <v>7064</v>
      </c>
      <c r="J3334" s="33">
        <v>116454</v>
      </c>
      <c r="K3334" s="33" t="s">
        <v>8295</v>
      </c>
      <c r="L3334" s="33" t="s">
        <v>8296</v>
      </c>
      <c r="M3334" s="33" t="s">
        <v>8297</v>
      </c>
      <c r="N3334" s="44">
        <v>42295902</v>
      </c>
      <c r="O3334" s="33" t="s">
        <v>8300</v>
      </c>
      <c r="P3334" s="33" t="s">
        <v>8301</v>
      </c>
      <c r="Q3334" s="34" t="s">
        <v>1494</v>
      </c>
      <c r="R3334" s="34" t="s">
        <v>1494</v>
      </c>
    </row>
    <row r="3335" spans="1:18" ht="15" customHeight="1" x14ac:dyDescent="0.25">
      <c r="A3335" t="str">
        <f>IFERROR(RANK(B3335,$B:$B,1)+COUNTIF($B$1:B3334,B3335),"")</f>
        <v/>
      </c>
      <c r="B3335" t="str">
        <f>IFERROR(SEARCH(#REF!,Table4[[#This Row],[Commodity Title]],1),"")</f>
        <v/>
      </c>
      <c r="C3335" s="35">
        <v>42295903</v>
      </c>
      <c r="D3335" s="33" t="s">
        <v>1495</v>
      </c>
      <c r="E3335" s="33" t="s">
        <v>1496</v>
      </c>
      <c r="F3335" s="33" t="s">
        <v>1497</v>
      </c>
      <c r="G3335" s="33" t="s">
        <v>7062</v>
      </c>
      <c r="H3335" s="33" t="s">
        <v>7063</v>
      </c>
      <c r="I3335" s="33" t="s">
        <v>7064</v>
      </c>
      <c r="J3335" s="33">
        <v>116456</v>
      </c>
      <c r="K3335" s="33" t="s">
        <v>8295</v>
      </c>
      <c r="L3335" s="33" t="s">
        <v>8296</v>
      </c>
      <c r="M3335" s="33" t="s">
        <v>8297</v>
      </c>
      <c r="N3335" s="44">
        <v>42295903</v>
      </c>
      <c r="O3335" s="33" t="s">
        <v>8302</v>
      </c>
      <c r="P3335" s="33" t="s">
        <v>8303</v>
      </c>
      <c r="Q3335" s="34" t="s">
        <v>1494</v>
      </c>
      <c r="R3335" s="34" t="s">
        <v>1494</v>
      </c>
    </row>
    <row r="3336" spans="1:18" ht="15" customHeight="1" x14ac:dyDescent="0.25">
      <c r="A3336" t="str">
        <f>IFERROR(RANK(B3336,$B:$B,1)+COUNTIF($B$1:B3335,B3336),"")</f>
        <v/>
      </c>
      <c r="B3336" t="str">
        <f>IFERROR(SEARCH(#REF!,Table4[[#This Row],[Commodity Title]],1),"")</f>
        <v/>
      </c>
      <c r="C3336" s="35">
        <v>42295904</v>
      </c>
      <c r="D3336" s="33" t="s">
        <v>1495</v>
      </c>
      <c r="E3336" s="33" t="s">
        <v>1496</v>
      </c>
      <c r="F3336" s="33" t="s">
        <v>1497</v>
      </c>
      <c r="G3336" s="33" t="s">
        <v>7062</v>
      </c>
      <c r="H3336" s="33" t="s">
        <v>7063</v>
      </c>
      <c r="I3336" s="33" t="s">
        <v>7064</v>
      </c>
      <c r="J3336" s="33">
        <v>116458</v>
      </c>
      <c r="K3336" s="33" t="s">
        <v>8295</v>
      </c>
      <c r="L3336" s="33" t="s">
        <v>8296</v>
      </c>
      <c r="M3336" s="33" t="s">
        <v>8297</v>
      </c>
      <c r="N3336" s="44">
        <v>42295904</v>
      </c>
      <c r="O3336" s="33" t="s">
        <v>8304</v>
      </c>
      <c r="P3336" s="33" t="s">
        <v>8305</v>
      </c>
      <c r="Q3336" s="34" t="s">
        <v>1494</v>
      </c>
      <c r="R3336" s="34" t="s">
        <v>1494</v>
      </c>
    </row>
    <row r="3337" spans="1:18" ht="15" customHeight="1" x14ac:dyDescent="0.25">
      <c r="A3337" t="str">
        <f>IFERROR(RANK(B3337,$B:$B,1)+COUNTIF($B$1:B3336,B3337),"")</f>
        <v/>
      </c>
      <c r="B3337" t="str">
        <f>IFERROR(SEARCH(#REF!,Table4[[#This Row],[Commodity Title]],1),"")</f>
        <v/>
      </c>
      <c r="C3337" s="35">
        <v>42295905</v>
      </c>
      <c r="D3337" s="33" t="s">
        <v>1495</v>
      </c>
      <c r="E3337" s="33" t="s">
        <v>1496</v>
      </c>
      <c r="F3337" s="33" t="s">
        <v>1497</v>
      </c>
      <c r="G3337" s="33" t="s">
        <v>7062</v>
      </c>
      <c r="H3337" s="33" t="s">
        <v>7063</v>
      </c>
      <c r="I3337" s="33" t="s">
        <v>7064</v>
      </c>
      <c r="J3337" s="33">
        <v>146138</v>
      </c>
      <c r="K3337" s="33" t="s">
        <v>8295</v>
      </c>
      <c r="L3337" s="33" t="s">
        <v>8296</v>
      </c>
      <c r="M3337" s="33" t="s">
        <v>8297</v>
      </c>
      <c r="N3337" s="44">
        <v>42295905</v>
      </c>
      <c r="O3337" s="33" t="s">
        <v>8306</v>
      </c>
      <c r="P3337" s="33" t="s">
        <v>8307</v>
      </c>
      <c r="Q3337" s="34" t="s">
        <v>1494</v>
      </c>
      <c r="R3337" s="34" t="s">
        <v>1494</v>
      </c>
    </row>
    <row r="3338" spans="1:18" ht="15" customHeight="1" x14ac:dyDescent="0.25">
      <c r="A3338" t="str">
        <f>IFERROR(RANK(B3338,$B:$B,1)+COUNTIF($B$1:B3337,B3338),"")</f>
        <v/>
      </c>
      <c r="B3338" t="str">
        <f>IFERROR(SEARCH(#REF!,Table4[[#This Row],[Commodity Title]],1),"")</f>
        <v/>
      </c>
      <c r="C3338" s="35">
        <v>42295906</v>
      </c>
      <c r="D3338" s="33" t="s">
        <v>1495</v>
      </c>
      <c r="E3338" s="33" t="s">
        <v>1496</v>
      </c>
      <c r="F3338" s="33" t="s">
        <v>1497</v>
      </c>
      <c r="G3338" s="33" t="s">
        <v>7062</v>
      </c>
      <c r="H3338" s="33" t="s">
        <v>7063</v>
      </c>
      <c r="I3338" s="33" t="s">
        <v>7064</v>
      </c>
      <c r="J3338" s="33">
        <v>150698</v>
      </c>
      <c r="K3338" s="33" t="s">
        <v>8295</v>
      </c>
      <c r="L3338" s="33" t="s">
        <v>8296</v>
      </c>
      <c r="M3338" s="33" t="s">
        <v>8297</v>
      </c>
      <c r="N3338" s="44">
        <v>42295906</v>
      </c>
      <c r="O3338" s="33" t="s">
        <v>8308</v>
      </c>
      <c r="P3338" s="33" t="s">
        <v>8309</v>
      </c>
      <c r="Q3338" s="34" t="s">
        <v>1494</v>
      </c>
      <c r="R3338" s="34" t="s">
        <v>1494</v>
      </c>
    </row>
    <row r="3339" spans="1:18" ht="15" customHeight="1" x14ac:dyDescent="0.25">
      <c r="A3339" t="str">
        <f>IFERROR(RANK(B3339,$B:$B,1)+COUNTIF($B$1:B3338,B3339),"")</f>
        <v/>
      </c>
      <c r="B3339" t="str">
        <f>IFERROR(SEARCH(#REF!,Table4[[#This Row],[Commodity Title]],1),"")</f>
        <v/>
      </c>
      <c r="C3339" s="35">
        <v>42295907</v>
      </c>
      <c r="D3339" s="33" t="s">
        <v>1495</v>
      </c>
      <c r="E3339" s="33" t="s">
        <v>1496</v>
      </c>
      <c r="F3339" s="33" t="s">
        <v>1497</v>
      </c>
      <c r="G3339" s="33" t="s">
        <v>7062</v>
      </c>
      <c r="H3339" s="33" t="s">
        <v>7063</v>
      </c>
      <c r="I3339" s="33" t="s">
        <v>7064</v>
      </c>
      <c r="J3339" s="33">
        <v>203267</v>
      </c>
      <c r="K3339" s="33" t="s">
        <v>8295</v>
      </c>
      <c r="L3339" s="33" t="s">
        <v>8296</v>
      </c>
      <c r="M3339" s="33" t="s">
        <v>8297</v>
      </c>
      <c r="N3339" s="44">
        <v>42295907</v>
      </c>
      <c r="O3339" s="33" t="s">
        <v>8310</v>
      </c>
      <c r="P3339" s="33" t="s">
        <v>8311</v>
      </c>
      <c r="Q3339" s="34" t="s">
        <v>1494</v>
      </c>
      <c r="R3339" s="34" t="s">
        <v>1494</v>
      </c>
    </row>
    <row r="3340" spans="1:18" ht="15" customHeight="1" x14ac:dyDescent="0.25">
      <c r="A3340" t="str">
        <f>IFERROR(RANK(B3340,$B:$B,1)+COUNTIF($B$1:B3339,B3340),"")</f>
        <v/>
      </c>
      <c r="B3340" t="str">
        <f>IFERROR(SEARCH(#REF!,Table4[[#This Row],[Commodity Title]],1),"")</f>
        <v/>
      </c>
      <c r="C3340" s="35">
        <v>42295908</v>
      </c>
      <c r="D3340" s="33" t="s">
        <v>1495</v>
      </c>
      <c r="E3340" s="33" t="s">
        <v>1496</v>
      </c>
      <c r="F3340" s="33" t="s">
        <v>1497</v>
      </c>
      <c r="G3340" s="33" t="s">
        <v>7062</v>
      </c>
      <c r="H3340" s="33" t="s">
        <v>7063</v>
      </c>
      <c r="I3340" s="33" t="s">
        <v>7064</v>
      </c>
      <c r="J3340" s="33">
        <v>203268</v>
      </c>
      <c r="K3340" s="33" t="s">
        <v>8295</v>
      </c>
      <c r="L3340" s="33" t="s">
        <v>8296</v>
      </c>
      <c r="M3340" s="33" t="s">
        <v>8297</v>
      </c>
      <c r="N3340" s="44">
        <v>42295908</v>
      </c>
      <c r="O3340" s="33" t="s">
        <v>8312</v>
      </c>
      <c r="P3340" s="33" t="s">
        <v>8313</v>
      </c>
      <c r="Q3340" s="34" t="s">
        <v>1494</v>
      </c>
      <c r="R3340" s="34" t="s">
        <v>1494</v>
      </c>
    </row>
    <row r="3341" spans="1:18" ht="15" customHeight="1" x14ac:dyDescent="0.25">
      <c r="A3341" t="str">
        <f>IFERROR(RANK(B3341,$B:$B,1)+COUNTIF($B$1:B3340,B3341),"")</f>
        <v/>
      </c>
      <c r="B3341" t="str">
        <f>IFERROR(SEARCH(#REF!,Table4[[#This Row],[Commodity Title]],1),"")</f>
        <v/>
      </c>
      <c r="C3341" s="35">
        <v>42295909</v>
      </c>
      <c r="D3341" s="33" t="s">
        <v>1495</v>
      </c>
      <c r="E3341" s="33" t="s">
        <v>1496</v>
      </c>
      <c r="F3341" s="33" t="s">
        <v>1497</v>
      </c>
      <c r="G3341" s="33" t="s">
        <v>7062</v>
      </c>
      <c r="H3341" s="33" t="s">
        <v>7063</v>
      </c>
      <c r="I3341" s="33" t="s">
        <v>7064</v>
      </c>
      <c r="J3341" s="33">
        <v>203269</v>
      </c>
      <c r="K3341" s="33" t="s">
        <v>8295</v>
      </c>
      <c r="L3341" s="33" t="s">
        <v>8296</v>
      </c>
      <c r="M3341" s="33" t="s">
        <v>8297</v>
      </c>
      <c r="N3341" s="44">
        <v>42295909</v>
      </c>
      <c r="O3341" s="33" t="s">
        <v>8314</v>
      </c>
      <c r="P3341" s="33" t="s">
        <v>8315</v>
      </c>
      <c r="Q3341" s="34" t="s">
        <v>1494</v>
      </c>
      <c r="R3341" s="34" t="s">
        <v>1494</v>
      </c>
    </row>
    <row r="3342" spans="1:18" ht="15" customHeight="1" x14ac:dyDescent="0.25">
      <c r="A3342" t="str">
        <f>IFERROR(RANK(B3342,$B:$B,1)+COUNTIF($B$1:B3341,B3342),"")</f>
        <v/>
      </c>
      <c r="B3342" t="str">
        <f>IFERROR(SEARCH(#REF!,Table4[[#This Row],[Commodity Title]],1),"")</f>
        <v/>
      </c>
      <c r="C3342" s="35">
        <v>42295910</v>
      </c>
      <c r="D3342" s="33" t="s">
        <v>1495</v>
      </c>
      <c r="E3342" s="33" t="s">
        <v>1496</v>
      </c>
      <c r="F3342" s="33" t="s">
        <v>1497</v>
      </c>
      <c r="G3342" s="33" t="s">
        <v>7062</v>
      </c>
      <c r="H3342" s="33" t="s">
        <v>7063</v>
      </c>
      <c r="I3342" s="33" t="s">
        <v>7064</v>
      </c>
      <c r="J3342" s="33">
        <v>146141</v>
      </c>
      <c r="K3342" s="33" t="s">
        <v>8295</v>
      </c>
      <c r="L3342" s="33" t="s">
        <v>8296</v>
      </c>
      <c r="M3342" s="33" t="s">
        <v>8297</v>
      </c>
      <c r="N3342" s="44">
        <v>42295910</v>
      </c>
      <c r="O3342" s="33" t="s">
        <v>8316</v>
      </c>
      <c r="P3342" s="33" t="s">
        <v>8317</v>
      </c>
      <c r="Q3342" s="34" t="s">
        <v>1494</v>
      </c>
      <c r="R3342" s="34" t="s">
        <v>1494</v>
      </c>
    </row>
    <row r="3343" spans="1:18" ht="15" customHeight="1" x14ac:dyDescent="0.25">
      <c r="A3343" t="str">
        <f>IFERROR(RANK(B3343,$B:$B,1)+COUNTIF($B$1:B3342,B3343),"")</f>
        <v/>
      </c>
      <c r="B3343" t="str">
        <f>IFERROR(SEARCH(#REF!,Table4[[#This Row],[Commodity Title]],1),"")</f>
        <v/>
      </c>
      <c r="C3343" s="35">
        <v>42295911</v>
      </c>
      <c r="D3343" s="33" t="s">
        <v>1495</v>
      </c>
      <c r="E3343" s="33" t="s">
        <v>1496</v>
      </c>
      <c r="F3343" s="33" t="s">
        <v>1497</v>
      </c>
      <c r="G3343" s="33" t="s">
        <v>7062</v>
      </c>
      <c r="H3343" s="33" t="s">
        <v>7063</v>
      </c>
      <c r="I3343" s="33" t="s">
        <v>7064</v>
      </c>
      <c r="J3343" s="33">
        <v>143495</v>
      </c>
      <c r="K3343" s="33" t="s">
        <v>8295</v>
      </c>
      <c r="L3343" s="33" t="s">
        <v>8296</v>
      </c>
      <c r="M3343" s="33" t="s">
        <v>8297</v>
      </c>
      <c r="N3343" s="44">
        <v>42295911</v>
      </c>
      <c r="O3343" s="33" t="s">
        <v>8318</v>
      </c>
      <c r="P3343" s="33" t="s">
        <v>8319</v>
      </c>
      <c r="Q3343" s="34" t="s">
        <v>1494</v>
      </c>
      <c r="R3343" s="34" t="s">
        <v>1494</v>
      </c>
    </row>
    <row r="3344" spans="1:18" ht="15" customHeight="1" x14ac:dyDescent="0.25">
      <c r="A3344" t="str">
        <f>IFERROR(RANK(B3344,$B:$B,1)+COUNTIF($B$1:B3343,B3344),"")</f>
        <v/>
      </c>
      <c r="B3344" t="str">
        <f>IFERROR(SEARCH(#REF!,Table4[[#This Row],[Commodity Title]],1),"")</f>
        <v/>
      </c>
      <c r="C3344" s="35">
        <v>42295912</v>
      </c>
      <c r="D3344" s="33" t="s">
        <v>1495</v>
      </c>
      <c r="E3344" s="33" t="s">
        <v>1496</v>
      </c>
      <c r="F3344" s="33" t="s">
        <v>1497</v>
      </c>
      <c r="G3344" s="33" t="s">
        <v>7062</v>
      </c>
      <c r="H3344" s="33" t="s">
        <v>7063</v>
      </c>
      <c r="I3344" s="33" t="s">
        <v>7064</v>
      </c>
      <c r="J3344" s="33">
        <v>115616</v>
      </c>
      <c r="K3344" s="33" t="s">
        <v>8295</v>
      </c>
      <c r="L3344" s="33" t="s">
        <v>8296</v>
      </c>
      <c r="M3344" s="33" t="s">
        <v>8297</v>
      </c>
      <c r="N3344" s="44">
        <v>42295912</v>
      </c>
      <c r="O3344" s="33" t="s">
        <v>8320</v>
      </c>
      <c r="P3344" s="33" t="s">
        <v>8321</v>
      </c>
      <c r="Q3344" s="34" t="s">
        <v>1494</v>
      </c>
      <c r="R3344" s="34" t="s">
        <v>1494</v>
      </c>
    </row>
    <row r="3345" spans="1:18" ht="15" customHeight="1" x14ac:dyDescent="0.25">
      <c r="A3345" t="str">
        <f>IFERROR(RANK(B3345,$B:$B,1)+COUNTIF($B$1:B3344,B3345),"")</f>
        <v/>
      </c>
      <c r="B3345" t="str">
        <f>IFERROR(SEARCH(#REF!,Table4[[#This Row],[Commodity Title]],1),"")</f>
        <v/>
      </c>
      <c r="C3345" s="33" t="s">
        <v>1494</v>
      </c>
      <c r="D3345" s="33" t="s">
        <v>1495</v>
      </c>
      <c r="E3345" s="33" t="s">
        <v>1496</v>
      </c>
      <c r="F3345" s="33" t="s">
        <v>1497</v>
      </c>
      <c r="G3345" s="33" t="s">
        <v>7062</v>
      </c>
      <c r="H3345" s="33" t="s">
        <v>7063</v>
      </c>
      <c r="I3345" s="33" t="s">
        <v>7064</v>
      </c>
      <c r="J3345" s="33">
        <v>116460</v>
      </c>
      <c r="K3345" s="33" t="s">
        <v>8322</v>
      </c>
      <c r="L3345" s="33" t="s">
        <v>8323</v>
      </c>
      <c r="M3345" s="33" t="s">
        <v>8324</v>
      </c>
      <c r="N3345" s="44" t="s">
        <v>1494</v>
      </c>
      <c r="O3345" s="33" t="s">
        <v>1494</v>
      </c>
      <c r="P3345" s="33" t="s">
        <v>1494</v>
      </c>
      <c r="Q3345" s="34" t="s">
        <v>1494</v>
      </c>
      <c r="R3345" s="34" t="s">
        <v>1494</v>
      </c>
    </row>
    <row r="3346" spans="1:18" ht="15" customHeight="1" x14ac:dyDescent="0.25">
      <c r="A3346" t="str">
        <f>IFERROR(RANK(B3346,$B:$B,1)+COUNTIF($B$1:B3345,B3346),"")</f>
        <v/>
      </c>
      <c r="B3346" t="str">
        <f>IFERROR(SEARCH(#REF!,Table4[[#This Row],[Commodity Title]],1),"")</f>
        <v/>
      </c>
      <c r="C3346" s="35">
        <v>42296001</v>
      </c>
      <c r="D3346" s="33" t="s">
        <v>1495</v>
      </c>
      <c r="E3346" s="33" t="s">
        <v>1496</v>
      </c>
      <c r="F3346" s="33" t="s">
        <v>1497</v>
      </c>
      <c r="G3346" s="33" t="s">
        <v>7062</v>
      </c>
      <c r="H3346" s="33" t="s">
        <v>7063</v>
      </c>
      <c r="I3346" s="33" t="s">
        <v>7064</v>
      </c>
      <c r="J3346" s="33">
        <v>146156</v>
      </c>
      <c r="K3346" s="33" t="s">
        <v>8322</v>
      </c>
      <c r="L3346" s="33" t="s">
        <v>8323</v>
      </c>
      <c r="M3346" s="33" t="s">
        <v>8324</v>
      </c>
      <c r="N3346" s="44">
        <v>42296001</v>
      </c>
      <c r="O3346" s="33" t="s">
        <v>8325</v>
      </c>
      <c r="P3346" s="33" t="s">
        <v>8326</v>
      </c>
      <c r="Q3346" s="34" t="s">
        <v>1494</v>
      </c>
      <c r="R3346" s="34" t="s">
        <v>1494</v>
      </c>
    </row>
    <row r="3347" spans="1:18" ht="15" customHeight="1" x14ac:dyDescent="0.25">
      <c r="A3347" t="str">
        <f>IFERROR(RANK(B3347,$B:$B,1)+COUNTIF($B$1:B3346,B3347),"")</f>
        <v/>
      </c>
      <c r="B3347" t="str">
        <f>IFERROR(SEARCH(#REF!,Table4[[#This Row],[Commodity Title]],1),"")</f>
        <v/>
      </c>
      <c r="C3347" s="35">
        <v>42296002</v>
      </c>
      <c r="D3347" s="33" t="s">
        <v>1495</v>
      </c>
      <c r="E3347" s="33" t="s">
        <v>1496</v>
      </c>
      <c r="F3347" s="33" t="s">
        <v>1497</v>
      </c>
      <c r="G3347" s="33" t="s">
        <v>7062</v>
      </c>
      <c r="H3347" s="33" t="s">
        <v>7063</v>
      </c>
      <c r="I3347" s="33" t="s">
        <v>7064</v>
      </c>
      <c r="J3347" s="33">
        <v>146157</v>
      </c>
      <c r="K3347" s="33" t="s">
        <v>8322</v>
      </c>
      <c r="L3347" s="33" t="s">
        <v>8323</v>
      </c>
      <c r="M3347" s="33" t="s">
        <v>8324</v>
      </c>
      <c r="N3347" s="44">
        <v>42296002</v>
      </c>
      <c r="O3347" s="33" t="s">
        <v>8327</v>
      </c>
      <c r="P3347" s="33" t="s">
        <v>8328</v>
      </c>
      <c r="Q3347" s="34" t="s">
        <v>1494</v>
      </c>
      <c r="R3347" s="34" t="s">
        <v>1494</v>
      </c>
    </row>
    <row r="3348" spans="1:18" ht="15" customHeight="1" x14ac:dyDescent="0.25">
      <c r="A3348" t="str">
        <f>IFERROR(RANK(B3348,$B:$B,1)+COUNTIF($B$1:B3347,B3348),"")</f>
        <v/>
      </c>
      <c r="B3348" t="str">
        <f>IFERROR(SEARCH(#REF!,Table4[[#This Row],[Commodity Title]],1),"")</f>
        <v/>
      </c>
      <c r="C3348" s="35">
        <v>42296003</v>
      </c>
      <c r="D3348" s="33" t="s">
        <v>1495</v>
      </c>
      <c r="E3348" s="33" t="s">
        <v>1496</v>
      </c>
      <c r="F3348" s="33" t="s">
        <v>1497</v>
      </c>
      <c r="G3348" s="33" t="s">
        <v>7062</v>
      </c>
      <c r="H3348" s="33" t="s">
        <v>7063</v>
      </c>
      <c r="I3348" s="33" t="s">
        <v>7064</v>
      </c>
      <c r="J3348" s="33">
        <v>146158</v>
      </c>
      <c r="K3348" s="33" t="s">
        <v>8322</v>
      </c>
      <c r="L3348" s="33" t="s">
        <v>8323</v>
      </c>
      <c r="M3348" s="33" t="s">
        <v>8324</v>
      </c>
      <c r="N3348" s="44">
        <v>42296003</v>
      </c>
      <c r="O3348" s="33" t="s">
        <v>8329</v>
      </c>
      <c r="P3348" s="33" t="s">
        <v>8330</v>
      </c>
      <c r="Q3348" s="34" t="s">
        <v>1494</v>
      </c>
      <c r="R3348" s="34" t="s">
        <v>1494</v>
      </c>
    </row>
    <row r="3349" spans="1:18" ht="15" customHeight="1" x14ac:dyDescent="0.25">
      <c r="A3349" t="str">
        <f>IFERROR(RANK(B3349,$B:$B,1)+COUNTIF($B$1:B3348,B3349),"")</f>
        <v/>
      </c>
      <c r="B3349" t="str">
        <f>IFERROR(SEARCH(#REF!,Table4[[#This Row],[Commodity Title]],1),"")</f>
        <v/>
      </c>
      <c r="C3349" s="35">
        <v>42296004</v>
      </c>
      <c r="D3349" s="33" t="s">
        <v>1495</v>
      </c>
      <c r="E3349" s="33" t="s">
        <v>1496</v>
      </c>
      <c r="F3349" s="33" t="s">
        <v>1497</v>
      </c>
      <c r="G3349" s="33" t="s">
        <v>7062</v>
      </c>
      <c r="H3349" s="33" t="s">
        <v>7063</v>
      </c>
      <c r="I3349" s="33" t="s">
        <v>7064</v>
      </c>
      <c r="J3349" s="33">
        <v>146159</v>
      </c>
      <c r="K3349" s="33" t="s">
        <v>8322</v>
      </c>
      <c r="L3349" s="33" t="s">
        <v>8323</v>
      </c>
      <c r="M3349" s="33" t="s">
        <v>8324</v>
      </c>
      <c r="N3349" s="44">
        <v>42296004</v>
      </c>
      <c r="O3349" s="33" t="s">
        <v>8331</v>
      </c>
      <c r="P3349" s="33" t="s">
        <v>8332</v>
      </c>
      <c r="Q3349" s="34" t="s">
        <v>1494</v>
      </c>
      <c r="R3349" s="34" t="s">
        <v>1494</v>
      </c>
    </row>
    <row r="3350" spans="1:18" ht="15" customHeight="1" x14ac:dyDescent="0.25">
      <c r="A3350" t="str">
        <f>IFERROR(RANK(B3350,$B:$B,1)+COUNTIF($B$1:B3349,B3350),"")</f>
        <v/>
      </c>
      <c r="B3350" t="str">
        <f>IFERROR(SEARCH(#REF!,Table4[[#This Row],[Commodity Title]],1),"")</f>
        <v/>
      </c>
      <c r="C3350" s="35">
        <v>42296005</v>
      </c>
      <c r="D3350" s="33" t="s">
        <v>1495</v>
      </c>
      <c r="E3350" s="33" t="s">
        <v>1496</v>
      </c>
      <c r="F3350" s="33" t="s">
        <v>1497</v>
      </c>
      <c r="G3350" s="33" t="s">
        <v>7062</v>
      </c>
      <c r="H3350" s="33" t="s">
        <v>7063</v>
      </c>
      <c r="I3350" s="33" t="s">
        <v>7064</v>
      </c>
      <c r="J3350" s="33">
        <v>146160</v>
      </c>
      <c r="K3350" s="33" t="s">
        <v>8322</v>
      </c>
      <c r="L3350" s="33" t="s">
        <v>8323</v>
      </c>
      <c r="M3350" s="33" t="s">
        <v>8324</v>
      </c>
      <c r="N3350" s="44">
        <v>42296005</v>
      </c>
      <c r="O3350" s="33" t="s">
        <v>8333</v>
      </c>
      <c r="P3350" s="33" t="s">
        <v>8334</v>
      </c>
      <c r="Q3350" s="34" t="s">
        <v>1494</v>
      </c>
      <c r="R3350" s="34" t="s">
        <v>1494</v>
      </c>
    </row>
    <row r="3351" spans="1:18" ht="15" customHeight="1" x14ac:dyDescent="0.25">
      <c r="A3351" t="str">
        <f>IFERROR(RANK(B3351,$B:$B,1)+COUNTIF($B$1:B3350,B3351),"")</f>
        <v/>
      </c>
      <c r="B3351" t="str">
        <f>IFERROR(SEARCH(#REF!,Table4[[#This Row],[Commodity Title]],1),"")</f>
        <v/>
      </c>
      <c r="C3351" s="35">
        <v>42296006</v>
      </c>
      <c r="D3351" s="33" t="s">
        <v>1495</v>
      </c>
      <c r="E3351" s="33" t="s">
        <v>1496</v>
      </c>
      <c r="F3351" s="33" t="s">
        <v>1497</v>
      </c>
      <c r="G3351" s="33" t="s">
        <v>7062</v>
      </c>
      <c r="H3351" s="33" t="s">
        <v>7063</v>
      </c>
      <c r="I3351" s="33" t="s">
        <v>7064</v>
      </c>
      <c r="J3351" s="33">
        <v>146161</v>
      </c>
      <c r="K3351" s="33" t="s">
        <v>8322</v>
      </c>
      <c r="L3351" s="33" t="s">
        <v>8323</v>
      </c>
      <c r="M3351" s="33" t="s">
        <v>8324</v>
      </c>
      <c r="N3351" s="44">
        <v>42296006</v>
      </c>
      <c r="O3351" s="33" t="s">
        <v>8335</v>
      </c>
      <c r="P3351" s="33" t="s">
        <v>8336</v>
      </c>
      <c r="Q3351" s="34" t="s">
        <v>1494</v>
      </c>
      <c r="R3351" s="34" t="s">
        <v>1494</v>
      </c>
    </row>
    <row r="3352" spans="1:18" ht="15" customHeight="1" x14ac:dyDescent="0.25">
      <c r="A3352" t="str">
        <f>IFERROR(RANK(B3352,$B:$B,1)+COUNTIF($B$1:B3351,B3352),"")</f>
        <v/>
      </c>
      <c r="B3352" t="str">
        <f>IFERROR(SEARCH(#REF!,Table4[[#This Row],[Commodity Title]],1),"")</f>
        <v/>
      </c>
      <c r="C3352" s="35">
        <v>42296007</v>
      </c>
      <c r="D3352" s="33" t="s">
        <v>1495</v>
      </c>
      <c r="E3352" s="33" t="s">
        <v>1496</v>
      </c>
      <c r="F3352" s="33" t="s">
        <v>1497</v>
      </c>
      <c r="G3352" s="33" t="s">
        <v>7062</v>
      </c>
      <c r="H3352" s="33" t="s">
        <v>7063</v>
      </c>
      <c r="I3352" s="33" t="s">
        <v>7064</v>
      </c>
      <c r="J3352" s="33">
        <v>146162</v>
      </c>
      <c r="K3352" s="33" t="s">
        <v>8322</v>
      </c>
      <c r="L3352" s="33" t="s">
        <v>8323</v>
      </c>
      <c r="M3352" s="33" t="s">
        <v>8324</v>
      </c>
      <c r="N3352" s="44">
        <v>42296007</v>
      </c>
      <c r="O3352" s="33" t="s">
        <v>8337</v>
      </c>
      <c r="P3352" s="33" t="s">
        <v>8338</v>
      </c>
      <c r="Q3352" s="34" t="s">
        <v>1494</v>
      </c>
      <c r="R3352" s="34" t="s">
        <v>1494</v>
      </c>
    </row>
    <row r="3353" spans="1:18" ht="15" customHeight="1" x14ac:dyDescent="0.25">
      <c r="A3353" t="str">
        <f>IFERROR(RANK(B3353,$B:$B,1)+COUNTIF($B$1:B3352,B3353),"")</f>
        <v/>
      </c>
      <c r="B3353" t="str">
        <f>IFERROR(SEARCH(#REF!,Table4[[#This Row],[Commodity Title]],1),"")</f>
        <v/>
      </c>
      <c r="C3353" s="35">
        <v>42296008</v>
      </c>
      <c r="D3353" s="33" t="s">
        <v>1495</v>
      </c>
      <c r="E3353" s="33" t="s">
        <v>1496</v>
      </c>
      <c r="F3353" s="33" t="s">
        <v>1497</v>
      </c>
      <c r="G3353" s="33" t="s">
        <v>7062</v>
      </c>
      <c r="H3353" s="33" t="s">
        <v>7063</v>
      </c>
      <c r="I3353" s="33" t="s">
        <v>7064</v>
      </c>
      <c r="J3353" s="33">
        <v>164878</v>
      </c>
      <c r="K3353" s="33" t="s">
        <v>8322</v>
      </c>
      <c r="L3353" s="33" t="s">
        <v>8323</v>
      </c>
      <c r="M3353" s="33" t="s">
        <v>8324</v>
      </c>
      <c r="N3353" s="44">
        <v>42296008</v>
      </c>
      <c r="O3353" s="33" t="s">
        <v>8339</v>
      </c>
      <c r="P3353" s="33" t="s">
        <v>8340</v>
      </c>
      <c r="Q3353" s="34" t="s">
        <v>1494</v>
      </c>
      <c r="R3353" s="34" t="s">
        <v>1494</v>
      </c>
    </row>
    <row r="3354" spans="1:18" ht="15" customHeight="1" x14ac:dyDescent="0.25">
      <c r="A3354" t="str">
        <f>IFERROR(RANK(B3354,$B:$B,1)+COUNTIF($B$1:B3353,B3354),"")</f>
        <v/>
      </c>
      <c r="B3354" t="str">
        <f>IFERROR(SEARCH(#REF!,Table4[[#This Row],[Commodity Title]],1),"")</f>
        <v/>
      </c>
      <c r="C3354" s="35">
        <v>42296009</v>
      </c>
      <c r="D3354" s="33" t="s">
        <v>1495</v>
      </c>
      <c r="E3354" s="33" t="s">
        <v>1496</v>
      </c>
      <c r="F3354" s="33" t="s">
        <v>1497</v>
      </c>
      <c r="G3354" s="33" t="s">
        <v>7062</v>
      </c>
      <c r="H3354" s="33" t="s">
        <v>7063</v>
      </c>
      <c r="I3354" s="33" t="s">
        <v>7064</v>
      </c>
      <c r="J3354" s="33">
        <v>203270</v>
      </c>
      <c r="K3354" s="33" t="s">
        <v>8322</v>
      </c>
      <c r="L3354" s="33" t="s">
        <v>8323</v>
      </c>
      <c r="M3354" s="33" t="s">
        <v>8324</v>
      </c>
      <c r="N3354" s="44">
        <v>42296009</v>
      </c>
      <c r="O3354" s="33" t="s">
        <v>8341</v>
      </c>
      <c r="P3354" s="33" t="s">
        <v>8342</v>
      </c>
      <c r="Q3354" s="34" t="s">
        <v>1494</v>
      </c>
      <c r="R3354" s="34" t="s">
        <v>1494</v>
      </c>
    </row>
    <row r="3355" spans="1:18" ht="15" customHeight="1" x14ac:dyDescent="0.25">
      <c r="A3355" t="str">
        <f>IFERROR(RANK(B3355,$B:$B,1)+COUNTIF($B$1:B3354,B3355),"")</f>
        <v/>
      </c>
      <c r="B3355" t="str">
        <f>IFERROR(SEARCH(#REF!,Table4[[#This Row],[Commodity Title]],1),"")</f>
        <v/>
      </c>
      <c r="C3355" s="35">
        <v>42296010</v>
      </c>
      <c r="D3355" s="33" t="s">
        <v>1495</v>
      </c>
      <c r="E3355" s="33" t="s">
        <v>1496</v>
      </c>
      <c r="F3355" s="33" t="s">
        <v>1497</v>
      </c>
      <c r="G3355" s="33" t="s">
        <v>7062</v>
      </c>
      <c r="H3355" s="33" t="s">
        <v>7063</v>
      </c>
      <c r="I3355" s="33" t="s">
        <v>7064</v>
      </c>
      <c r="J3355" s="33">
        <v>203271</v>
      </c>
      <c r="K3355" s="33" t="s">
        <v>8322</v>
      </c>
      <c r="L3355" s="33" t="s">
        <v>8323</v>
      </c>
      <c r="M3355" s="33" t="s">
        <v>8324</v>
      </c>
      <c r="N3355" s="44">
        <v>42296010</v>
      </c>
      <c r="O3355" s="33" t="s">
        <v>8343</v>
      </c>
      <c r="P3355" s="33" t="s">
        <v>8344</v>
      </c>
      <c r="Q3355" s="34" t="s">
        <v>1494</v>
      </c>
      <c r="R3355" s="34" t="s">
        <v>1494</v>
      </c>
    </row>
    <row r="3356" spans="1:18" ht="15" customHeight="1" x14ac:dyDescent="0.25">
      <c r="A3356" t="str">
        <f>IFERROR(RANK(B3356,$B:$B,1)+COUNTIF($B$1:B3355,B3356),"")</f>
        <v/>
      </c>
      <c r="B3356" t="str">
        <f>IFERROR(SEARCH(#REF!,Table4[[#This Row],[Commodity Title]],1),"")</f>
        <v/>
      </c>
      <c r="C3356" s="33" t="s">
        <v>1494</v>
      </c>
      <c r="D3356" s="33" t="s">
        <v>1495</v>
      </c>
      <c r="E3356" s="33" t="s">
        <v>1496</v>
      </c>
      <c r="F3356" s="33" t="s">
        <v>1497</v>
      </c>
      <c r="G3356" s="33" t="s">
        <v>7062</v>
      </c>
      <c r="H3356" s="33" t="s">
        <v>7063</v>
      </c>
      <c r="I3356" s="33" t="s">
        <v>7064</v>
      </c>
      <c r="J3356" s="33">
        <v>116463</v>
      </c>
      <c r="K3356" s="33" t="s">
        <v>8345</v>
      </c>
      <c r="L3356" s="33" t="s">
        <v>8346</v>
      </c>
      <c r="M3356" s="33" t="s">
        <v>8347</v>
      </c>
      <c r="N3356" s="44" t="s">
        <v>1494</v>
      </c>
      <c r="O3356" s="33" t="s">
        <v>1494</v>
      </c>
      <c r="P3356" s="33" t="s">
        <v>1494</v>
      </c>
      <c r="Q3356" s="34" t="s">
        <v>1494</v>
      </c>
      <c r="R3356" s="34" t="s">
        <v>1494</v>
      </c>
    </row>
    <row r="3357" spans="1:18" ht="15" customHeight="1" x14ac:dyDescent="0.25">
      <c r="A3357" t="str">
        <f>IFERROR(RANK(B3357,$B:$B,1)+COUNTIF($B$1:B3356,B3357),"")</f>
        <v/>
      </c>
      <c r="B3357" t="str">
        <f>IFERROR(SEARCH(#REF!,Table4[[#This Row],[Commodity Title]],1),"")</f>
        <v/>
      </c>
      <c r="C3357" s="35">
        <v>42296101</v>
      </c>
      <c r="D3357" s="33" t="s">
        <v>1495</v>
      </c>
      <c r="E3357" s="33" t="s">
        <v>1496</v>
      </c>
      <c r="F3357" s="33" t="s">
        <v>1497</v>
      </c>
      <c r="G3357" s="33" t="s">
        <v>7062</v>
      </c>
      <c r="H3357" s="33" t="s">
        <v>7063</v>
      </c>
      <c r="I3357" s="33" t="s">
        <v>7064</v>
      </c>
      <c r="J3357" s="33">
        <v>166794</v>
      </c>
      <c r="K3357" s="33" t="s">
        <v>8345</v>
      </c>
      <c r="L3357" s="33" t="s">
        <v>8346</v>
      </c>
      <c r="M3357" s="33" t="s">
        <v>8347</v>
      </c>
      <c r="N3357" s="44">
        <v>42296101</v>
      </c>
      <c r="O3357" s="33" t="s">
        <v>8348</v>
      </c>
      <c r="P3357" s="33" t="s">
        <v>8349</v>
      </c>
      <c r="Q3357" s="34" t="s">
        <v>1494</v>
      </c>
      <c r="R3357" s="34" t="s">
        <v>1494</v>
      </c>
    </row>
    <row r="3358" spans="1:18" ht="15" customHeight="1" x14ac:dyDescent="0.25">
      <c r="A3358" t="str">
        <f>IFERROR(RANK(B3358,$B:$B,1)+COUNTIF($B$1:B3357,B3358),"")</f>
        <v/>
      </c>
      <c r="B3358" t="str">
        <f>IFERROR(SEARCH(#REF!,Table4[[#This Row],[Commodity Title]],1),"")</f>
        <v/>
      </c>
      <c r="C3358" s="35">
        <v>42296102</v>
      </c>
      <c r="D3358" s="33" t="s">
        <v>1495</v>
      </c>
      <c r="E3358" s="33" t="s">
        <v>1496</v>
      </c>
      <c r="F3358" s="33" t="s">
        <v>1497</v>
      </c>
      <c r="G3358" s="33" t="s">
        <v>7062</v>
      </c>
      <c r="H3358" s="33" t="s">
        <v>7063</v>
      </c>
      <c r="I3358" s="33" t="s">
        <v>7064</v>
      </c>
      <c r="J3358" s="33">
        <v>166795</v>
      </c>
      <c r="K3358" s="33" t="s">
        <v>8345</v>
      </c>
      <c r="L3358" s="33" t="s">
        <v>8346</v>
      </c>
      <c r="M3358" s="33" t="s">
        <v>8347</v>
      </c>
      <c r="N3358" s="44">
        <v>42296102</v>
      </c>
      <c r="O3358" s="33" t="s">
        <v>8350</v>
      </c>
      <c r="P3358" s="33" t="s">
        <v>8351</v>
      </c>
      <c r="Q3358" s="34" t="s">
        <v>1494</v>
      </c>
      <c r="R3358" s="34" t="s">
        <v>1494</v>
      </c>
    </row>
    <row r="3359" spans="1:18" ht="15" customHeight="1" x14ac:dyDescent="0.25">
      <c r="A3359" t="str">
        <f>IFERROR(RANK(B3359,$B:$B,1)+COUNTIF($B$1:B3358,B3359),"")</f>
        <v/>
      </c>
      <c r="B3359" t="str">
        <f>IFERROR(SEARCH(#REF!,Table4[[#This Row],[Commodity Title]],1),"")</f>
        <v/>
      </c>
      <c r="C3359" s="35">
        <v>42296103</v>
      </c>
      <c r="D3359" s="33" t="s">
        <v>1495</v>
      </c>
      <c r="E3359" s="33" t="s">
        <v>1496</v>
      </c>
      <c r="F3359" s="33" t="s">
        <v>1497</v>
      </c>
      <c r="G3359" s="33" t="s">
        <v>7062</v>
      </c>
      <c r="H3359" s="33" t="s">
        <v>7063</v>
      </c>
      <c r="I3359" s="33" t="s">
        <v>7064</v>
      </c>
      <c r="J3359" s="33">
        <v>166796</v>
      </c>
      <c r="K3359" s="33" t="s">
        <v>8345</v>
      </c>
      <c r="L3359" s="33" t="s">
        <v>8346</v>
      </c>
      <c r="M3359" s="33" t="s">
        <v>8347</v>
      </c>
      <c r="N3359" s="44">
        <v>42296103</v>
      </c>
      <c r="O3359" s="33" t="s">
        <v>8352</v>
      </c>
      <c r="P3359" s="33" t="s">
        <v>8353</v>
      </c>
      <c r="Q3359" s="34" t="s">
        <v>1494</v>
      </c>
      <c r="R3359" s="34" t="s">
        <v>1494</v>
      </c>
    </row>
    <row r="3360" spans="1:18" ht="15" customHeight="1" x14ac:dyDescent="0.25">
      <c r="A3360" t="str">
        <f>IFERROR(RANK(B3360,$B:$B,1)+COUNTIF($B$1:B3359,B3360),"")</f>
        <v/>
      </c>
      <c r="B3360" t="str">
        <f>IFERROR(SEARCH(#REF!,Table4[[#This Row],[Commodity Title]],1),"")</f>
        <v/>
      </c>
      <c r="C3360" s="35">
        <v>42296104</v>
      </c>
      <c r="D3360" s="33" t="s">
        <v>1495</v>
      </c>
      <c r="E3360" s="33" t="s">
        <v>1496</v>
      </c>
      <c r="F3360" s="33" t="s">
        <v>1497</v>
      </c>
      <c r="G3360" s="33" t="s">
        <v>7062</v>
      </c>
      <c r="H3360" s="33" t="s">
        <v>7063</v>
      </c>
      <c r="I3360" s="33" t="s">
        <v>7064</v>
      </c>
      <c r="J3360" s="33">
        <v>176727</v>
      </c>
      <c r="K3360" s="33" t="s">
        <v>8345</v>
      </c>
      <c r="L3360" s="33" t="s">
        <v>8346</v>
      </c>
      <c r="M3360" s="33" t="s">
        <v>8347</v>
      </c>
      <c r="N3360" s="44">
        <v>42296104</v>
      </c>
      <c r="O3360" s="33" t="s">
        <v>29</v>
      </c>
      <c r="P3360" s="33" t="s">
        <v>8354</v>
      </c>
      <c r="Q3360" s="34" t="s">
        <v>1494</v>
      </c>
      <c r="R3360" s="34" t="s">
        <v>1494</v>
      </c>
    </row>
    <row r="3361" spans="1:18" ht="15" customHeight="1" x14ac:dyDescent="0.25">
      <c r="A3361" t="str">
        <f>IFERROR(RANK(B3361,$B:$B,1)+COUNTIF($B$1:B3360,B3361),"")</f>
        <v/>
      </c>
      <c r="B3361" t="str">
        <f>IFERROR(SEARCH(#REF!,Table4[[#This Row],[Commodity Title]],1),"")</f>
        <v/>
      </c>
      <c r="C3361" s="35">
        <v>42296105</v>
      </c>
      <c r="D3361" s="33" t="s">
        <v>1495</v>
      </c>
      <c r="E3361" s="33" t="s">
        <v>1496</v>
      </c>
      <c r="F3361" s="33" t="s">
        <v>1497</v>
      </c>
      <c r="G3361" s="33" t="s">
        <v>7062</v>
      </c>
      <c r="H3361" s="33" t="s">
        <v>7063</v>
      </c>
      <c r="I3361" s="33" t="s">
        <v>7064</v>
      </c>
      <c r="J3361" s="33">
        <v>176728</v>
      </c>
      <c r="K3361" s="33" t="s">
        <v>8345</v>
      </c>
      <c r="L3361" s="33" t="s">
        <v>8346</v>
      </c>
      <c r="M3361" s="33" t="s">
        <v>8347</v>
      </c>
      <c r="N3361" s="44">
        <v>42296105</v>
      </c>
      <c r="O3361" s="33" t="s">
        <v>8355</v>
      </c>
      <c r="P3361" s="33" t="s">
        <v>8356</v>
      </c>
      <c r="Q3361" s="34" t="s">
        <v>1494</v>
      </c>
      <c r="R3361" s="34" t="s">
        <v>1494</v>
      </c>
    </row>
    <row r="3362" spans="1:18" ht="15" customHeight="1" x14ac:dyDescent="0.25">
      <c r="A3362" t="str">
        <f>IFERROR(RANK(B3362,$B:$B,1)+COUNTIF($B$1:B3361,B3362),"")</f>
        <v/>
      </c>
      <c r="B3362" t="str">
        <f>IFERROR(SEARCH(#REF!,Table4[[#This Row],[Commodity Title]],1),"")</f>
        <v/>
      </c>
      <c r="C3362" s="35">
        <v>42296106</v>
      </c>
      <c r="D3362" s="33" t="s">
        <v>1495</v>
      </c>
      <c r="E3362" s="33" t="s">
        <v>1496</v>
      </c>
      <c r="F3362" s="33" t="s">
        <v>1497</v>
      </c>
      <c r="G3362" s="33" t="s">
        <v>7062</v>
      </c>
      <c r="H3362" s="33" t="s">
        <v>7063</v>
      </c>
      <c r="I3362" s="33" t="s">
        <v>7064</v>
      </c>
      <c r="J3362" s="33">
        <v>176729</v>
      </c>
      <c r="K3362" s="33" t="s">
        <v>8345</v>
      </c>
      <c r="L3362" s="33" t="s">
        <v>8346</v>
      </c>
      <c r="M3362" s="33" t="s">
        <v>8347</v>
      </c>
      <c r="N3362" s="44">
        <v>42296106</v>
      </c>
      <c r="O3362" s="33" t="s">
        <v>8357</v>
      </c>
      <c r="P3362" s="33" t="s">
        <v>8358</v>
      </c>
      <c r="Q3362" s="34" t="s">
        <v>1494</v>
      </c>
      <c r="R3362" s="34" t="s">
        <v>1494</v>
      </c>
    </row>
    <row r="3363" spans="1:18" ht="15" customHeight="1" x14ac:dyDescent="0.25">
      <c r="A3363" t="str">
        <f>IFERROR(RANK(B3363,$B:$B,1)+COUNTIF($B$1:B3362,B3363),"")</f>
        <v/>
      </c>
      <c r="B3363" t="str">
        <f>IFERROR(SEARCH(#REF!,Table4[[#This Row],[Commodity Title]],1),"")</f>
        <v/>
      </c>
      <c r="C3363" s="35">
        <v>42296107</v>
      </c>
      <c r="D3363" s="33" t="s">
        <v>1495</v>
      </c>
      <c r="E3363" s="33" t="s">
        <v>1496</v>
      </c>
      <c r="F3363" s="33" t="s">
        <v>1497</v>
      </c>
      <c r="G3363" s="33" t="s">
        <v>7062</v>
      </c>
      <c r="H3363" s="33" t="s">
        <v>7063</v>
      </c>
      <c r="I3363" s="33" t="s">
        <v>7064</v>
      </c>
      <c r="J3363" s="33">
        <v>176730</v>
      </c>
      <c r="K3363" s="33" t="s">
        <v>8345</v>
      </c>
      <c r="L3363" s="33" t="s">
        <v>8346</v>
      </c>
      <c r="M3363" s="33" t="s">
        <v>8347</v>
      </c>
      <c r="N3363" s="44">
        <v>42296107</v>
      </c>
      <c r="O3363" s="33" t="s">
        <v>301</v>
      </c>
      <c r="P3363" s="33" t="s">
        <v>8359</v>
      </c>
      <c r="Q3363" s="34" t="s">
        <v>1494</v>
      </c>
      <c r="R3363" s="34" t="s">
        <v>1494</v>
      </c>
    </row>
    <row r="3364" spans="1:18" ht="15" customHeight="1" x14ac:dyDescent="0.25">
      <c r="A3364" t="str">
        <f>IFERROR(RANK(B3364,$B:$B,1)+COUNTIF($B$1:B3363,B3364),"")</f>
        <v/>
      </c>
      <c r="B3364" t="str">
        <f>IFERROR(SEARCH(#REF!,Table4[[#This Row],[Commodity Title]],1),"")</f>
        <v/>
      </c>
      <c r="C3364" s="35">
        <v>42296108</v>
      </c>
      <c r="D3364" s="33" t="s">
        <v>1495</v>
      </c>
      <c r="E3364" s="33" t="s">
        <v>1496</v>
      </c>
      <c r="F3364" s="33" t="s">
        <v>1497</v>
      </c>
      <c r="G3364" s="33" t="s">
        <v>7062</v>
      </c>
      <c r="H3364" s="33" t="s">
        <v>7063</v>
      </c>
      <c r="I3364" s="33" t="s">
        <v>7064</v>
      </c>
      <c r="J3364" s="33">
        <v>142551</v>
      </c>
      <c r="K3364" s="33" t="s">
        <v>8345</v>
      </c>
      <c r="L3364" s="33" t="s">
        <v>8346</v>
      </c>
      <c r="M3364" s="33" t="s">
        <v>8347</v>
      </c>
      <c r="N3364" s="44">
        <v>42296108</v>
      </c>
      <c r="O3364" s="33" t="s">
        <v>8360</v>
      </c>
      <c r="P3364" s="33" t="s">
        <v>8361</v>
      </c>
      <c r="Q3364" s="34" t="s">
        <v>1494</v>
      </c>
      <c r="R3364" s="34" t="s">
        <v>1494</v>
      </c>
    </row>
    <row r="3365" spans="1:18" ht="15" customHeight="1" x14ac:dyDescent="0.25">
      <c r="A3365" t="str">
        <f>IFERROR(RANK(B3365,$B:$B,1)+COUNTIF($B$1:B3364,B3365),"")</f>
        <v/>
      </c>
      <c r="B3365" t="str">
        <f>IFERROR(SEARCH(#REF!,Table4[[#This Row],[Commodity Title]],1),"")</f>
        <v/>
      </c>
      <c r="C3365" s="35">
        <v>42296109</v>
      </c>
      <c r="D3365" s="33" t="s">
        <v>1495</v>
      </c>
      <c r="E3365" s="33" t="s">
        <v>1496</v>
      </c>
      <c r="F3365" s="33" t="s">
        <v>1497</v>
      </c>
      <c r="G3365" s="33" t="s">
        <v>7062</v>
      </c>
      <c r="H3365" s="33" t="s">
        <v>7063</v>
      </c>
      <c r="I3365" s="33" t="s">
        <v>7064</v>
      </c>
      <c r="J3365" s="33">
        <v>203272</v>
      </c>
      <c r="K3365" s="33" t="s">
        <v>8345</v>
      </c>
      <c r="L3365" s="33" t="s">
        <v>8346</v>
      </c>
      <c r="M3365" s="33" t="s">
        <v>8347</v>
      </c>
      <c r="N3365" s="44">
        <v>42296109</v>
      </c>
      <c r="O3365" s="33" t="s">
        <v>8362</v>
      </c>
      <c r="P3365" s="33" t="s">
        <v>8363</v>
      </c>
      <c r="Q3365" s="34" t="s">
        <v>1494</v>
      </c>
      <c r="R3365" s="34" t="s">
        <v>1494</v>
      </c>
    </row>
    <row r="3366" spans="1:18" ht="15" customHeight="1" x14ac:dyDescent="0.25">
      <c r="A3366" t="str">
        <f>IFERROR(RANK(B3366,$B:$B,1)+COUNTIF($B$1:B3365,B3366),"")</f>
        <v/>
      </c>
      <c r="B3366" t="str">
        <f>IFERROR(SEARCH(#REF!,Table4[[#This Row],[Commodity Title]],1),"")</f>
        <v/>
      </c>
      <c r="C3366" s="35">
        <v>42296110</v>
      </c>
      <c r="D3366" s="33" t="s">
        <v>1495</v>
      </c>
      <c r="E3366" s="33" t="s">
        <v>1496</v>
      </c>
      <c r="F3366" s="33" t="s">
        <v>1497</v>
      </c>
      <c r="G3366" s="33" t="s">
        <v>7062</v>
      </c>
      <c r="H3366" s="33" t="s">
        <v>7063</v>
      </c>
      <c r="I3366" s="33" t="s">
        <v>7064</v>
      </c>
      <c r="J3366" s="33">
        <v>203273</v>
      </c>
      <c r="K3366" s="33" t="s">
        <v>8345</v>
      </c>
      <c r="L3366" s="33" t="s">
        <v>8346</v>
      </c>
      <c r="M3366" s="33" t="s">
        <v>8347</v>
      </c>
      <c r="N3366" s="44">
        <v>42296110</v>
      </c>
      <c r="O3366" s="33" t="s">
        <v>8364</v>
      </c>
      <c r="P3366" s="33" t="s">
        <v>8365</v>
      </c>
      <c r="Q3366" s="34" t="s">
        <v>1494</v>
      </c>
      <c r="R3366" s="34" t="s">
        <v>1494</v>
      </c>
    </row>
    <row r="3367" spans="1:18" ht="15" customHeight="1" x14ac:dyDescent="0.25">
      <c r="A3367" t="str">
        <f>IFERROR(RANK(B3367,$B:$B,1)+COUNTIF($B$1:B3366,B3367),"")</f>
        <v/>
      </c>
      <c r="B3367" t="str">
        <f>IFERROR(SEARCH(#REF!,Table4[[#This Row],[Commodity Title]],1),"")</f>
        <v/>
      </c>
      <c r="C3367" s="35">
        <v>42296111</v>
      </c>
      <c r="D3367" s="33" t="s">
        <v>1495</v>
      </c>
      <c r="E3367" s="33" t="s">
        <v>1496</v>
      </c>
      <c r="F3367" s="33" t="s">
        <v>1497</v>
      </c>
      <c r="G3367" s="33" t="s">
        <v>7062</v>
      </c>
      <c r="H3367" s="33" t="s">
        <v>7063</v>
      </c>
      <c r="I3367" s="33" t="s">
        <v>7064</v>
      </c>
      <c r="J3367" s="33">
        <v>203274</v>
      </c>
      <c r="K3367" s="33" t="s">
        <v>8345</v>
      </c>
      <c r="L3367" s="33" t="s">
        <v>8346</v>
      </c>
      <c r="M3367" s="33" t="s">
        <v>8347</v>
      </c>
      <c r="N3367" s="44">
        <v>42296111</v>
      </c>
      <c r="O3367" s="33" t="s">
        <v>8366</v>
      </c>
      <c r="P3367" s="33" t="s">
        <v>8367</v>
      </c>
      <c r="Q3367" s="34" t="s">
        <v>1494</v>
      </c>
      <c r="R3367" s="34" t="s">
        <v>1494</v>
      </c>
    </row>
    <row r="3368" spans="1:18" ht="15" customHeight="1" x14ac:dyDescent="0.25">
      <c r="A3368" t="str">
        <f>IFERROR(RANK(B3368,$B:$B,1)+COUNTIF($B$1:B3367,B3368),"")</f>
        <v/>
      </c>
      <c r="B3368" t="str">
        <f>IFERROR(SEARCH(#REF!,Table4[[#This Row],[Commodity Title]],1),"")</f>
        <v/>
      </c>
      <c r="C3368" s="33" t="s">
        <v>1494</v>
      </c>
      <c r="D3368" s="33" t="s">
        <v>1495</v>
      </c>
      <c r="E3368" s="33" t="s">
        <v>1496</v>
      </c>
      <c r="F3368" s="33" t="s">
        <v>1497</v>
      </c>
      <c r="G3368" s="33" t="s">
        <v>7062</v>
      </c>
      <c r="H3368" s="33" t="s">
        <v>7063</v>
      </c>
      <c r="I3368" s="33" t="s">
        <v>7064</v>
      </c>
      <c r="J3368" s="33">
        <v>174413</v>
      </c>
      <c r="K3368" s="33" t="s">
        <v>8368</v>
      </c>
      <c r="L3368" s="33" t="s">
        <v>8369</v>
      </c>
      <c r="M3368" s="33" t="s">
        <v>8370</v>
      </c>
      <c r="N3368" s="44" t="s">
        <v>1494</v>
      </c>
      <c r="O3368" s="33" t="s">
        <v>1494</v>
      </c>
      <c r="P3368" s="33" t="s">
        <v>1494</v>
      </c>
      <c r="Q3368" s="34" t="s">
        <v>1494</v>
      </c>
      <c r="R3368" s="34" t="s">
        <v>1494</v>
      </c>
    </row>
    <row r="3369" spans="1:18" ht="15" customHeight="1" x14ac:dyDescent="0.25">
      <c r="A3369" t="str">
        <f>IFERROR(RANK(B3369,$B:$B,1)+COUNTIF($B$1:B3368,B3369),"")</f>
        <v/>
      </c>
      <c r="B3369" t="str">
        <f>IFERROR(SEARCH(#REF!,Table4[[#This Row],[Commodity Title]],1),"")</f>
        <v/>
      </c>
      <c r="C3369" s="35">
        <v>42296201</v>
      </c>
      <c r="D3369" s="33" t="s">
        <v>1495</v>
      </c>
      <c r="E3369" s="33" t="s">
        <v>1496</v>
      </c>
      <c r="F3369" s="33" t="s">
        <v>1497</v>
      </c>
      <c r="G3369" s="33" t="s">
        <v>7062</v>
      </c>
      <c r="H3369" s="33" t="s">
        <v>7063</v>
      </c>
      <c r="I3369" s="33" t="s">
        <v>7064</v>
      </c>
      <c r="J3369" s="33">
        <v>174414</v>
      </c>
      <c r="K3369" s="33" t="s">
        <v>8368</v>
      </c>
      <c r="L3369" s="33" t="s">
        <v>8369</v>
      </c>
      <c r="M3369" s="33" t="s">
        <v>8370</v>
      </c>
      <c r="N3369" s="44">
        <v>42296201</v>
      </c>
      <c r="O3369" s="33" t="s">
        <v>8371</v>
      </c>
      <c r="P3369" s="33" t="s">
        <v>8372</v>
      </c>
      <c r="Q3369" s="34" t="s">
        <v>1494</v>
      </c>
      <c r="R3369" s="34" t="s">
        <v>1494</v>
      </c>
    </row>
    <row r="3370" spans="1:18" ht="15" customHeight="1" x14ac:dyDescent="0.25">
      <c r="A3370" t="str">
        <f>IFERROR(RANK(B3370,$B:$B,1)+COUNTIF($B$1:B3369,B3370),"")</f>
        <v/>
      </c>
      <c r="B3370" t="str">
        <f>IFERROR(SEARCH(#REF!,Table4[[#This Row],[Commodity Title]],1),"")</f>
        <v/>
      </c>
      <c r="C3370" s="35">
        <v>42296202</v>
      </c>
      <c r="D3370" s="33" t="s">
        <v>1495</v>
      </c>
      <c r="E3370" s="33" t="s">
        <v>1496</v>
      </c>
      <c r="F3370" s="33" t="s">
        <v>1497</v>
      </c>
      <c r="G3370" s="33" t="s">
        <v>7062</v>
      </c>
      <c r="H3370" s="33" t="s">
        <v>7063</v>
      </c>
      <c r="I3370" s="33" t="s">
        <v>7064</v>
      </c>
      <c r="J3370" s="33">
        <v>174415</v>
      </c>
      <c r="K3370" s="33" t="s">
        <v>8368</v>
      </c>
      <c r="L3370" s="33" t="s">
        <v>8369</v>
      </c>
      <c r="M3370" s="33" t="s">
        <v>8370</v>
      </c>
      <c r="N3370" s="44">
        <v>42296202</v>
      </c>
      <c r="O3370" s="33" t="s">
        <v>8373</v>
      </c>
      <c r="P3370" s="33" t="s">
        <v>8374</v>
      </c>
      <c r="Q3370" s="34" t="s">
        <v>1494</v>
      </c>
      <c r="R3370" s="34" t="s">
        <v>1494</v>
      </c>
    </row>
    <row r="3371" spans="1:18" ht="15" customHeight="1" x14ac:dyDescent="0.25">
      <c r="A3371" t="str">
        <f>IFERROR(RANK(B3371,$B:$B,1)+COUNTIF($B$1:B3370,B3371),"")</f>
        <v/>
      </c>
      <c r="B3371" t="str">
        <f>IFERROR(SEARCH(#REF!,Table4[[#This Row],[Commodity Title]],1),"")</f>
        <v/>
      </c>
      <c r="C3371" s="35">
        <v>42296203</v>
      </c>
      <c r="D3371" s="33" t="s">
        <v>1495</v>
      </c>
      <c r="E3371" s="33" t="s">
        <v>1496</v>
      </c>
      <c r="F3371" s="33" t="s">
        <v>1497</v>
      </c>
      <c r="G3371" s="33" t="s">
        <v>7062</v>
      </c>
      <c r="H3371" s="33" t="s">
        <v>7063</v>
      </c>
      <c r="I3371" s="33" t="s">
        <v>7064</v>
      </c>
      <c r="J3371" s="33">
        <v>174416</v>
      </c>
      <c r="K3371" s="33" t="s">
        <v>8368</v>
      </c>
      <c r="L3371" s="33" t="s">
        <v>8369</v>
      </c>
      <c r="M3371" s="33" t="s">
        <v>8370</v>
      </c>
      <c r="N3371" s="44">
        <v>42296203</v>
      </c>
      <c r="O3371" s="33" t="s">
        <v>8375</v>
      </c>
      <c r="P3371" s="33" t="s">
        <v>8376</v>
      </c>
      <c r="Q3371" s="34" t="s">
        <v>1494</v>
      </c>
      <c r="R3371" s="34" t="s">
        <v>1494</v>
      </c>
    </row>
    <row r="3372" spans="1:18" ht="15" customHeight="1" x14ac:dyDescent="0.25">
      <c r="A3372" t="str">
        <f>IFERROR(RANK(B3372,$B:$B,1)+COUNTIF($B$1:B3371,B3372),"")</f>
        <v/>
      </c>
      <c r="B3372" t="str">
        <f>IFERROR(SEARCH(#REF!,Table4[[#This Row],[Commodity Title]],1),"")</f>
        <v/>
      </c>
      <c r="C3372" s="35">
        <v>42296204</v>
      </c>
      <c r="D3372" s="33" t="s">
        <v>1495</v>
      </c>
      <c r="E3372" s="33" t="s">
        <v>1496</v>
      </c>
      <c r="F3372" s="33" t="s">
        <v>1497</v>
      </c>
      <c r="G3372" s="33" t="s">
        <v>7062</v>
      </c>
      <c r="H3372" s="33" t="s">
        <v>7063</v>
      </c>
      <c r="I3372" s="33" t="s">
        <v>7064</v>
      </c>
      <c r="J3372" s="33">
        <v>174417</v>
      </c>
      <c r="K3372" s="33" t="s">
        <v>8368</v>
      </c>
      <c r="L3372" s="33" t="s">
        <v>8369</v>
      </c>
      <c r="M3372" s="33" t="s">
        <v>8370</v>
      </c>
      <c r="N3372" s="44">
        <v>42296204</v>
      </c>
      <c r="O3372" s="33" t="s">
        <v>8377</v>
      </c>
      <c r="P3372" s="33" t="s">
        <v>8378</v>
      </c>
      <c r="Q3372" s="34" t="s">
        <v>1494</v>
      </c>
      <c r="R3372" s="34" t="s">
        <v>1494</v>
      </c>
    </row>
    <row r="3373" spans="1:18" ht="15" customHeight="1" x14ac:dyDescent="0.25">
      <c r="A3373" t="str">
        <f>IFERROR(RANK(B3373,$B:$B,1)+COUNTIF($B$1:B3372,B3373),"")</f>
        <v/>
      </c>
      <c r="B3373" t="str">
        <f>IFERROR(SEARCH(#REF!,Table4[[#This Row],[Commodity Title]],1),"")</f>
        <v/>
      </c>
      <c r="C3373" s="35">
        <v>42296205</v>
      </c>
      <c r="D3373" s="33" t="s">
        <v>1495</v>
      </c>
      <c r="E3373" s="33" t="s">
        <v>1496</v>
      </c>
      <c r="F3373" s="33" t="s">
        <v>1497</v>
      </c>
      <c r="G3373" s="33" t="s">
        <v>7062</v>
      </c>
      <c r="H3373" s="33" t="s">
        <v>7063</v>
      </c>
      <c r="I3373" s="33" t="s">
        <v>7064</v>
      </c>
      <c r="J3373" s="33">
        <v>174418</v>
      </c>
      <c r="K3373" s="33" t="s">
        <v>8368</v>
      </c>
      <c r="L3373" s="33" t="s">
        <v>8369</v>
      </c>
      <c r="M3373" s="33" t="s">
        <v>8370</v>
      </c>
      <c r="N3373" s="44">
        <v>42296205</v>
      </c>
      <c r="O3373" s="33" t="s">
        <v>8379</v>
      </c>
      <c r="P3373" s="33" t="s">
        <v>8380</v>
      </c>
      <c r="Q3373" s="34" t="s">
        <v>1494</v>
      </c>
      <c r="R3373" s="34" t="s">
        <v>1494</v>
      </c>
    </row>
    <row r="3374" spans="1:18" ht="15" customHeight="1" x14ac:dyDescent="0.25">
      <c r="A3374" t="str">
        <f>IFERROR(RANK(B3374,$B:$B,1)+COUNTIF($B$1:B3373,B3374),"")</f>
        <v/>
      </c>
      <c r="B3374" t="str">
        <f>IFERROR(SEARCH(#REF!,Table4[[#This Row],[Commodity Title]],1),"")</f>
        <v/>
      </c>
      <c r="C3374" s="35">
        <v>42296206</v>
      </c>
      <c r="D3374" s="33" t="s">
        <v>1495</v>
      </c>
      <c r="E3374" s="33" t="s">
        <v>1496</v>
      </c>
      <c r="F3374" s="33" t="s">
        <v>1497</v>
      </c>
      <c r="G3374" s="33" t="s">
        <v>7062</v>
      </c>
      <c r="H3374" s="33" t="s">
        <v>7063</v>
      </c>
      <c r="I3374" s="33" t="s">
        <v>7064</v>
      </c>
      <c r="J3374" s="33">
        <v>174419</v>
      </c>
      <c r="K3374" s="33" t="s">
        <v>8368</v>
      </c>
      <c r="L3374" s="33" t="s">
        <v>8369</v>
      </c>
      <c r="M3374" s="33" t="s">
        <v>8370</v>
      </c>
      <c r="N3374" s="44">
        <v>42296206</v>
      </c>
      <c r="O3374" s="33" t="s">
        <v>194</v>
      </c>
      <c r="P3374" s="33" t="s">
        <v>8381</v>
      </c>
      <c r="Q3374" s="34" t="s">
        <v>1494</v>
      </c>
      <c r="R3374" s="34" t="s">
        <v>1494</v>
      </c>
    </row>
    <row r="3375" spans="1:18" ht="15" customHeight="1" x14ac:dyDescent="0.25">
      <c r="A3375" t="str">
        <f>IFERROR(RANK(B3375,$B:$B,1)+COUNTIF($B$1:B3374,B3375),"")</f>
        <v/>
      </c>
      <c r="B3375" t="str">
        <f>IFERROR(SEARCH(#REF!,Table4[[#This Row],[Commodity Title]],1),"")</f>
        <v/>
      </c>
      <c r="C3375" s="35">
        <v>42296207</v>
      </c>
      <c r="D3375" s="33" t="s">
        <v>1495</v>
      </c>
      <c r="E3375" s="33" t="s">
        <v>1496</v>
      </c>
      <c r="F3375" s="33" t="s">
        <v>1497</v>
      </c>
      <c r="G3375" s="33" t="s">
        <v>7062</v>
      </c>
      <c r="H3375" s="33" t="s">
        <v>7063</v>
      </c>
      <c r="I3375" s="33" t="s">
        <v>7064</v>
      </c>
      <c r="J3375" s="33">
        <v>174420</v>
      </c>
      <c r="K3375" s="33" t="s">
        <v>8368</v>
      </c>
      <c r="L3375" s="33" t="s">
        <v>8369</v>
      </c>
      <c r="M3375" s="33" t="s">
        <v>8370</v>
      </c>
      <c r="N3375" s="44">
        <v>42296207</v>
      </c>
      <c r="O3375" s="33" t="s">
        <v>8382</v>
      </c>
      <c r="P3375" s="33" t="s">
        <v>8383</v>
      </c>
      <c r="Q3375" s="34" t="s">
        <v>1494</v>
      </c>
      <c r="R3375" s="34" t="s">
        <v>1494</v>
      </c>
    </row>
    <row r="3376" spans="1:18" ht="15" customHeight="1" x14ac:dyDescent="0.25">
      <c r="A3376" t="str">
        <f>IFERROR(RANK(B3376,$B:$B,1)+COUNTIF($B$1:B3375,B3376),"")</f>
        <v/>
      </c>
      <c r="B3376" t="str">
        <f>IFERROR(SEARCH(#REF!,Table4[[#This Row],[Commodity Title]],1),"")</f>
        <v/>
      </c>
      <c r="C3376" s="35">
        <v>42296208</v>
      </c>
      <c r="D3376" s="33" t="s">
        <v>1495</v>
      </c>
      <c r="E3376" s="33" t="s">
        <v>1496</v>
      </c>
      <c r="F3376" s="33" t="s">
        <v>1497</v>
      </c>
      <c r="G3376" s="33" t="s">
        <v>7062</v>
      </c>
      <c r="H3376" s="33" t="s">
        <v>7063</v>
      </c>
      <c r="I3376" s="33" t="s">
        <v>7064</v>
      </c>
      <c r="J3376" s="33">
        <v>174421</v>
      </c>
      <c r="K3376" s="33" t="s">
        <v>8368</v>
      </c>
      <c r="L3376" s="33" t="s">
        <v>8369</v>
      </c>
      <c r="M3376" s="33" t="s">
        <v>8370</v>
      </c>
      <c r="N3376" s="44">
        <v>42296208</v>
      </c>
      <c r="O3376" s="33" t="s">
        <v>8384</v>
      </c>
      <c r="P3376" s="33" t="s">
        <v>8385</v>
      </c>
      <c r="Q3376" s="34" t="s">
        <v>1494</v>
      </c>
      <c r="R3376" s="34" t="s">
        <v>1494</v>
      </c>
    </row>
    <row r="3377" spans="1:18" ht="15" customHeight="1" x14ac:dyDescent="0.25">
      <c r="A3377" t="str">
        <f>IFERROR(RANK(B3377,$B:$B,1)+COUNTIF($B$1:B3376,B3377),"")</f>
        <v/>
      </c>
      <c r="B3377" t="str">
        <f>IFERROR(SEARCH(#REF!,Table4[[#This Row],[Commodity Title]],1),"")</f>
        <v/>
      </c>
      <c r="C3377" s="35">
        <v>42296209</v>
      </c>
      <c r="D3377" s="33" t="s">
        <v>1495</v>
      </c>
      <c r="E3377" s="33" t="s">
        <v>1496</v>
      </c>
      <c r="F3377" s="33" t="s">
        <v>1497</v>
      </c>
      <c r="G3377" s="33" t="s">
        <v>7062</v>
      </c>
      <c r="H3377" s="33" t="s">
        <v>7063</v>
      </c>
      <c r="I3377" s="33" t="s">
        <v>7064</v>
      </c>
      <c r="J3377" s="33">
        <v>174422</v>
      </c>
      <c r="K3377" s="33" t="s">
        <v>8368</v>
      </c>
      <c r="L3377" s="33" t="s">
        <v>8369</v>
      </c>
      <c r="M3377" s="33" t="s">
        <v>8370</v>
      </c>
      <c r="N3377" s="44">
        <v>42296209</v>
      </c>
      <c r="O3377" s="33" t="s">
        <v>8386</v>
      </c>
      <c r="P3377" s="33" t="s">
        <v>8387</v>
      </c>
      <c r="Q3377" s="34" t="s">
        <v>1494</v>
      </c>
      <c r="R3377" s="34" t="s">
        <v>1494</v>
      </c>
    </row>
    <row r="3378" spans="1:18" ht="15" customHeight="1" x14ac:dyDescent="0.25">
      <c r="A3378" t="str">
        <f>IFERROR(RANK(B3378,$B:$B,1)+COUNTIF($B$1:B3377,B3378),"")</f>
        <v/>
      </c>
      <c r="B3378" t="str">
        <f>IFERROR(SEARCH(#REF!,Table4[[#This Row],[Commodity Title]],1),"")</f>
        <v/>
      </c>
      <c r="C3378" s="35">
        <v>42296210</v>
      </c>
      <c r="D3378" s="33" t="s">
        <v>1495</v>
      </c>
      <c r="E3378" s="33" t="s">
        <v>1496</v>
      </c>
      <c r="F3378" s="33" t="s">
        <v>1497</v>
      </c>
      <c r="G3378" s="33" t="s">
        <v>7062</v>
      </c>
      <c r="H3378" s="33" t="s">
        <v>7063</v>
      </c>
      <c r="I3378" s="33" t="s">
        <v>7064</v>
      </c>
      <c r="J3378" s="33">
        <v>174423</v>
      </c>
      <c r="K3378" s="33" t="s">
        <v>8368</v>
      </c>
      <c r="L3378" s="33" t="s">
        <v>8369</v>
      </c>
      <c r="M3378" s="33" t="s">
        <v>8370</v>
      </c>
      <c r="N3378" s="44">
        <v>42296210</v>
      </c>
      <c r="O3378" s="33" t="s">
        <v>8388</v>
      </c>
      <c r="P3378" s="33" t="s">
        <v>8389</v>
      </c>
      <c r="Q3378" s="34" t="s">
        <v>1494</v>
      </c>
      <c r="R3378" s="34" t="s">
        <v>1494</v>
      </c>
    </row>
    <row r="3379" spans="1:18" ht="15" customHeight="1" x14ac:dyDescent="0.25">
      <c r="A3379" t="str">
        <f>IFERROR(RANK(B3379,$B:$B,1)+COUNTIF($B$1:B3378,B3379),"")</f>
        <v/>
      </c>
      <c r="B3379" t="str">
        <f>IFERROR(SEARCH(#REF!,Table4[[#This Row],[Commodity Title]],1),"")</f>
        <v/>
      </c>
      <c r="C3379" s="35">
        <v>42296211</v>
      </c>
      <c r="D3379" s="33" t="s">
        <v>1495</v>
      </c>
      <c r="E3379" s="33" t="s">
        <v>1496</v>
      </c>
      <c r="F3379" s="33" t="s">
        <v>1497</v>
      </c>
      <c r="G3379" s="33" t="s">
        <v>7062</v>
      </c>
      <c r="H3379" s="33" t="s">
        <v>7063</v>
      </c>
      <c r="I3379" s="33" t="s">
        <v>7064</v>
      </c>
      <c r="J3379" s="33">
        <v>174424</v>
      </c>
      <c r="K3379" s="33" t="s">
        <v>8368</v>
      </c>
      <c r="L3379" s="33" t="s">
        <v>8369</v>
      </c>
      <c r="M3379" s="33" t="s">
        <v>8370</v>
      </c>
      <c r="N3379" s="44">
        <v>42296211</v>
      </c>
      <c r="O3379" s="33" t="s">
        <v>8390</v>
      </c>
      <c r="P3379" s="33" t="s">
        <v>8391</v>
      </c>
      <c r="Q3379" s="34" t="s">
        <v>1494</v>
      </c>
      <c r="R3379" s="34" t="s">
        <v>1494</v>
      </c>
    </row>
    <row r="3380" spans="1:18" ht="15" customHeight="1" x14ac:dyDescent="0.25">
      <c r="A3380" t="str">
        <f>IFERROR(RANK(B3380,$B:$B,1)+COUNTIF($B$1:B3379,B3380),"")</f>
        <v/>
      </c>
      <c r="B3380" t="str">
        <f>IFERROR(SEARCH(#REF!,Table4[[#This Row],[Commodity Title]],1),"")</f>
        <v/>
      </c>
      <c r="C3380" s="35">
        <v>42296212</v>
      </c>
      <c r="D3380" s="33" t="s">
        <v>1495</v>
      </c>
      <c r="E3380" s="33" t="s">
        <v>1496</v>
      </c>
      <c r="F3380" s="33" t="s">
        <v>1497</v>
      </c>
      <c r="G3380" s="33" t="s">
        <v>7062</v>
      </c>
      <c r="H3380" s="33" t="s">
        <v>7063</v>
      </c>
      <c r="I3380" s="33" t="s">
        <v>7064</v>
      </c>
      <c r="J3380" s="33">
        <v>176731</v>
      </c>
      <c r="K3380" s="33" t="s">
        <v>8368</v>
      </c>
      <c r="L3380" s="33" t="s">
        <v>8369</v>
      </c>
      <c r="M3380" s="33" t="s">
        <v>8370</v>
      </c>
      <c r="N3380" s="44">
        <v>42296212</v>
      </c>
      <c r="O3380" s="33" t="s">
        <v>8392</v>
      </c>
      <c r="P3380" s="33" t="s">
        <v>8393</v>
      </c>
      <c r="Q3380" s="34" t="s">
        <v>1494</v>
      </c>
      <c r="R3380" s="34" t="s">
        <v>1494</v>
      </c>
    </row>
    <row r="3381" spans="1:18" ht="15" customHeight="1" x14ac:dyDescent="0.25">
      <c r="A3381" t="str">
        <f>IFERROR(RANK(B3381,$B:$B,1)+COUNTIF($B$1:B3380,B3381),"")</f>
        <v/>
      </c>
      <c r="B3381" t="str">
        <f>IFERROR(SEARCH(#REF!,Table4[[#This Row],[Commodity Title]],1),"")</f>
        <v/>
      </c>
      <c r="C3381" s="35">
        <v>42296213</v>
      </c>
      <c r="D3381" s="33" t="s">
        <v>1495</v>
      </c>
      <c r="E3381" s="33" t="s">
        <v>1496</v>
      </c>
      <c r="F3381" s="33" t="s">
        <v>1497</v>
      </c>
      <c r="G3381" s="33" t="s">
        <v>7062</v>
      </c>
      <c r="H3381" s="33" t="s">
        <v>7063</v>
      </c>
      <c r="I3381" s="33" t="s">
        <v>7064</v>
      </c>
      <c r="J3381" s="33">
        <v>203275</v>
      </c>
      <c r="K3381" s="33" t="s">
        <v>8368</v>
      </c>
      <c r="L3381" s="33" t="s">
        <v>8369</v>
      </c>
      <c r="M3381" s="33" t="s">
        <v>8370</v>
      </c>
      <c r="N3381" s="44">
        <v>42296213</v>
      </c>
      <c r="O3381" s="33" t="s">
        <v>8394</v>
      </c>
      <c r="P3381" s="33" t="s">
        <v>8395</v>
      </c>
      <c r="Q3381" s="34" t="s">
        <v>1494</v>
      </c>
      <c r="R3381" s="34" t="s">
        <v>1494</v>
      </c>
    </row>
    <row r="3382" spans="1:18" ht="15" customHeight="1" x14ac:dyDescent="0.25">
      <c r="A3382" t="str">
        <f>IFERROR(RANK(B3382,$B:$B,1)+COUNTIF($B$1:B3381,B3382),"")</f>
        <v/>
      </c>
      <c r="B3382" t="str">
        <f>IFERROR(SEARCH(#REF!,Table4[[#This Row],[Commodity Title]],1),"")</f>
        <v/>
      </c>
      <c r="C3382" s="35">
        <v>42296214</v>
      </c>
      <c r="D3382" s="33" t="s">
        <v>1495</v>
      </c>
      <c r="E3382" s="33" t="s">
        <v>1496</v>
      </c>
      <c r="F3382" s="33" t="s">
        <v>1497</v>
      </c>
      <c r="G3382" s="33" t="s">
        <v>7062</v>
      </c>
      <c r="H3382" s="33" t="s">
        <v>7063</v>
      </c>
      <c r="I3382" s="33" t="s">
        <v>7064</v>
      </c>
      <c r="J3382" s="33">
        <v>203276</v>
      </c>
      <c r="K3382" s="33" t="s">
        <v>8368</v>
      </c>
      <c r="L3382" s="33" t="s">
        <v>8369</v>
      </c>
      <c r="M3382" s="33" t="s">
        <v>8370</v>
      </c>
      <c r="N3382" s="44">
        <v>42296214</v>
      </c>
      <c r="O3382" s="33" t="s">
        <v>8396</v>
      </c>
      <c r="P3382" s="33" t="s">
        <v>8397</v>
      </c>
      <c r="Q3382" s="34" t="s">
        <v>1494</v>
      </c>
      <c r="R3382" s="34" t="s">
        <v>1494</v>
      </c>
    </row>
    <row r="3383" spans="1:18" ht="15" customHeight="1" x14ac:dyDescent="0.25">
      <c r="A3383" t="str">
        <f>IFERROR(RANK(B3383,$B:$B,1)+COUNTIF($B$1:B3382,B3383),"")</f>
        <v/>
      </c>
      <c r="B3383" t="str">
        <f>IFERROR(SEARCH(#REF!,Table4[[#This Row],[Commodity Title]],1),"")</f>
        <v/>
      </c>
      <c r="C3383" s="35">
        <v>42296215</v>
      </c>
      <c r="D3383" s="33" t="s">
        <v>1495</v>
      </c>
      <c r="E3383" s="33" t="s">
        <v>1496</v>
      </c>
      <c r="F3383" s="33" t="s">
        <v>1497</v>
      </c>
      <c r="G3383" s="33" t="s">
        <v>7062</v>
      </c>
      <c r="H3383" s="33" t="s">
        <v>7063</v>
      </c>
      <c r="I3383" s="33" t="s">
        <v>7064</v>
      </c>
      <c r="J3383" s="33">
        <v>203277</v>
      </c>
      <c r="K3383" s="33" t="s">
        <v>8368</v>
      </c>
      <c r="L3383" s="33" t="s">
        <v>8369</v>
      </c>
      <c r="M3383" s="33" t="s">
        <v>8370</v>
      </c>
      <c r="N3383" s="44">
        <v>42296215</v>
      </c>
      <c r="O3383" s="33" t="s">
        <v>8398</v>
      </c>
      <c r="P3383" s="33" t="s">
        <v>8399</v>
      </c>
      <c r="Q3383" s="34" t="s">
        <v>1494</v>
      </c>
      <c r="R3383" s="34" t="s">
        <v>1494</v>
      </c>
    </row>
    <row r="3384" spans="1:18" ht="15" customHeight="1" x14ac:dyDescent="0.25">
      <c r="A3384" t="str">
        <f>IFERROR(RANK(B3384,$B:$B,1)+COUNTIF($B$1:B3383,B3384),"")</f>
        <v/>
      </c>
      <c r="B3384" t="str">
        <f>IFERROR(SEARCH(#REF!,Table4[[#This Row],[Commodity Title]],1),"")</f>
        <v/>
      </c>
      <c r="C3384" s="35">
        <v>42296216</v>
      </c>
      <c r="D3384" s="33" t="s">
        <v>1495</v>
      </c>
      <c r="E3384" s="33" t="s">
        <v>1496</v>
      </c>
      <c r="F3384" s="33" t="s">
        <v>1497</v>
      </c>
      <c r="G3384" s="33" t="s">
        <v>7062</v>
      </c>
      <c r="H3384" s="33" t="s">
        <v>7063</v>
      </c>
      <c r="I3384" s="33" t="s">
        <v>7064</v>
      </c>
      <c r="J3384" s="33">
        <v>203278</v>
      </c>
      <c r="K3384" s="33" t="s">
        <v>8368</v>
      </c>
      <c r="L3384" s="33" t="s">
        <v>8369</v>
      </c>
      <c r="M3384" s="33" t="s">
        <v>8370</v>
      </c>
      <c r="N3384" s="44">
        <v>42296216</v>
      </c>
      <c r="O3384" s="33" t="s">
        <v>8400</v>
      </c>
      <c r="P3384" s="33" t="s">
        <v>8401</v>
      </c>
      <c r="Q3384" s="34" t="s">
        <v>1494</v>
      </c>
      <c r="R3384" s="34" t="s">
        <v>1494</v>
      </c>
    </row>
    <row r="3385" spans="1:18" ht="15" customHeight="1" x14ac:dyDescent="0.25">
      <c r="A3385" t="str">
        <f>IFERROR(RANK(B3385,$B:$B,1)+COUNTIF($B$1:B3384,B3385),"")</f>
        <v/>
      </c>
      <c r="B3385" t="str">
        <f>IFERROR(SEARCH(#REF!,Table4[[#This Row],[Commodity Title]],1),"")</f>
        <v/>
      </c>
      <c r="C3385" s="35">
        <v>42296217</v>
      </c>
      <c r="D3385" s="33" t="s">
        <v>1495</v>
      </c>
      <c r="E3385" s="33" t="s">
        <v>1496</v>
      </c>
      <c r="F3385" s="33" t="s">
        <v>1497</v>
      </c>
      <c r="G3385" s="33" t="s">
        <v>7062</v>
      </c>
      <c r="H3385" s="33" t="s">
        <v>7063</v>
      </c>
      <c r="I3385" s="33" t="s">
        <v>7064</v>
      </c>
      <c r="J3385" s="33">
        <v>203279</v>
      </c>
      <c r="K3385" s="33" t="s">
        <v>8368</v>
      </c>
      <c r="L3385" s="33" t="s">
        <v>8369</v>
      </c>
      <c r="M3385" s="33" t="s">
        <v>8370</v>
      </c>
      <c r="N3385" s="44">
        <v>42296217</v>
      </c>
      <c r="O3385" s="33" t="s">
        <v>8402</v>
      </c>
      <c r="P3385" s="33" t="s">
        <v>8403</v>
      </c>
      <c r="Q3385" s="34" t="s">
        <v>1494</v>
      </c>
      <c r="R3385" s="34" t="s">
        <v>1494</v>
      </c>
    </row>
    <row r="3386" spans="1:18" ht="15" customHeight="1" x14ac:dyDescent="0.25">
      <c r="A3386" t="str">
        <f>IFERROR(RANK(B3386,$B:$B,1)+COUNTIF($B$1:B3385,B3386),"")</f>
        <v/>
      </c>
      <c r="B3386" t="str">
        <f>IFERROR(SEARCH(#REF!,Table4[[#This Row],[Commodity Title]],1),"")</f>
        <v/>
      </c>
      <c r="C3386" s="35">
        <v>42296218</v>
      </c>
      <c r="D3386" s="33" t="s">
        <v>1495</v>
      </c>
      <c r="E3386" s="33" t="s">
        <v>1496</v>
      </c>
      <c r="F3386" s="33" t="s">
        <v>1497</v>
      </c>
      <c r="G3386" s="33" t="s">
        <v>7062</v>
      </c>
      <c r="H3386" s="33" t="s">
        <v>7063</v>
      </c>
      <c r="I3386" s="33" t="s">
        <v>7064</v>
      </c>
      <c r="J3386" s="33">
        <v>203280</v>
      </c>
      <c r="K3386" s="33" t="s">
        <v>8368</v>
      </c>
      <c r="L3386" s="33" t="s">
        <v>8369</v>
      </c>
      <c r="M3386" s="33" t="s">
        <v>8370</v>
      </c>
      <c r="N3386" s="44">
        <v>42296218</v>
      </c>
      <c r="O3386" s="33" t="s">
        <v>8404</v>
      </c>
      <c r="P3386" s="33" t="s">
        <v>8405</v>
      </c>
      <c r="Q3386" s="34" t="s">
        <v>1494</v>
      </c>
      <c r="R3386" s="34" t="s">
        <v>1494</v>
      </c>
    </row>
    <row r="3387" spans="1:18" ht="15" customHeight="1" x14ac:dyDescent="0.25">
      <c r="A3387" t="str">
        <f>IFERROR(RANK(B3387,$B:$B,1)+COUNTIF($B$1:B3386,B3387),"")</f>
        <v/>
      </c>
      <c r="B3387" t="str">
        <f>IFERROR(SEARCH(#REF!,Table4[[#This Row],[Commodity Title]],1),"")</f>
        <v/>
      </c>
      <c r="C3387" s="35">
        <v>42296219</v>
      </c>
      <c r="D3387" s="33" t="s">
        <v>1495</v>
      </c>
      <c r="E3387" s="33" t="s">
        <v>1496</v>
      </c>
      <c r="F3387" s="33" t="s">
        <v>1497</v>
      </c>
      <c r="G3387" s="33" t="s">
        <v>7062</v>
      </c>
      <c r="H3387" s="33" t="s">
        <v>7063</v>
      </c>
      <c r="I3387" s="33" t="s">
        <v>7064</v>
      </c>
      <c r="J3387" s="33">
        <v>203281</v>
      </c>
      <c r="K3387" s="33" t="s">
        <v>8368</v>
      </c>
      <c r="L3387" s="33" t="s">
        <v>8369</v>
      </c>
      <c r="M3387" s="33" t="s">
        <v>8370</v>
      </c>
      <c r="N3387" s="44">
        <v>42296219</v>
      </c>
      <c r="O3387" s="33" t="s">
        <v>8406</v>
      </c>
      <c r="P3387" s="33" t="s">
        <v>8407</v>
      </c>
      <c r="Q3387" s="34" t="s">
        <v>1494</v>
      </c>
      <c r="R3387" s="34" t="s">
        <v>1494</v>
      </c>
    </row>
    <row r="3388" spans="1:18" ht="15" customHeight="1" x14ac:dyDescent="0.25">
      <c r="A3388" t="str">
        <f>IFERROR(RANK(B3388,$B:$B,1)+COUNTIF($B$1:B3387,B3388),"")</f>
        <v/>
      </c>
      <c r="B3388" t="str">
        <f>IFERROR(SEARCH(#REF!,Table4[[#This Row],[Commodity Title]],1),"")</f>
        <v/>
      </c>
      <c r="C3388" s="33" t="s">
        <v>1494</v>
      </c>
      <c r="D3388" s="33" t="s">
        <v>1495</v>
      </c>
      <c r="E3388" s="33" t="s">
        <v>1496</v>
      </c>
      <c r="F3388" s="33" t="s">
        <v>1497</v>
      </c>
      <c r="G3388" s="33" t="s">
        <v>7062</v>
      </c>
      <c r="H3388" s="33" t="s">
        <v>7063</v>
      </c>
      <c r="I3388" s="33" t="s">
        <v>7064</v>
      </c>
      <c r="J3388" s="33">
        <v>203282</v>
      </c>
      <c r="K3388" s="33" t="s">
        <v>8408</v>
      </c>
      <c r="L3388" s="33" t="s">
        <v>8409</v>
      </c>
      <c r="M3388" s="33" t="s">
        <v>8410</v>
      </c>
      <c r="N3388" s="44" t="s">
        <v>1494</v>
      </c>
      <c r="O3388" s="33" t="s">
        <v>1494</v>
      </c>
      <c r="P3388" s="33" t="s">
        <v>1494</v>
      </c>
      <c r="Q3388" s="34" t="s">
        <v>1494</v>
      </c>
      <c r="R3388" s="34" t="s">
        <v>1494</v>
      </c>
    </row>
    <row r="3389" spans="1:18" ht="15" customHeight="1" x14ac:dyDescent="0.25">
      <c r="A3389" t="str">
        <f>IFERROR(RANK(B3389,$B:$B,1)+COUNTIF($B$1:B3388,B3389),"")</f>
        <v/>
      </c>
      <c r="B3389" t="str">
        <f>IFERROR(SEARCH(#REF!,Table4[[#This Row],[Commodity Title]],1),"")</f>
        <v/>
      </c>
      <c r="C3389" s="35">
        <v>42296301</v>
      </c>
      <c r="D3389" s="33" t="s">
        <v>1495</v>
      </c>
      <c r="E3389" s="33" t="s">
        <v>1496</v>
      </c>
      <c r="F3389" s="33" t="s">
        <v>1497</v>
      </c>
      <c r="G3389" s="33" t="s">
        <v>7062</v>
      </c>
      <c r="H3389" s="33" t="s">
        <v>7063</v>
      </c>
      <c r="I3389" s="33" t="s">
        <v>7064</v>
      </c>
      <c r="J3389" s="33">
        <v>203283</v>
      </c>
      <c r="K3389" s="33" t="s">
        <v>8408</v>
      </c>
      <c r="L3389" s="33" t="s">
        <v>8409</v>
      </c>
      <c r="M3389" s="33" t="s">
        <v>8410</v>
      </c>
      <c r="N3389" s="44">
        <v>42296301</v>
      </c>
      <c r="O3389" s="33" t="s">
        <v>8411</v>
      </c>
      <c r="P3389" s="33" t="s">
        <v>8412</v>
      </c>
      <c r="Q3389" s="34" t="s">
        <v>1494</v>
      </c>
      <c r="R3389" s="34" t="s">
        <v>1494</v>
      </c>
    </row>
    <row r="3390" spans="1:18" ht="15" customHeight="1" x14ac:dyDescent="0.25">
      <c r="A3390" t="str">
        <f>IFERROR(RANK(B3390,$B:$B,1)+COUNTIF($B$1:B3389,B3390),"")</f>
        <v/>
      </c>
      <c r="B3390" t="str">
        <f>IFERROR(SEARCH(#REF!,Table4[[#This Row],[Commodity Title]],1),"")</f>
        <v/>
      </c>
      <c r="C3390" s="35">
        <v>42296302</v>
      </c>
      <c r="D3390" s="33" t="s">
        <v>1495</v>
      </c>
      <c r="E3390" s="33" t="s">
        <v>1496</v>
      </c>
      <c r="F3390" s="33" t="s">
        <v>1497</v>
      </c>
      <c r="G3390" s="33" t="s">
        <v>7062</v>
      </c>
      <c r="H3390" s="33" t="s">
        <v>7063</v>
      </c>
      <c r="I3390" s="33" t="s">
        <v>7064</v>
      </c>
      <c r="J3390" s="33">
        <v>142499</v>
      </c>
      <c r="K3390" s="33" t="s">
        <v>8408</v>
      </c>
      <c r="L3390" s="33" t="s">
        <v>8409</v>
      </c>
      <c r="M3390" s="33" t="s">
        <v>8410</v>
      </c>
      <c r="N3390" s="44">
        <v>42296302</v>
      </c>
      <c r="O3390" s="33" t="s">
        <v>8413</v>
      </c>
      <c r="P3390" s="33" t="s">
        <v>8414</v>
      </c>
      <c r="Q3390" s="34" t="s">
        <v>1494</v>
      </c>
      <c r="R3390" s="34" t="s">
        <v>1494</v>
      </c>
    </row>
    <row r="3391" spans="1:18" ht="15" customHeight="1" x14ac:dyDescent="0.25">
      <c r="A3391" t="str">
        <f>IFERROR(RANK(B3391,$B:$B,1)+COUNTIF($B$1:B3390,B3391),"")</f>
        <v/>
      </c>
      <c r="B3391" t="str">
        <f>IFERROR(SEARCH(#REF!,Table4[[#This Row],[Commodity Title]],1),"")</f>
        <v/>
      </c>
      <c r="C3391" s="35">
        <v>42296303</v>
      </c>
      <c r="D3391" s="33" t="s">
        <v>1495</v>
      </c>
      <c r="E3391" s="33" t="s">
        <v>1496</v>
      </c>
      <c r="F3391" s="33" t="s">
        <v>1497</v>
      </c>
      <c r="G3391" s="33" t="s">
        <v>7062</v>
      </c>
      <c r="H3391" s="33" t="s">
        <v>7063</v>
      </c>
      <c r="I3391" s="33" t="s">
        <v>7064</v>
      </c>
      <c r="J3391" s="33">
        <v>203284</v>
      </c>
      <c r="K3391" s="33" t="s">
        <v>8408</v>
      </c>
      <c r="L3391" s="33" t="s">
        <v>8409</v>
      </c>
      <c r="M3391" s="33" t="s">
        <v>8410</v>
      </c>
      <c r="N3391" s="44">
        <v>42296303</v>
      </c>
      <c r="O3391" s="33" t="s">
        <v>8415</v>
      </c>
      <c r="P3391" s="33" t="s">
        <v>8416</v>
      </c>
      <c r="Q3391" s="34" t="s">
        <v>1494</v>
      </c>
      <c r="R3391" s="34" t="s">
        <v>1494</v>
      </c>
    </row>
    <row r="3392" spans="1:18" ht="15" customHeight="1" x14ac:dyDescent="0.25">
      <c r="A3392" t="str">
        <f>IFERROR(RANK(B3392,$B:$B,1)+COUNTIF($B$1:B3391,B3392),"")</f>
        <v/>
      </c>
      <c r="B3392" t="str">
        <f>IFERROR(SEARCH(#REF!,Table4[[#This Row],[Commodity Title]],1),"")</f>
        <v/>
      </c>
      <c r="C3392" s="35">
        <v>42296304</v>
      </c>
      <c r="D3392" s="33" t="s">
        <v>1495</v>
      </c>
      <c r="E3392" s="33" t="s">
        <v>1496</v>
      </c>
      <c r="F3392" s="33" t="s">
        <v>1497</v>
      </c>
      <c r="G3392" s="33" t="s">
        <v>7062</v>
      </c>
      <c r="H3392" s="33" t="s">
        <v>7063</v>
      </c>
      <c r="I3392" s="33" t="s">
        <v>7064</v>
      </c>
      <c r="J3392" s="33">
        <v>203285</v>
      </c>
      <c r="K3392" s="33" t="s">
        <v>8408</v>
      </c>
      <c r="L3392" s="33" t="s">
        <v>8409</v>
      </c>
      <c r="M3392" s="33" t="s">
        <v>8410</v>
      </c>
      <c r="N3392" s="44">
        <v>42296304</v>
      </c>
      <c r="O3392" s="33" t="s">
        <v>8417</v>
      </c>
      <c r="P3392" s="33" t="s">
        <v>8418</v>
      </c>
      <c r="Q3392" s="34" t="s">
        <v>1494</v>
      </c>
      <c r="R3392" s="34" t="s">
        <v>1494</v>
      </c>
    </row>
    <row r="3393" spans="1:18" ht="15" customHeight="1" x14ac:dyDescent="0.25">
      <c r="A3393" t="str">
        <f>IFERROR(RANK(B3393,$B:$B,1)+COUNTIF($B$1:B3392,B3393),"")</f>
        <v/>
      </c>
      <c r="B3393" t="str">
        <f>IFERROR(SEARCH(#REF!,Table4[[#This Row],[Commodity Title]],1),"")</f>
        <v/>
      </c>
      <c r="C3393" s="35">
        <v>42296305</v>
      </c>
      <c r="D3393" s="33" t="s">
        <v>1495</v>
      </c>
      <c r="E3393" s="33" t="s">
        <v>1496</v>
      </c>
      <c r="F3393" s="33" t="s">
        <v>1497</v>
      </c>
      <c r="G3393" s="33" t="s">
        <v>7062</v>
      </c>
      <c r="H3393" s="33" t="s">
        <v>7063</v>
      </c>
      <c r="I3393" s="33" t="s">
        <v>7064</v>
      </c>
      <c r="J3393" s="33">
        <v>142497</v>
      </c>
      <c r="K3393" s="33" t="s">
        <v>8408</v>
      </c>
      <c r="L3393" s="33" t="s">
        <v>8409</v>
      </c>
      <c r="M3393" s="33" t="s">
        <v>8410</v>
      </c>
      <c r="N3393" s="44">
        <v>42296305</v>
      </c>
      <c r="O3393" s="33" t="s">
        <v>8419</v>
      </c>
      <c r="P3393" s="33" t="s">
        <v>8420</v>
      </c>
      <c r="Q3393" s="34" t="s">
        <v>1494</v>
      </c>
      <c r="R3393" s="34" t="s">
        <v>1494</v>
      </c>
    </row>
    <row r="3394" spans="1:18" ht="15" customHeight="1" x14ac:dyDescent="0.25">
      <c r="A3394" t="str">
        <f>IFERROR(RANK(B3394,$B:$B,1)+COUNTIF($B$1:B3393,B3394),"")</f>
        <v/>
      </c>
      <c r="B3394" t="str">
        <f>IFERROR(SEARCH(#REF!,Table4[[#This Row],[Commodity Title]],1),"")</f>
        <v/>
      </c>
      <c r="C3394" s="35">
        <v>42296306</v>
      </c>
      <c r="D3394" s="33" t="s">
        <v>1495</v>
      </c>
      <c r="E3394" s="33" t="s">
        <v>1496</v>
      </c>
      <c r="F3394" s="33" t="s">
        <v>1497</v>
      </c>
      <c r="G3394" s="33" t="s">
        <v>7062</v>
      </c>
      <c r="H3394" s="33" t="s">
        <v>7063</v>
      </c>
      <c r="I3394" s="33" t="s">
        <v>7064</v>
      </c>
      <c r="J3394" s="33">
        <v>203286</v>
      </c>
      <c r="K3394" s="33" t="s">
        <v>8408</v>
      </c>
      <c r="L3394" s="33" t="s">
        <v>8409</v>
      </c>
      <c r="M3394" s="33" t="s">
        <v>8410</v>
      </c>
      <c r="N3394" s="44">
        <v>42296306</v>
      </c>
      <c r="O3394" s="33" t="s">
        <v>8421</v>
      </c>
      <c r="P3394" s="33" t="s">
        <v>8422</v>
      </c>
      <c r="Q3394" s="34" t="s">
        <v>1494</v>
      </c>
      <c r="R3394" s="34" t="s">
        <v>1494</v>
      </c>
    </row>
    <row r="3395" spans="1:18" ht="15" customHeight="1" x14ac:dyDescent="0.25">
      <c r="A3395" t="str">
        <f>IFERROR(RANK(B3395,$B:$B,1)+COUNTIF($B$1:B3394,B3395),"")</f>
        <v/>
      </c>
      <c r="B3395" t="str">
        <f>IFERROR(SEARCH(#REF!,Table4[[#This Row],[Commodity Title]],1),"")</f>
        <v/>
      </c>
      <c r="C3395" s="35">
        <v>42296307</v>
      </c>
      <c r="D3395" s="33" t="s">
        <v>1495</v>
      </c>
      <c r="E3395" s="33" t="s">
        <v>1496</v>
      </c>
      <c r="F3395" s="33" t="s">
        <v>1497</v>
      </c>
      <c r="G3395" s="33" t="s">
        <v>7062</v>
      </c>
      <c r="H3395" s="33" t="s">
        <v>7063</v>
      </c>
      <c r="I3395" s="33" t="s">
        <v>7064</v>
      </c>
      <c r="J3395" s="33">
        <v>203287</v>
      </c>
      <c r="K3395" s="33" t="s">
        <v>8408</v>
      </c>
      <c r="L3395" s="33" t="s">
        <v>8409</v>
      </c>
      <c r="M3395" s="33" t="s">
        <v>8410</v>
      </c>
      <c r="N3395" s="44">
        <v>42296307</v>
      </c>
      <c r="O3395" s="33" t="s">
        <v>8423</v>
      </c>
      <c r="P3395" s="33" t="s">
        <v>8424</v>
      </c>
      <c r="Q3395" s="34" t="s">
        <v>1494</v>
      </c>
      <c r="R3395" s="34" t="s">
        <v>1494</v>
      </c>
    </row>
    <row r="3396" spans="1:18" ht="15" customHeight="1" x14ac:dyDescent="0.25">
      <c r="A3396" t="str">
        <f>IFERROR(RANK(B3396,$B:$B,1)+COUNTIF($B$1:B3395,B3396),"")</f>
        <v/>
      </c>
      <c r="B3396" t="str">
        <f>IFERROR(SEARCH(#REF!,Table4[[#This Row],[Commodity Title]],1),"")</f>
        <v/>
      </c>
      <c r="C3396" s="35">
        <v>42296308</v>
      </c>
      <c r="D3396" s="33" t="s">
        <v>1495</v>
      </c>
      <c r="E3396" s="33" t="s">
        <v>1496</v>
      </c>
      <c r="F3396" s="33" t="s">
        <v>1497</v>
      </c>
      <c r="G3396" s="33" t="s">
        <v>7062</v>
      </c>
      <c r="H3396" s="33" t="s">
        <v>7063</v>
      </c>
      <c r="I3396" s="33" t="s">
        <v>7064</v>
      </c>
      <c r="J3396" s="33">
        <v>203288</v>
      </c>
      <c r="K3396" s="33" t="s">
        <v>8408</v>
      </c>
      <c r="L3396" s="33" t="s">
        <v>8409</v>
      </c>
      <c r="M3396" s="33" t="s">
        <v>8410</v>
      </c>
      <c r="N3396" s="44">
        <v>42296308</v>
      </c>
      <c r="O3396" s="33" t="s">
        <v>8425</v>
      </c>
      <c r="P3396" s="33" t="s">
        <v>8426</v>
      </c>
      <c r="Q3396" s="34" t="s">
        <v>1494</v>
      </c>
      <c r="R3396" s="34" t="s">
        <v>1494</v>
      </c>
    </row>
    <row r="3397" spans="1:18" ht="15" customHeight="1" x14ac:dyDescent="0.25">
      <c r="A3397" t="str">
        <f>IFERROR(RANK(B3397,$B:$B,1)+COUNTIF($B$1:B3396,B3397),"")</f>
        <v/>
      </c>
      <c r="B3397" t="str">
        <f>IFERROR(SEARCH(#REF!,Table4[[#This Row],[Commodity Title]],1),"")</f>
        <v/>
      </c>
      <c r="C3397" s="35">
        <v>42296309</v>
      </c>
      <c r="D3397" s="33" t="s">
        <v>1495</v>
      </c>
      <c r="E3397" s="33" t="s">
        <v>1496</v>
      </c>
      <c r="F3397" s="33" t="s">
        <v>1497</v>
      </c>
      <c r="G3397" s="33" t="s">
        <v>7062</v>
      </c>
      <c r="H3397" s="33" t="s">
        <v>7063</v>
      </c>
      <c r="I3397" s="33" t="s">
        <v>7064</v>
      </c>
      <c r="J3397" s="33">
        <v>203289</v>
      </c>
      <c r="K3397" s="33" t="s">
        <v>8408</v>
      </c>
      <c r="L3397" s="33" t="s">
        <v>8409</v>
      </c>
      <c r="M3397" s="33" t="s">
        <v>8410</v>
      </c>
      <c r="N3397" s="44">
        <v>42296309</v>
      </c>
      <c r="O3397" s="33" t="s">
        <v>8427</v>
      </c>
      <c r="P3397" s="33" t="s">
        <v>8428</v>
      </c>
      <c r="Q3397" s="34" t="s">
        <v>1494</v>
      </c>
      <c r="R3397" s="34" t="s">
        <v>1494</v>
      </c>
    </row>
    <row r="3398" spans="1:18" ht="15" customHeight="1" x14ac:dyDescent="0.25">
      <c r="A3398" t="str">
        <f>IFERROR(RANK(B3398,$B:$B,1)+COUNTIF($B$1:B3397,B3398),"")</f>
        <v/>
      </c>
      <c r="B3398" t="str">
        <f>IFERROR(SEARCH(#REF!,Table4[[#This Row],[Commodity Title]],1),"")</f>
        <v/>
      </c>
      <c r="C3398" s="35">
        <v>42296310</v>
      </c>
      <c r="D3398" s="33" t="s">
        <v>1495</v>
      </c>
      <c r="E3398" s="33" t="s">
        <v>1496</v>
      </c>
      <c r="F3398" s="33" t="s">
        <v>1497</v>
      </c>
      <c r="G3398" s="33" t="s">
        <v>7062</v>
      </c>
      <c r="H3398" s="33" t="s">
        <v>7063</v>
      </c>
      <c r="I3398" s="33" t="s">
        <v>7064</v>
      </c>
      <c r="J3398" s="33">
        <v>203290</v>
      </c>
      <c r="K3398" s="33" t="s">
        <v>8408</v>
      </c>
      <c r="L3398" s="33" t="s">
        <v>8409</v>
      </c>
      <c r="M3398" s="33" t="s">
        <v>8410</v>
      </c>
      <c r="N3398" s="44">
        <v>42296310</v>
      </c>
      <c r="O3398" s="33" t="s">
        <v>8429</v>
      </c>
      <c r="P3398" s="33" t="s">
        <v>8430</v>
      </c>
      <c r="Q3398" s="34" t="s">
        <v>1494</v>
      </c>
      <c r="R3398" s="34" t="s">
        <v>1494</v>
      </c>
    </row>
    <row r="3399" spans="1:18" ht="15" customHeight="1" x14ac:dyDescent="0.25">
      <c r="A3399" t="str">
        <f>IFERROR(RANK(B3399,$B:$B,1)+COUNTIF($B$1:B3398,B3399),"")</f>
        <v/>
      </c>
      <c r="B3399" t="str">
        <f>IFERROR(SEARCH(#REF!,Table4[[#This Row],[Commodity Title]],1),"")</f>
        <v/>
      </c>
      <c r="C3399" s="35">
        <v>42296311</v>
      </c>
      <c r="D3399" s="33" t="s">
        <v>1495</v>
      </c>
      <c r="E3399" s="33" t="s">
        <v>1496</v>
      </c>
      <c r="F3399" s="33" t="s">
        <v>1497</v>
      </c>
      <c r="G3399" s="33" t="s">
        <v>7062</v>
      </c>
      <c r="H3399" s="33" t="s">
        <v>7063</v>
      </c>
      <c r="I3399" s="33" t="s">
        <v>7064</v>
      </c>
      <c r="J3399" s="33">
        <v>142804</v>
      </c>
      <c r="K3399" s="33" t="s">
        <v>8408</v>
      </c>
      <c r="L3399" s="33" t="s">
        <v>8409</v>
      </c>
      <c r="M3399" s="33" t="s">
        <v>8410</v>
      </c>
      <c r="N3399" s="44">
        <v>42296311</v>
      </c>
      <c r="O3399" s="33" t="s">
        <v>8431</v>
      </c>
      <c r="P3399" s="33" t="s">
        <v>8432</v>
      </c>
      <c r="Q3399" s="34" t="s">
        <v>1494</v>
      </c>
      <c r="R3399" s="34" t="s">
        <v>1494</v>
      </c>
    </row>
    <row r="3400" spans="1:18" ht="15" customHeight="1" x14ac:dyDescent="0.25">
      <c r="A3400" t="str">
        <f>IFERROR(RANK(B3400,$B:$B,1)+COUNTIF($B$1:B3399,B3400),"")</f>
        <v/>
      </c>
      <c r="B3400" t="str">
        <f>IFERROR(SEARCH(#REF!,Table4[[#This Row],[Commodity Title]],1),"")</f>
        <v/>
      </c>
      <c r="C3400" s="35">
        <v>42296312</v>
      </c>
      <c r="D3400" s="33" t="s">
        <v>1495</v>
      </c>
      <c r="E3400" s="33" t="s">
        <v>1496</v>
      </c>
      <c r="F3400" s="33" t="s">
        <v>1497</v>
      </c>
      <c r="G3400" s="33" t="s">
        <v>7062</v>
      </c>
      <c r="H3400" s="33" t="s">
        <v>7063</v>
      </c>
      <c r="I3400" s="33" t="s">
        <v>7064</v>
      </c>
      <c r="J3400" s="33">
        <v>203291</v>
      </c>
      <c r="K3400" s="33" t="s">
        <v>8408</v>
      </c>
      <c r="L3400" s="33" t="s">
        <v>8409</v>
      </c>
      <c r="M3400" s="33" t="s">
        <v>8410</v>
      </c>
      <c r="N3400" s="44">
        <v>42296312</v>
      </c>
      <c r="O3400" s="33" t="s">
        <v>8433</v>
      </c>
      <c r="P3400" s="33" t="s">
        <v>8434</v>
      </c>
      <c r="Q3400" s="34" t="s">
        <v>1494</v>
      </c>
      <c r="R3400" s="34" t="s">
        <v>1494</v>
      </c>
    </row>
    <row r="3401" spans="1:18" ht="15" customHeight="1" x14ac:dyDescent="0.25">
      <c r="A3401" t="str">
        <f>IFERROR(RANK(B3401,$B:$B,1)+COUNTIF($B$1:B3400,B3401),"")</f>
        <v/>
      </c>
      <c r="B3401" t="str">
        <f>IFERROR(SEARCH(#REF!,Table4[[#This Row],[Commodity Title]],1),"")</f>
        <v/>
      </c>
      <c r="C3401" s="35">
        <v>42296313</v>
      </c>
      <c r="D3401" s="33" t="s">
        <v>1495</v>
      </c>
      <c r="E3401" s="33" t="s">
        <v>1496</v>
      </c>
      <c r="F3401" s="33" t="s">
        <v>1497</v>
      </c>
      <c r="G3401" s="33" t="s">
        <v>7062</v>
      </c>
      <c r="H3401" s="33" t="s">
        <v>7063</v>
      </c>
      <c r="I3401" s="33" t="s">
        <v>7064</v>
      </c>
      <c r="J3401" s="33">
        <v>203292</v>
      </c>
      <c r="K3401" s="33" t="s">
        <v>8408</v>
      </c>
      <c r="L3401" s="33" t="s">
        <v>8409</v>
      </c>
      <c r="M3401" s="33" t="s">
        <v>8410</v>
      </c>
      <c r="N3401" s="44">
        <v>42296313</v>
      </c>
      <c r="O3401" s="33" t="s">
        <v>8435</v>
      </c>
      <c r="P3401" s="33" t="s">
        <v>8436</v>
      </c>
      <c r="Q3401" s="34" t="s">
        <v>1494</v>
      </c>
      <c r="R3401" s="34" t="s">
        <v>1494</v>
      </c>
    </row>
    <row r="3402" spans="1:18" ht="15" customHeight="1" x14ac:dyDescent="0.25">
      <c r="A3402" t="str">
        <f>IFERROR(RANK(B3402,$B:$B,1)+COUNTIF($B$1:B3401,B3402),"")</f>
        <v/>
      </c>
      <c r="B3402" t="str">
        <f>IFERROR(SEARCH(#REF!,Table4[[#This Row],[Commodity Title]],1),"")</f>
        <v/>
      </c>
      <c r="C3402" s="35">
        <v>42296314</v>
      </c>
      <c r="D3402" s="33" t="s">
        <v>1495</v>
      </c>
      <c r="E3402" s="33" t="s">
        <v>1496</v>
      </c>
      <c r="F3402" s="33" t="s">
        <v>1497</v>
      </c>
      <c r="G3402" s="33" t="s">
        <v>7062</v>
      </c>
      <c r="H3402" s="33" t="s">
        <v>7063</v>
      </c>
      <c r="I3402" s="33" t="s">
        <v>7064</v>
      </c>
      <c r="J3402" s="33">
        <v>203293</v>
      </c>
      <c r="K3402" s="33" t="s">
        <v>8408</v>
      </c>
      <c r="L3402" s="33" t="s">
        <v>8409</v>
      </c>
      <c r="M3402" s="33" t="s">
        <v>8410</v>
      </c>
      <c r="N3402" s="44">
        <v>42296314</v>
      </c>
      <c r="O3402" s="33" t="s">
        <v>8437</v>
      </c>
      <c r="P3402" s="33" t="s">
        <v>8438</v>
      </c>
      <c r="Q3402" s="34" t="s">
        <v>1494</v>
      </c>
      <c r="R3402" s="34" t="s">
        <v>1494</v>
      </c>
    </row>
    <row r="3403" spans="1:18" ht="15" customHeight="1" x14ac:dyDescent="0.25">
      <c r="A3403" t="str">
        <f>IFERROR(RANK(B3403,$B:$B,1)+COUNTIF($B$1:B3402,B3403),"")</f>
        <v/>
      </c>
      <c r="B3403" t="str">
        <f>IFERROR(SEARCH(#REF!,Table4[[#This Row],[Commodity Title]],1),"")</f>
        <v/>
      </c>
      <c r="C3403" s="35">
        <v>42296315</v>
      </c>
      <c r="D3403" s="33" t="s">
        <v>1495</v>
      </c>
      <c r="E3403" s="33" t="s">
        <v>1496</v>
      </c>
      <c r="F3403" s="33" t="s">
        <v>1497</v>
      </c>
      <c r="G3403" s="33" t="s">
        <v>7062</v>
      </c>
      <c r="H3403" s="33" t="s">
        <v>7063</v>
      </c>
      <c r="I3403" s="33" t="s">
        <v>7064</v>
      </c>
      <c r="J3403" s="33">
        <v>203294</v>
      </c>
      <c r="K3403" s="33" t="s">
        <v>8408</v>
      </c>
      <c r="L3403" s="33" t="s">
        <v>8409</v>
      </c>
      <c r="M3403" s="33" t="s">
        <v>8410</v>
      </c>
      <c r="N3403" s="44">
        <v>42296315</v>
      </c>
      <c r="O3403" s="33" t="s">
        <v>8439</v>
      </c>
      <c r="P3403" s="33" t="s">
        <v>8440</v>
      </c>
      <c r="Q3403" s="34" t="s">
        <v>1494</v>
      </c>
      <c r="R3403" s="34" t="s">
        <v>1494</v>
      </c>
    </row>
    <row r="3404" spans="1:18" ht="15" customHeight="1" x14ac:dyDescent="0.25">
      <c r="A3404" t="str">
        <f>IFERROR(RANK(B3404,$B:$B,1)+COUNTIF($B$1:B3403,B3404),"")</f>
        <v/>
      </c>
      <c r="B3404" t="str">
        <f>IFERROR(SEARCH(#REF!,Table4[[#This Row],[Commodity Title]],1),"")</f>
        <v/>
      </c>
      <c r="C3404" s="35">
        <v>42296316</v>
      </c>
      <c r="D3404" s="33" t="s">
        <v>1495</v>
      </c>
      <c r="E3404" s="33" t="s">
        <v>1496</v>
      </c>
      <c r="F3404" s="33" t="s">
        <v>1497</v>
      </c>
      <c r="G3404" s="33" t="s">
        <v>7062</v>
      </c>
      <c r="H3404" s="33" t="s">
        <v>7063</v>
      </c>
      <c r="I3404" s="33" t="s">
        <v>7064</v>
      </c>
      <c r="J3404" s="33">
        <v>203295</v>
      </c>
      <c r="K3404" s="33" t="s">
        <v>8408</v>
      </c>
      <c r="L3404" s="33" t="s">
        <v>8409</v>
      </c>
      <c r="M3404" s="33" t="s">
        <v>8410</v>
      </c>
      <c r="N3404" s="44">
        <v>42296316</v>
      </c>
      <c r="O3404" s="33" t="s">
        <v>8441</v>
      </c>
      <c r="P3404" s="33" t="s">
        <v>8442</v>
      </c>
      <c r="Q3404" s="34" t="s">
        <v>1494</v>
      </c>
      <c r="R3404" s="34" t="s">
        <v>1494</v>
      </c>
    </row>
    <row r="3405" spans="1:18" ht="15" customHeight="1" x14ac:dyDescent="0.25">
      <c r="A3405" t="str">
        <f>IFERROR(RANK(B3405,$B:$B,1)+COUNTIF($B$1:B3404,B3405),"")</f>
        <v/>
      </c>
      <c r="B3405" t="str">
        <f>IFERROR(SEARCH(#REF!,Table4[[#This Row],[Commodity Title]],1),"")</f>
        <v/>
      </c>
      <c r="C3405" s="35">
        <v>42296317</v>
      </c>
      <c r="D3405" s="33" t="s">
        <v>1495</v>
      </c>
      <c r="E3405" s="33" t="s">
        <v>1496</v>
      </c>
      <c r="F3405" s="33" t="s">
        <v>1497</v>
      </c>
      <c r="G3405" s="33" t="s">
        <v>7062</v>
      </c>
      <c r="H3405" s="33" t="s">
        <v>7063</v>
      </c>
      <c r="I3405" s="33" t="s">
        <v>7064</v>
      </c>
      <c r="J3405" s="33">
        <v>203296</v>
      </c>
      <c r="K3405" s="33" t="s">
        <v>8408</v>
      </c>
      <c r="L3405" s="33" t="s">
        <v>8409</v>
      </c>
      <c r="M3405" s="33" t="s">
        <v>8410</v>
      </c>
      <c r="N3405" s="44">
        <v>42296317</v>
      </c>
      <c r="O3405" s="33" t="s">
        <v>8443</v>
      </c>
      <c r="P3405" s="33" t="s">
        <v>8444</v>
      </c>
      <c r="Q3405" s="34" t="s">
        <v>1494</v>
      </c>
      <c r="R3405" s="34" t="s">
        <v>1494</v>
      </c>
    </row>
    <row r="3406" spans="1:18" ht="15" customHeight="1" x14ac:dyDescent="0.25">
      <c r="A3406" t="str">
        <f>IFERROR(RANK(B3406,$B:$B,1)+COUNTIF($B$1:B3405,B3406),"")</f>
        <v/>
      </c>
      <c r="B3406" t="str">
        <f>IFERROR(SEARCH(#REF!,Table4[[#This Row],[Commodity Title]],1),"")</f>
        <v/>
      </c>
      <c r="C3406" s="35">
        <v>42296318</v>
      </c>
      <c r="D3406" s="33" t="s">
        <v>1495</v>
      </c>
      <c r="E3406" s="33" t="s">
        <v>1496</v>
      </c>
      <c r="F3406" s="33" t="s">
        <v>1497</v>
      </c>
      <c r="G3406" s="33" t="s">
        <v>7062</v>
      </c>
      <c r="H3406" s="33" t="s">
        <v>7063</v>
      </c>
      <c r="I3406" s="33" t="s">
        <v>7064</v>
      </c>
      <c r="J3406" s="33">
        <v>142806</v>
      </c>
      <c r="K3406" s="33" t="s">
        <v>8408</v>
      </c>
      <c r="L3406" s="33" t="s">
        <v>8409</v>
      </c>
      <c r="M3406" s="33" t="s">
        <v>8410</v>
      </c>
      <c r="N3406" s="44">
        <v>42296318</v>
      </c>
      <c r="O3406" s="33" t="s">
        <v>8445</v>
      </c>
      <c r="P3406" s="33" t="s">
        <v>8446</v>
      </c>
      <c r="Q3406" s="34" t="s">
        <v>1494</v>
      </c>
      <c r="R3406" s="34" t="s">
        <v>1494</v>
      </c>
    </row>
    <row r="3407" spans="1:18" ht="15" customHeight="1" x14ac:dyDescent="0.25">
      <c r="A3407" t="str">
        <f>IFERROR(RANK(B3407,$B:$B,1)+COUNTIF($B$1:B3406,B3407),"")</f>
        <v/>
      </c>
      <c r="B3407" t="str">
        <f>IFERROR(SEARCH(#REF!,Table4[[#This Row],[Commodity Title]],1),"")</f>
        <v/>
      </c>
      <c r="C3407" s="35">
        <v>42296319</v>
      </c>
      <c r="D3407" s="33" t="s">
        <v>1495</v>
      </c>
      <c r="E3407" s="33" t="s">
        <v>1496</v>
      </c>
      <c r="F3407" s="33" t="s">
        <v>1497</v>
      </c>
      <c r="G3407" s="33" t="s">
        <v>7062</v>
      </c>
      <c r="H3407" s="33" t="s">
        <v>7063</v>
      </c>
      <c r="I3407" s="33" t="s">
        <v>7064</v>
      </c>
      <c r="J3407" s="33">
        <v>203297</v>
      </c>
      <c r="K3407" s="33" t="s">
        <v>8408</v>
      </c>
      <c r="L3407" s="33" t="s">
        <v>8409</v>
      </c>
      <c r="M3407" s="33" t="s">
        <v>8410</v>
      </c>
      <c r="N3407" s="44">
        <v>42296319</v>
      </c>
      <c r="O3407" s="33" t="s">
        <v>8447</v>
      </c>
      <c r="P3407" s="33" t="s">
        <v>8448</v>
      </c>
      <c r="Q3407" s="34" t="s">
        <v>1494</v>
      </c>
      <c r="R3407" s="34" t="s">
        <v>1494</v>
      </c>
    </row>
    <row r="3408" spans="1:18" ht="15" customHeight="1" x14ac:dyDescent="0.25">
      <c r="A3408" t="str">
        <f>IFERROR(RANK(B3408,$B:$B,1)+COUNTIF($B$1:B3407,B3408),"")</f>
        <v/>
      </c>
      <c r="B3408" t="str">
        <f>IFERROR(SEARCH(#REF!,Table4[[#This Row],[Commodity Title]],1),"")</f>
        <v/>
      </c>
      <c r="C3408" s="35">
        <v>42296320</v>
      </c>
      <c r="D3408" s="33" t="s">
        <v>1495</v>
      </c>
      <c r="E3408" s="33" t="s">
        <v>1496</v>
      </c>
      <c r="F3408" s="33" t="s">
        <v>1497</v>
      </c>
      <c r="G3408" s="33" t="s">
        <v>7062</v>
      </c>
      <c r="H3408" s="33" t="s">
        <v>7063</v>
      </c>
      <c r="I3408" s="33" t="s">
        <v>7064</v>
      </c>
      <c r="J3408" s="33">
        <v>203298</v>
      </c>
      <c r="K3408" s="33" t="s">
        <v>8408</v>
      </c>
      <c r="L3408" s="33" t="s">
        <v>8409</v>
      </c>
      <c r="M3408" s="33" t="s">
        <v>8410</v>
      </c>
      <c r="N3408" s="44">
        <v>42296320</v>
      </c>
      <c r="O3408" s="33" t="s">
        <v>8449</v>
      </c>
      <c r="P3408" s="33" t="s">
        <v>8450</v>
      </c>
      <c r="Q3408" s="34" t="s">
        <v>1494</v>
      </c>
      <c r="R3408" s="34" t="s">
        <v>1494</v>
      </c>
    </row>
    <row r="3409" spans="1:18" ht="15" customHeight="1" x14ac:dyDescent="0.25">
      <c r="A3409" t="str">
        <f>IFERROR(RANK(B3409,$B:$B,1)+COUNTIF($B$1:B3408,B3409),"")</f>
        <v/>
      </c>
      <c r="B3409" t="str">
        <f>IFERROR(SEARCH(#REF!,Table4[[#This Row],[Commodity Title]],1),"")</f>
        <v/>
      </c>
      <c r="C3409" s="35">
        <v>42296321</v>
      </c>
      <c r="D3409" s="33" t="s">
        <v>1495</v>
      </c>
      <c r="E3409" s="33" t="s">
        <v>1496</v>
      </c>
      <c r="F3409" s="33" t="s">
        <v>1497</v>
      </c>
      <c r="G3409" s="33" t="s">
        <v>7062</v>
      </c>
      <c r="H3409" s="33" t="s">
        <v>7063</v>
      </c>
      <c r="I3409" s="33" t="s">
        <v>7064</v>
      </c>
      <c r="J3409" s="33">
        <v>203299</v>
      </c>
      <c r="K3409" s="33" t="s">
        <v>8408</v>
      </c>
      <c r="L3409" s="33" t="s">
        <v>8409</v>
      </c>
      <c r="M3409" s="33" t="s">
        <v>8410</v>
      </c>
      <c r="N3409" s="44">
        <v>42296321</v>
      </c>
      <c r="O3409" s="33" t="s">
        <v>8451</v>
      </c>
      <c r="P3409" s="33" t="s">
        <v>8452</v>
      </c>
      <c r="Q3409" s="34" t="s">
        <v>1494</v>
      </c>
      <c r="R3409" s="34" t="s">
        <v>1494</v>
      </c>
    </row>
    <row r="3410" spans="1:18" ht="15" customHeight="1" x14ac:dyDescent="0.25">
      <c r="A3410" t="str">
        <f>IFERROR(RANK(B3410,$B:$B,1)+COUNTIF($B$1:B3409,B3410),"")</f>
        <v/>
      </c>
      <c r="B3410" t="str">
        <f>IFERROR(SEARCH(#REF!,Table4[[#This Row],[Commodity Title]],1),"")</f>
        <v/>
      </c>
      <c r="C3410" s="35">
        <v>42296322</v>
      </c>
      <c r="D3410" s="33" t="s">
        <v>1495</v>
      </c>
      <c r="E3410" s="33" t="s">
        <v>1496</v>
      </c>
      <c r="F3410" s="33" t="s">
        <v>1497</v>
      </c>
      <c r="G3410" s="33" t="s">
        <v>7062</v>
      </c>
      <c r="H3410" s="33" t="s">
        <v>7063</v>
      </c>
      <c r="I3410" s="33" t="s">
        <v>7064</v>
      </c>
      <c r="J3410" s="33">
        <v>203300</v>
      </c>
      <c r="K3410" s="33" t="s">
        <v>8408</v>
      </c>
      <c r="L3410" s="33" t="s">
        <v>8409</v>
      </c>
      <c r="M3410" s="33" t="s">
        <v>8410</v>
      </c>
      <c r="N3410" s="44">
        <v>42296322</v>
      </c>
      <c r="O3410" s="33" t="s">
        <v>8453</v>
      </c>
      <c r="P3410" s="33" t="s">
        <v>8454</v>
      </c>
      <c r="Q3410" s="34" t="s">
        <v>1494</v>
      </c>
      <c r="R3410" s="34" t="s">
        <v>1494</v>
      </c>
    </row>
    <row r="3411" spans="1:18" ht="15" customHeight="1" x14ac:dyDescent="0.25">
      <c r="A3411" t="str">
        <f>IFERROR(RANK(B3411,$B:$B,1)+COUNTIF($B$1:B3410,B3411),"")</f>
        <v/>
      </c>
      <c r="B3411" t="str">
        <f>IFERROR(SEARCH(#REF!,Table4[[#This Row],[Commodity Title]],1),"")</f>
        <v/>
      </c>
      <c r="C3411" s="35">
        <v>42296323</v>
      </c>
      <c r="D3411" s="33" t="s">
        <v>1495</v>
      </c>
      <c r="E3411" s="33" t="s">
        <v>1496</v>
      </c>
      <c r="F3411" s="33" t="s">
        <v>1497</v>
      </c>
      <c r="G3411" s="33" t="s">
        <v>7062</v>
      </c>
      <c r="H3411" s="33" t="s">
        <v>7063</v>
      </c>
      <c r="I3411" s="33" t="s">
        <v>7064</v>
      </c>
      <c r="J3411" s="33">
        <v>142803</v>
      </c>
      <c r="K3411" s="33" t="s">
        <v>8408</v>
      </c>
      <c r="L3411" s="33" t="s">
        <v>8409</v>
      </c>
      <c r="M3411" s="33" t="s">
        <v>8410</v>
      </c>
      <c r="N3411" s="44">
        <v>42296323</v>
      </c>
      <c r="O3411" s="33" t="s">
        <v>8455</v>
      </c>
      <c r="P3411" s="33" t="s">
        <v>8456</v>
      </c>
      <c r="Q3411" s="34" t="s">
        <v>1494</v>
      </c>
      <c r="R3411" s="34" t="s">
        <v>1494</v>
      </c>
    </row>
    <row r="3412" spans="1:18" ht="15" customHeight="1" x14ac:dyDescent="0.25">
      <c r="A3412" t="str">
        <f>IFERROR(RANK(B3412,$B:$B,1)+COUNTIF($B$1:B3411,B3412),"")</f>
        <v/>
      </c>
      <c r="B3412" t="str">
        <f>IFERROR(SEARCH(#REF!,Table4[[#This Row],[Commodity Title]],1),"")</f>
        <v/>
      </c>
      <c r="C3412" s="35">
        <v>42296324</v>
      </c>
      <c r="D3412" s="33" t="s">
        <v>1495</v>
      </c>
      <c r="E3412" s="33" t="s">
        <v>1496</v>
      </c>
      <c r="F3412" s="33" t="s">
        <v>1497</v>
      </c>
      <c r="G3412" s="33" t="s">
        <v>7062</v>
      </c>
      <c r="H3412" s="33" t="s">
        <v>7063</v>
      </c>
      <c r="I3412" s="33" t="s">
        <v>7064</v>
      </c>
      <c r="J3412" s="33">
        <v>203301</v>
      </c>
      <c r="K3412" s="33" t="s">
        <v>8408</v>
      </c>
      <c r="L3412" s="33" t="s">
        <v>8409</v>
      </c>
      <c r="M3412" s="33" t="s">
        <v>8410</v>
      </c>
      <c r="N3412" s="44">
        <v>42296324</v>
      </c>
      <c r="O3412" s="33" t="s">
        <v>8457</v>
      </c>
      <c r="P3412" s="33" t="s">
        <v>8458</v>
      </c>
      <c r="Q3412" s="34" t="s">
        <v>1494</v>
      </c>
      <c r="R3412" s="34" t="s">
        <v>1494</v>
      </c>
    </row>
    <row r="3413" spans="1:18" ht="15" customHeight="1" x14ac:dyDescent="0.25">
      <c r="A3413" t="str">
        <f>IFERROR(RANK(B3413,$B:$B,1)+COUNTIF($B$1:B3412,B3413),"")</f>
        <v/>
      </c>
      <c r="B3413" t="str">
        <f>IFERROR(SEARCH(#REF!,Table4[[#This Row],[Commodity Title]],1),"")</f>
        <v/>
      </c>
      <c r="C3413" s="35">
        <v>42296325</v>
      </c>
      <c r="D3413" s="33" t="s">
        <v>1495</v>
      </c>
      <c r="E3413" s="33" t="s">
        <v>1496</v>
      </c>
      <c r="F3413" s="33" t="s">
        <v>1497</v>
      </c>
      <c r="G3413" s="33" t="s">
        <v>7062</v>
      </c>
      <c r="H3413" s="33" t="s">
        <v>7063</v>
      </c>
      <c r="I3413" s="33" t="s">
        <v>7064</v>
      </c>
      <c r="J3413" s="33">
        <v>203302</v>
      </c>
      <c r="K3413" s="33" t="s">
        <v>8408</v>
      </c>
      <c r="L3413" s="33" t="s">
        <v>8409</v>
      </c>
      <c r="M3413" s="33" t="s">
        <v>8410</v>
      </c>
      <c r="N3413" s="44">
        <v>42296325</v>
      </c>
      <c r="O3413" s="33" t="s">
        <v>8459</v>
      </c>
      <c r="P3413" s="33" t="s">
        <v>8460</v>
      </c>
      <c r="Q3413" s="34" t="s">
        <v>1494</v>
      </c>
      <c r="R3413" s="34" t="s">
        <v>1494</v>
      </c>
    </row>
    <row r="3414" spans="1:18" ht="15" customHeight="1" x14ac:dyDescent="0.25">
      <c r="A3414" t="str">
        <f>IFERROR(RANK(B3414,$B:$B,1)+COUNTIF($B$1:B3413,B3414),"")</f>
        <v/>
      </c>
      <c r="B3414" t="str">
        <f>IFERROR(SEARCH(#REF!,Table4[[#This Row],[Commodity Title]],1),"")</f>
        <v/>
      </c>
      <c r="C3414" s="35">
        <v>42296326</v>
      </c>
      <c r="D3414" s="33" t="s">
        <v>1495</v>
      </c>
      <c r="E3414" s="33" t="s">
        <v>1496</v>
      </c>
      <c r="F3414" s="33" t="s">
        <v>1497</v>
      </c>
      <c r="G3414" s="33" t="s">
        <v>7062</v>
      </c>
      <c r="H3414" s="33" t="s">
        <v>7063</v>
      </c>
      <c r="I3414" s="33" t="s">
        <v>7064</v>
      </c>
      <c r="J3414" s="33">
        <v>203303</v>
      </c>
      <c r="K3414" s="33" t="s">
        <v>8408</v>
      </c>
      <c r="L3414" s="33" t="s">
        <v>8409</v>
      </c>
      <c r="M3414" s="33" t="s">
        <v>8410</v>
      </c>
      <c r="N3414" s="44">
        <v>42296326</v>
      </c>
      <c r="O3414" s="33" t="s">
        <v>8461</v>
      </c>
      <c r="P3414" s="33" t="s">
        <v>8462</v>
      </c>
      <c r="Q3414" s="34" t="s">
        <v>1494</v>
      </c>
      <c r="R3414" s="34" t="s">
        <v>1494</v>
      </c>
    </row>
    <row r="3415" spans="1:18" ht="15" customHeight="1" x14ac:dyDescent="0.25">
      <c r="A3415" t="str">
        <f>IFERROR(RANK(B3415,$B:$B,1)+COUNTIF($B$1:B3414,B3415),"")</f>
        <v/>
      </c>
      <c r="B3415" t="str">
        <f>IFERROR(SEARCH(#REF!,Table4[[#This Row],[Commodity Title]],1),"")</f>
        <v/>
      </c>
      <c r="C3415" s="35">
        <v>42296327</v>
      </c>
      <c r="D3415" s="33" t="s">
        <v>1495</v>
      </c>
      <c r="E3415" s="33" t="s">
        <v>1496</v>
      </c>
      <c r="F3415" s="33" t="s">
        <v>1497</v>
      </c>
      <c r="G3415" s="33" t="s">
        <v>7062</v>
      </c>
      <c r="H3415" s="33" t="s">
        <v>7063</v>
      </c>
      <c r="I3415" s="33" t="s">
        <v>7064</v>
      </c>
      <c r="J3415" s="33">
        <v>203304</v>
      </c>
      <c r="K3415" s="33" t="s">
        <v>8408</v>
      </c>
      <c r="L3415" s="33" t="s">
        <v>8409</v>
      </c>
      <c r="M3415" s="33" t="s">
        <v>8410</v>
      </c>
      <c r="N3415" s="44">
        <v>42296327</v>
      </c>
      <c r="O3415" s="33" t="s">
        <v>8463</v>
      </c>
      <c r="P3415" s="33" t="s">
        <v>8464</v>
      </c>
      <c r="Q3415" s="34" t="s">
        <v>1494</v>
      </c>
      <c r="R3415" s="34" t="s">
        <v>1494</v>
      </c>
    </row>
    <row r="3416" spans="1:18" ht="15" customHeight="1" x14ac:dyDescent="0.25">
      <c r="A3416" t="str">
        <f>IFERROR(RANK(B3416,$B:$B,1)+COUNTIF($B$1:B3415,B3416),"")</f>
        <v/>
      </c>
      <c r="B3416" t="str">
        <f>IFERROR(SEARCH(#REF!,Table4[[#This Row],[Commodity Title]],1),"")</f>
        <v/>
      </c>
      <c r="C3416" s="35">
        <v>42296328</v>
      </c>
      <c r="D3416" s="33" t="s">
        <v>1495</v>
      </c>
      <c r="E3416" s="33" t="s">
        <v>1496</v>
      </c>
      <c r="F3416" s="33" t="s">
        <v>1497</v>
      </c>
      <c r="G3416" s="33" t="s">
        <v>7062</v>
      </c>
      <c r="H3416" s="33" t="s">
        <v>7063</v>
      </c>
      <c r="I3416" s="33" t="s">
        <v>7064</v>
      </c>
      <c r="J3416" s="33">
        <v>203305</v>
      </c>
      <c r="K3416" s="33" t="s">
        <v>8408</v>
      </c>
      <c r="L3416" s="33" t="s">
        <v>8409</v>
      </c>
      <c r="M3416" s="33" t="s">
        <v>8410</v>
      </c>
      <c r="N3416" s="44">
        <v>42296328</v>
      </c>
      <c r="O3416" s="33" t="s">
        <v>8465</v>
      </c>
      <c r="P3416" s="33" t="s">
        <v>8466</v>
      </c>
      <c r="Q3416" s="34" t="s">
        <v>1494</v>
      </c>
      <c r="R3416" s="34" t="s">
        <v>1494</v>
      </c>
    </row>
    <row r="3417" spans="1:18" ht="15" customHeight="1" x14ac:dyDescent="0.25">
      <c r="A3417" t="str">
        <f>IFERROR(RANK(B3417,$B:$B,1)+COUNTIF($B$1:B3416,B3417),"")</f>
        <v/>
      </c>
      <c r="B3417" t="str">
        <f>IFERROR(SEARCH(#REF!,Table4[[#This Row],[Commodity Title]],1),"")</f>
        <v/>
      </c>
      <c r="C3417" s="35">
        <v>42296329</v>
      </c>
      <c r="D3417" s="33" t="s">
        <v>1495</v>
      </c>
      <c r="E3417" s="33" t="s">
        <v>1496</v>
      </c>
      <c r="F3417" s="33" t="s">
        <v>1497</v>
      </c>
      <c r="G3417" s="33" t="s">
        <v>7062</v>
      </c>
      <c r="H3417" s="33" t="s">
        <v>7063</v>
      </c>
      <c r="I3417" s="33" t="s">
        <v>7064</v>
      </c>
      <c r="J3417" s="33">
        <v>203306</v>
      </c>
      <c r="K3417" s="33" t="s">
        <v>8408</v>
      </c>
      <c r="L3417" s="33" t="s">
        <v>8409</v>
      </c>
      <c r="M3417" s="33" t="s">
        <v>8410</v>
      </c>
      <c r="N3417" s="44">
        <v>42296329</v>
      </c>
      <c r="O3417" s="33" t="s">
        <v>8467</v>
      </c>
      <c r="P3417" s="33" t="s">
        <v>8468</v>
      </c>
      <c r="Q3417" s="34" t="s">
        <v>1494</v>
      </c>
      <c r="R3417" s="34" t="s">
        <v>1494</v>
      </c>
    </row>
    <row r="3418" spans="1:18" ht="15" customHeight="1" x14ac:dyDescent="0.25">
      <c r="A3418" t="str">
        <f>IFERROR(RANK(B3418,$B:$B,1)+COUNTIF($B$1:B3417,B3418),"")</f>
        <v/>
      </c>
      <c r="B3418" t="str">
        <f>IFERROR(SEARCH(#REF!,Table4[[#This Row],[Commodity Title]],1),"")</f>
        <v/>
      </c>
      <c r="C3418" s="35">
        <v>42296330</v>
      </c>
      <c r="D3418" s="33" t="s">
        <v>1495</v>
      </c>
      <c r="E3418" s="33" t="s">
        <v>1496</v>
      </c>
      <c r="F3418" s="33" t="s">
        <v>1497</v>
      </c>
      <c r="G3418" s="33" t="s">
        <v>7062</v>
      </c>
      <c r="H3418" s="33" t="s">
        <v>7063</v>
      </c>
      <c r="I3418" s="33" t="s">
        <v>7064</v>
      </c>
      <c r="J3418" s="33">
        <v>203307</v>
      </c>
      <c r="K3418" s="33" t="s">
        <v>8408</v>
      </c>
      <c r="L3418" s="33" t="s">
        <v>8409</v>
      </c>
      <c r="M3418" s="33" t="s">
        <v>8410</v>
      </c>
      <c r="N3418" s="44">
        <v>42296330</v>
      </c>
      <c r="O3418" s="33" t="s">
        <v>8469</v>
      </c>
      <c r="P3418" s="33" t="s">
        <v>8470</v>
      </c>
      <c r="Q3418" s="34" t="s">
        <v>1494</v>
      </c>
      <c r="R3418" s="34" t="s">
        <v>1494</v>
      </c>
    </row>
    <row r="3419" spans="1:18" ht="15" customHeight="1" x14ac:dyDescent="0.25">
      <c r="A3419" t="str">
        <f>IFERROR(RANK(B3419,$B:$B,1)+COUNTIF($B$1:B3418,B3419),"")</f>
        <v/>
      </c>
      <c r="B3419" t="str">
        <f>IFERROR(SEARCH(#REF!,Table4[[#This Row],[Commodity Title]],1),"")</f>
        <v/>
      </c>
      <c r="C3419" s="35">
        <v>42296331</v>
      </c>
      <c r="D3419" s="33" t="s">
        <v>1495</v>
      </c>
      <c r="E3419" s="33" t="s">
        <v>1496</v>
      </c>
      <c r="F3419" s="33" t="s">
        <v>1497</v>
      </c>
      <c r="G3419" s="33" t="s">
        <v>7062</v>
      </c>
      <c r="H3419" s="33" t="s">
        <v>7063</v>
      </c>
      <c r="I3419" s="33" t="s">
        <v>7064</v>
      </c>
      <c r="J3419" s="33">
        <v>203308</v>
      </c>
      <c r="K3419" s="33" t="s">
        <v>8408</v>
      </c>
      <c r="L3419" s="33" t="s">
        <v>8409</v>
      </c>
      <c r="M3419" s="33" t="s">
        <v>8410</v>
      </c>
      <c r="N3419" s="44">
        <v>42296331</v>
      </c>
      <c r="O3419" s="33" t="s">
        <v>8471</v>
      </c>
      <c r="P3419" s="33" t="s">
        <v>8472</v>
      </c>
      <c r="Q3419" s="34" t="s">
        <v>1494</v>
      </c>
      <c r="R3419" s="34" t="s">
        <v>1494</v>
      </c>
    </row>
    <row r="3420" spans="1:18" ht="15" customHeight="1" x14ac:dyDescent="0.25">
      <c r="A3420" t="str">
        <f>IFERROR(RANK(B3420,$B:$B,1)+COUNTIF($B$1:B3419,B3420),"")</f>
        <v/>
      </c>
      <c r="B3420" t="str">
        <f>IFERROR(SEARCH(#REF!,Table4[[#This Row],[Commodity Title]],1),"")</f>
        <v/>
      </c>
      <c r="C3420" s="35">
        <v>42296332</v>
      </c>
      <c r="D3420" s="33" t="s">
        <v>1495</v>
      </c>
      <c r="E3420" s="33" t="s">
        <v>1496</v>
      </c>
      <c r="F3420" s="33" t="s">
        <v>1497</v>
      </c>
      <c r="G3420" s="33" t="s">
        <v>7062</v>
      </c>
      <c r="H3420" s="33" t="s">
        <v>7063</v>
      </c>
      <c r="I3420" s="33" t="s">
        <v>7064</v>
      </c>
      <c r="J3420" s="33">
        <v>203309</v>
      </c>
      <c r="K3420" s="33" t="s">
        <v>8408</v>
      </c>
      <c r="L3420" s="33" t="s">
        <v>8409</v>
      </c>
      <c r="M3420" s="33" t="s">
        <v>8410</v>
      </c>
      <c r="N3420" s="44">
        <v>42296332</v>
      </c>
      <c r="O3420" s="33" t="s">
        <v>8473</v>
      </c>
      <c r="P3420" s="33" t="s">
        <v>8474</v>
      </c>
      <c r="Q3420" s="34" t="s">
        <v>1494</v>
      </c>
      <c r="R3420" s="34" t="s">
        <v>1494</v>
      </c>
    </row>
    <row r="3421" spans="1:18" ht="15" customHeight="1" x14ac:dyDescent="0.25">
      <c r="A3421" t="str">
        <f>IFERROR(RANK(B3421,$B:$B,1)+COUNTIF($B$1:B3420,B3421),"")</f>
        <v/>
      </c>
      <c r="B3421" t="str">
        <f>IFERROR(SEARCH(#REF!,Table4[[#This Row],[Commodity Title]],1),"")</f>
        <v/>
      </c>
      <c r="C3421" s="35">
        <v>42296333</v>
      </c>
      <c r="D3421" s="33" t="s">
        <v>1495</v>
      </c>
      <c r="E3421" s="33" t="s">
        <v>1496</v>
      </c>
      <c r="F3421" s="33" t="s">
        <v>1497</v>
      </c>
      <c r="G3421" s="33" t="s">
        <v>7062</v>
      </c>
      <c r="H3421" s="33" t="s">
        <v>7063</v>
      </c>
      <c r="I3421" s="33" t="s">
        <v>7064</v>
      </c>
      <c r="J3421" s="33">
        <v>203310</v>
      </c>
      <c r="K3421" s="33" t="s">
        <v>8408</v>
      </c>
      <c r="L3421" s="33" t="s">
        <v>8409</v>
      </c>
      <c r="M3421" s="33" t="s">
        <v>8410</v>
      </c>
      <c r="N3421" s="44">
        <v>42296333</v>
      </c>
      <c r="O3421" s="33" t="s">
        <v>8475</v>
      </c>
      <c r="P3421" s="33" t="s">
        <v>8476</v>
      </c>
      <c r="Q3421" s="34" t="s">
        <v>1494</v>
      </c>
      <c r="R3421" s="34" t="s">
        <v>1494</v>
      </c>
    </row>
    <row r="3422" spans="1:18" ht="15" customHeight="1" x14ac:dyDescent="0.25">
      <c r="A3422" t="str">
        <f>IFERROR(RANK(B3422,$B:$B,1)+COUNTIF($B$1:B3421,B3422),"")</f>
        <v/>
      </c>
      <c r="B3422" t="str">
        <f>IFERROR(SEARCH(#REF!,Table4[[#This Row],[Commodity Title]],1),"")</f>
        <v/>
      </c>
      <c r="C3422" s="35">
        <v>42296334</v>
      </c>
      <c r="D3422" s="33" t="s">
        <v>1495</v>
      </c>
      <c r="E3422" s="33" t="s">
        <v>1496</v>
      </c>
      <c r="F3422" s="33" t="s">
        <v>1497</v>
      </c>
      <c r="G3422" s="33" t="s">
        <v>7062</v>
      </c>
      <c r="H3422" s="33" t="s">
        <v>7063</v>
      </c>
      <c r="I3422" s="33" t="s">
        <v>7064</v>
      </c>
      <c r="J3422" s="33">
        <v>203311</v>
      </c>
      <c r="K3422" s="33" t="s">
        <v>8408</v>
      </c>
      <c r="L3422" s="33" t="s">
        <v>8409</v>
      </c>
      <c r="M3422" s="33" t="s">
        <v>8410</v>
      </c>
      <c r="N3422" s="44">
        <v>42296334</v>
      </c>
      <c r="O3422" s="33" t="s">
        <v>8477</v>
      </c>
      <c r="P3422" s="33" t="s">
        <v>8478</v>
      </c>
      <c r="Q3422" s="34" t="s">
        <v>1494</v>
      </c>
      <c r="R3422" s="34" t="s">
        <v>1494</v>
      </c>
    </row>
    <row r="3423" spans="1:18" ht="15" customHeight="1" x14ac:dyDescent="0.25">
      <c r="A3423" t="str">
        <f>IFERROR(RANK(B3423,$B:$B,1)+COUNTIF($B$1:B3422,B3423),"")</f>
        <v/>
      </c>
      <c r="B3423" t="str">
        <f>IFERROR(SEARCH(#REF!,Table4[[#This Row],[Commodity Title]],1),"")</f>
        <v/>
      </c>
      <c r="C3423" s="35">
        <v>42296335</v>
      </c>
      <c r="D3423" s="33" t="s">
        <v>1495</v>
      </c>
      <c r="E3423" s="33" t="s">
        <v>1496</v>
      </c>
      <c r="F3423" s="33" t="s">
        <v>1497</v>
      </c>
      <c r="G3423" s="33" t="s">
        <v>7062</v>
      </c>
      <c r="H3423" s="33" t="s">
        <v>7063</v>
      </c>
      <c r="I3423" s="33" t="s">
        <v>7064</v>
      </c>
      <c r="J3423" s="33">
        <v>142802</v>
      </c>
      <c r="K3423" s="33" t="s">
        <v>8408</v>
      </c>
      <c r="L3423" s="33" t="s">
        <v>8409</v>
      </c>
      <c r="M3423" s="33" t="s">
        <v>8410</v>
      </c>
      <c r="N3423" s="44">
        <v>42296335</v>
      </c>
      <c r="O3423" s="33" t="s">
        <v>8479</v>
      </c>
      <c r="P3423" s="33" t="s">
        <v>8480</v>
      </c>
      <c r="Q3423" s="34" t="s">
        <v>1494</v>
      </c>
      <c r="R3423" s="34" t="s">
        <v>1494</v>
      </c>
    </row>
    <row r="3424" spans="1:18" ht="15" customHeight="1" x14ac:dyDescent="0.25">
      <c r="A3424" t="str">
        <f>IFERROR(RANK(B3424,$B:$B,1)+COUNTIF($B$1:B3423,B3424),"")</f>
        <v/>
      </c>
      <c r="B3424" t="str">
        <f>IFERROR(SEARCH(#REF!,Table4[[#This Row],[Commodity Title]],1),"")</f>
        <v/>
      </c>
      <c r="C3424" s="35">
        <v>42296336</v>
      </c>
      <c r="D3424" s="33" t="s">
        <v>1495</v>
      </c>
      <c r="E3424" s="33" t="s">
        <v>1496</v>
      </c>
      <c r="F3424" s="33" t="s">
        <v>1497</v>
      </c>
      <c r="G3424" s="33" t="s">
        <v>7062</v>
      </c>
      <c r="H3424" s="33" t="s">
        <v>7063</v>
      </c>
      <c r="I3424" s="33" t="s">
        <v>7064</v>
      </c>
      <c r="J3424" s="33">
        <v>203312</v>
      </c>
      <c r="K3424" s="33" t="s">
        <v>8408</v>
      </c>
      <c r="L3424" s="33" t="s">
        <v>8409</v>
      </c>
      <c r="M3424" s="33" t="s">
        <v>8410</v>
      </c>
      <c r="N3424" s="44">
        <v>42296336</v>
      </c>
      <c r="O3424" s="33" t="s">
        <v>8481</v>
      </c>
      <c r="P3424" s="33" t="s">
        <v>8482</v>
      </c>
      <c r="Q3424" s="34" t="s">
        <v>1494</v>
      </c>
      <c r="R3424" s="34" t="s">
        <v>1494</v>
      </c>
    </row>
    <row r="3425" spans="1:18" ht="15" customHeight="1" x14ac:dyDescent="0.25">
      <c r="A3425" t="str">
        <f>IFERROR(RANK(B3425,$B:$B,1)+COUNTIF($B$1:B3424,B3425),"")</f>
        <v/>
      </c>
      <c r="B3425" t="str">
        <f>IFERROR(SEARCH(#REF!,Table4[[#This Row],[Commodity Title]],1),"")</f>
        <v/>
      </c>
      <c r="C3425" s="35">
        <v>42296337</v>
      </c>
      <c r="D3425" s="33" t="s">
        <v>1495</v>
      </c>
      <c r="E3425" s="33" t="s">
        <v>1496</v>
      </c>
      <c r="F3425" s="33" t="s">
        <v>1497</v>
      </c>
      <c r="G3425" s="33" t="s">
        <v>7062</v>
      </c>
      <c r="H3425" s="33" t="s">
        <v>7063</v>
      </c>
      <c r="I3425" s="33" t="s">
        <v>7064</v>
      </c>
      <c r="J3425" s="33">
        <v>203313</v>
      </c>
      <c r="K3425" s="33" t="s">
        <v>8408</v>
      </c>
      <c r="L3425" s="33" t="s">
        <v>8409</v>
      </c>
      <c r="M3425" s="33" t="s">
        <v>8410</v>
      </c>
      <c r="N3425" s="44">
        <v>42296337</v>
      </c>
      <c r="O3425" s="33" t="s">
        <v>8483</v>
      </c>
      <c r="P3425" s="33" t="s">
        <v>8484</v>
      </c>
      <c r="Q3425" s="34" t="s">
        <v>1494</v>
      </c>
      <c r="R3425" s="34" t="s">
        <v>1494</v>
      </c>
    </row>
    <row r="3426" spans="1:18" ht="15" customHeight="1" x14ac:dyDescent="0.25">
      <c r="A3426" t="str">
        <f>IFERROR(RANK(B3426,$B:$B,1)+COUNTIF($B$1:B3425,B3426),"")</f>
        <v/>
      </c>
      <c r="B3426" t="str">
        <f>IFERROR(SEARCH(#REF!,Table4[[#This Row],[Commodity Title]],1),"")</f>
        <v/>
      </c>
      <c r="C3426" s="35">
        <v>42296338</v>
      </c>
      <c r="D3426" s="33" t="s">
        <v>1495</v>
      </c>
      <c r="E3426" s="33" t="s">
        <v>1496</v>
      </c>
      <c r="F3426" s="33" t="s">
        <v>1497</v>
      </c>
      <c r="G3426" s="33" t="s">
        <v>7062</v>
      </c>
      <c r="H3426" s="33" t="s">
        <v>7063</v>
      </c>
      <c r="I3426" s="33" t="s">
        <v>7064</v>
      </c>
      <c r="J3426" s="33">
        <v>203314</v>
      </c>
      <c r="K3426" s="33" t="s">
        <v>8408</v>
      </c>
      <c r="L3426" s="33" t="s">
        <v>8409</v>
      </c>
      <c r="M3426" s="33" t="s">
        <v>8410</v>
      </c>
      <c r="N3426" s="44">
        <v>42296338</v>
      </c>
      <c r="O3426" s="33" t="s">
        <v>8485</v>
      </c>
      <c r="P3426" s="33" t="s">
        <v>8486</v>
      </c>
      <c r="Q3426" s="34" t="s">
        <v>1494</v>
      </c>
      <c r="R3426" s="34" t="s">
        <v>1494</v>
      </c>
    </row>
    <row r="3427" spans="1:18" ht="15" customHeight="1" x14ac:dyDescent="0.25">
      <c r="A3427" t="str">
        <f>IFERROR(RANK(B3427,$B:$B,1)+COUNTIF($B$1:B3426,B3427),"")</f>
        <v/>
      </c>
      <c r="B3427" t="str">
        <f>IFERROR(SEARCH(#REF!,Table4[[#This Row],[Commodity Title]],1),"")</f>
        <v/>
      </c>
      <c r="C3427" s="33" t="s">
        <v>1494</v>
      </c>
      <c r="D3427" s="33" t="s">
        <v>1495</v>
      </c>
      <c r="E3427" s="33" t="s">
        <v>1496</v>
      </c>
      <c r="F3427" s="33" t="s">
        <v>1497</v>
      </c>
      <c r="G3427" s="33" t="s">
        <v>7062</v>
      </c>
      <c r="H3427" s="33" t="s">
        <v>7063</v>
      </c>
      <c r="I3427" s="33" t="s">
        <v>7064</v>
      </c>
      <c r="J3427" s="33">
        <v>203315</v>
      </c>
      <c r="K3427" s="33" t="s">
        <v>8487</v>
      </c>
      <c r="L3427" s="33" t="s">
        <v>8488</v>
      </c>
      <c r="M3427" s="33" t="s">
        <v>8489</v>
      </c>
      <c r="N3427" s="44" t="s">
        <v>1494</v>
      </c>
      <c r="O3427" s="33" t="s">
        <v>1494</v>
      </c>
      <c r="P3427" s="33" t="s">
        <v>1494</v>
      </c>
      <c r="Q3427" s="34" t="s">
        <v>1494</v>
      </c>
      <c r="R3427" s="34" t="s">
        <v>1494</v>
      </c>
    </row>
    <row r="3428" spans="1:18" ht="15" customHeight="1" x14ac:dyDescent="0.25">
      <c r="A3428" t="str">
        <f>IFERROR(RANK(B3428,$B:$B,1)+COUNTIF($B$1:B3427,B3428),"")</f>
        <v/>
      </c>
      <c r="B3428" t="str">
        <f>IFERROR(SEARCH(#REF!,Table4[[#This Row],[Commodity Title]],1),"")</f>
        <v/>
      </c>
      <c r="C3428" s="35">
        <v>42296401</v>
      </c>
      <c r="D3428" s="33" t="s">
        <v>1495</v>
      </c>
      <c r="E3428" s="33" t="s">
        <v>1496</v>
      </c>
      <c r="F3428" s="33" t="s">
        <v>1497</v>
      </c>
      <c r="G3428" s="33" t="s">
        <v>7062</v>
      </c>
      <c r="H3428" s="33" t="s">
        <v>7063</v>
      </c>
      <c r="I3428" s="33" t="s">
        <v>7064</v>
      </c>
      <c r="J3428" s="33">
        <v>116334</v>
      </c>
      <c r="K3428" s="33" t="s">
        <v>8487</v>
      </c>
      <c r="L3428" s="33" t="s">
        <v>8488</v>
      </c>
      <c r="M3428" s="33" t="s">
        <v>8489</v>
      </c>
      <c r="N3428" s="44">
        <v>42296401</v>
      </c>
      <c r="O3428" s="33" t="s">
        <v>8490</v>
      </c>
      <c r="P3428" s="33" t="s">
        <v>8491</v>
      </c>
      <c r="Q3428" s="34" t="s">
        <v>1494</v>
      </c>
      <c r="R3428" s="34" t="s">
        <v>1494</v>
      </c>
    </row>
    <row r="3429" spans="1:18" ht="15" customHeight="1" x14ac:dyDescent="0.25">
      <c r="A3429" t="str">
        <f>IFERROR(RANK(B3429,$B:$B,1)+COUNTIF($B$1:B3428,B3429),"")</f>
        <v/>
      </c>
      <c r="B3429" t="str">
        <f>IFERROR(SEARCH(#REF!,Table4[[#This Row],[Commodity Title]],1),"")</f>
        <v/>
      </c>
      <c r="C3429" s="35">
        <v>42296402</v>
      </c>
      <c r="D3429" s="33" t="s">
        <v>1495</v>
      </c>
      <c r="E3429" s="33" t="s">
        <v>1496</v>
      </c>
      <c r="F3429" s="33" t="s">
        <v>1497</v>
      </c>
      <c r="G3429" s="33" t="s">
        <v>7062</v>
      </c>
      <c r="H3429" s="33" t="s">
        <v>7063</v>
      </c>
      <c r="I3429" s="33" t="s">
        <v>7064</v>
      </c>
      <c r="J3429" s="33">
        <v>116345</v>
      </c>
      <c r="K3429" s="33" t="s">
        <v>8487</v>
      </c>
      <c r="L3429" s="33" t="s">
        <v>8488</v>
      </c>
      <c r="M3429" s="33" t="s">
        <v>8489</v>
      </c>
      <c r="N3429" s="44">
        <v>42296402</v>
      </c>
      <c r="O3429" s="33" t="s">
        <v>8492</v>
      </c>
      <c r="P3429" s="33" t="s">
        <v>8493</v>
      </c>
      <c r="Q3429" s="34" t="s">
        <v>1494</v>
      </c>
      <c r="R3429" s="34" t="s">
        <v>1494</v>
      </c>
    </row>
    <row r="3430" spans="1:18" ht="15" customHeight="1" x14ac:dyDescent="0.25">
      <c r="A3430" t="str">
        <f>IFERROR(RANK(B3430,$B:$B,1)+COUNTIF($B$1:B3429,B3430),"")</f>
        <v/>
      </c>
      <c r="B3430" t="str">
        <f>IFERROR(SEARCH(#REF!,Table4[[#This Row],[Commodity Title]],1),"")</f>
        <v/>
      </c>
      <c r="C3430" s="35">
        <v>42296403</v>
      </c>
      <c r="D3430" s="33" t="s">
        <v>1495</v>
      </c>
      <c r="E3430" s="33" t="s">
        <v>1496</v>
      </c>
      <c r="F3430" s="33" t="s">
        <v>1497</v>
      </c>
      <c r="G3430" s="33" t="s">
        <v>7062</v>
      </c>
      <c r="H3430" s="33" t="s">
        <v>7063</v>
      </c>
      <c r="I3430" s="33" t="s">
        <v>7064</v>
      </c>
      <c r="J3430" s="33">
        <v>203316</v>
      </c>
      <c r="K3430" s="33" t="s">
        <v>8487</v>
      </c>
      <c r="L3430" s="33" t="s">
        <v>8488</v>
      </c>
      <c r="M3430" s="33" t="s">
        <v>8489</v>
      </c>
      <c r="N3430" s="44">
        <v>42296403</v>
      </c>
      <c r="O3430" s="33" t="s">
        <v>8494</v>
      </c>
      <c r="P3430" s="33" t="s">
        <v>8495</v>
      </c>
      <c r="Q3430" s="34" t="s">
        <v>1494</v>
      </c>
      <c r="R3430" s="34" t="s">
        <v>1494</v>
      </c>
    </row>
    <row r="3431" spans="1:18" ht="15" customHeight="1" x14ac:dyDescent="0.25">
      <c r="A3431" t="str">
        <f>IFERROR(RANK(B3431,$B:$B,1)+COUNTIF($B$1:B3430,B3431),"")</f>
        <v/>
      </c>
      <c r="B3431" t="str">
        <f>IFERROR(SEARCH(#REF!,Table4[[#This Row],[Commodity Title]],1),"")</f>
        <v/>
      </c>
      <c r="C3431" s="35">
        <v>42296404</v>
      </c>
      <c r="D3431" s="33" t="s">
        <v>1495</v>
      </c>
      <c r="E3431" s="33" t="s">
        <v>1496</v>
      </c>
      <c r="F3431" s="33" t="s">
        <v>1497</v>
      </c>
      <c r="G3431" s="33" t="s">
        <v>7062</v>
      </c>
      <c r="H3431" s="33" t="s">
        <v>7063</v>
      </c>
      <c r="I3431" s="33" t="s">
        <v>7064</v>
      </c>
      <c r="J3431" s="33">
        <v>116378</v>
      </c>
      <c r="K3431" s="33" t="s">
        <v>8487</v>
      </c>
      <c r="L3431" s="33" t="s">
        <v>8488</v>
      </c>
      <c r="M3431" s="33" t="s">
        <v>8489</v>
      </c>
      <c r="N3431" s="44">
        <v>42296404</v>
      </c>
      <c r="O3431" s="33" t="s">
        <v>8496</v>
      </c>
      <c r="P3431" s="33" t="s">
        <v>8497</v>
      </c>
      <c r="Q3431" s="34" t="s">
        <v>1494</v>
      </c>
      <c r="R3431" s="34" t="s">
        <v>1494</v>
      </c>
    </row>
    <row r="3432" spans="1:18" ht="15" customHeight="1" x14ac:dyDescent="0.25">
      <c r="A3432" t="str">
        <f>IFERROR(RANK(B3432,$B:$B,1)+COUNTIF($B$1:B3431,B3432),"")</f>
        <v/>
      </c>
      <c r="B3432" t="str">
        <f>IFERROR(SEARCH(#REF!,Table4[[#This Row],[Commodity Title]],1),"")</f>
        <v/>
      </c>
      <c r="C3432" s="35">
        <v>42296405</v>
      </c>
      <c r="D3432" s="33" t="s">
        <v>1495</v>
      </c>
      <c r="E3432" s="33" t="s">
        <v>1496</v>
      </c>
      <c r="F3432" s="33" t="s">
        <v>1497</v>
      </c>
      <c r="G3432" s="33" t="s">
        <v>7062</v>
      </c>
      <c r="H3432" s="33" t="s">
        <v>7063</v>
      </c>
      <c r="I3432" s="33" t="s">
        <v>7064</v>
      </c>
      <c r="J3432" s="33">
        <v>203317</v>
      </c>
      <c r="K3432" s="33" t="s">
        <v>8487</v>
      </c>
      <c r="L3432" s="33" t="s">
        <v>8488</v>
      </c>
      <c r="M3432" s="33" t="s">
        <v>8489</v>
      </c>
      <c r="N3432" s="44">
        <v>42296405</v>
      </c>
      <c r="O3432" s="33" t="s">
        <v>8498</v>
      </c>
      <c r="P3432" s="33" t="s">
        <v>8499</v>
      </c>
      <c r="Q3432" s="34" t="s">
        <v>1494</v>
      </c>
      <c r="R3432" s="34" t="s">
        <v>1494</v>
      </c>
    </row>
    <row r="3433" spans="1:18" ht="15" customHeight="1" x14ac:dyDescent="0.25">
      <c r="A3433" t="str">
        <f>IFERROR(RANK(B3433,$B:$B,1)+COUNTIF($B$1:B3432,B3433),"")</f>
        <v/>
      </c>
      <c r="B3433" t="str">
        <f>IFERROR(SEARCH(#REF!,Table4[[#This Row],[Commodity Title]],1),"")</f>
        <v/>
      </c>
      <c r="C3433" s="35">
        <v>42296406</v>
      </c>
      <c r="D3433" s="33" t="s">
        <v>1495</v>
      </c>
      <c r="E3433" s="33" t="s">
        <v>1496</v>
      </c>
      <c r="F3433" s="33" t="s">
        <v>1497</v>
      </c>
      <c r="G3433" s="33" t="s">
        <v>7062</v>
      </c>
      <c r="H3433" s="33" t="s">
        <v>7063</v>
      </c>
      <c r="I3433" s="33" t="s">
        <v>7064</v>
      </c>
      <c r="J3433" s="33">
        <v>116379</v>
      </c>
      <c r="K3433" s="33" t="s">
        <v>8487</v>
      </c>
      <c r="L3433" s="33" t="s">
        <v>8488</v>
      </c>
      <c r="M3433" s="33" t="s">
        <v>8489</v>
      </c>
      <c r="N3433" s="44">
        <v>42296406</v>
      </c>
      <c r="O3433" s="33" t="s">
        <v>8500</v>
      </c>
      <c r="P3433" s="33" t="s">
        <v>8501</v>
      </c>
      <c r="Q3433" s="34" t="s">
        <v>1494</v>
      </c>
      <c r="R3433" s="34" t="s">
        <v>1494</v>
      </c>
    </row>
    <row r="3434" spans="1:18" ht="15" customHeight="1" x14ac:dyDescent="0.25">
      <c r="A3434" t="str">
        <f>IFERROR(RANK(B3434,$B:$B,1)+COUNTIF($B$1:B3433,B3434),"")</f>
        <v/>
      </c>
      <c r="B3434" t="str">
        <f>IFERROR(SEARCH(#REF!,Table4[[#This Row],[Commodity Title]],1),"")</f>
        <v/>
      </c>
      <c r="C3434" s="35">
        <v>42296407</v>
      </c>
      <c r="D3434" s="33" t="s">
        <v>1495</v>
      </c>
      <c r="E3434" s="33" t="s">
        <v>1496</v>
      </c>
      <c r="F3434" s="33" t="s">
        <v>1497</v>
      </c>
      <c r="G3434" s="33" t="s">
        <v>7062</v>
      </c>
      <c r="H3434" s="33" t="s">
        <v>7063</v>
      </c>
      <c r="I3434" s="33" t="s">
        <v>7064</v>
      </c>
      <c r="J3434" s="33">
        <v>116381</v>
      </c>
      <c r="K3434" s="33" t="s">
        <v>8487</v>
      </c>
      <c r="L3434" s="33" t="s">
        <v>8488</v>
      </c>
      <c r="M3434" s="33" t="s">
        <v>8489</v>
      </c>
      <c r="N3434" s="44">
        <v>42296407</v>
      </c>
      <c r="O3434" s="33" t="s">
        <v>8502</v>
      </c>
      <c r="P3434" s="33" t="s">
        <v>8503</v>
      </c>
      <c r="Q3434" s="34" t="s">
        <v>1494</v>
      </c>
      <c r="R3434" s="34" t="s">
        <v>1494</v>
      </c>
    </row>
    <row r="3435" spans="1:18" ht="15" customHeight="1" x14ac:dyDescent="0.25">
      <c r="A3435" t="str">
        <f>IFERROR(RANK(B3435,$B:$B,1)+COUNTIF($B$1:B3434,B3435),"")</f>
        <v/>
      </c>
      <c r="B3435" t="str">
        <f>IFERROR(SEARCH(#REF!,Table4[[#This Row],[Commodity Title]],1),"")</f>
        <v/>
      </c>
      <c r="C3435" s="35">
        <v>42296408</v>
      </c>
      <c r="D3435" s="33" t="s">
        <v>1495</v>
      </c>
      <c r="E3435" s="33" t="s">
        <v>1496</v>
      </c>
      <c r="F3435" s="33" t="s">
        <v>1497</v>
      </c>
      <c r="G3435" s="33" t="s">
        <v>7062</v>
      </c>
      <c r="H3435" s="33" t="s">
        <v>7063</v>
      </c>
      <c r="I3435" s="33" t="s">
        <v>7064</v>
      </c>
      <c r="J3435" s="33">
        <v>116382</v>
      </c>
      <c r="K3435" s="33" t="s">
        <v>8487</v>
      </c>
      <c r="L3435" s="33" t="s">
        <v>8488</v>
      </c>
      <c r="M3435" s="33" t="s">
        <v>8489</v>
      </c>
      <c r="N3435" s="44">
        <v>42296408</v>
      </c>
      <c r="O3435" s="33" t="s">
        <v>8504</v>
      </c>
      <c r="P3435" s="33" t="s">
        <v>8505</v>
      </c>
      <c r="Q3435" s="34" t="s">
        <v>1494</v>
      </c>
      <c r="R3435" s="34" t="s">
        <v>1494</v>
      </c>
    </row>
    <row r="3436" spans="1:18" ht="15" customHeight="1" x14ac:dyDescent="0.25">
      <c r="A3436" t="str">
        <f>IFERROR(RANK(B3436,$B:$B,1)+COUNTIF($B$1:B3435,B3436),"")</f>
        <v/>
      </c>
      <c r="B3436" t="str">
        <f>IFERROR(SEARCH(#REF!,Table4[[#This Row],[Commodity Title]],1),"")</f>
        <v/>
      </c>
      <c r="C3436" s="35">
        <v>42296409</v>
      </c>
      <c r="D3436" s="33" t="s">
        <v>1495</v>
      </c>
      <c r="E3436" s="33" t="s">
        <v>1496</v>
      </c>
      <c r="F3436" s="33" t="s">
        <v>1497</v>
      </c>
      <c r="G3436" s="33" t="s">
        <v>7062</v>
      </c>
      <c r="H3436" s="33" t="s">
        <v>7063</v>
      </c>
      <c r="I3436" s="33" t="s">
        <v>7064</v>
      </c>
      <c r="J3436" s="33">
        <v>116383</v>
      </c>
      <c r="K3436" s="33" t="s">
        <v>8487</v>
      </c>
      <c r="L3436" s="33" t="s">
        <v>8488</v>
      </c>
      <c r="M3436" s="33" t="s">
        <v>8489</v>
      </c>
      <c r="N3436" s="44">
        <v>42296409</v>
      </c>
      <c r="O3436" s="33" t="s">
        <v>8506</v>
      </c>
      <c r="P3436" s="33" t="s">
        <v>8507</v>
      </c>
      <c r="Q3436" s="34" t="s">
        <v>1494</v>
      </c>
      <c r="R3436" s="34" t="s">
        <v>1494</v>
      </c>
    </row>
    <row r="3437" spans="1:18" ht="15" customHeight="1" x14ac:dyDescent="0.25">
      <c r="A3437" t="str">
        <f>IFERROR(RANK(B3437,$B:$B,1)+COUNTIF($B$1:B3436,B3437),"")</f>
        <v/>
      </c>
      <c r="B3437" t="str">
        <f>IFERROR(SEARCH(#REF!,Table4[[#This Row],[Commodity Title]],1),"")</f>
        <v/>
      </c>
      <c r="C3437" s="35">
        <v>42296410</v>
      </c>
      <c r="D3437" s="33" t="s">
        <v>1495</v>
      </c>
      <c r="E3437" s="33" t="s">
        <v>1496</v>
      </c>
      <c r="F3437" s="33" t="s">
        <v>1497</v>
      </c>
      <c r="G3437" s="33" t="s">
        <v>7062</v>
      </c>
      <c r="H3437" s="33" t="s">
        <v>7063</v>
      </c>
      <c r="I3437" s="33" t="s">
        <v>7064</v>
      </c>
      <c r="J3437" s="33">
        <v>203318</v>
      </c>
      <c r="K3437" s="33" t="s">
        <v>8487</v>
      </c>
      <c r="L3437" s="33" t="s">
        <v>8488</v>
      </c>
      <c r="M3437" s="33" t="s">
        <v>8489</v>
      </c>
      <c r="N3437" s="44">
        <v>42296410</v>
      </c>
      <c r="O3437" s="33" t="s">
        <v>8508</v>
      </c>
      <c r="P3437" s="33" t="s">
        <v>8509</v>
      </c>
      <c r="Q3437" s="34" t="s">
        <v>1494</v>
      </c>
      <c r="R3437" s="34" t="s">
        <v>1494</v>
      </c>
    </row>
    <row r="3438" spans="1:18" ht="15" customHeight="1" x14ac:dyDescent="0.25">
      <c r="A3438" t="str">
        <f>IFERROR(RANK(B3438,$B:$B,1)+COUNTIF($B$1:B3437,B3438),"")</f>
        <v/>
      </c>
      <c r="B3438" t="str">
        <f>IFERROR(SEARCH(#REF!,Table4[[#This Row],[Commodity Title]],1),"")</f>
        <v/>
      </c>
      <c r="C3438" s="35">
        <v>42296411</v>
      </c>
      <c r="D3438" s="33" t="s">
        <v>1495</v>
      </c>
      <c r="E3438" s="33" t="s">
        <v>1496</v>
      </c>
      <c r="F3438" s="33" t="s">
        <v>1497</v>
      </c>
      <c r="G3438" s="33" t="s">
        <v>7062</v>
      </c>
      <c r="H3438" s="33" t="s">
        <v>7063</v>
      </c>
      <c r="I3438" s="33" t="s">
        <v>7064</v>
      </c>
      <c r="J3438" s="33">
        <v>142809</v>
      </c>
      <c r="K3438" s="33" t="s">
        <v>8487</v>
      </c>
      <c r="L3438" s="33" t="s">
        <v>8488</v>
      </c>
      <c r="M3438" s="33" t="s">
        <v>8489</v>
      </c>
      <c r="N3438" s="44">
        <v>42296411</v>
      </c>
      <c r="O3438" s="33" t="s">
        <v>8510</v>
      </c>
      <c r="P3438" s="33" t="s">
        <v>8511</v>
      </c>
      <c r="Q3438" s="34" t="s">
        <v>1494</v>
      </c>
      <c r="R3438" s="34" t="s">
        <v>1494</v>
      </c>
    </row>
    <row r="3439" spans="1:18" ht="15" customHeight="1" x14ac:dyDescent="0.25">
      <c r="A3439" t="str">
        <f>IFERROR(RANK(B3439,$B:$B,1)+COUNTIF($B$1:B3438,B3439),"")</f>
        <v/>
      </c>
      <c r="B3439" t="str">
        <f>IFERROR(SEARCH(#REF!,Table4[[#This Row],[Commodity Title]],1),"")</f>
        <v/>
      </c>
      <c r="C3439" s="35">
        <v>42296412</v>
      </c>
      <c r="D3439" s="33" t="s">
        <v>1495</v>
      </c>
      <c r="E3439" s="33" t="s">
        <v>1496</v>
      </c>
      <c r="F3439" s="33" t="s">
        <v>1497</v>
      </c>
      <c r="G3439" s="33" t="s">
        <v>7062</v>
      </c>
      <c r="H3439" s="33" t="s">
        <v>7063</v>
      </c>
      <c r="I3439" s="33" t="s">
        <v>7064</v>
      </c>
      <c r="J3439" s="33">
        <v>142816</v>
      </c>
      <c r="K3439" s="33" t="s">
        <v>8487</v>
      </c>
      <c r="L3439" s="33" t="s">
        <v>8488</v>
      </c>
      <c r="M3439" s="33" t="s">
        <v>8489</v>
      </c>
      <c r="N3439" s="44">
        <v>42296412</v>
      </c>
      <c r="O3439" s="33" t="s">
        <v>8512</v>
      </c>
      <c r="P3439" s="33" t="s">
        <v>8513</v>
      </c>
      <c r="Q3439" s="34" t="s">
        <v>1494</v>
      </c>
      <c r="R3439" s="34" t="s">
        <v>1494</v>
      </c>
    </row>
    <row r="3440" spans="1:18" ht="15" customHeight="1" x14ac:dyDescent="0.25">
      <c r="A3440" t="str">
        <f>IFERROR(RANK(B3440,$B:$B,1)+COUNTIF($B$1:B3439,B3440),"")</f>
        <v/>
      </c>
      <c r="B3440" t="str">
        <f>IFERROR(SEARCH(#REF!,Table4[[#This Row],[Commodity Title]],1),"")</f>
        <v/>
      </c>
      <c r="C3440" s="35">
        <v>42296413</v>
      </c>
      <c r="D3440" s="33" t="s">
        <v>1495</v>
      </c>
      <c r="E3440" s="33" t="s">
        <v>1496</v>
      </c>
      <c r="F3440" s="33" t="s">
        <v>1497</v>
      </c>
      <c r="G3440" s="33" t="s">
        <v>7062</v>
      </c>
      <c r="H3440" s="33" t="s">
        <v>7063</v>
      </c>
      <c r="I3440" s="33" t="s">
        <v>7064</v>
      </c>
      <c r="J3440" s="33">
        <v>116349</v>
      </c>
      <c r="K3440" s="33" t="s">
        <v>8487</v>
      </c>
      <c r="L3440" s="33" t="s">
        <v>8488</v>
      </c>
      <c r="M3440" s="33" t="s">
        <v>8489</v>
      </c>
      <c r="N3440" s="44">
        <v>42296413</v>
      </c>
      <c r="O3440" s="33" t="s">
        <v>8514</v>
      </c>
      <c r="P3440" s="33" t="s">
        <v>8515</v>
      </c>
      <c r="Q3440" s="34" t="s">
        <v>1494</v>
      </c>
      <c r="R3440" s="34" t="s">
        <v>1494</v>
      </c>
    </row>
    <row r="3441" spans="1:18" ht="15" customHeight="1" x14ac:dyDescent="0.25">
      <c r="A3441" t="str">
        <f>IFERROR(RANK(B3441,$B:$B,1)+COUNTIF($B$1:B3440,B3441),"")</f>
        <v/>
      </c>
      <c r="B3441" t="str">
        <f>IFERROR(SEARCH(#REF!,Table4[[#This Row],[Commodity Title]],1),"")</f>
        <v/>
      </c>
      <c r="C3441" s="35">
        <v>42296414</v>
      </c>
      <c r="D3441" s="33" t="s">
        <v>1495</v>
      </c>
      <c r="E3441" s="33" t="s">
        <v>1496</v>
      </c>
      <c r="F3441" s="33" t="s">
        <v>1497</v>
      </c>
      <c r="G3441" s="33" t="s">
        <v>7062</v>
      </c>
      <c r="H3441" s="33" t="s">
        <v>7063</v>
      </c>
      <c r="I3441" s="33" t="s">
        <v>7064</v>
      </c>
      <c r="J3441" s="33">
        <v>116351</v>
      </c>
      <c r="K3441" s="33" t="s">
        <v>8487</v>
      </c>
      <c r="L3441" s="33" t="s">
        <v>8488</v>
      </c>
      <c r="M3441" s="33" t="s">
        <v>8489</v>
      </c>
      <c r="N3441" s="44">
        <v>42296414</v>
      </c>
      <c r="O3441" s="33" t="s">
        <v>8516</v>
      </c>
      <c r="P3441" s="33" t="s">
        <v>8517</v>
      </c>
      <c r="Q3441" s="34" t="s">
        <v>1494</v>
      </c>
      <c r="R3441" s="34" t="s">
        <v>1494</v>
      </c>
    </row>
    <row r="3442" spans="1:18" ht="15" customHeight="1" x14ac:dyDescent="0.25">
      <c r="A3442" t="str">
        <f>IFERROR(RANK(B3442,$B:$B,1)+COUNTIF($B$1:B3441,B3442),"")</f>
        <v/>
      </c>
      <c r="B3442" t="str">
        <f>IFERROR(SEARCH(#REF!,Table4[[#This Row],[Commodity Title]],1),"")</f>
        <v/>
      </c>
      <c r="C3442" s="35">
        <v>42296415</v>
      </c>
      <c r="D3442" s="33" t="s">
        <v>1495</v>
      </c>
      <c r="E3442" s="33" t="s">
        <v>1496</v>
      </c>
      <c r="F3442" s="33" t="s">
        <v>1497</v>
      </c>
      <c r="G3442" s="33" t="s">
        <v>7062</v>
      </c>
      <c r="H3442" s="33" t="s">
        <v>7063</v>
      </c>
      <c r="I3442" s="33" t="s">
        <v>7064</v>
      </c>
      <c r="J3442" s="33">
        <v>142843</v>
      </c>
      <c r="K3442" s="33" t="s">
        <v>8487</v>
      </c>
      <c r="L3442" s="33" t="s">
        <v>8488</v>
      </c>
      <c r="M3442" s="33" t="s">
        <v>8489</v>
      </c>
      <c r="N3442" s="44">
        <v>42296415</v>
      </c>
      <c r="O3442" s="33" t="s">
        <v>8518</v>
      </c>
      <c r="P3442" s="33" t="s">
        <v>8519</v>
      </c>
      <c r="Q3442" s="34" t="s">
        <v>1494</v>
      </c>
      <c r="R3442" s="34" t="s">
        <v>1494</v>
      </c>
    </row>
    <row r="3443" spans="1:18" ht="15" customHeight="1" x14ac:dyDescent="0.25">
      <c r="A3443" t="str">
        <f>IFERROR(RANK(B3443,$B:$B,1)+COUNTIF($B$1:B3442,B3443),"")</f>
        <v/>
      </c>
      <c r="B3443" t="str">
        <f>IFERROR(SEARCH(#REF!,Table4[[#This Row],[Commodity Title]],1),"")</f>
        <v/>
      </c>
      <c r="C3443" s="33" t="s">
        <v>1494</v>
      </c>
      <c r="D3443" s="33" t="s">
        <v>1495</v>
      </c>
      <c r="E3443" s="33" t="s">
        <v>1496</v>
      </c>
      <c r="F3443" s="33" t="s">
        <v>1497</v>
      </c>
      <c r="G3443" s="33" t="s">
        <v>7062</v>
      </c>
      <c r="H3443" s="33" t="s">
        <v>7063</v>
      </c>
      <c r="I3443" s="33" t="s">
        <v>7064</v>
      </c>
      <c r="J3443" s="33">
        <v>203319</v>
      </c>
      <c r="K3443" s="33" t="s">
        <v>8520</v>
      </c>
      <c r="L3443" s="33" t="s">
        <v>8521</v>
      </c>
      <c r="M3443" s="33" t="s">
        <v>8522</v>
      </c>
      <c r="N3443" s="44" t="s">
        <v>1494</v>
      </c>
      <c r="O3443" s="33" t="s">
        <v>1494</v>
      </c>
      <c r="P3443" s="33" t="s">
        <v>1494</v>
      </c>
      <c r="Q3443" s="34" t="s">
        <v>1494</v>
      </c>
      <c r="R3443" s="34" t="s">
        <v>1494</v>
      </c>
    </row>
    <row r="3444" spans="1:18" ht="15" customHeight="1" x14ac:dyDescent="0.25">
      <c r="A3444" t="str">
        <f>IFERROR(RANK(B3444,$B:$B,1)+COUNTIF($B$1:B3443,B3444),"")</f>
        <v/>
      </c>
      <c r="B3444" t="str">
        <f>IFERROR(SEARCH(#REF!,Table4[[#This Row],[Commodity Title]],1),"")</f>
        <v/>
      </c>
      <c r="C3444" s="35">
        <v>42296501</v>
      </c>
      <c r="D3444" s="33" t="s">
        <v>1495</v>
      </c>
      <c r="E3444" s="33" t="s">
        <v>1496</v>
      </c>
      <c r="F3444" s="33" t="s">
        <v>1497</v>
      </c>
      <c r="G3444" s="33" t="s">
        <v>7062</v>
      </c>
      <c r="H3444" s="33" t="s">
        <v>7063</v>
      </c>
      <c r="I3444" s="33" t="s">
        <v>7064</v>
      </c>
      <c r="J3444" s="33">
        <v>203320</v>
      </c>
      <c r="K3444" s="33" t="s">
        <v>8520</v>
      </c>
      <c r="L3444" s="33" t="s">
        <v>8521</v>
      </c>
      <c r="M3444" s="33" t="s">
        <v>8522</v>
      </c>
      <c r="N3444" s="44">
        <v>42296501</v>
      </c>
      <c r="O3444" s="33" t="s">
        <v>8523</v>
      </c>
      <c r="P3444" s="33" t="s">
        <v>8524</v>
      </c>
      <c r="Q3444" s="34" t="s">
        <v>1494</v>
      </c>
      <c r="R3444" s="34" t="s">
        <v>1494</v>
      </c>
    </row>
    <row r="3445" spans="1:18" ht="15" customHeight="1" x14ac:dyDescent="0.25">
      <c r="A3445" t="str">
        <f>IFERROR(RANK(B3445,$B:$B,1)+COUNTIF($B$1:B3444,B3445),"")</f>
        <v/>
      </c>
      <c r="B3445" t="str">
        <f>IFERROR(SEARCH(#REF!,Table4[[#This Row],[Commodity Title]],1),"")</f>
        <v/>
      </c>
      <c r="C3445" s="35">
        <v>42296502</v>
      </c>
      <c r="D3445" s="33" t="s">
        <v>1495</v>
      </c>
      <c r="E3445" s="33" t="s">
        <v>1496</v>
      </c>
      <c r="F3445" s="33" t="s">
        <v>1497</v>
      </c>
      <c r="G3445" s="33" t="s">
        <v>7062</v>
      </c>
      <c r="H3445" s="33" t="s">
        <v>7063</v>
      </c>
      <c r="I3445" s="33" t="s">
        <v>7064</v>
      </c>
      <c r="J3445" s="33">
        <v>203321</v>
      </c>
      <c r="K3445" s="33" t="s">
        <v>8520</v>
      </c>
      <c r="L3445" s="33" t="s">
        <v>8521</v>
      </c>
      <c r="M3445" s="33" t="s">
        <v>8522</v>
      </c>
      <c r="N3445" s="44">
        <v>42296502</v>
      </c>
      <c r="O3445" s="33" t="s">
        <v>8525</v>
      </c>
      <c r="P3445" s="33" t="s">
        <v>8282</v>
      </c>
      <c r="Q3445" s="34" t="s">
        <v>1494</v>
      </c>
      <c r="R3445" s="34" t="s">
        <v>1494</v>
      </c>
    </row>
    <row r="3446" spans="1:18" ht="15" customHeight="1" x14ac:dyDescent="0.25">
      <c r="A3446" t="str">
        <f>IFERROR(RANK(B3446,$B:$B,1)+COUNTIF($B$1:B3445,B3446),"")</f>
        <v/>
      </c>
      <c r="B3446" t="str">
        <f>IFERROR(SEARCH(#REF!,Table4[[#This Row],[Commodity Title]],1),"")</f>
        <v/>
      </c>
      <c r="C3446" s="35">
        <v>42296503</v>
      </c>
      <c r="D3446" s="33" t="s">
        <v>1495</v>
      </c>
      <c r="E3446" s="33" t="s">
        <v>1496</v>
      </c>
      <c r="F3446" s="33" t="s">
        <v>1497</v>
      </c>
      <c r="G3446" s="33" t="s">
        <v>7062</v>
      </c>
      <c r="H3446" s="33" t="s">
        <v>7063</v>
      </c>
      <c r="I3446" s="33" t="s">
        <v>7064</v>
      </c>
      <c r="J3446" s="33">
        <v>203322</v>
      </c>
      <c r="K3446" s="33" t="s">
        <v>8520</v>
      </c>
      <c r="L3446" s="33" t="s">
        <v>8521</v>
      </c>
      <c r="M3446" s="33" t="s">
        <v>8522</v>
      </c>
      <c r="N3446" s="44">
        <v>42296503</v>
      </c>
      <c r="O3446" s="33" t="s">
        <v>8526</v>
      </c>
      <c r="P3446" s="33" t="s">
        <v>8527</v>
      </c>
      <c r="Q3446" s="34" t="s">
        <v>1494</v>
      </c>
      <c r="R3446" s="34" t="s">
        <v>1494</v>
      </c>
    </row>
    <row r="3447" spans="1:18" ht="15" customHeight="1" x14ac:dyDescent="0.25">
      <c r="A3447" t="str">
        <f>IFERROR(RANK(B3447,$B:$B,1)+COUNTIF($B$1:B3446,B3447),"")</f>
        <v/>
      </c>
      <c r="B3447" t="str">
        <f>IFERROR(SEARCH(#REF!,Table4[[#This Row],[Commodity Title]],1),"")</f>
        <v/>
      </c>
      <c r="C3447" s="35">
        <v>42296504</v>
      </c>
      <c r="D3447" s="33" t="s">
        <v>1495</v>
      </c>
      <c r="E3447" s="33" t="s">
        <v>1496</v>
      </c>
      <c r="F3447" s="33" t="s">
        <v>1497</v>
      </c>
      <c r="G3447" s="33" t="s">
        <v>7062</v>
      </c>
      <c r="H3447" s="33" t="s">
        <v>7063</v>
      </c>
      <c r="I3447" s="33" t="s">
        <v>7064</v>
      </c>
      <c r="J3447" s="33">
        <v>203323</v>
      </c>
      <c r="K3447" s="33" t="s">
        <v>8520</v>
      </c>
      <c r="L3447" s="33" t="s">
        <v>8521</v>
      </c>
      <c r="M3447" s="33" t="s">
        <v>8522</v>
      </c>
      <c r="N3447" s="44">
        <v>42296504</v>
      </c>
      <c r="O3447" s="33" t="s">
        <v>8528</v>
      </c>
      <c r="P3447" s="33" t="s">
        <v>8529</v>
      </c>
      <c r="Q3447" s="34" t="s">
        <v>1494</v>
      </c>
      <c r="R3447" s="34" t="s">
        <v>1494</v>
      </c>
    </row>
    <row r="3448" spans="1:18" ht="15" customHeight="1" x14ac:dyDescent="0.25">
      <c r="A3448" t="str">
        <f>IFERROR(RANK(B3448,$B:$B,1)+COUNTIF($B$1:B3447,B3448),"")</f>
        <v/>
      </c>
      <c r="B3448" t="str">
        <f>IFERROR(SEARCH(#REF!,Table4[[#This Row],[Commodity Title]],1),"")</f>
        <v/>
      </c>
      <c r="C3448" s="35">
        <v>42296505</v>
      </c>
      <c r="D3448" s="33" t="s">
        <v>1495</v>
      </c>
      <c r="E3448" s="33" t="s">
        <v>1496</v>
      </c>
      <c r="F3448" s="33" t="s">
        <v>1497</v>
      </c>
      <c r="G3448" s="33" t="s">
        <v>7062</v>
      </c>
      <c r="H3448" s="33" t="s">
        <v>7063</v>
      </c>
      <c r="I3448" s="33" t="s">
        <v>7064</v>
      </c>
      <c r="J3448" s="33">
        <v>203324</v>
      </c>
      <c r="K3448" s="33" t="s">
        <v>8520</v>
      </c>
      <c r="L3448" s="33" t="s">
        <v>8521</v>
      </c>
      <c r="M3448" s="33" t="s">
        <v>8522</v>
      </c>
      <c r="N3448" s="44">
        <v>42296505</v>
      </c>
      <c r="O3448" s="33" t="s">
        <v>8530</v>
      </c>
      <c r="P3448" s="33" t="s">
        <v>8531</v>
      </c>
      <c r="Q3448" s="34" t="s">
        <v>1494</v>
      </c>
      <c r="R3448" s="34" t="s">
        <v>1494</v>
      </c>
    </row>
    <row r="3449" spans="1:18" ht="15" customHeight="1" x14ac:dyDescent="0.25">
      <c r="A3449" t="str">
        <f>IFERROR(RANK(B3449,$B:$B,1)+COUNTIF($B$1:B3448,B3449),"")</f>
        <v/>
      </c>
      <c r="B3449" t="str">
        <f>IFERROR(SEARCH(#REF!,Table4[[#This Row],[Commodity Title]],1),"")</f>
        <v/>
      </c>
      <c r="C3449" s="35">
        <v>42296506</v>
      </c>
      <c r="D3449" s="33" t="s">
        <v>1495</v>
      </c>
      <c r="E3449" s="33" t="s">
        <v>1496</v>
      </c>
      <c r="F3449" s="33" t="s">
        <v>1497</v>
      </c>
      <c r="G3449" s="33" t="s">
        <v>7062</v>
      </c>
      <c r="H3449" s="33" t="s">
        <v>7063</v>
      </c>
      <c r="I3449" s="33" t="s">
        <v>7064</v>
      </c>
      <c r="J3449" s="33">
        <v>203325</v>
      </c>
      <c r="K3449" s="33" t="s">
        <v>8520</v>
      </c>
      <c r="L3449" s="33" t="s">
        <v>8521</v>
      </c>
      <c r="M3449" s="33" t="s">
        <v>8522</v>
      </c>
      <c r="N3449" s="44">
        <v>42296506</v>
      </c>
      <c r="O3449" s="33" t="s">
        <v>8532</v>
      </c>
      <c r="P3449" s="33" t="s">
        <v>8533</v>
      </c>
      <c r="Q3449" s="34" t="s">
        <v>1494</v>
      </c>
      <c r="R3449" s="34" t="s">
        <v>1494</v>
      </c>
    </row>
    <row r="3450" spans="1:18" ht="15" customHeight="1" x14ac:dyDescent="0.25">
      <c r="A3450" t="str">
        <f>IFERROR(RANK(B3450,$B:$B,1)+COUNTIF($B$1:B3449,B3450),"")</f>
        <v/>
      </c>
      <c r="B3450" t="str">
        <f>IFERROR(SEARCH(#REF!,Table4[[#This Row],[Commodity Title]],1),"")</f>
        <v/>
      </c>
      <c r="C3450" s="35">
        <v>42296507</v>
      </c>
      <c r="D3450" s="33" t="s">
        <v>1495</v>
      </c>
      <c r="E3450" s="33" t="s">
        <v>1496</v>
      </c>
      <c r="F3450" s="33" t="s">
        <v>1497</v>
      </c>
      <c r="G3450" s="33" t="s">
        <v>7062</v>
      </c>
      <c r="H3450" s="33" t="s">
        <v>7063</v>
      </c>
      <c r="I3450" s="33" t="s">
        <v>7064</v>
      </c>
      <c r="J3450" s="33">
        <v>203326</v>
      </c>
      <c r="K3450" s="33" t="s">
        <v>8520</v>
      </c>
      <c r="L3450" s="33" t="s">
        <v>8521</v>
      </c>
      <c r="M3450" s="33" t="s">
        <v>8522</v>
      </c>
      <c r="N3450" s="44">
        <v>42296507</v>
      </c>
      <c r="O3450" s="33" t="s">
        <v>8534</v>
      </c>
      <c r="P3450" s="33" t="s">
        <v>8535</v>
      </c>
      <c r="Q3450" s="34" t="s">
        <v>1494</v>
      </c>
      <c r="R3450" s="34" t="s">
        <v>1494</v>
      </c>
    </row>
    <row r="3451" spans="1:18" ht="15" customHeight="1" x14ac:dyDescent="0.25">
      <c r="A3451" t="str">
        <f>IFERROR(RANK(B3451,$B:$B,1)+COUNTIF($B$1:B3450,B3451),"")</f>
        <v/>
      </c>
      <c r="B3451" t="str">
        <f>IFERROR(SEARCH(#REF!,Table4[[#This Row],[Commodity Title]],1),"")</f>
        <v/>
      </c>
      <c r="C3451" s="35">
        <v>42296508</v>
      </c>
      <c r="D3451" s="33" t="s">
        <v>1495</v>
      </c>
      <c r="E3451" s="33" t="s">
        <v>1496</v>
      </c>
      <c r="F3451" s="33" t="s">
        <v>1497</v>
      </c>
      <c r="G3451" s="33" t="s">
        <v>7062</v>
      </c>
      <c r="H3451" s="33" t="s">
        <v>7063</v>
      </c>
      <c r="I3451" s="33" t="s">
        <v>7064</v>
      </c>
      <c r="J3451" s="33">
        <v>203327</v>
      </c>
      <c r="K3451" s="33" t="s">
        <v>8520</v>
      </c>
      <c r="L3451" s="33" t="s">
        <v>8521</v>
      </c>
      <c r="M3451" s="33" t="s">
        <v>8522</v>
      </c>
      <c r="N3451" s="44">
        <v>42296508</v>
      </c>
      <c r="O3451" s="33" t="s">
        <v>8536</v>
      </c>
      <c r="P3451" s="33" t="s">
        <v>8537</v>
      </c>
      <c r="Q3451" s="34" t="s">
        <v>1494</v>
      </c>
      <c r="R3451" s="34" t="s">
        <v>1494</v>
      </c>
    </row>
    <row r="3452" spans="1:18" ht="15" customHeight="1" x14ac:dyDescent="0.25">
      <c r="A3452" t="str">
        <f>IFERROR(RANK(B3452,$B:$B,1)+COUNTIF($B$1:B3451,B3452),"")</f>
        <v/>
      </c>
      <c r="B3452" t="str">
        <f>IFERROR(SEARCH(#REF!,Table4[[#This Row],[Commodity Title]],1),"")</f>
        <v/>
      </c>
      <c r="C3452" s="33" t="s">
        <v>1494</v>
      </c>
      <c r="D3452" s="33" t="s">
        <v>1495</v>
      </c>
      <c r="E3452" s="33" t="s">
        <v>1496</v>
      </c>
      <c r="F3452" s="33" t="s">
        <v>1497</v>
      </c>
      <c r="G3452" s="33" t="s">
        <v>7062</v>
      </c>
      <c r="H3452" s="33" t="s">
        <v>7063</v>
      </c>
      <c r="I3452" s="33" t="s">
        <v>7064</v>
      </c>
      <c r="J3452" s="33">
        <v>104475</v>
      </c>
      <c r="K3452" s="33" t="s">
        <v>8538</v>
      </c>
      <c r="L3452" s="33" t="s">
        <v>8539</v>
      </c>
      <c r="M3452" s="33" t="s">
        <v>8540</v>
      </c>
      <c r="N3452" s="44" t="s">
        <v>1494</v>
      </c>
      <c r="O3452" s="33" t="s">
        <v>1494</v>
      </c>
      <c r="P3452" s="33" t="s">
        <v>1494</v>
      </c>
      <c r="Q3452" s="34" t="s">
        <v>1494</v>
      </c>
      <c r="R3452" s="34" t="s">
        <v>1494</v>
      </c>
    </row>
    <row r="3453" spans="1:18" ht="15" customHeight="1" x14ac:dyDescent="0.25">
      <c r="A3453" t="str">
        <f>IFERROR(RANK(B3453,$B:$B,1)+COUNTIF($B$1:B3452,B3453),"")</f>
        <v/>
      </c>
      <c r="B3453" t="str">
        <f>IFERROR(SEARCH(#REF!,Table4[[#This Row],[Commodity Title]],1),"")</f>
        <v/>
      </c>
      <c r="C3453" s="35">
        <v>42296601</v>
      </c>
      <c r="D3453" s="33" t="s">
        <v>1495</v>
      </c>
      <c r="E3453" s="33" t="s">
        <v>1496</v>
      </c>
      <c r="F3453" s="33" t="s">
        <v>1497</v>
      </c>
      <c r="G3453" s="33" t="s">
        <v>7062</v>
      </c>
      <c r="H3453" s="33" t="s">
        <v>7063</v>
      </c>
      <c r="I3453" s="33" t="s">
        <v>7064</v>
      </c>
      <c r="J3453" s="33">
        <v>203328</v>
      </c>
      <c r="K3453" s="33" t="s">
        <v>8538</v>
      </c>
      <c r="L3453" s="33" t="s">
        <v>8539</v>
      </c>
      <c r="M3453" s="33" t="s">
        <v>8540</v>
      </c>
      <c r="N3453" s="44">
        <v>42296601</v>
      </c>
      <c r="O3453" s="33" t="s">
        <v>8541</v>
      </c>
      <c r="P3453" s="33" t="s">
        <v>8542</v>
      </c>
      <c r="Q3453" s="34" t="s">
        <v>1494</v>
      </c>
      <c r="R3453" s="34" t="s">
        <v>1494</v>
      </c>
    </row>
    <row r="3454" spans="1:18" ht="15" customHeight="1" x14ac:dyDescent="0.25">
      <c r="A3454" t="str">
        <f>IFERROR(RANK(B3454,$B:$B,1)+COUNTIF($B$1:B3453,B3454),"")</f>
        <v/>
      </c>
      <c r="B3454" t="str">
        <f>IFERROR(SEARCH(#REF!,Table4[[#This Row],[Commodity Title]],1),"")</f>
        <v/>
      </c>
      <c r="C3454" s="35">
        <v>42296602</v>
      </c>
      <c r="D3454" s="33" t="s">
        <v>1495</v>
      </c>
      <c r="E3454" s="33" t="s">
        <v>1496</v>
      </c>
      <c r="F3454" s="33" t="s">
        <v>1497</v>
      </c>
      <c r="G3454" s="33" t="s">
        <v>7062</v>
      </c>
      <c r="H3454" s="33" t="s">
        <v>7063</v>
      </c>
      <c r="I3454" s="33" t="s">
        <v>7064</v>
      </c>
      <c r="J3454" s="33">
        <v>203329</v>
      </c>
      <c r="K3454" s="33" t="s">
        <v>8538</v>
      </c>
      <c r="L3454" s="33" t="s">
        <v>8539</v>
      </c>
      <c r="M3454" s="33" t="s">
        <v>8540</v>
      </c>
      <c r="N3454" s="44">
        <v>42296602</v>
      </c>
      <c r="O3454" s="33" t="s">
        <v>8543</v>
      </c>
      <c r="P3454" s="33" t="s">
        <v>8544</v>
      </c>
      <c r="Q3454" s="34" t="s">
        <v>1494</v>
      </c>
      <c r="R3454" s="34" t="s">
        <v>1494</v>
      </c>
    </row>
    <row r="3455" spans="1:18" ht="15" customHeight="1" x14ac:dyDescent="0.25">
      <c r="A3455" t="str">
        <f>IFERROR(RANK(B3455,$B:$B,1)+COUNTIF($B$1:B3454,B3455),"")</f>
        <v/>
      </c>
      <c r="B3455" t="str">
        <f>IFERROR(SEARCH(#REF!,Table4[[#This Row],[Commodity Title]],1),"")</f>
        <v/>
      </c>
      <c r="C3455" s="35">
        <v>42296603</v>
      </c>
      <c r="D3455" s="33" t="s">
        <v>1495</v>
      </c>
      <c r="E3455" s="33" t="s">
        <v>1496</v>
      </c>
      <c r="F3455" s="33" t="s">
        <v>1497</v>
      </c>
      <c r="G3455" s="33" t="s">
        <v>7062</v>
      </c>
      <c r="H3455" s="33" t="s">
        <v>7063</v>
      </c>
      <c r="I3455" s="33" t="s">
        <v>7064</v>
      </c>
      <c r="J3455" s="33">
        <v>203330</v>
      </c>
      <c r="K3455" s="33" t="s">
        <v>8538</v>
      </c>
      <c r="L3455" s="33" t="s">
        <v>8539</v>
      </c>
      <c r="M3455" s="33" t="s">
        <v>8540</v>
      </c>
      <c r="N3455" s="44">
        <v>42296603</v>
      </c>
      <c r="O3455" s="33" t="s">
        <v>8545</v>
      </c>
      <c r="P3455" s="33" t="s">
        <v>8546</v>
      </c>
      <c r="Q3455" s="34" t="s">
        <v>1494</v>
      </c>
      <c r="R3455" s="34" t="s">
        <v>1494</v>
      </c>
    </row>
    <row r="3456" spans="1:18" ht="15" customHeight="1" x14ac:dyDescent="0.25">
      <c r="A3456" t="str">
        <f>IFERROR(RANK(B3456,$B:$B,1)+COUNTIF($B$1:B3455,B3456),"")</f>
        <v/>
      </c>
      <c r="B3456" t="str">
        <f>IFERROR(SEARCH(#REF!,Table4[[#This Row],[Commodity Title]],1),"")</f>
        <v/>
      </c>
      <c r="C3456" s="35">
        <v>42296604</v>
      </c>
      <c r="D3456" s="33" t="s">
        <v>1495</v>
      </c>
      <c r="E3456" s="33" t="s">
        <v>1496</v>
      </c>
      <c r="F3456" s="33" t="s">
        <v>1497</v>
      </c>
      <c r="G3456" s="33" t="s">
        <v>7062</v>
      </c>
      <c r="H3456" s="33" t="s">
        <v>7063</v>
      </c>
      <c r="I3456" s="33" t="s">
        <v>7064</v>
      </c>
      <c r="J3456" s="33">
        <v>203331</v>
      </c>
      <c r="K3456" s="33" t="s">
        <v>8538</v>
      </c>
      <c r="L3456" s="33" t="s">
        <v>8539</v>
      </c>
      <c r="M3456" s="33" t="s">
        <v>8540</v>
      </c>
      <c r="N3456" s="44">
        <v>42296604</v>
      </c>
      <c r="O3456" s="33" t="s">
        <v>8547</v>
      </c>
      <c r="P3456" s="33" t="s">
        <v>8548</v>
      </c>
      <c r="Q3456" s="34" t="s">
        <v>1494</v>
      </c>
      <c r="R3456" s="34" t="s">
        <v>1494</v>
      </c>
    </row>
    <row r="3457" spans="1:18" ht="15" customHeight="1" x14ac:dyDescent="0.25">
      <c r="A3457" t="str">
        <f>IFERROR(RANK(B3457,$B:$B,1)+COUNTIF($B$1:B3456,B3457),"")</f>
        <v/>
      </c>
      <c r="B3457" t="str">
        <f>IFERROR(SEARCH(#REF!,Table4[[#This Row],[Commodity Title]],1),"")</f>
        <v/>
      </c>
      <c r="C3457" s="35">
        <v>42296605</v>
      </c>
      <c r="D3457" s="33" t="s">
        <v>1495</v>
      </c>
      <c r="E3457" s="33" t="s">
        <v>1496</v>
      </c>
      <c r="F3457" s="33" t="s">
        <v>1497</v>
      </c>
      <c r="G3457" s="33" t="s">
        <v>7062</v>
      </c>
      <c r="H3457" s="33" t="s">
        <v>7063</v>
      </c>
      <c r="I3457" s="33" t="s">
        <v>7064</v>
      </c>
      <c r="J3457" s="33">
        <v>203332</v>
      </c>
      <c r="K3457" s="33" t="s">
        <v>8538</v>
      </c>
      <c r="L3457" s="33" t="s">
        <v>8539</v>
      </c>
      <c r="M3457" s="33" t="s">
        <v>8540</v>
      </c>
      <c r="N3457" s="44">
        <v>42296605</v>
      </c>
      <c r="O3457" s="33" t="s">
        <v>8549</v>
      </c>
      <c r="P3457" s="33" t="s">
        <v>8550</v>
      </c>
      <c r="Q3457" s="34" t="s">
        <v>1494</v>
      </c>
      <c r="R3457" s="34" t="s">
        <v>1494</v>
      </c>
    </row>
    <row r="3458" spans="1:18" ht="15" customHeight="1" x14ac:dyDescent="0.25">
      <c r="A3458" t="str">
        <f>IFERROR(RANK(B3458,$B:$B,1)+COUNTIF($B$1:B3457,B3458),"")</f>
        <v/>
      </c>
      <c r="B3458" t="str">
        <f>IFERROR(SEARCH(#REF!,Table4[[#This Row],[Commodity Title]],1),"")</f>
        <v/>
      </c>
      <c r="C3458" s="35">
        <v>42296606</v>
      </c>
      <c r="D3458" s="33" t="s">
        <v>1495</v>
      </c>
      <c r="E3458" s="33" t="s">
        <v>1496</v>
      </c>
      <c r="F3458" s="33" t="s">
        <v>1497</v>
      </c>
      <c r="G3458" s="33" t="s">
        <v>7062</v>
      </c>
      <c r="H3458" s="33" t="s">
        <v>7063</v>
      </c>
      <c r="I3458" s="33" t="s">
        <v>7064</v>
      </c>
      <c r="J3458" s="33">
        <v>203333</v>
      </c>
      <c r="K3458" s="33" t="s">
        <v>8538</v>
      </c>
      <c r="L3458" s="33" t="s">
        <v>8539</v>
      </c>
      <c r="M3458" s="33" t="s">
        <v>8540</v>
      </c>
      <c r="N3458" s="44">
        <v>42296606</v>
      </c>
      <c r="O3458" s="33" t="s">
        <v>8551</v>
      </c>
      <c r="P3458" s="33" t="s">
        <v>8552</v>
      </c>
      <c r="Q3458" s="34" t="s">
        <v>1494</v>
      </c>
      <c r="R3458" s="34" t="s">
        <v>1494</v>
      </c>
    </row>
    <row r="3459" spans="1:18" ht="15" customHeight="1" x14ac:dyDescent="0.25">
      <c r="A3459" t="str">
        <f>IFERROR(RANK(B3459,$B:$B,1)+COUNTIF($B$1:B3458,B3459),"")</f>
        <v/>
      </c>
      <c r="B3459" t="str">
        <f>IFERROR(SEARCH(#REF!,Table4[[#This Row],[Commodity Title]],1),"")</f>
        <v/>
      </c>
      <c r="C3459" s="35">
        <v>42296607</v>
      </c>
      <c r="D3459" s="33" t="s">
        <v>1495</v>
      </c>
      <c r="E3459" s="33" t="s">
        <v>1496</v>
      </c>
      <c r="F3459" s="33" t="s">
        <v>1497</v>
      </c>
      <c r="G3459" s="33" t="s">
        <v>7062</v>
      </c>
      <c r="H3459" s="33" t="s">
        <v>7063</v>
      </c>
      <c r="I3459" s="33" t="s">
        <v>7064</v>
      </c>
      <c r="J3459" s="33">
        <v>115614</v>
      </c>
      <c r="K3459" s="33" t="s">
        <v>8538</v>
      </c>
      <c r="L3459" s="33" t="s">
        <v>8539</v>
      </c>
      <c r="M3459" s="33" t="s">
        <v>8540</v>
      </c>
      <c r="N3459" s="44">
        <v>42296607</v>
      </c>
      <c r="O3459" s="33" t="s">
        <v>8553</v>
      </c>
      <c r="P3459" s="33" t="s">
        <v>8554</v>
      </c>
      <c r="Q3459" s="34" t="s">
        <v>1494</v>
      </c>
      <c r="R3459" s="34" t="s">
        <v>1494</v>
      </c>
    </row>
    <row r="3460" spans="1:18" ht="15" customHeight="1" x14ac:dyDescent="0.25">
      <c r="A3460" t="str">
        <f>IFERROR(RANK(B3460,$B:$B,1)+COUNTIF($B$1:B3459,B3460),"")</f>
        <v/>
      </c>
      <c r="B3460" t="str">
        <f>IFERROR(SEARCH(#REF!,Table4[[#This Row],[Commodity Title]],1),"")</f>
        <v/>
      </c>
      <c r="C3460" s="35">
        <v>42296608</v>
      </c>
      <c r="D3460" s="33" t="s">
        <v>1495</v>
      </c>
      <c r="E3460" s="33" t="s">
        <v>1496</v>
      </c>
      <c r="F3460" s="33" t="s">
        <v>1497</v>
      </c>
      <c r="G3460" s="33" t="s">
        <v>7062</v>
      </c>
      <c r="H3460" s="33" t="s">
        <v>7063</v>
      </c>
      <c r="I3460" s="33" t="s">
        <v>7064</v>
      </c>
      <c r="J3460" s="33">
        <v>203334</v>
      </c>
      <c r="K3460" s="33" t="s">
        <v>8538</v>
      </c>
      <c r="L3460" s="33" t="s">
        <v>8539</v>
      </c>
      <c r="M3460" s="33" t="s">
        <v>8540</v>
      </c>
      <c r="N3460" s="44">
        <v>42296608</v>
      </c>
      <c r="O3460" s="33" t="s">
        <v>8555</v>
      </c>
      <c r="P3460" s="33" t="s">
        <v>8556</v>
      </c>
      <c r="Q3460" s="34" t="s">
        <v>1494</v>
      </c>
      <c r="R3460" s="34" t="s">
        <v>1494</v>
      </c>
    </row>
    <row r="3461" spans="1:18" ht="15" customHeight="1" x14ac:dyDescent="0.25">
      <c r="A3461" t="str">
        <f>IFERROR(RANK(B3461,$B:$B,1)+COUNTIF($B$1:B3460,B3461),"")</f>
        <v/>
      </c>
      <c r="B3461" t="str">
        <f>IFERROR(SEARCH(#REF!,Table4[[#This Row],[Commodity Title]],1),"")</f>
        <v/>
      </c>
      <c r="C3461" s="35">
        <v>42296609</v>
      </c>
      <c r="D3461" s="33" t="s">
        <v>1495</v>
      </c>
      <c r="E3461" s="33" t="s">
        <v>1496</v>
      </c>
      <c r="F3461" s="33" t="s">
        <v>1497</v>
      </c>
      <c r="G3461" s="33" t="s">
        <v>7062</v>
      </c>
      <c r="H3461" s="33" t="s">
        <v>7063</v>
      </c>
      <c r="I3461" s="33" t="s">
        <v>7064</v>
      </c>
      <c r="J3461" s="33">
        <v>203335</v>
      </c>
      <c r="K3461" s="33" t="s">
        <v>8538</v>
      </c>
      <c r="L3461" s="33" t="s">
        <v>8539</v>
      </c>
      <c r="M3461" s="33" t="s">
        <v>8540</v>
      </c>
      <c r="N3461" s="44">
        <v>42296609</v>
      </c>
      <c r="O3461" s="33" t="s">
        <v>8557</v>
      </c>
      <c r="P3461" s="33" t="s">
        <v>8558</v>
      </c>
      <c r="Q3461" s="34" t="s">
        <v>1494</v>
      </c>
      <c r="R3461" s="34" t="s">
        <v>1494</v>
      </c>
    </row>
    <row r="3462" spans="1:18" ht="15" customHeight="1" x14ac:dyDescent="0.25">
      <c r="A3462" t="str">
        <f>IFERROR(RANK(B3462,$B:$B,1)+COUNTIF($B$1:B3461,B3462),"")</f>
        <v/>
      </c>
      <c r="B3462" t="str">
        <f>IFERROR(SEARCH(#REF!,Table4[[#This Row],[Commodity Title]],1),"")</f>
        <v/>
      </c>
      <c r="C3462" s="35">
        <v>42296610</v>
      </c>
      <c r="D3462" s="33" t="s">
        <v>1495</v>
      </c>
      <c r="E3462" s="33" t="s">
        <v>1496</v>
      </c>
      <c r="F3462" s="33" t="s">
        <v>1497</v>
      </c>
      <c r="G3462" s="33" t="s">
        <v>7062</v>
      </c>
      <c r="H3462" s="33" t="s">
        <v>7063</v>
      </c>
      <c r="I3462" s="33" t="s">
        <v>7064</v>
      </c>
      <c r="J3462" s="33">
        <v>203336</v>
      </c>
      <c r="K3462" s="33" t="s">
        <v>8538</v>
      </c>
      <c r="L3462" s="33" t="s">
        <v>8539</v>
      </c>
      <c r="M3462" s="33" t="s">
        <v>8540</v>
      </c>
      <c r="N3462" s="44">
        <v>42296610</v>
      </c>
      <c r="O3462" s="33" t="s">
        <v>8559</v>
      </c>
      <c r="P3462" s="33" t="s">
        <v>8560</v>
      </c>
      <c r="Q3462" s="34" t="s">
        <v>1494</v>
      </c>
      <c r="R3462" s="34" t="s">
        <v>1494</v>
      </c>
    </row>
    <row r="3463" spans="1:18" ht="15" customHeight="1" x14ac:dyDescent="0.25">
      <c r="A3463" t="str">
        <f>IFERROR(RANK(B3463,$B:$B,1)+COUNTIF($B$1:B3462,B3463),"")</f>
        <v/>
      </c>
      <c r="B3463" t="str">
        <f>IFERROR(SEARCH(#REF!,Table4[[#This Row],[Commodity Title]],1),"")</f>
        <v/>
      </c>
      <c r="C3463" s="35">
        <v>42296611</v>
      </c>
      <c r="D3463" s="33" t="s">
        <v>1495</v>
      </c>
      <c r="E3463" s="33" t="s">
        <v>1496</v>
      </c>
      <c r="F3463" s="33" t="s">
        <v>1497</v>
      </c>
      <c r="G3463" s="33" t="s">
        <v>7062</v>
      </c>
      <c r="H3463" s="33" t="s">
        <v>7063</v>
      </c>
      <c r="I3463" s="33" t="s">
        <v>7064</v>
      </c>
      <c r="J3463" s="33">
        <v>203337</v>
      </c>
      <c r="K3463" s="33" t="s">
        <v>8538</v>
      </c>
      <c r="L3463" s="33" t="s">
        <v>8539</v>
      </c>
      <c r="M3463" s="33" t="s">
        <v>8540</v>
      </c>
      <c r="N3463" s="44">
        <v>42296611</v>
      </c>
      <c r="O3463" s="33" t="s">
        <v>8561</v>
      </c>
      <c r="P3463" s="33" t="s">
        <v>8562</v>
      </c>
      <c r="Q3463" s="34" t="s">
        <v>1494</v>
      </c>
      <c r="R3463" s="34" t="s">
        <v>1494</v>
      </c>
    </row>
    <row r="3464" spans="1:18" ht="15" customHeight="1" x14ac:dyDescent="0.25">
      <c r="A3464" t="str">
        <f>IFERROR(RANK(B3464,$B:$B,1)+COUNTIF($B$1:B3463,B3464),"")</f>
        <v/>
      </c>
      <c r="B3464" t="str">
        <f>IFERROR(SEARCH(#REF!,Table4[[#This Row],[Commodity Title]],1),"")</f>
        <v/>
      </c>
      <c r="C3464" s="35">
        <v>42296612</v>
      </c>
      <c r="D3464" s="33" t="s">
        <v>1495</v>
      </c>
      <c r="E3464" s="33" t="s">
        <v>1496</v>
      </c>
      <c r="F3464" s="33" t="s">
        <v>1497</v>
      </c>
      <c r="G3464" s="33" t="s">
        <v>7062</v>
      </c>
      <c r="H3464" s="33" t="s">
        <v>7063</v>
      </c>
      <c r="I3464" s="33" t="s">
        <v>7064</v>
      </c>
      <c r="J3464" s="33">
        <v>203338</v>
      </c>
      <c r="K3464" s="33" t="s">
        <v>8538</v>
      </c>
      <c r="L3464" s="33" t="s">
        <v>8539</v>
      </c>
      <c r="M3464" s="33" t="s">
        <v>8540</v>
      </c>
      <c r="N3464" s="44">
        <v>42296612</v>
      </c>
      <c r="O3464" s="33" t="s">
        <v>8563</v>
      </c>
      <c r="P3464" s="33" t="s">
        <v>8564</v>
      </c>
      <c r="Q3464" s="34" t="s">
        <v>1494</v>
      </c>
      <c r="R3464" s="34" t="s">
        <v>1494</v>
      </c>
    </row>
    <row r="3465" spans="1:18" ht="15" customHeight="1" x14ac:dyDescent="0.25">
      <c r="A3465" t="str">
        <f>IFERROR(RANK(B3465,$B:$B,1)+COUNTIF($B$1:B3464,B3465),"")</f>
        <v/>
      </c>
      <c r="B3465" t="str">
        <f>IFERROR(SEARCH(#REF!,Table4[[#This Row],[Commodity Title]],1),"")</f>
        <v/>
      </c>
      <c r="C3465" s="35">
        <v>42296613</v>
      </c>
      <c r="D3465" s="33" t="s">
        <v>1495</v>
      </c>
      <c r="E3465" s="33" t="s">
        <v>1496</v>
      </c>
      <c r="F3465" s="33" t="s">
        <v>1497</v>
      </c>
      <c r="G3465" s="33" t="s">
        <v>7062</v>
      </c>
      <c r="H3465" s="33" t="s">
        <v>7063</v>
      </c>
      <c r="I3465" s="33" t="s">
        <v>7064</v>
      </c>
      <c r="J3465" s="33">
        <v>115613</v>
      </c>
      <c r="K3465" s="33" t="s">
        <v>8538</v>
      </c>
      <c r="L3465" s="33" t="s">
        <v>8539</v>
      </c>
      <c r="M3465" s="33" t="s">
        <v>8540</v>
      </c>
      <c r="N3465" s="44">
        <v>42296613</v>
      </c>
      <c r="O3465" s="33" t="s">
        <v>8565</v>
      </c>
      <c r="P3465" s="33" t="s">
        <v>8566</v>
      </c>
      <c r="Q3465" s="34" t="s">
        <v>1494</v>
      </c>
      <c r="R3465" s="34" t="s">
        <v>1494</v>
      </c>
    </row>
    <row r="3466" spans="1:18" ht="15" customHeight="1" x14ac:dyDescent="0.25">
      <c r="A3466" t="str">
        <f>IFERROR(RANK(B3466,$B:$B,1)+COUNTIF($B$1:B3465,B3466),"")</f>
        <v/>
      </c>
      <c r="B3466" t="str">
        <f>IFERROR(SEARCH(#REF!,Table4[[#This Row],[Commodity Title]],1),"")</f>
        <v/>
      </c>
      <c r="C3466" s="35">
        <v>42296614</v>
      </c>
      <c r="D3466" s="33" t="s">
        <v>1495</v>
      </c>
      <c r="E3466" s="33" t="s">
        <v>1496</v>
      </c>
      <c r="F3466" s="33" t="s">
        <v>1497</v>
      </c>
      <c r="G3466" s="33" t="s">
        <v>7062</v>
      </c>
      <c r="H3466" s="33" t="s">
        <v>7063</v>
      </c>
      <c r="I3466" s="33" t="s">
        <v>7064</v>
      </c>
      <c r="J3466" s="33">
        <v>203339</v>
      </c>
      <c r="K3466" s="33" t="s">
        <v>8538</v>
      </c>
      <c r="L3466" s="33" t="s">
        <v>8539</v>
      </c>
      <c r="M3466" s="33" t="s">
        <v>8540</v>
      </c>
      <c r="N3466" s="44">
        <v>42296614</v>
      </c>
      <c r="O3466" s="33" t="s">
        <v>8567</v>
      </c>
      <c r="P3466" s="33" t="s">
        <v>8568</v>
      </c>
      <c r="Q3466" s="34" t="s">
        <v>1494</v>
      </c>
      <c r="R3466" s="34" t="s">
        <v>1494</v>
      </c>
    </row>
    <row r="3467" spans="1:18" ht="15" customHeight="1" x14ac:dyDescent="0.25">
      <c r="A3467" t="str">
        <f>IFERROR(RANK(B3467,$B:$B,1)+COUNTIF($B$1:B3466,B3467),"")</f>
        <v/>
      </c>
      <c r="B3467" t="str">
        <f>IFERROR(SEARCH(#REF!,Table4[[#This Row],[Commodity Title]],1),"")</f>
        <v/>
      </c>
      <c r="C3467" s="35">
        <v>42296615</v>
      </c>
      <c r="D3467" s="33" t="s">
        <v>1495</v>
      </c>
      <c r="E3467" s="33" t="s">
        <v>1496</v>
      </c>
      <c r="F3467" s="33" t="s">
        <v>1497</v>
      </c>
      <c r="G3467" s="33" t="s">
        <v>7062</v>
      </c>
      <c r="H3467" s="33" t="s">
        <v>7063</v>
      </c>
      <c r="I3467" s="33" t="s">
        <v>7064</v>
      </c>
      <c r="J3467" s="33">
        <v>115612</v>
      </c>
      <c r="K3467" s="33" t="s">
        <v>8538</v>
      </c>
      <c r="L3467" s="33" t="s">
        <v>8539</v>
      </c>
      <c r="M3467" s="33" t="s">
        <v>8540</v>
      </c>
      <c r="N3467" s="44">
        <v>42296615</v>
      </c>
      <c r="O3467" s="33" t="s">
        <v>8569</v>
      </c>
      <c r="P3467" s="33" t="s">
        <v>8570</v>
      </c>
      <c r="Q3467" s="34" t="s">
        <v>1494</v>
      </c>
      <c r="R3467" s="34" t="s">
        <v>1494</v>
      </c>
    </row>
    <row r="3468" spans="1:18" ht="15" customHeight="1" x14ac:dyDescent="0.25">
      <c r="A3468" t="str">
        <f>IFERROR(RANK(B3468,$B:$B,1)+COUNTIF($B$1:B3467,B3468),"")</f>
        <v/>
      </c>
      <c r="B3468" t="str">
        <f>IFERROR(SEARCH(#REF!,Table4[[#This Row],[Commodity Title]],1),"")</f>
        <v/>
      </c>
      <c r="C3468" s="33" t="s">
        <v>1494</v>
      </c>
      <c r="D3468" s="33" t="s">
        <v>1495</v>
      </c>
      <c r="E3468" s="33" t="s">
        <v>1496</v>
      </c>
      <c r="F3468" s="33" t="s">
        <v>1497</v>
      </c>
      <c r="G3468" s="33" t="s">
        <v>7062</v>
      </c>
      <c r="H3468" s="33" t="s">
        <v>7063</v>
      </c>
      <c r="I3468" s="33" t="s">
        <v>7064</v>
      </c>
      <c r="J3468" s="33">
        <v>203340</v>
      </c>
      <c r="K3468" s="33" t="s">
        <v>8571</v>
      </c>
      <c r="L3468" s="33" t="s">
        <v>8572</v>
      </c>
      <c r="M3468" s="33" t="s">
        <v>8573</v>
      </c>
      <c r="N3468" s="44" t="s">
        <v>1494</v>
      </c>
      <c r="O3468" s="33" t="s">
        <v>1494</v>
      </c>
      <c r="P3468" s="33" t="s">
        <v>1494</v>
      </c>
      <c r="Q3468" s="34" t="s">
        <v>1494</v>
      </c>
      <c r="R3468" s="34" t="s">
        <v>1494</v>
      </c>
    </row>
    <row r="3469" spans="1:18" ht="15" customHeight="1" x14ac:dyDescent="0.25">
      <c r="A3469" t="str">
        <f>IFERROR(RANK(B3469,$B:$B,1)+COUNTIF($B$1:B3468,B3469),"")</f>
        <v/>
      </c>
      <c r="B3469" t="str">
        <f>IFERROR(SEARCH(#REF!,Table4[[#This Row],[Commodity Title]],1),"")</f>
        <v/>
      </c>
      <c r="C3469" s="35">
        <v>42296701</v>
      </c>
      <c r="D3469" s="33" t="s">
        <v>1495</v>
      </c>
      <c r="E3469" s="33" t="s">
        <v>1496</v>
      </c>
      <c r="F3469" s="33" t="s">
        <v>1497</v>
      </c>
      <c r="G3469" s="33" t="s">
        <v>7062</v>
      </c>
      <c r="H3469" s="33" t="s">
        <v>7063</v>
      </c>
      <c r="I3469" s="33" t="s">
        <v>7064</v>
      </c>
      <c r="J3469" s="33">
        <v>142866</v>
      </c>
      <c r="K3469" s="33" t="s">
        <v>8571</v>
      </c>
      <c r="L3469" s="33" t="s">
        <v>8572</v>
      </c>
      <c r="M3469" s="33" t="s">
        <v>8573</v>
      </c>
      <c r="N3469" s="44">
        <v>42296701</v>
      </c>
      <c r="O3469" s="33" t="s">
        <v>8574</v>
      </c>
      <c r="P3469" s="33" t="s">
        <v>8575</v>
      </c>
      <c r="Q3469" s="34" t="s">
        <v>1494</v>
      </c>
      <c r="R3469" s="34" t="s">
        <v>1494</v>
      </c>
    </row>
    <row r="3470" spans="1:18" ht="15" customHeight="1" x14ac:dyDescent="0.25">
      <c r="A3470" t="str">
        <f>IFERROR(RANK(B3470,$B:$B,1)+COUNTIF($B$1:B3469,B3470),"")</f>
        <v/>
      </c>
      <c r="B3470" t="str">
        <f>IFERROR(SEARCH(#REF!,Table4[[#This Row],[Commodity Title]],1),"")</f>
        <v/>
      </c>
      <c r="C3470" s="35">
        <v>42296702</v>
      </c>
      <c r="D3470" s="33" t="s">
        <v>1495</v>
      </c>
      <c r="E3470" s="33" t="s">
        <v>1496</v>
      </c>
      <c r="F3470" s="33" t="s">
        <v>1497</v>
      </c>
      <c r="G3470" s="33" t="s">
        <v>7062</v>
      </c>
      <c r="H3470" s="33" t="s">
        <v>7063</v>
      </c>
      <c r="I3470" s="33" t="s">
        <v>7064</v>
      </c>
      <c r="J3470" s="33">
        <v>166791</v>
      </c>
      <c r="K3470" s="33" t="s">
        <v>8571</v>
      </c>
      <c r="L3470" s="33" t="s">
        <v>8572</v>
      </c>
      <c r="M3470" s="33" t="s">
        <v>8573</v>
      </c>
      <c r="N3470" s="44">
        <v>42296702</v>
      </c>
      <c r="O3470" s="33" t="s">
        <v>8576</v>
      </c>
      <c r="P3470" s="33" t="s">
        <v>8577</v>
      </c>
      <c r="Q3470" s="34" t="s">
        <v>1494</v>
      </c>
      <c r="R3470" s="34" t="s">
        <v>1494</v>
      </c>
    </row>
    <row r="3471" spans="1:18" ht="15" customHeight="1" x14ac:dyDescent="0.25">
      <c r="A3471" t="str">
        <f>IFERROR(RANK(B3471,$B:$B,1)+COUNTIF($B$1:B3470,B3471),"")</f>
        <v/>
      </c>
      <c r="B3471" t="str">
        <f>IFERROR(SEARCH(#REF!,Table4[[#This Row],[Commodity Title]],1),"")</f>
        <v/>
      </c>
      <c r="C3471" s="35">
        <v>42296703</v>
      </c>
      <c r="D3471" s="33" t="s">
        <v>1495</v>
      </c>
      <c r="E3471" s="33" t="s">
        <v>1496</v>
      </c>
      <c r="F3471" s="33" t="s">
        <v>1497</v>
      </c>
      <c r="G3471" s="33" t="s">
        <v>7062</v>
      </c>
      <c r="H3471" s="33" t="s">
        <v>7063</v>
      </c>
      <c r="I3471" s="33" t="s">
        <v>7064</v>
      </c>
      <c r="J3471" s="33">
        <v>166792</v>
      </c>
      <c r="K3471" s="33" t="s">
        <v>8571</v>
      </c>
      <c r="L3471" s="33" t="s">
        <v>8572</v>
      </c>
      <c r="M3471" s="33" t="s">
        <v>8573</v>
      </c>
      <c r="N3471" s="44">
        <v>42296703</v>
      </c>
      <c r="O3471" s="33" t="s">
        <v>8578</v>
      </c>
      <c r="P3471" s="33" t="s">
        <v>8579</v>
      </c>
      <c r="Q3471" s="34" t="s">
        <v>1494</v>
      </c>
      <c r="R3471" s="34" t="s">
        <v>1494</v>
      </c>
    </row>
    <row r="3472" spans="1:18" ht="15" customHeight="1" x14ac:dyDescent="0.25">
      <c r="A3472" t="str">
        <f>IFERROR(RANK(B3472,$B:$B,1)+COUNTIF($B$1:B3471,B3472),"")</f>
        <v/>
      </c>
      <c r="B3472" t="str">
        <f>IFERROR(SEARCH(#REF!,Table4[[#This Row],[Commodity Title]],1),"")</f>
        <v/>
      </c>
      <c r="C3472" s="35">
        <v>42296704</v>
      </c>
      <c r="D3472" s="33" t="s">
        <v>1495</v>
      </c>
      <c r="E3472" s="33" t="s">
        <v>1496</v>
      </c>
      <c r="F3472" s="33" t="s">
        <v>1497</v>
      </c>
      <c r="G3472" s="33" t="s">
        <v>7062</v>
      </c>
      <c r="H3472" s="33" t="s">
        <v>7063</v>
      </c>
      <c r="I3472" s="33" t="s">
        <v>7064</v>
      </c>
      <c r="J3472" s="33">
        <v>166871</v>
      </c>
      <c r="K3472" s="33" t="s">
        <v>8571</v>
      </c>
      <c r="L3472" s="33" t="s">
        <v>8572</v>
      </c>
      <c r="M3472" s="33" t="s">
        <v>8573</v>
      </c>
      <c r="N3472" s="44">
        <v>42296704</v>
      </c>
      <c r="O3472" s="33" t="s">
        <v>8580</v>
      </c>
      <c r="P3472" s="33" t="s">
        <v>8581</v>
      </c>
      <c r="Q3472" s="34" t="s">
        <v>1494</v>
      </c>
      <c r="R3472" s="34" t="s">
        <v>1494</v>
      </c>
    </row>
    <row r="3473" spans="1:18" ht="15" customHeight="1" x14ac:dyDescent="0.25">
      <c r="A3473" t="str">
        <f>IFERROR(RANK(B3473,$B:$B,1)+COUNTIF($B$1:B3472,B3473),"")</f>
        <v/>
      </c>
      <c r="B3473" t="str">
        <f>IFERROR(SEARCH(#REF!,Table4[[#This Row],[Commodity Title]],1),"")</f>
        <v/>
      </c>
      <c r="C3473" s="35">
        <v>42296705</v>
      </c>
      <c r="D3473" s="33" t="s">
        <v>1495</v>
      </c>
      <c r="E3473" s="33" t="s">
        <v>1496</v>
      </c>
      <c r="F3473" s="33" t="s">
        <v>1497</v>
      </c>
      <c r="G3473" s="33" t="s">
        <v>7062</v>
      </c>
      <c r="H3473" s="33" t="s">
        <v>7063</v>
      </c>
      <c r="I3473" s="33" t="s">
        <v>7064</v>
      </c>
      <c r="J3473" s="33">
        <v>166790</v>
      </c>
      <c r="K3473" s="33" t="s">
        <v>8571</v>
      </c>
      <c r="L3473" s="33" t="s">
        <v>8572</v>
      </c>
      <c r="M3473" s="33" t="s">
        <v>8573</v>
      </c>
      <c r="N3473" s="44">
        <v>42296705</v>
      </c>
      <c r="O3473" s="33" t="s">
        <v>8582</v>
      </c>
      <c r="P3473" s="33" t="s">
        <v>8583</v>
      </c>
      <c r="Q3473" s="34" t="s">
        <v>1494</v>
      </c>
      <c r="R3473" s="34" t="s">
        <v>1494</v>
      </c>
    </row>
    <row r="3474" spans="1:18" ht="15" customHeight="1" x14ac:dyDescent="0.25">
      <c r="A3474" t="str">
        <f>IFERROR(RANK(B3474,$B:$B,1)+COUNTIF($B$1:B3473,B3474),"")</f>
        <v/>
      </c>
      <c r="B3474" t="str">
        <f>IFERROR(SEARCH(#REF!,Table4[[#This Row],[Commodity Title]],1),"")</f>
        <v/>
      </c>
      <c r="C3474" s="35">
        <v>42296706</v>
      </c>
      <c r="D3474" s="33" t="s">
        <v>1495</v>
      </c>
      <c r="E3474" s="33" t="s">
        <v>1496</v>
      </c>
      <c r="F3474" s="33" t="s">
        <v>1497</v>
      </c>
      <c r="G3474" s="33" t="s">
        <v>7062</v>
      </c>
      <c r="H3474" s="33" t="s">
        <v>7063</v>
      </c>
      <c r="I3474" s="33" t="s">
        <v>7064</v>
      </c>
      <c r="J3474" s="33">
        <v>203341</v>
      </c>
      <c r="K3474" s="33" t="s">
        <v>8571</v>
      </c>
      <c r="L3474" s="33" t="s">
        <v>8572</v>
      </c>
      <c r="M3474" s="33" t="s">
        <v>8573</v>
      </c>
      <c r="N3474" s="44">
        <v>42296706</v>
      </c>
      <c r="O3474" s="33" t="s">
        <v>8584</v>
      </c>
      <c r="P3474" s="33" t="s">
        <v>8585</v>
      </c>
      <c r="Q3474" s="34" t="s">
        <v>1494</v>
      </c>
      <c r="R3474" s="34" t="s">
        <v>1494</v>
      </c>
    </row>
    <row r="3475" spans="1:18" ht="15" customHeight="1" x14ac:dyDescent="0.25">
      <c r="A3475" t="str">
        <f>IFERROR(RANK(B3475,$B:$B,1)+COUNTIF($B$1:B3474,B3475),"")</f>
        <v/>
      </c>
      <c r="B3475" t="str">
        <f>IFERROR(SEARCH(#REF!,Table4[[#This Row],[Commodity Title]],1),"")</f>
        <v/>
      </c>
      <c r="C3475" s="35">
        <v>42296707</v>
      </c>
      <c r="D3475" s="33" t="s">
        <v>1495</v>
      </c>
      <c r="E3475" s="33" t="s">
        <v>1496</v>
      </c>
      <c r="F3475" s="33" t="s">
        <v>1497</v>
      </c>
      <c r="G3475" s="33" t="s">
        <v>7062</v>
      </c>
      <c r="H3475" s="33" t="s">
        <v>7063</v>
      </c>
      <c r="I3475" s="33" t="s">
        <v>7064</v>
      </c>
      <c r="J3475" s="33">
        <v>208354</v>
      </c>
      <c r="K3475" s="33" t="s">
        <v>8571</v>
      </c>
      <c r="L3475" s="33" t="s">
        <v>8572</v>
      </c>
      <c r="M3475" s="33" t="s">
        <v>8573</v>
      </c>
      <c r="N3475" s="44">
        <v>42296707</v>
      </c>
      <c r="O3475" s="33" t="s">
        <v>8586</v>
      </c>
      <c r="P3475" s="33" t="s">
        <v>8587</v>
      </c>
      <c r="Q3475" s="34" t="s">
        <v>1494</v>
      </c>
      <c r="R3475" s="34" t="s">
        <v>1494</v>
      </c>
    </row>
    <row r="3476" spans="1:18" ht="15" customHeight="1" x14ac:dyDescent="0.25">
      <c r="A3476" t="str">
        <f>IFERROR(RANK(B3476,$B:$B,1)+COUNTIF($B$1:B3475,B3476),"")</f>
        <v/>
      </c>
      <c r="B3476" t="str">
        <f>IFERROR(SEARCH(#REF!,Table4[[#This Row],[Commodity Title]],1),"")</f>
        <v/>
      </c>
      <c r="C3476" s="35">
        <v>42296708</v>
      </c>
      <c r="D3476" s="33" t="s">
        <v>1495</v>
      </c>
      <c r="E3476" s="33" t="s">
        <v>1496</v>
      </c>
      <c r="F3476" s="33" t="s">
        <v>1497</v>
      </c>
      <c r="G3476" s="33" t="s">
        <v>7062</v>
      </c>
      <c r="H3476" s="33" t="s">
        <v>7063</v>
      </c>
      <c r="I3476" s="33" t="s">
        <v>7064</v>
      </c>
      <c r="J3476" s="33">
        <v>208355</v>
      </c>
      <c r="K3476" s="33" t="s">
        <v>8571</v>
      </c>
      <c r="L3476" s="33" t="s">
        <v>8572</v>
      </c>
      <c r="M3476" s="33" t="s">
        <v>8573</v>
      </c>
      <c r="N3476" s="44">
        <v>42296708</v>
      </c>
      <c r="O3476" s="33" t="s">
        <v>8588</v>
      </c>
      <c r="P3476" s="33" t="s">
        <v>8589</v>
      </c>
      <c r="Q3476" s="34" t="s">
        <v>1494</v>
      </c>
      <c r="R3476" s="34" t="s">
        <v>1494</v>
      </c>
    </row>
    <row r="3477" spans="1:18" ht="15" customHeight="1" x14ac:dyDescent="0.25">
      <c r="A3477" t="str">
        <f>IFERROR(RANK(B3477,$B:$B,1)+COUNTIF($B$1:B3476,B3477),"")</f>
        <v/>
      </c>
      <c r="B3477" t="str">
        <f>IFERROR(SEARCH(#REF!,Table4[[#This Row],[Commodity Title]],1),"")</f>
        <v/>
      </c>
      <c r="C3477" s="33" t="s">
        <v>1494</v>
      </c>
      <c r="D3477" s="33" t="s">
        <v>1495</v>
      </c>
      <c r="E3477" s="33" t="s">
        <v>1496</v>
      </c>
      <c r="F3477" s="33" t="s">
        <v>1497</v>
      </c>
      <c r="G3477" s="33" t="s">
        <v>7062</v>
      </c>
      <c r="H3477" s="33" t="s">
        <v>7063</v>
      </c>
      <c r="I3477" s="33" t="s">
        <v>7064</v>
      </c>
      <c r="J3477" s="33">
        <v>203342</v>
      </c>
      <c r="K3477" s="33" t="s">
        <v>8590</v>
      </c>
      <c r="L3477" s="33" t="s">
        <v>8591</v>
      </c>
      <c r="M3477" s="33" t="s">
        <v>8592</v>
      </c>
      <c r="N3477" s="44" t="s">
        <v>1494</v>
      </c>
      <c r="O3477" s="33" t="s">
        <v>1494</v>
      </c>
      <c r="P3477" s="33" t="s">
        <v>1494</v>
      </c>
      <c r="Q3477" s="34" t="s">
        <v>1494</v>
      </c>
      <c r="R3477" s="34" t="s">
        <v>1494</v>
      </c>
    </row>
    <row r="3478" spans="1:18" ht="15" customHeight="1" x14ac:dyDescent="0.25">
      <c r="A3478" t="str">
        <f>IFERROR(RANK(B3478,$B:$B,1)+COUNTIF($B$1:B3477,B3478),"")</f>
        <v/>
      </c>
      <c r="B3478" t="str">
        <f>IFERROR(SEARCH(#REF!,Table4[[#This Row],[Commodity Title]],1),"")</f>
        <v/>
      </c>
      <c r="C3478" s="35">
        <v>42296801</v>
      </c>
      <c r="D3478" s="33" t="s">
        <v>1495</v>
      </c>
      <c r="E3478" s="33" t="s">
        <v>1496</v>
      </c>
      <c r="F3478" s="33" t="s">
        <v>1497</v>
      </c>
      <c r="G3478" s="33" t="s">
        <v>7062</v>
      </c>
      <c r="H3478" s="33" t="s">
        <v>7063</v>
      </c>
      <c r="I3478" s="33" t="s">
        <v>7064</v>
      </c>
      <c r="J3478" s="33">
        <v>203343</v>
      </c>
      <c r="K3478" s="33" t="s">
        <v>8590</v>
      </c>
      <c r="L3478" s="33" t="s">
        <v>8591</v>
      </c>
      <c r="M3478" s="33" t="s">
        <v>8592</v>
      </c>
      <c r="N3478" s="44">
        <v>42296801</v>
      </c>
      <c r="O3478" s="33" t="s">
        <v>8593</v>
      </c>
      <c r="P3478" s="33" t="s">
        <v>8594</v>
      </c>
      <c r="Q3478" s="34" t="s">
        <v>1494</v>
      </c>
      <c r="R3478" s="34" t="s">
        <v>1494</v>
      </c>
    </row>
    <row r="3479" spans="1:18" ht="15" customHeight="1" x14ac:dyDescent="0.25">
      <c r="A3479" t="str">
        <f>IFERROR(RANK(B3479,$B:$B,1)+COUNTIF($B$1:B3478,B3479),"")</f>
        <v/>
      </c>
      <c r="B3479" t="str">
        <f>IFERROR(SEARCH(#REF!,Table4[[#This Row],[Commodity Title]],1),"")</f>
        <v/>
      </c>
      <c r="C3479" s="35">
        <v>42296802</v>
      </c>
      <c r="D3479" s="33" t="s">
        <v>1495</v>
      </c>
      <c r="E3479" s="33" t="s">
        <v>1496</v>
      </c>
      <c r="F3479" s="33" t="s">
        <v>1497</v>
      </c>
      <c r="G3479" s="33" t="s">
        <v>7062</v>
      </c>
      <c r="H3479" s="33" t="s">
        <v>7063</v>
      </c>
      <c r="I3479" s="33" t="s">
        <v>7064</v>
      </c>
      <c r="J3479" s="33">
        <v>203344</v>
      </c>
      <c r="K3479" s="33" t="s">
        <v>8590</v>
      </c>
      <c r="L3479" s="33" t="s">
        <v>8591</v>
      </c>
      <c r="M3479" s="33" t="s">
        <v>8592</v>
      </c>
      <c r="N3479" s="44">
        <v>42296802</v>
      </c>
      <c r="O3479" s="33" t="s">
        <v>8595</v>
      </c>
      <c r="P3479" s="33" t="s">
        <v>8596</v>
      </c>
      <c r="Q3479" s="34" t="s">
        <v>1494</v>
      </c>
      <c r="R3479" s="34" t="s">
        <v>1494</v>
      </c>
    </row>
    <row r="3480" spans="1:18" ht="15" customHeight="1" x14ac:dyDescent="0.25">
      <c r="A3480" t="str">
        <f>IFERROR(RANK(B3480,$B:$B,1)+COUNTIF($B$1:B3479,B3480),"")</f>
        <v/>
      </c>
      <c r="B3480" t="str">
        <f>IFERROR(SEARCH(#REF!,Table4[[#This Row],[Commodity Title]],1),"")</f>
        <v/>
      </c>
      <c r="C3480" s="35">
        <v>42296803</v>
      </c>
      <c r="D3480" s="33" t="s">
        <v>1495</v>
      </c>
      <c r="E3480" s="33" t="s">
        <v>1496</v>
      </c>
      <c r="F3480" s="33" t="s">
        <v>1497</v>
      </c>
      <c r="G3480" s="33" t="s">
        <v>7062</v>
      </c>
      <c r="H3480" s="33" t="s">
        <v>7063</v>
      </c>
      <c r="I3480" s="33" t="s">
        <v>7064</v>
      </c>
      <c r="J3480" s="33">
        <v>203345</v>
      </c>
      <c r="K3480" s="33" t="s">
        <v>8590</v>
      </c>
      <c r="L3480" s="33" t="s">
        <v>8591</v>
      </c>
      <c r="M3480" s="33" t="s">
        <v>8592</v>
      </c>
      <c r="N3480" s="44">
        <v>42296803</v>
      </c>
      <c r="O3480" s="33" t="s">
        <v>8597</v>
      </c>
      <c r="P3480" s="33" t="s">
        <v>8598</v>
      </c>
      <c r="Q3480" s="34" t="s">
        <v>1494</v>
      </c>
      <c r="R3480" s="34" t="s">
        <v>1494</v>
      </c>
    </row>
    <row r="3481" spans="1:18" ht="15" customHeight="1" x14ac:dyDescent="0.25">
      <c r="A3481" t="str">
        <f>IFERROR(RANK(B3481,$B:$B,1)+COUNTIF($B$1:B3480,B3481),"")</f>
        <v/>
      </c>
      <c r="B3481" t="str">
        <f>IFERROR(SEARCH(#REF!,Table4[[#This Row],[Commodity Title]],1),"")</f>
        <v/>
      </c>
      <c r="C3481" s="35">
        <v>42296804</v>
      </c>
      <c r="D3481" s="33" t="s">
        <v>1495</v>
      </c>
      <c r="E3481" s="33" t="s">
        <v>1496</v>
      </c>
      <c r="F3481" s="33" t="s">
        <v>1497</v>
      </c>
      <c r="G3481" s="33" t="s">
        <v>7062</v>
      </c>
      <c r="H3481" s="33" t="s">
        <v>7063</v>
      </c>
      <c r="I3481" s="33" t="s">
        <v>7064</v>
      </c>
      <c r="J3481" s="33">
        <v>203346</v>
      </c>
      <c r="K3481" s="33" t="s">
        <v>8590</v>
      </c>
      <c r="L3481" s="33" t="s">
        <v>8591</v>
      </c>
      <c r="M3481" s="33" t="s">
        <v>8592</v>
      </c>
      <c r="N3481" s="44">
        <v>42296804</v>
      </c>
      <c r="O3481" s="33" t="s">
        <v>8599</v>
      </c>
      <c r="P3481" s="33" t="s">
        <v>8600</v>
      </c>
      <c r="Q3481" s="34" t="s">
        <v>1494</v>
      </c>
      <c r="R3481" s="34" t="s">
        <v>1494</v>
      </c>
    </row>
    <row r="3482" spans="1:18" ht="15" customHeight="1" x14ac:dyDescent="0.25">
      <c r="A3482" t="str">
        <f>IFERROR(RANK(B3482,$B:$B,1)+COUNTIF($B$1:B3481,B3482),"")</f>
        <v/>
      </c>
      <c r="B3482" t="str">
        <f>IFERROR(SEARCH(#REF!,Table4[[#This Row],[Commodity Title]],1),"")</f>
        <v/>
      </c>
      <c r="C3482" s="35">
        <v>42296805</v>
      </c>
      <c r="D3482" s="33" t="s">
        <v>1495</v>
      </c>
      <c r="E3482" s="33" t="s">
        <v>1496</v>
      </c>
      <c r="F3482" s="33" t="s">
        <v>1497</v>
      </c>
      <c r="G3482" s="33" t="s">
        <v>7062</v>
      </c>
      <c r="H3482" s="33" t="s">
        <v>7063</v>
      </c>
      <c r="I3482" s="33" t="s">
        <v>7064</v>
      </c>
      <c r="J3482" s="33">
        <v>203347</v>
      </c>
      <c r="K3482" s="33" t="s">
        <v>8590</v>
      </c>
      <c r="L3482" s="33" t="s">
        <v>8591</v>
      </c>
      <c r="M3482" s="33" t="s">
        <v>8592</v>
      </c>
      <c r="N3482" s="44">
        <v>42296805</v>
      </c>
      <c r="O3482" s="33" t="s">
        <v>8601</v>
      </c>
      <c r="P3482" s="33" t="s">
        <v>8602</v>
      </c>
      <c r="Q3482" s="34" t="s">
        <v>1494</v>
      </c>
      <c r="R3482" s="34" t="s">
        <v>1494</v>
      </c>
    </row>
    <row r="3483" spans="1:18" ht="15" customHeight="1" x14ac:dyDescent="0.25">
      <c r="A3483" t="str">
        <f>IFERROR(RANK(B3483,$B:$B,1)+COUNTIF($B$1:B3482,B3483),"")</f>
        <v/>
      </c>
      <c r="B3483" t="str">
        <f>IFERROR(SEARCH(#REF!,Table4[[#This Row],[Commodity Title]],1),"")</f>
        <v/>
      </c>
      <c r="C3483" s="35">
        <v>42296806</v>
      </c>
      <c r="D3483" s="33" t="s">
        <v>1495</v>
      </c>
      <c r="E3483" s="33" t="s">
        <v>1496</v>
      </c>
      <c r="F3483" s="33" t="s">
        <v>1497</v>
      </c>
      <c r="G3483" s="33" t="s">
        <v>7062</v>
      </c>
      <c r="H3483" s="33" t="s">
        <v>7063</v>
      </c>
      <c r="I3483" s="33" t="s">
        <v>7064</v>
      </c>
      <c r="J3483" s="33">
        <v>203348</v>
      </c>
      <c r="K3483" s="33" t="s">
        <v>8590</v>
      </c>
      <c r="L3483" s="33" t="s">
        <v>8591</v>
      </c>
      <c r="M3483" s="33" t="s">
        <v>8592</v>
      </c>
      <c r="N3483" s="44">
        <v>42296806</v>
      </c>
      <c r="O3483" s="33" t="s">
        <v>8603</v>
      </c>
      <c r="P3483" s="33" t="s">
        <v>8604</v>
      </c>
      <c r="Q3483" s="34" t="s">
        <v>1494</v>
      </c>
      <c r="R3483" s="34" t="s">
        <v>1494</v>
      </c>
    </row>
    <row r="3484" spans="1:18" ht="15" customHeight="1" x14ac:dyDescent="0.25">
      <c r="A3484" t="str">
        <f>IFERROR(RANK(B3484,$B:$B,1)+COUNTIF($B$1:B3483,B3484),"")</f>
        <v/>
      </c>
      <c r="B3484" t="str">
        <f>IFERROR(SEARCH(#REF!,Table4[[#This Row],[Commodity Title]],1),"")</f>
        <v/>
      </c>
      <c r="C3484" s="35">
        <v>42296807</v>
      </c>
      <c r="D3484" s="33" t="s">
        <v>1495</v>
      </c>
      <c r="E3484" s="33" t="s">
        <v>1496</v>
      </c>
      <c r="F3484" s="33" t="s">
        <v>1497</v>
      </c>
      <c r="G3484" s="33" t="s">
        <v>7062</v>
      </c>
      <c r="H3484" s="33" t="s">
        <v>7063</v>
      </c>
      <c r="I3484" s="33" t="s">
        <v>7064</v>
      </c>
      <c r="J3484" s="33">
        <v>203349</v>
      </c>
      <c r="K3484" s="33" t="s">
        <v>8590</v>
      </c>
      <c r="L3484" s="33" t="s">
        <v>8591</v>
      </c>
      <c r="M3484" s="33" t="s">
        <v>8592</v>
      </c>
      <c r="N3484" s="44">
        <v>42296807</v>
      </c>
      <c r="O3484" s="33" t="s">
        <v>8605</v>
      </c>
      <c r="P3484" s="33" t="s">
        <v>8606</v>
      </c>
      <c r="Q3484" s="34" t="s">
        <v>1494</v>
      </c>
      <c r="R3484" s="34" t="s">
        <v>1494</v>
      </c>
    </row>
    <row r="3485" spans="1:18" ht="15" customHeight="1" x14ac:dyDescent="0.25">
      <c r="A3485" t="str">
        <f>IFERROR(RANK(B3485,$B:$B,1)+COUNTIF($B$1:B3484,B3485),"")</f>
        <v/>
      </c>
      <c r="B3485" t="str">
        <f>IFERROR(SEARCH(#REF!,Table4[[#This Row],[Commodity Title]],1),"")</f>
        <v/>
      </c>
      <c r="C3485" s="35">
        <v>42296808</v>
      </c>
      <c r="D3485" s="33" t="s">
        <v>1495</v>
      </c>
      <c r="E3485" s="33" t="s">
        <v>1496</v>
      </c>
      <c r="F3485" s="33" t="s">
        <v>1497</v>
      </c>
      <c r="G3485" s="33" t="s">
        <v>7062</v>
      </c>
      <c r="H3485" s="33" t="s">
        <v>7063</v>
      </c>
      <c r="I3485" s="33" t="s">
        <v>7064</v>
      </c>
      <c r="J3485" s="33">
        <v>203350</v>
      </c>
      <c r="K3485" s="33" t="s">
        <v>8590</v>
      </c>
      <c r="L3485" s="33" t="s">
        <v>8591</v>
      </c>
      <c r="M3485" s="33" t="s">
        <v>8592</v>
      </c>
      <c r="N3485" s="44">
        <v>42296808</v>
      </c>
      <c r="O3485" s="33" t="s">
        <v>8607</v>
      </c>
      <c r="P3485" s="33" t="s">
        <v>8608</v>
      </c>
      <c r="Q3485" s="34" t="s">
        <v>1494</v>
      </c>
      <c r="R3485" s="34" t="s">
        <v>1494</v>
      </c>
    </row>
    <row r="3486" spans="1:18" ht="15" customHeight="1" x14ac:dyDescent="0.25">
      <c r="A3486" t="str">
        <f>IFERROR(RANK(B3486,$B:$B,1)+COUNTIF($B$1:B3485,B3486),"")</f>
        <v/>
      </c>
      <c r="B3486" t="str">
        <f>IFERROR(SEARCH(#REF!,Table4[[#This Row],[Commodity Title]],1),"")</f>
        <v/>
      </c>
      <c r="C3486" s="35">
        <v>42296809</v>
      </c>
      <c r="D3486" s="33" t="s">
        <v>1495</v>
      </c>
      <c r="E3486" s="33" t="s">
        <v>1496</v>
      </c>
      <c r="F3486" s="33" t="s">
        <v>1497</v>
      </c>
      <c r="G3486" s="33" t="s">
        <v>7062</v>
      </c>
      <c r="H3486" s="33" t="s">
        <v>7063</v>
      </c>
      <c r="I3486" s="33" t="s">
        <v>7064</v>
      </c>
      <c r="J3486" s="33">
        <v>203351</v>
      </c>
      <c r="K3486" s="33" t="s">
        <v>8590</v>
      </c>
      <c r="L3486" s="33" t="s">
        <v>8591</v>
      </c>
      <c r="M3486" s="33" t="s">
        <v>8592</v>
      </c>
      <c r="N3486" s="44">
        <v>42296809</v>
      </c>
      <c r="O3486" s="33" t="s">
        <v>8609</v>
      </c>
      <c r="P3486" s="33" t="s">
        <v>8610</v>
      </c>
      <c r="Q3486" s="34" t="s">
        <v>1494</v>
      </c>
      <c r="R3486" s="34" t="s">
        <v>1494</v>
      </c>
    </row>
    <row r="3487" spans="1:18" ht="15" customHeight="1" x14ac:dyDescent="0.25">
      <c r="A3487" t="str">
        <f>IFERROR(RANK(B3487,$B:$B,1)+COUNTIF($B$1:B3486,B3487),"")</f>
        <v/>
      </c>
      <c r="B3487" t="str">
        <f>IFERROR(SEARCH(#REF!,Table4[[#This Row],[Commodity Title]],1),"")</f>
        <v/>
      </c>
      <c r="C3487" s="35">
        <v>42296810</v>
      </c>
      <c r="D3487" s="33" t="s">
        <v>1495</v>
      </c>
      <c r="E3487" s="33" t="s">
        <v>1496</v>
      </c>
      <c r="F3487" s="33" t="s">
        <v>1497</v>
      </c>
      <c r="G3487" s="33" t="s">
        <v>7062</v>
      </c>
      <c r="H3487" s="33" t="s">
        <v>7063</v>
      </c>
      <c r="I3487" s="33" t="s">
        <v>7064</v>
      </c>
      <c r="J3487" s="33">
        <v>203352</v>
      </c>
      <c r="K3487" s="33" t="s">
        <v>8590</v>
      </c>
      <c r="L3487" s="33" t="s">
        <v>8591</v>
      </c>
      <c r="M3487" s="33" t="s">
        <v>8592</v>
      </c>
      <c r="N3487" s="44">
        <v>42296810</v>
      </c>
      <c r="O3487" s="33" t="s">
        <v>8611</v>
      </c>
      <c r="P3487" s="33" t="s">
        <v>8612</v>
      </c>
      <c r="Q3487" s="34" t="s">
        <v>1494</v>
      </c>
      <c r="R3487" s="34" t="s">
        <v>1494</v>
      </c>
    </row>
    <row r="3488" spans="1:18" ht="15" customHeight="1" x14ac:dyDescent="0.25">
      <c r="A3488" t="str">
        <f>IFERROR(RANK(B3488,$B:$B,1)+COUNTIF($B$1:B3487,B3488),"")</f>
        <v/>
      </c>
      <c r="B3488" t="str">
        <f>IFERROR(SEARCH(#REF!,Table4[[#This Row],[Commodity Title]],1),"")</f>
        <v/>
      </c>
      <c r="C3488" s="35">
        <v>42296811</v>
      </c>
      <c r="D3488" s="33" t="s">
        <v>1495</v>
      </c>
      <c r="E3488" s="33" t="s">
        <v>1496</v>
      </c>
      <c r="F3488" s="33" t="s">
        <v>1497</v>
      </c>
      <c r="G3488" s="33" t="s">
        <v>7062</v>
      </c>
      <c r="H3488" s="33" t="s">
        <v>7063</v>
      </c>
      <c r="I3488" s="33" t="s">
        <v>7064</v>
      </c>
      <c r="J3488" s="33">
        <v>203353</v>
      </c>
      <c r="K3488" s="33" t="s">
        <v>8590</v>
      </c>
      <c r="L3488" s="33" t="s">
        <v>8591</v>
      </c>
      <c r="M3488" s="33" t="s">
        <v>8592</v>
      </c>
      <c r="N3488" s="44">
        <v>42296811</v>
      </c>
      <c r="O3488" s="33" t="s">
        <v>8613</v>
      </c>
      <c r="P3488" s="33" t="s">
        <v>8614</v>
      </c>
      <c r="Q3488" s="34" t="s">
        <v>1494</v>
      </c>
      <c r="R3488" s="34" t="s">
        <v>1494</v>
      </c>
    </row>
    <row r="3489" spans="1:18" ht="15" customHeight="1" x14ac:dyDescent="0.25">
      <c r="A3489" t="str">
        <f>IFERROR(RANK(B3489,$B:$B,1)+COUNTIF($B$1:B3488,B3489),"")</f>
        <v/>
      </c>
      <c r="B3489" t="str">
        <f>IFERROR(SEARCH(#REF!,Table4[[#This Row],[Commodity Title]],1),"")</f>
        <v/>
      </c>
      <c r="C3489" s="35">
        <v>42296812</v>
      </c>
      <c r="D3489" s="33" t="s">
        <v>1495</v>
      </c>
      <c r="E3489" s="33" t="s">
        <v>1496</v>
      </c>
      <c r="F3489" s="33" t="s">
        <v>1497</v>
      </c>
      <c r="G3489" s="33" t="s">
        <v>7062</v>
      </c>
      <c r="H3489" s="33" t="s">
        <v>7063</v>
      </c>
      <c r="I3489" s="33" t="s">
        <v>7064</v>
      </c>
      <c r="J3489" s="33">
        <v>203354</v>
      </c>
      <c r="K3489" s="33" t="s">
        <v>8590</v>
      </c>
      <c r="L3489" s="33" t="s">
        <v>8591</v>
      </c>
      <c r="M3489" s="33" t="s">
        <v>8592</v>
      </c>
      <c r="N3489" s="44">
        <v>42296812</v>
      </c>
      <c r="O3489" s="33" t="s">
        <v>8615</v>
      </c>
      <c r="P3489" s="33" t="s">
        <v>8616</v>
      </c>
      <c r="Q3489" s="34" t="s">
        <v>1494</v>
      </c>
      <c r="R3489" s="34" t="s">
        <v>1494</v>
      </c>
    </row>
    <row r="3490" spans="1:18" ht="15" customHeight="1" x14ac:dyDescent="0.25">
      <c r="A3490" t="str">
        <f>IFERROR(RANK(B3490,$B:$B,1)+COUNTIF($B$1:B3489,B3490),"")</f>
        <v/>
      </c>
      <c r="B3490" t="str">
        <f>IFERROR(SEARCH(#REF!,Table4[[#This Row],[Commodity Title]],1),"")</f>
        <v/>
      </c>
      <c r="C3490" s="35">
        <v>42296813</v>
      </c>
      <c r="D3490" s="33" t="s">
        <v>1495</v>
      </c>
      <c r="E3490" s="33" t="s">
        <v>1496</v>
      </c>
      <c r="F3490" s="33" t="s">
        <v>1497</v>
      </c>
      <c r="G3490" s="33" t="s">
        <v>7062</v>
      </c>
      <c r="H3490" s="33" t="s">
        <v>7063</v>
      </c>
      <c r="I3490" s="33" t="s">
        <v>7064</v>
      </c>
      <c r="J3490" s="33">
        <v>203355</v>
      </c>
      <c r="K3490" s="33" t="s">
        <v>8590</v>
      </c>
      <c r="L3490" s="33" t="s">
        <v>8591</v>
      </c>
      <c r="M3490" s="33" t="s">
        <v>8592</v>
      </c>
      <c r="N3490" s="44">
        <v>42296813</v>
      </c>
      <c r="O3490" s="33" t="s">
        <v>8617</v>
      </c>
      <c r="P3490" s="33" t="s">
        <v>8618</v>
      </c>
      <c r="Q3490" s="34" t="s">
        <v>1494</v>
      </c>
      <c r="R3490" s="34" t="s">
        <v>1494</v>
      </c>
    </row>
    <row r="3491" spans="1:18" ht="15" customHeight="1" x14ac:dyDescent="0.25">
      <c r="A3491" t="str">
        <f>IFERROR(RANK(B3491,$B:$B,1)+COUNTIF($B$1:B3490,B3491),"")</f>
        <v/>
      </c>
      <c r="B3491" t="str">
        <f>IFERROR(SEARCH(#REF!,Table4[[#This Row],[Commodity Title]],1),"")</f>
        <v/>
      </c>
      <c r="C3491" s="35">
        <v>42296814</v>
      </c>
      <c r="D3491" s="33" t="s">
        <v>1495</v>
      </c>
      <c r="E3491" s="33" t="s">
        <v>1496</v>
      </c>
      <c r="F3491" s="33" t="s">
        <v>1497</v>
      </c>
      <c r="G3491" s="33" t="s">
        <v>7062</v>
      </c>
      <c r="H3491" s="33" t="s">
        <v>7063</v>
      </c>
      <c r="I3491" s="33" t="s">
        <v>7064</v>
      </c>
      <c r="J3491" s="33">
        <v>203356</v>
      </c>
      <c r="K3491" s="33" t="s">
        <v>8590</v>
      </c>
      <c r="L3491" s="33" t="s">
        <v>8591</v>
      </c>
      <c r="M3491" s="33" t="s">
        <v>8592</v>
      </c>
      <c r="N3491" s="44">
        <v>42296814</v>
      </c>
      <c r="O3491" s="33" t="s">
        <v>8619</v>
      </c>
      <c r="P3491" s="33" t="s">
        <v>8620</v>
      </c>
      <c r="Q3491" s="34" t="s">
        <v>1494</v>
      </c>
      <c r="R3491" s="34" t="s">
        <v>1494</v>
      </c>
    </row>
    <row r="3492" spans="1:18" ht="15" customHeight="1" x14ac:dyDescent="0.25">
      <c r="A3492" t="str">
        <f>IFERROR(RANK(B3492,$B:$B,1)+COUNTIF($B$1:B3491,B3492),"")</f>
        <v/>
      </c>
      <c r="B3492" t="str">
        <f>IFERROR(SEARCH(#REF!,Table4[[#This Row],[Commodity Title]],1),"")</f>
        <v/>
      </c>
      <c r="C3492" s="35">
        <v>42296815</v>
      </c>
      <c r="D3492" s="33" t="s">
        <v>1495</v>
      </c>
      <c r="E3492" s="33" t="s">
        <v>1496</v>
      </c>
      <c r="F3492" s="33" t="s">
        <v>1497</v>
      </c>
      <c r="G3492" s="33" t="s">
        <v>7062</v>
      </c>
      <c r="H3492" s="33" t="s">
        <v>7063</v>
      </c>
      <c r="I3492" s="33" t="s">
        <v>7064</v>
      </c>
      <c r="J3492" s="33">
        <v>203357</v>
      </c>
      <c r="K3492" s="33" t="s">
        <v>8590</v>
      </c>
      <c r="L3492" s="33" t="s">
        <v>8591</v>
      </c>
      <c r="M3492" s="33" t="s">
        <v>8592</v>
      </c>
      <c r="N3492" s="44">
        <v>42296815</v>
      </c>
      <c r="O3492" s="33" t="s">
        <v>8621</v>
      </c>
      <c r="P3492" s="33" t="s">
        <v>8622</v>
      </c>
      <c r="Q3492" s="34" t="s">
        <v>1494</v>
      </c>
      <c r="R3492" s="34" t="s">
        <v>1494</v>
      </c>
    </row>
    <row r="3493" spans="1:18" ht="15" customHeight="1" x14ac:dyDescent="0.25">
      <c r="A3493" t="str">
        <f>IFERROR(RANK(B3493,$B:$B,1)+COUNTIF($B$1:B3492,B3493),"")</f>
        <v/>
      </c>
      <c r="B3493" t="str">
        <f>IFERROR(SEARCH(#REF!,Table4[[#This Row],[Commodity Title]],1),"")</f>
        <v/>
      </c>
      <c r="C3493" s="35">
        <v>42296816</v>
      </c>
      <c r="D3493" s="33" t="s">
        <v>1495</v>
      </c>
      <c r="E3493" s="33" t="s">
        <v>1496</v>
      </c>
      <c r="F3493" s="33" t="s">
        <v>1497</v>
      </c>
      <c r="G3493" s="33" t="s">
        <v>7062</v>
      </c>
      <c r="H3493" s="33" t="s">
        <v>7063</v>
      </c>
      <c r="I3493" s="33" t="s">
        <v>7064</v>
      </c>
      <c r="J3493" s="33">
        <v>203358</v>
      </c>
      <c r="K3493" s="33" t="s">
        <v>8590</v>
      </c>
      <c r="L3493" s="33" t="s">
        <v>8591</v>
      </c>
      <c r="M3493" s="33" t="s">
        <v>8592</v>
      </c>
      <c r="N3493" s="44">
        <v>42296816</v>
      </c>
      <c r="O3493" s="33" t="s">
        <v>25</v>
      </c>
      <c r="P3493" s="33" t="s">
        <v>8623</v>
      </c>
      <c r="Q3493" s="34" t="s">
        <v>1494</v>
      </c>
      <c r="R3493" s="34" t="s">
        <v>1494</v>
      </c>
    </row>
    <row r="3494" spans="1:18" ht="15" customHeight="1" x14ac:dyDescent="0.25">
      <c r="A3494" t="str">
        <f>IFERROR(RANK(B3494,$B:$B,1)+COUNTIF($B$1:B3493,B3494),"")</f>
        <v/>
      </c>
      <c r="B3494" t="str">
        <f>IFERROR(SEARCH(#REF!,Table4[[#This Row],[Commodity Title]],1),"")</f>
        <v/>
      </c>
      <c r="C3494" s="35">
        <v>42296817</v>
      </c>
      <c r="D3494" s="33" t="s">
        <v>1495</v>
      </c>
      <c r="E3494" s="33" t="s">
        <v>1496</v>
      </c>
      <c r="F3494" s="33" t="s">
        <v>1497</v>
      </c>
      <c r="G3494" s="33" t="s">
        <v>7062</v>
      </c>
      <c r="H3494" s="33" t="s">
        <v>7063</v>
      </c>
      <c r="I3494" s="33" t="s">
        <v>7064</v>
      </c>
      <c r="J3494" s="33">
        <v>203359</v>
      </c>
      <c r="K3494" s="33" t="s">
        <v>8590</v>
      </c>
      <c r="L3494" s="33" t="s">
        <v>8591</v>
      </c>
      <c r="M3494" s="33" t="s">
        <v>8592</v>
      </c>
      <c r="N3494" s="44">
        <v>42296817</v>
      </c>
      <c r="O3494" s="33" t="s">
        <v>8624</v>
      </c>
      <c r="P3494" s="33" t="s">
        <v>8625</v>
      </c>
      <c r="Q3494" s="34" t="s">
        <v>1494</v>
      </c>
      <c r="R3494" s="34" t="s">
        <v>1494</v>
      </c>
    </row>
    <row r="3495" spans="1:18" ht="15" customHeight="1" x14ac:dyDescent="0.25">
      <c r="A3495" t="str">
        <f>IFERROR(RANK(B3495,$B:$B,1)+COUNTIF($B$1:B3494,B3495),"")</f>
        <v/>
      </c>
      <c r="B3495" t="str">
        <f>IFERROR(SEARCH(#REF!,Table4[[#This Row],[Commodity Title]],1),"")</f>
        <v/>
      </c>
      <c r="C3495" s="35">
        <v>42296818</v>
      </c>
      <c r="D3495" s="33" t="s">
        <v>1495</v>
      </c>
      <c r="E3495" s="33" t="s">
        <v>1496</v>
      </c>
      <c r="F3495" s="33" t="s">
        <v>1497</v>
      </c>
      <c r="G3495" s="33" t="s">
        <v>7062</v>
      </c>
      <c r="H3495" s="33" t="s">
        <v>7063</v>
      </c>
      <c r="I3495" s="33" t="s">
        <v>7064</v>
      </c>
      <c r="J3495" s="33">
        <v>142852</v>
      </c>
      <c r="K3495" s="33" t="s">
        <v>8590</v>
      </c>
      <c r="L3495" s="33" t="s">
        <v>8591</v>
      </c>
      <c r="M3495" s="33" t="s">
        <v>8592</v>
      </c>
      <c r="N3495" s="44">
        <v>42296818</v>
      </c>
      <c r="O3495" s="33" t="s">
        <v>8626</v>
      </c>
      <c r="P3495" s="33" t="s">
        <v>8627</v>
      </c>
      <c r="Q3495" s="34" t="s">
        <v>1494</v>
      </c>
      <c r="R3495" s="34" t="s">
        <v>1494</v>
      </c>
    </row>
    <row r="3496" spans="1:18" ht="15" customHeight="1" x14ac:dyDescent="0.25">
      <c r="A3496" t="str">
        <f>IFERROR(RANK(B3496,$B:$B,1)+COUNTIF($B$1:B3495,B3496),"")</f>
        <v/>
      </c>
      <c r="B3496" t="str">
        <f>IFERROR(SEARCH(#REF!,Table4[[#This Row],[Commodity Title]],1),"")</f>
        <v/>
      </c>
      <c r="C3496" s="33" t="s">
        <v>1494</v>
      </c>
      <c r="D3496" s="33" t="s">
        <v>1495</v>
      </c>
      <c r="E3496" s="33" t="s">
        <v>1496</v>
      </c>
      <c r="F3496" s="33" t="s">
        <v>1497</v>
      </c>
      <c r="G3496" s="33" t="s">
        <v>8628</v>
      </c>
      <c r="H3496" s="33" t="s">
        <v>8629</v>
      </c>
      <c r="I3496" s="33" t="s">
        <v>8630</v>
      </c>
      <c r="J3496" s="33">
        <v>116476</v>
      </c>
      <c r="K3496" s="33" t="s">
        <v>1494</v>
      </c>
      <c r="L3496" s="33" t="s">
        <v>1494</v>
      </c>
      <c r="M3496" s="33" t="s">
        <v>1494</v>
      </c>
      <c r="N3496" s="44" t="s">
        <v>1494</v>
      </c>
      <c r="O3496" s="33" t="s">
        <v>1494</v>
      </c>
      <c r="P3496" s="33" t="s">
        <v>1494</v>
      </c>
      <c r="Q3496" s="34" t="s">
        <v>1494</v>
      </c>
      <c r="R3496" s="34" t="s">
        <v>1494</v>
      </c>
    </row>
    <row r="3497" spans="1:18" ht="15" customHeight="1" x14ac:dyDescent="0.25">
      <c r="A3497" t="str">
        <f>IFERROR(RANK(B3497,$B:$B,1)+COUNTIF($B$1:B3496,B3497),"")</f>
        <v/>
      </c>
      <c r="B3497" t="str">
        <f>IFERROR(SEARCH(#REF!,Table4[[#This Row],[Commodity Title]],1),"")</f>
        <v/>
      </c>
      <c r="C3497" s="33" t="s">
        <v>1494</v>
      </c>
      <c r="D3497" s="33" t="s">
        <v>1495</v>
      </c>
      <c r="E3497" s="33" t="s">
        <v>1496</v>
      </c>
      <c r="F3497" s="33" t="s">
        <v>1497</v>
      </c>
      <c r="G3497" s="33" t="s">
        <v>8628</v>
      </c>
      <c r="H3497" s="33" t="s">
        <v>8629</v>
      </c>
      <c r="I3497" s="33" t="s">
        <v>8630</v>
      </c>
      <c r="J3497" s="33">
        <v>116477</v>
      </c>
      <c r="K3497" s="33" t="s">
        <v>8631</v>
      </c>
      <c r="L3497" s="33" t="s">
        <v>8632</v>
      </c>
      <c r="M3497" s="33" t="s">
        <v>8633</v>
      </c>
      <c r="N3497" s="44" t="s">
        <v>1494</v>
      </c>
      <c r="O3497" s="33" t="s">
        <v>1494</v>
      </c>
      <c r="P3497" s="33" t="s">
        <v>1494</v>
      </c>
      <c r="Q3497" s="34" t="s">
        <v>1494</v>
      </c>
      <c r="R3497" s="34" t="s">
        <v>1494</v>
      </c>
    </row>
    <row r="3498" spans="1:18" ht="15" customHeight="1" x14ac:dyDescent="0.25">
      <c r="A3498" t="str">
        <f>IFERROR(RANK(B3498,$B:$B,1)+COUNTIF($B$1:B3497,B3498),"")</f>
        <v/>
      </c>
      <c r="B3498" t="str">
        <f>IFERROR(SEARCH(#REF!,Table4[[#This Row],[Commodity Title]],1),"")</f>
        <v/>
      </c>
      <c r="C3498" s="35">
        <v>42301501</v>
      </c>
      <c r="D3498" s="33" t="s">
        <v>1495</v>
      </c>
      <c r="E3498" s="33" t="s">
        <v>1496</v>
      </c>
      <c r="F3498" s="33" t="s">
        <v>1497</v>
      </c>
      <c r="G3498" s="33" t="s">
        <v>8628</v>
      </c>
      <c r="H3498" s="33" t="s">
        <v>8629</v>
      </c>
      <c r="I3498" s="33" t="s">
        <v>8630</v>
      </c>
      <c r="J3498" s="33">
        <v>116478</v>
      </c>
      <c r="K3498" s="33" t="s">
        <v>8631</v>
      </c>
      <c r="L3498" s="33" t="s">
        <v>8632</v>
      </c>
      <c r="M3498" s="33" t="s">
        <v>8633</v>
      </c>
      <c r="N3498" s="44">
        <v>42301501</v>
      </c>
      <c r="O3498" s="33" t="s">
        <v>8634</v>
      </c>
      <c r="P3498" s="33" t="s">
        <v>8635</v>
      </c>
      <c r="Q3498" s="34" t="s">
        <v>1494</v>
      </c>
      <c r="R3498" s="34" t="s">
        <v>1494</v>
      </c>
    </row>
    <row r="3499" spans="1:18" ht="15" customHeight="1" x14ac:dyDescent="0.25">
      <c r="A3499" t="str">
        <f>IFERROR(RANK(B3499,$B:$B,1)+COUNTIF($B$1:B3498,B3499),"")</f>
        <v/>
      </c>
      <c r="B3499" t="str">
        <f>IFERROR(SEARCH(#REF!,Table4[[#This Row],[Commodity Title]],1),"")</f>
        <v/>
      </c>
      <c r="C3499" s="35">
        <v>42301502</v>
      </c>
      <c r="D3499" s="33" t="s">
        <v>1495</v>
      </c>
      <c r="E3499" s="33" t="s">
        <v>1496</v>
      </c>
      <c r="F3499" s="33" t="s">
        <v>1497</v>
      </c>
      <c r="G3499" s="33" t="s">
        <v>8628</v>
      </c>
      <c r="H3499" s="33" t="s">
        <v>8629</v>
      </c>
      <c r="I3499" s="33" t="s">
        <v>8630</v>
      </c>
      <c r="J3499" s="33">
        <v>116479</v>
      </c>
      <c r="K3499" s="33" t="s">
        <v>8631</v>
      </c>
      <c r="L3499" s="33" t="s">
        <v>8632</v>
      </c>
      <c r="M3499" s="33" t="s">
        <v>8633</v>
      </c>
      <c r="N3499" s="44">
        <v>42301502</v>
      </c>
      <c r="O3499" s="33" t="s">
        <v>8636</v>
      </c>
      <c r="P3499" s="33" t="s">
        <v>8637</v>
      </c>
      <c r="Q3499" s="34" t="s">
        <v>1494</v>
      </c>
      <c r="R3499" s="34" t="s">
        <v>1494</v>
      </c>
    </row>
    <row r="3500" spans="1:18" ht="15" customHeight="1" x14ac:dyDescent="0.25">
      <c r="A3500" t="str">
        <f>IFERROR(RANK(B3500,$B:$B,1)+COUNTIF($B$1:B3499,B3500),"")</f>
        <v/>
      </c>
      <c r="B3500" t="str">
        <f>IFERROR(SEARCH(#REF!,Table4[[#This Row],[Commodity Title]],1),"")</f>
        <v/>
      </c>
      <c r="C3500" s="35">
        <v>42301503</v>
      </c>
      <c r="D3500" s="33" t="s">
        <v>1495</v>
      </c>
      <c r="E3500" s="33" t="s">
        <v>1496</v>
      </c>
      <c r="F3500" s="33" t="s">
        <v>1497</v>
      </c>
      <c r="G3500" s="33" t="s">
        <v>8628</v>
      </c>
      <c r="H3500" s="33" t="s">
        <v>8629</v>
      </c>
      <c r="I3500" s="33" t="s">
        <v>8630</v>
      </c>
      <c r="J3500" s="33">
        <v>116480</v>
      </c>
      <c r="K3500" s="33" t="s">
        <v>8631</v>
      </c>
      <c r="L3500" s="33" t="s">
        <v>8632</v>
      </c>
      <c r="M3500" s="33" t="s">
        <v>8633</v>
      </c>
      <c r="N3500" s="44">
        <v>42301503</v>
      </c>
      <c r="O3500" s="33" t="s">
        <v>8638</v>
      </c>
      <c r="P3500" s="33" t="s">
        <v>8639</v>
      </c>
      <c r="Q3500" s="34" t="s">
        <v>1494</v>
      </c>
      <c r="R3500" s="34" t="s">
        <v>1494</v>
      </c>
    </row>
    <row r="3501" spans="1:18" ht="15" customHeight="1" x14ac:dyDescent="0.25">
      <c r="A3501" t="str">
        <f>IFERROR(RANK(B3501,$B:$B,1)+COUNTIF($B$1:B3500,B3501),"")</f>
        <v/>
      </c>
      <c r="B3501" t="str">
        <f>IFERROR(SEARCH(#REF!,Table4[[#This Row],[Commodity Title]],1),"")</f>
        <v/>
      </c>
      <c r="C3501" s="35">
        <v>42301504</v>
      </c>
      <c r="D3501" s="33" t="s">
        <v>1495</v>
      </c>
      <c r="E3501" s="33" t="s">
        <v>1496</v>
      </c>
      <c r="F3501" s="33" t="s">
        <v>1497</v>
      </c>
      <c r="G3501" s="33" t="s">
        <v>8628</v>
      </c>
      <c r="H3501" s="33" t="s">
        <v>8629</v>
      </c>
      <c r="I3501" s="33" t="s">
        <v>8630</v>
      </c>
      <c r="J3501" s="33">
        <v>116481</v>
      </c>
      <c r="K3501" s="33" t="s">
        <v>8631</v>
      </c>
      <c r="L3501" s="33" t="s">
        <v>8632</v>
      </c>
      <c r="M3501" s="33" t="s">
        <v>8633</v>
      </c>
      <c r="N3501" s="44">
        <v>42301504</v>
      </c>
      <c r="O3501" s="33" t="s">
        <v>8640</v>
      </c>
      <c r="P3501" s="33" t="s">
        <v>8641</v>
      </c>
      <c r="Q3501" s="34" t="s">
        <v>1494</v>
      </c>
      <c r="R3501" s="34" t="s">
        <v>1494</v>
      </c>
    </row>
    <row r="3502" spans="1:18" ht="15" customHeight="1" x14ac:dyDescent="0.25">
      <c r="A3502" t="str">
        <f>IFERROR(RANK(B3502,$B:$B,1)+COUNTIF($B$1:B3501,B3502),"")</f>
        <v/>
      </c>
      <c r="B3502" t="str">
        <f>IFERROR(SEARCH(#REF!,Table4[[#This Row],[Commodity Title]],1),"")</f>
        <v/>
      </c>
      <c r="C3502" s="35">
        <v>42301505</v>
      </c>
      <c r="D3502" s="33" t="s">
        <v>1495</v>
      </c>
      <c r="E3502" s="33" t="s">
        <v>1496</v>
      </c>
      <c r="F3502" s="33" t="s">
        <v>1497</v>
      </c>
      <c r="G3502" s="33" t="s">
        <v>8628</v>
      </c>
      <c r="H3502" s="33" t="s">
        <v>8629</v>
      </c>
      <c r="I3502" s="33" t="s">
        <v>8630</v>
      </c>
      <c r="J3502" s="33">
        <v>116482</v>
      </c>
      <c r="K3502" s="33" t="s">
        <v>8631</v>
      </c>
      <c r="L3502" s="33" t="s">
        <v>8632</v>
      </c>
      <c r="M3502" s="33" t="s">
        <v>8633</v>
      </c>
      <c r="N3502" s="44">
        <v>42301505</v>
      </c>
      <c r="O3502" s="33" t="s">
        <v>8642</v>
      </c>
      <c r="P3502" s="33" t="s">
        <v>8643</v>
      </c>
      <c r="Q3502" s="34" t="s">
        <v>1494</v>
      </c>
      <c r="R3502" s="34" t="s">
        <v>1494</v>
      </c>
    </row>
    <row r="3503" spans="1:18" ht="15" customHeight="1" x14ac:dyDescent="0.25">
      <c r="A3503" t="str">
        <f>IFERROR(RANK(B3503,$B:$B,1)+COUNTIF($B$1:B3502,B3503),"")</f>
        <v/>
      </c>
      <c r="B3503" t="str">
        <f>IFERROR(SEARCH(#REF!,Table4[[#This Row],[Commodity Title]],1),"")</f>
        <v/>
      </c>
      <c r="C3503" s="35">
        <v>42301506</v>
      </c>
      <c r="D3503" s="33" t="s">
        <v>1495</v>
      </c>
      <c r="E3503" s="33" t="s">
        <v>1496</v>
      </c>
      <c r="F3503" s="33" t="s">
        <v>1497</v>
      </c>
      <c r="G3503" s="33" t="s">
        <v>8628</v>
      </c>
      <c r="H3503" s="33" t="s">
        <v>8629</v>
      </c>
      <c r="I3503" s="33" t="s">
        <v>8630</v>
      </c>
      <c r="J3503" s="33">
        <v>116483</v>
      </c>
      <c r="K3503" s="33" t="s">
        <v>8631</v>
      </c>
      <c r="L3503" s="33" t="s">
        <v>8632</v>
      </c>
      <c r="M3503" s="33" t="s">
        <v>8633</v>
      </c>
      <c r="N3503" s="44">
        <v>42301506</v>
      </c>
      <c r="O3503" s="33" t="s">
        <v>8644</v>
      </c>
      <c r="P3503" s="33" t="s">
        <v>8645</v>
      </c>
      <c r="Q3503" s="34" t="s">
        <v>1494</v>
      </c>
      <c r="R3503" s="34" t="s">
        <v>1494</v>
      </c>
    </row>
    <row r="3504" spans="1:18" ht="15" customHeight="1" x14ac:dyDescent="0.25">
      <c r="A3504" t="str">
        <f>IFERROR(RANK(B3504,$B:$B,1)+COUNTIF($B$1:B3503,B3504),"")</f>
        <v/>
      </c>
      <c r="B3504" t="str">
        <f>IFERROR(SEARCH(#REF!,Table4[[#This Row],[Commodity Title]],1),"")</f>
        <v/>
      </c>
      <c r="C3504" s="35">
        <v>42301507</v>
      </c>
      <c r="D3504" s="33" t="s">
        <v>1495</v>
      </c>
      <c r="E3504" s="33" t="s">
        <v>1496</v>
      </c>
      <c r="F3504" s="33" t="s">
        <v>1497</v>
      </c>
      <c r="G3504" s="33" t="s">
        <v>8628</v>
      </c>
      <c r="H3504" s="33" t="s">
        <v>8629</v>
      </c>
      <c r="I3504" s="33" t="s">
        <v>8630</v>
      </c>
      <c r="J3504" s="33">
        <v>143506</v>
      </c>
      <c r="K3504" s="33" t="s">
        <v>8631</v>
      </c>
      <c r="L3504" s="33" t="s">
        <v>8632</v>
      </c>
      <c r="M3504" s="33" t="s">
        <v>8633</v>
      </c>
      <c r="N3504" s="44">
        <v>42301507</v>
      </c>
      <c r="O3504" s="33" t="s">
        <v>8646</v>
      </c>
      <c r="P3504" s="33" t="s">
        <v>8647</v>
      </c>
      <c r="Q3504" s="34" t="s">
        <v>1494</v>
      </c>
      <c r="R3504" s="34" t="s">
        <v>1494</v>
      </c>
    </row>
    <row r="3505" spans="1:18" ht="15" customHeight="1" x14ac:dyDescent="0.25">
      <c r="A3505" t="str">
        <f>IFERROR(RANK(B3505,$B:$B,1)+COUNTIF($B$1:B3504,B3505),"")</f>
        <v/>
      </c>
      <c r="B3505" t="str">
        <f>IFERROR(SEARCH(#REF!,Table4[[#This Row],[Commodity Title]],1),"")</f>
        <v/>
      </c>
      <c r="C3505" s="35">
        <v>42301508</v>
      </c>
      <c r="D3505" s="33" t="s">
        <v>1495</v>
      </c>
      <c r="E3505" s="33" t="s">
        <v>1496</v>
      </c>
      <c r="F3505" s="33" t="s">
        <v>1497</v>
      </c>
      <c r="G3505" s="33" t="s">
        <v>8628</v>
      </c>
      <c r="H3505" s="33" t="s">
        <v>8629</v>
      </c>
      <c r="I3505" s="33" t="s">
        <v>8630</v>
      </c>
      <c r="J3505" s="33">
        <v>143507</v>
      </c>
      <c r="K3505" s="33" t="s">
        <v>8631</v>
      </c>
      <c r="L3505" s="33" t="s">
        <v>8632</v>
      </c>
      <c r="M3505" s="33" t="s">
        <v>8633</v>
      </c>
      <c r="N3505" s="44">
        <v>42301508</v>
      </c>
      <c r="O3505" s="33" t="s">
        <v>8648</v>
      </c>
      <c r="P3505" s="33" t="s">
        <v>8649</v>
      </c>
      <c r="Q3505" s="34" t="s">
        <v>1494</v>
      </c>
      <c r="R3505" s="34" t="s">
        <v>1494</v>
      </c>
    </row>
    <row r="3506" spans="1:18" ht="15" customHeight="1" x14ac:dyDescent="0.25">
      <c r="A3506" t="str">
        <f>IFERROR(RANK(B3506,$B:$B,1)+COUNTIF($B$1:B3505,B3506),"")</f>
        <v/>
      </c>
      <c r="B3506" t="str">
        <f>IFERROR(SEARCH(#REF!,Table4[[#This Row],[Commodity Title]],1),"")</f>
        <v/>
      </c>
      <c r="C3506" s="35">
        <v>42301509</v>
      </c>
      <c r="D3506" s="33" t="s">
        <v>1495</v>
      </c>
      <c r="E3506" s="33" t="s">
        <v>1496</v>
      </c>
      <c r="F3506" s="33" t="s">
        <v>1497</v>
      </c>
      <c r="G3506" s="33" t="s">
        <v>8628</v>
      </c>
      <c r="H3506" s="33" t="s">
        <v>8629</v>
      </c>
      <c r="I3506" s="33" t="s">
        <v>8630</v>
      </c>
      <c r="J3506" s="33">
        <v>203360</v>
      </c>
      <c r="K3506" s="33" t="s">
        <v>8631</v>
      </c>
      <c r="L3506" s="33" t="s">
        <v>8632</v>
      </c>
      <c r="M3506" s="33" t="s">
        <v>8633</v>
      </c>
      <c r="N3506" s="44">
        <v>42301509</v>
      </c>
      <c r="O3506" s="33" t="s">
        <v>8650</v>
      </c>
      <c r="P3506" s="33" t="s">
        <v>8651</v>
      </c>
      <c r="Q3506" s="34" t="s">
        <v>1494</v>
      </c>
      <c r="R3506" s="34" t="s">
        <v>1494</v>
      </c>
    </row>
    <row r="3507" spans="1:18" ht="15" customHeight="1" x14ac:dyDescent="0.25">
      <c r="A3507" t="str">
        <f>IFERROR(RANK(B3507,$B:$B,1)+COUNTIF($B$1:B3506,B3507),"")</f>
        <v/>
      </c>
      <c r="B3507" t="str">
        <f>IFERROR(SEARCH(#REF!,Table4[[#This Row],[Commodity Title]],1),"")</f>
        <v/>
      </c>
      <c r="C3507" s="35">
        <v>42301510</v>
      </c>
      <c r="D3507" s="33" t="s">
        <v>1495</v>
      </c>
      <c r="E3507" s="33" t="s">
        <v>1496</v>
      </c>
      <c r="F3507" s="33" t="s">
        <v>1497</v>
      </c>
      <c r="G3507" s="33" t="s">
        <v>8628</v>
      </c>
      <c r="H3507" s="33" t="s">
        <v>8629</v>
      </c>
      <c r="I3507" s="33" t="s">
        <v>8630</v>
      </c>
      <c r="J3507" s="33">
        <v>203361</v>
      </c>
      <c r="K3507" s="33" t="s">
        <v>8631</v>
      </c>
      <c r="L3507" s="33" t="s">
        <v>8632</v>
      </c>
      <c r="M3507" s="33" t="s">
        <v>8633</v>
      </c>
      <c r="N3507" s="44">
        <v>42301510</v>
      </c>
      <c r="O3507" s="33" t="s">
        <v>8652</v>
      </c>
      <c r="P3507" s="33" t="s">
        <v>8653</v>
      </c>
      <c r="Q3507" s="34" t="s">
        <v>1494</v>
      </c>
      <c r="R3507" s="34" t="s">
        <v>1494</v>
      </c>
    </row>
    <row r="3508" spans="1:18" ht="15" customHeight="1" x14ac:dyDescent="0.25">
      <c r="A3508" t="str">
        <f>IFERROR(RANK(B3508,$B:$B,1)+COUNTIF($B$1:B3507,B3508),"")</f>
        <v/>
      </c>
      <c r="B3508" t="str">
        <f>IFERROR(SEARCH(#REF!,Table4[[#This Row],[Commodity Title]],1),"")</f>
        <v/>
      </c>
      <c r="C3508" s="35">
        <v>42301511</v>
      </c>
      <c r="D3508" s="33" t="s">
        <v>1495</v>
      </c>
      <c r="E3508" s="33" t="s">
        <v>1496</v>
      </c>
      <c r="F3508" s="33" t="s">
        <v>1497</v>
      </c>
      <c r="G3508" s="33" t="s">
        <v>8628</v>
      </c>
      <c r="H3508" s="33" t="s">
        <v>8629</v>
      </c>
      <c r="I3508" s="33" t="s">
        <v>8630</v>
      </c>
      <c r="J3508" s="33">
        <v>203362</v>
      </c>
      <c r="K3508" s="33" t="s">
        <v>8631</v>
      </c>
      <c r="L3508" s="33" t="s">
        <v>8632</v>
      </c>
      <c r="M3508" s="33" t="s">
        <v>8633</v>
      </c>
      <c r="N3508" s="44">
        <v>42301511</v>
      </c>
      <c r="O3508" s="33" t="s">
        <v>8654</v>
      </c>
      <c r="P3508" s="33" t="s">
        <v>8655</v>
      </c>
      <c r="Q3508" s="34" t="s">
        <v>1494</v>
      </c>
      <c r="R3508" s="34" t="s">
        <v>1494</v>
      </c>
    </row>
    <row r="3509" spans="1:18" ht="15" customHeight="1" x14ac:dyDescent="0.25">
      <c r="A3509" t="str">
        <f>IFERROR(RANK(B3509,$B:$B,1)+COUNTIF($B$1:B3508,B3509),"")</f>
        <v/>
      </c>
      <c r="B3509" t="str">
        <f>IFERROR(SEARCH(#REF!,Table4[[#This Row],[Commodity Title]],1),"")</f>
        <v/>
      </c>
      <c r="C3509" s="33" t="s">
        <v>1494</v>
      </c>
      <c r="D3509" s="33" t="s">
        <v>1495</v>
      </c>
      <c r="E3509" s="33" t="s">
        <v>1496</v>
      </c>
      <c r="F3509" s="33" t="s">
        <v>1497</v>
      </c>
      <c r="G3509" s="33" t="s">
        <v>8656</v>
      </c>
      <c r="H3509" s="33" t="s">
        <v>8657</v>
      </c>
      <c r="I3509" s="33" t="s">
        <v>8658</v>
      </c>
      <c r="J3509" s="33">
        <v>116484</v>
      </c>
      <c r="K3509" s="33" t="s">
        <v>1494</v>
      </c>
      <c r="L3509" s="33" t="s">
        <v>1494</v>
      </c>
      <c r="M3509" s="33" t="s">
        <v>1494</v>
      </c>
      <c r="N3509" s="44" t="s">
        <v>1494</v>
      </c>
      <c r="O3509" s="33" t="s">
        <v>1494</v>
      </c>
      <c r="P3509" s="33" t="s">
        <v>1494</v>
      </c>
      <c r="Q3509" s="34" t="s">
        <v>1494</v>
      </c>
      <c r="R3509" s="34" t="s">
        <v>1494</v>
      </c>
    </row>
    <row r="3510" spans="1:18" ht="15" customHeight="1" x14ac:dyDescent="0.25">
      <c r="A3510" t="str">
        <f>IFERROR(RANK(B3510,$B:$B,1)+COUNTIF($B$1:B3509,B3510),"")</f>
        <v/>
      </c>
      <c r="B3510" t="str">
        <f>IFERROR(SEARCH(#REF!,Table4[[#This Row],[Commodity Title]],1),"")</f>
        <v/>
      </c>
      <c r="C3510" s="33" t="s">
        <v>1494</v>
      </c>
      <c r="D3510" s="33" t="s">
        <v>1495</v>
      </c>
      <c r="E3510" s="33" t="s">
        <v>1496</v>
      </c>
      <c r="F3510" s="33" t="s">
        <v>1497</v>
      </c>
      <c r="G3510" s="33" t="s">
        <v>8656</v>
      </c>
      <c r="H3510" s="33" t="s">
        <v>8657</v>
      </c>
      <c r="I3510" s="33" t="s">
        <v>8658</v>
      </c>
      <c r="J3510" s="33">
        <v>116485</v>
      </c>
      <c r="K3510" s="33" t="s">
        <v>8659</v>
      </c>
      <c r="L3510" s="33" t="s">
        <v>8660</v>
      </c>
      <c r="M3510" s="33" t="s">
        <v>8661</v>
      </c>
      <c r="N3510" s="44" t="s">
        <v>1494</v>
      </c>
      <c r="O3510" s="33" t="s">
        <v>1494</v>
      </c>
      <c r="P3510" s="33" t="s">
        <v>1494</v>
      </c>
      <c r="Q3510" s="34" t="s">
        <v>1494</v>
      </c>
      <c r="R3510" s="34" t="s">
        <v>1494</v>
      </c>
    </row>
    <row r="3511" spans="1:18" ht="15" customHeight="1" x14ac:dyDescent="0.25">
      <c r="A3511" t="str">
        <f>IFERROR(RANK(B3511,$B:$B,1)+COUNTIF($B$1:B3510,B3511),"")</f>
        <v/>
      </c>
      <c r="B3511" t="str">
        <f>IFERROR(SEARCH(#REF!,Table4[[#This Row],[Commodity Title]],1),"")</f>
        <v/>
      </c>
      <c r="C3511" s="35">
        <v>42311501</v>
      </c>
      <c r="D3511" s="33" t="s">
        <v>1495</v>
      </c>
      <c r="E3511" s="33" t="s">
        <v>1496</v>
      </c>
      <c r="F3511" s="33" t="s">
        <v>1497</v>
      </c>
      <c r="G3511" s="33" t="s">
        <v>8656</v>
      </c>
      <c r="H3511" s="33" t="s">
        <v>8657</v>
      </c>
      <c r="I3511" s="33" t="s">
        <v>8658</v>
      </c>
      <c r="J3511" s="33">
        <v>116486</v>
      </c>
      <c r="K3511" s="33" t="s">
        <v>8659</v>
      </c>
      <c r="L3511" s="33" t="s">
        <v>8660</v>
      </c>
      <c r="M3511" s="33" t="s">
        <v>8661</v>
      </c>
      <c r="N3511" s="44">
        <v>42311501</v>
      </c>
      <c r="O3511" s="33" t="s">
        <v>8662</v>
      </c>
      <c r="P3511" s="33" t="s">
        <v>8663</v>
      </c>
      <c r="Q3511" s="34" t="s">
        <v>1494</v>
      </c>
      <c r="R3511" s="34" t="s">
        <v>1494</v>
      </c>
    </row>
    <row r="3512" spans="1:18" ht="15" customHeight="1" x14ac:dyDescent="0.25">
      <c r="A3512" t="str">
        <f>IFERROR(RANK(B3512,$B:$B,1)+COUNTIF($B$1:B3511,B3512),"")</f>
        <v/>
      </c>
      <c r="B3512" t="str">
        <f>IFERROR(SEARCH(#REF!,Table4[[#This Row],[Commodity Title]],1),"")</f>
        <v/>
      </c>
      <c r="C3512" s="35">
        <v>42311502</v>
      </c>
      <c r="D3512" s="33" t="s">
        <v>1495</v>
      </c>
      <c r="E3512" s="33" t="s">
        <v>1496</v>
      </c>
      <c r="F3512" s="33" t="s">
        <v>1497</v>
      </c>
      <c r="G3512" s="33" t="s">
        <v>8656</v>
      </c>
      <c r="H3512" s="33" t="s">
        <v>8657</v>
      </c>
      <c r="I3512" s="33" t="s">
        <v>8658</v>
      </c>
      <c r="J3512" s="33">
        <v>116487</v>
      </c>
      <c r="K3512" s="33" t="s">
        <v>8659</v>
      </c>
      <c r="L3512" s="33" t="s">
        <v>8660</v>
      </c>
      <c r="M3512" s="33" t="s">
        <v>8661</v>
      </c>
      <c r="N3512" s="44">
        <v>42311502</v>
      </c>
      <c r="O3512" s="33" t="s">
        <v>8664</v>
      </c>
      <c r="P3512" s="33" t="s">
        <v>8665</v>
      </c>
      <c r="Q3512" s="34" t="s">
        <v>1494</v>
      </c>
      <c r="R3512" s="34" t="s">
        <v>1494</v>
      </c>
    </row>
    <row r="3513" spans="1:18" ht="15" customHeight="1" x14ac:dyDescent="0.25">
      <c r="A3513" t="str">
        <f>IFERROR(RANK(B3513,$B:$B,1)+COUNTIF($B$1:B3512,B3513),"")</f>
        <v/>
      </c>
      <c r="B3513" t="str">
        <f>IFERROR(SEARCH(#REF!,Table4[[#This Row],[Commodity Title]],1),"")</f>
        <v/>
      </c>
      <c r="C3513" s="35">
        <v>42311503</v>
      </c>
      <c r="D3513" s="33" t="s">
        <v>1495</v>
      </c>
      <c r="E3513" s="33" t="s">
        <v>1496</v>
      </c>
      <c r="F3513" s="33" t="s">
        <v>1497</v>
      </c>
      <c r="G3513" s="33" t="s">
        <v>8656</v>
      </c>
      <c r="H3513" s="33" t="s">
        <v>8657</v>
      </c>
      <c r="I3513" s="33" t="s">
        <v>8658</v>
      </c>
      <c r="J3513" s="33">
        <v>116488</v>
      </c>
      <c r="K3513" s="33" t="s">
        <v>8659</v>
      </c>
      <c r="L3513" s="33" t="s">
        <v>8660</v>
      </c>
      <c r="M3513" s="33" t="s">
        <v>8661</v>
      </c>
      <c r="N3513" s="44">
        <v>42311503</v>
      </c>
      <c r="O3513" s="33" t="s">
        <v>8666</v>
      </c>
      <c r="P3513" s="33" t="s">
        <v>8667</v>
      </c>
      <c r="Q3513" s="34" t="s">
        <v>1494</v>
      </c>
      <c r="R3513" s="34" t="s">
        <v>1494</v>
      </c>
    </row>
    <row r="3514" spans="1:18" ht="15" customHeight="1" x14ac:dyDescent="0.25">
      <c r="A3514" t="str">
        <f>IFERROR(RANK(B3514,$B:$B,1)+COUNTIF($B$1:B3513,B3514),"")</f>
        <v/>
      </c>
      <c r="B3514" t="str">
        <f>IFERROR(SEARCH(#REF!,Table4[[#This Row],[Commodity Title]],1),"")</f>
        <v/>
      </c>
      <c r="C3514" s="35">
        <v>42311506</v>
      </c>
      <c r="D3514" s="33" t="s">
        <v>1495</v>
      </c>
      <c r="E3514" s="33" t="s">
        <v>1496</v>
      </c>
      <c r="F3514" s="33" t="s">
        <v>1497</v>
      </c>
      <c r="G3514" s="33" t="s">
        <v>8656</v>
      </c>
      <c r="H3514" s="33" t="s">
        <v>8657</v>
      </c>
      <c r="I3514" s="33" t="s">
        <v>8658</v>
      </c>
      <c r="J3514" s="33">
        <v>116491</v>
      </c>
      <c r="K3514" s="33" t="s">
        <v>8659</v>
      </c>
      <c r="L3514" s="33" t="s">
        <v>8660</v>
      </c>
      <c r="M3514" s="33" t="s">
        <v>8661</v>
      </c>
      <c r="N3514" s="44">
        <v>42311506</v>
      </c>
      <c r="O3514" s="33" t="s">
        <v>8668</v>
      </c>
      <c r="P3514" s="33" t="s">
        <v>8669</v>
      </c>
      <c r="Q3514" s="34" t="s">
        <v>1494</v>
      </c>
      <c r="R3514" s="34" t="s">
        <v>1494</v>
      </c>
    </row>
    <row r="3515" spans="1:18" ht="15" customHeight="1" x14ac:dyDescent="0.25">
      <c r="A3515" t="str">
        <f>IFERROR(RANK(B3515,$B:$B,1)+COUNTIF($B$1:B3514,B3515),"")</f>
        <v/>
      </c>
      <c r="B3515" t="str">
        <f>IFERROR(SEARCH(#REF!,Table4[[#This Row],[Commodity Title]],1),"")</f>
        <v/>
      </c>
      <c r="C3515" s="35">
        <v>42311510</v>
      </c>
      <c r="D3515" s="33" t="s">
        <v>1495</v>
      </c>
      <c r="E3515" s="33" t="s">
        <v>1496</v>
      </c>
      <c r="F3515" s="33" t="s">
        <v>1497</v>
      </c>
      <c r="G3515" s="33" t="s">
        <v>8656</v>
      </c>
      <c r="H3515" s="33" t="s">
        <v>8657</v>
      </c>
      <c r="I3515" s="33" t="s">
        <v>8658</v>
      </c>
      <c r="J3515" s="33">
        <v>116495</v>
      </c>
      <c r="K3515" s="33" t="s">
        <v>8659</v>
      </c>
      <c r="L3515" s="33" t="s">
        <v>8660</v>
      </c>
      <c r="M3515" s="33" t="s">
        <v>8661</v>
      </c>
      <c r="N3515" s="44">
        <v>42311510</v>
      </c>
      <c r="O3515" s="33" t="s">
        <v>8670</v>
      </c>
      <c r="P3515" s="33" t="s">
        <v>8671</v>
      </c>
      <c r="Q3515" s="34" t="s">
        <v>1494</v>
      </c>
      <c r="R3515" s="34" t="s">
        <v>1494</v>
      </c>
    </row>
    <row r="3516" spans="1:18" ht="15" customHeight="1" x14ac:dyDescent="0.25">
      <c r="A3516" t="str">
        <f>IFERROR(RANK(B3516,$B:$B,1)+COUNTIF($B$1:B3515,B3516),"")</f>
        <v/>
      </c>
      <c r="B3516" t="str">
        <f>IFERROR(SEARCH(#REF!,Table4[[#This Row],[Commodity Title]],1),"")</f>
        <v/>
      </c>
      <c r="C3516" s="35">
        <v>42311512</v>
      </c>
      <c r="D3516" s="33" t="s">
        <v>1495</v>
      </c>
      <c r="E3516" s="33" t="s">
        <v>1496</v>
      </c>
      <c r="F3516" s="33" t="s">
        <v>1497</v>
      </c>
      <c r="G3516" s="33" t="s">
        <v>8656</v>
      </c>
      <c r="H3516" s="33" t="s">
        <v>8657</v>
      </c>
      <c r="I3516" s="33" t="s">
        <v>8658</v>
      </c>
      <c r="J3516" s="33">
        <v>116497</v>
      </c>
      <c r="K3516" s="33" t="s">
        <v>8659</v>
      </c>
      <c r="L3516" s="33" t="s">
        <v>8660</v>
      </c>
      <c r="M3516" s="33" t="s">
        <v>8661</v>
      </c>
      <c r="N3516" s="44">
        <v>42311512</v>
      </c>
      <c r="O3516" s="33" t="s">
        <v>8672</v>
      </c>
      <c r="P3516" s="33" t="s">
        <v>8673</v>
      </c>
      <c r="Q3516" s="34" t="s">
        <v>1494</v>
      </c>
      <c r="R3516" s="34" t="s">
        <v>1494</v>
      </c>
    </row>
    <row r="3517" spans="1:18" ht="15" customHeight="1" x14ac:dyDescent="0.25">
      <c r="A3517" t="str">
        <f>IFERROR(RANK(B3517,$B:$B,1)+COUNTIF($B$1:B3516,B3517),"")</f>
        <v/>
      </c>
      <c r="B3517" t="str">
        <f>IFERROR(SEARCH(#REF!,Table4[[#This Row],[Commodity Title]],1),"")</f>
        <v/>
      </c>
      <c r="C3517" s="35">
        <v>42311513</v>
      </c>
      <c r="D3517" s="33" t="s">
        <v>1495</v>
      </c>
      <c r="E3517" s="33" t="s">
        <v>1496</v>
      </c>
      <c r="F3517" s="33" t="s">
        <v>1497</v>
      </c>
      <c r="G3517" s="33" t="s">
        <v>8656</v>
      </c>
      <c r="H3517" s="33" t="s">
        <v>8657</v>
      </c>
      <c r="I3517" s="33" t="s">
        <v>8658</v>
      </c>
      <c r="J3517" s="33">
        <v>116498</v>
      </c>
      <c r="K3517" s="33" t="s">
        <v>8659</v>
      </c>
      <c r="L3517" s="33" t="s">
        <v>8660</v>
      </c>
      <c r="M3517" s="33" t="s">
        <v>8661</v>
      </c>
      <c r="N3517" s="44">
        <v>42311513</v>
      </c>
      <c r="O3517" s="33" t="s">
        <v>8674</v>
      </c>
      <c r="P3517" s="33" t="s">
        <v>8675</v>
      </c>
      <c r="Q3517" s="34" t="s">
        <v>1494</v>
      </c>
      <c r="R3517" s="34" t="s">
        <v>1494</v>
      </c>
    </row>
    <row r="3518" spans="1:18" ht="15" customHeight="1" x14ac:dyDescent="0.25">
      <c r="A3518" t="str">
        <f>IFERROR(RANK(B3518,$B:$B,1)+COUNTIF($B$1:B3517,B3518),"")</f>
        <v/>
      </c>
      <c r="B3518" t="str">
        <f>IFERROR(SEARCH(#REF!,Table4[[#This Row],[Commodity Title]],1),"")</f>
        <v/>
      </c>
      <c r="C3518" s="35">
        <v>42311515</v>
      </c>
      <c r="D3518" s="33" t="s">
        <v>1495</v>
      </c>
      <c r="E3518" s="33" t="s">
        <v>1496</v>
      </c>
      <c r="F3518" s="33" t="s">
        <v>1497</v>
      </c>
      <c r="G3518" s="33" t="s">
        <v>8656</v>
      </c>
      <c r="H3518" s="33" t="s">
        <v>8657</v>
      </c>
      <c r="I3518" s="33" t="s">
        <v>8658</v>
      </c>
      <c r="J3518" s="33">
        <v>116500</v>
      </c>
      <c r="K3518" s="33" t="s">
        <v>8659</v>
      </c>
      <c r="L3518" s="33" t="s">
        <v>8660</v>
      </c>
      <c r="M3518" s="33" t="s">
        <v>8661</v>
      </c>
      <c r="N3518" s="44">
        <v>42311515</v>
      </c>
      <c r="O3518" s="33" t="s">
        <v>8676</v>
      </c>
      <c r="P3518" s="33" t="s">
        <v>8677</v>
      </c>
      <c r="Q3518" s="34" t="s">
        <v>1494</v>
      </c>
      <c r="R3518" s="34" t="s">
        <v>1494</v>
      </c>
    </row>
    <row r="3519" spans="1:18" ht="15" customHeight="1" x14ac:dyDescent="0.25">
      <c r="A3519" t="str">
        <f>IFERROR(RANK(B3519,$B:$B,1)+COUNTIF($B$1:B3518,B3519),"")</f>
        <v/>
      </c>
      <c r="B3519" t="str">
        <f>IFERROR(SEARCH(#REF!,Table4[[#This Row],[Commodity Title]],1),"")</f>
        <v/>
      </c>
      <c r="C3519" s="35">
        <v>42311517</v>
      </c>
      <c r="D3519" s="33" t="s">
        <v>1495</v>
      </c>
      <c r="E3519" s="33" t="s">
        <v>1496</v>
      </c>
      <c r="F3519" s="33" t="s">
        <v>1497</v>
      </c>
      <c r="G3519" s="33" t="s">
        <v>8656</v>
      </c>
      <c r="H3519" s="33" t="s">
        <v>8657</v>
      </c>
      <c r="I3519" s="33" t="s">
        <v>8658</v>
      </c>
      <c r="J3519" s="33">
        <v>116502</v>
      </c>
      <c r="K3519" s="33" t="s">
        <v>8659</v>
      </c>
      <c r="L3519" s="33" t="s">
        <v>8660</v>
      </c>
      <c r="M3519" s="33" t="s">
        <v>8661</v>
      </c>
      <c r="N3519" s="44">
        <v>42311517</v>
      </c>
      <c r="O3519" s="33" t="s">
        <v>8678</v>
      </c>
      <c r="P3519" s="33" t="s">
        <v>8679</v>
      </c>
      <c r="Q3519" s="34" t="s">
        <v>1494</v>
      </c>
      <c r="R3519" s="34" t="s">
        <v>1494</v>
      </c>
    </row>
    <row r="3520" spans="1:18" ht="15" customHeight="1" x14ac:dyDescent="0.25">
      <c r="A3520" t="str">
        <f>IFERROR(RANK(B3520,$B:$B,1)+COUNTIF($B$1:B3519,B3520),"")</f>
        <v/>
      </c>
      <c r="B3520" t="str">
        <f>IFERROR(SEARCH(#REF!,Table4[[#This Row],[Commodity Title]],1),"")</f>
        <v/>
      </c>
      <c r="C3520" s="35">
        <v>42311518</v>
      </c>
      <c r="D3520" s="33" t="s">
        <v>1495</v>
      </c>
      <c r="E3520" s="33" t="s">
        <v>1496</v>
      </c>
      <c r="F3520" s="33" t="s">
        <v>1497</v>
      </c>
      <c r="G3520" s="33" t="s">
        <v>8656</v>
      </c>
      <c r="H3520" s="33" t="s">
        <v>8657</v>
      </c>
      <c r="I3520" s="33" t="s">
        <v>8658</v>
      </c>
      <c r="J3520" s="33">
        <v>116503</v>
      </c>
      <c r="K3520" s="33" t="s">
        <v>8659</v>
      </c>
      <c r="L3520" s="33" t="s">
        <v>8660</v>
      </c>
      <c r="M3520" s="33" t="s">
        <v>8661</v>
      </c>
      <c r="N3520" s="44">
        <v>42311518</v>
      </c>
      <c r="O3520" s="33" t="s">
        <v>8680</v>
      </c>
      <c r="P3520" s="33" t="s">
        <v>8681</v>
      </c>
      <c r="Q3520" s="34" t="s">
        <v>1494</v>
      </c>
      <c r="R3520" s="34" t="s">
        <v>1494</v>
      </c>
    </row>
    <row r="3521" spans="1:18" ht="15" customHeight="1" x14ac:dyDescent="0.25">
      <c r="A3521" t="str">
        <f>IFERROR(RANK(B3521,$B:$B,1)+COUNTIF($B$1:B3520,B3521),"")</f>
        <v/>
      </c>
      <c r="B3521" t="str">
        <f>IFERROR(SEARCH(#REF!,Table4[[#This Row],[Commodity Title]],1),"")</f>
        <v/>
      </c>
      <c r="C3521" s="35">
        <v>42311519</v>
      </c>
      <c r="D3521" s="33" t="s">
        <v>1495</v>
      </c>
      <c r="E3521" s="33" t="s">
        <v>1496</v>
      </c>
      <c r="F3521" s="33" t="s">
        <v>1497</v>
      </c>
      <c r="G3521" s="33" t="s">
        <v>8656</v>
      </c>
      <c r="H3521" s="33" t="s">
        <v>8657</v>
      </c>
      <c r="I3521" s="33" t="s">
        <v>8658</v>
      </c>
      <c r="J3521" s="33">
        <v>116504</v>
      </c>
      <c r="K3521" s="33" t="s">
        <v>8659</v>
      </c>
      <c r="L3521" s="33" t="s">
        <v>8660</v>
      </c>
      <c r="M3521" s="33" t="s">
        <v>8661</v>
      </c>
      <c r="N3521" s="44">
        <v>42311519</v>
      </c>
      <c r="O3521" s="33" t="s">
        <v>8682</v>
      </c>
      <c r="P3521" s="33" t="s">
        <v>8683</v>
      </c>
      <c r="Q3521" s="34" t="s">
        <v>1494</v>
      </c>
      <c r="R3521" s="34" t="s">
        <v>1494</v>
      </c>
    </row>
    <row r="3522" spans="1:18" ht="15" customHeight="1" x14ac:dyDescent="0.25">
      <c r="A3522" t="str">
        <f>IFERROR(RANK(B3522,$B:$B,1)+COUNTIF($B$1:B3521,B3522),"")</f>
        <v/>
      </c>
      <c r="B3522" t="str">
        <f>IFERROR(SEARCH(#REF!,Table4[[#This Row],[Commodity Title]],1),"")</f>
        <v/>
      </c>
      <c r="C3522" s="35">
        <v>42311520</v>
      </c>
      <c r="D3522" s="33" t="s">
        <v>1495</v>
      </c>
      <c r="E3522" s="33" t="s">
        <v>1496</v>
      </c>
      <c r="F3522" s="33" t="s">
        <v>1497</v>
      </c>
      <c r="G3522" s="33" t="s">
        <v>8656</v>
      </c>
      <c r="H3522" s="33" t="s">
        <v>8657</v>
      </c>
      <c r="I3522" s="33" t="s">
        <v>8658</v>
      </c>
      <c r="J3522" s="33">
        <v>116505</v>
      </c>
      <c r="K3522" s="33" t="s">
        <v>8659</v>
      </c>
      <c r="L3522" s="33" t="s">
        <v>8660</v>
      </c>
      <c r="M3522" s="33" t="s">
        <v>8661</v>
      </c>
      <c r="N3522" s="44">
        <v>42311520</v>
      </c>
      <c r="O3522" s="33" t="s">
        <v>8684</v>
      </c>
      <c r="P3522" s="33" t="s">
        <v>8685</v>
      </c>
      <c r="Q3522" s="34" t="s">
        <v>1494</v>
      </c>
      <c r="R3522" s="34" t="s">
        <v>1494</v>
      </c>
    </row>
    <row r="3523" spans="1:18" ht="15" customHeight="1" x14ac:dyDescent="0.25">
      <c r="A3523" t="str">
        <f>IFERROR(RANK(B3523,$B:$B,1)+COUNTIF($B$1:B3522,B3523),"")</f>
        <v/>
      </c>
      <c r="B3523" t="str">
        <f>IFERROR(SEARCH(#REF!,Table4[[#This Row],[Commodity Title]],1),"")</f>
        <v/>
      </c>
      <c r="C3523" s="35">
        <v>42311523</v>
      </c>
      <c r="D3523" s="33" t="s">
        <v>1495</v>
      </c>
      <c r="E3523" s="33" t="s">
        <v>1496</v>
      </c>
      <c r="F3523" s="33" t="s">
        <v>1497</v>
      </c>
      <c r="G3523" s="33" t="s">
        <v>8656</v>
      </c>
      <c r="H3523" s="33" t="s">
        <v>8657</v>
      </c>
      <c r="I3523" s="33" t="s">
        <v>8658</v>
      </c>
      <c r="J3523" s="33">
        <v>116508</v>
      </c>
      <c r="K3523" s="33" t="s">
        <v>8659</v>
      </c>
      <c r="L3523" s="33" t="s">
        <v>8660</v>
      </c>
      <c r="M3523" s="33" t="s">
        <v>8661</v>
      </c>
      <c r="N3523" s="44">
        <v>42311523</v>
      </c>
      <c r="O3523" s="33" t="s">
        <v>8686</v>
      </c>
      <c r="P3523" s="33" t="s">
        <v>8687</v>
      </c>
      <c r="Q3523" s="34" t="s">
        <v>1494</v>
      </c>
      <c r="R3523" s="34" t="s">
        <v>1494</v>
      </c>
    </row>
    <row r="3524" spans="1:18" ht="15" customHeight="1" x14ac:dyDescent="0.25">
      <c r="A3524" t="str">
        <f>IFERROR(RANK(B3524,$B:$B,1)+COUNTIF($B$1:B3523,B3524),"")</f>
        <v/>
      </c>
      <c r="B3524" t="str">
        <f>IFERROR(SEARCH(#REF!,Table4[[#This Row],[Commodity Title]],1),"")</f>
        <v/>
      </c>
      <c r="C3524" s="35">
        <v>42311524</v>
      </c>
      <c r="D3524" s="33" t="s">
        <v>1495</v>
      </c>
      <c r="E3524" s="33" t="s">
        <v>1496</v>
      </c>
      <c r="F3524" s="33" t="s">
        <v>1497</v>
      </c>
      <c r="G3524" s="33" t="s">
        <v>8656</v>
      </c>
      <c r="H3524" s="33" t="s">
        <v>8657</v>
      </c>
      <c r="I3524" s="33" t="s">
        <v>8658</v>
      </c>
      <c r="J3524" s="33">
        <v>116509</v>
      </c>
      <c r="K3524" s="33" t="s">
        <v>8659</v>
      </c>
      <c r="L3524" s="33" t="s">
        <v>8660</v>
      </c>
      <c r="M3524" s="33" t="s">
        <v>8661</v>
      </c>
      <c r="N3524" s="44">
        <v>42311524</v>
      </c>
      <c r="O3524" s="33" t="s">
        <v>8688</v>
      </c>
      <c r="P3524" s="33" t="s">
        <v>8689</v>
      </c>
      <c r="Q3524" s="34" t="s">
        <v>1494</v>
      </c>
      <c r="R3524" s="34" t="s">
        <v>1494</v>
      </c>
    </row>
    <row r="3525" spans="1:18" ht="15" customHeight="1" x14ac:dyDescent="0.25">
      <c r="A3525" t="str">
        <f>IFERROR(RANK(B3525,$B:$B,1)+COUNTIF($B$1:B3524,B3525),"")</f>
        <v/>
      </c>
      <c r="B3525" t="str">
        <f>IFERROR(SEARCH(#REF!,Table4[[#This Row],[Commodity Title]],1),"")</f>
        <v/>
      </c>
      <c r="C3525" s="35">
        <v>42311527</v>
      </c>
      <c r="D3525" s="33" t="s">
        <v>1495</v>
      </c>
      <c r="E3525" s="33" t="s">
        <v>1496</v>
      </c>
      <c r="F3525" s="33" t="s">
        <v>1497</v>
      </c>
      <c r="G3525" s="33" t="s">
        <v>8656</v>
      </c>
      <c r="H3525" s="33" t="s">
        <v>8657</v>
      </c>
      <c r="I3525" s="33" t="s">
        <v>8658</v>
      </c>
      <c r="J3525" s="33">
        <v>116512</v>
      </c>
      <c r="K3525" s="33" t="s">
        <v>8659</v>
      </c>
      <c r="L3525" s="33" t="s">
        <v>8660</v>
      </c>
      <c r="M3525" s="33" t="s">
        <v>8661</v>
      </c>
      <c r="N3525" s="44">
        <v>42311527</v>
      </c>
      <c r="O3525" s="33" t="s">
        <v>8690</v>
      </c>
      <c r="P3525" s="33" t="s">
        <v>8691</v>
      </c>
      <c r="Q3525" s="34" t="s">
        <v>1494</v>
      </c>
      <c r="R3525" s="34" t="s">
        <v>1494</v>
      </c>
    </row>
    <row r="3526" spans="1:18" ht="15" customHeight="1" x14ac:dyDescent="0.25">
      <c r="A3526" t="str">
        <f>IFERROR(RANK(B3526,$B:$B,1)+COUNTIF($B$1:B3525,B3526),"")</f>
        <v/>
      </c>
      <c r="B3526" t="str">
        <f>IFERROR(SEARCH(#REF!,Table4[[#This Row],[Commodity Title]],1),"")</f>
        <v/>
      </c>
      <c r="C3526" s="35">
        <v>42311528</v>
      </c>
      <c r="D3526" s="33" t="s">
        <v>1495</v>
      </c>
      <c r="E3526" s="33" t="s">
        <v>1496</v>
      </c>
      <c r="F3526" s="33" t="s">
        <v>1497</v>
      </c>
      <c r="G3526" s="33" t="s">
        <v>8656</v>
      </c>
      <c r="H3526" s="33" t="s">
        <v>8657</v>
      </c>
      <c r="I3526" s="33" t="s">
        <v>8658</v>
      </c>
      <c r="J3526" s="33">
        <v>116513</v>
      </c>
      <c r="K3526" s="33" t="s">
        <v>8659</v>
      </c>
      <c r="L3526" s="33" t="s">
        <v>8660</v>
      </c>
      <c r="M3526" s="33" t="s">
        <v>8661</v>
      </c>
      <c r="N3526" s="44">
        <v>42311528</v>
      </c>
      <c r="O3526" s="33" t="s">
        <v>8692</v>
      </c>
      <c r="P3526" s="33" t="s">
        <v>8693</v>
      </c>
      <c r="Q3526" s="34" t="s">
        <v>1494</v>
      </c>
      <c r="R3526" s="34" t="s">
        <v>1494</v>
      </c>
    </row>
    <row r="3527" spans="1:18" ht="15" customHeight="1" x14ac:dyDescent="0.25">
      <c r="A3527" t="str">
        <f>IFERROR(RANK(B3527,$B:$B,1)+COUNTIF($B$1:B3526,B3527),"")</f>
        <v/>
      </c>
      <c r="B3527" t="str">
        <f>IFERROR(SEARCH(#REF!,Table4[[#This Row],[Commodity Title]],1),"")</f>
        <v/>
      </c>
      <c r="C3527" s="35">
        <v>42311531</v>
      </c>
      <c r="D3527" s="33" t="s">
        <v>1495</v>
      </c>
      <c r="E3527" s="33" t="s">
        <v>1496</v>
      </c>
      <c r="F3527" s="33" t="s">
        <v>1497</v>
      </c>
      <c r="G3527" s="33" t="s">
        <v>8656</v>
      </c>
      <c r="H3527" s="33" t="s">
        <v>8657</v>
      </c>
      <c r="I3527" s="33" t="s">
        <v>8658</v>
      </c>
      <c r="J3527" s="33">
        <v>142028</v>
      </c>
      <c r="K3527" s="33" t="s">
        <v>8659</v>
      </c>
      <c r="L3527" s="33" t="s">
        <v>8660</v>
      </c>
      <c r="M3527" s="33" t="s">
        <v>8661</v>
      </c>
      <c r="N3527" s="44">
        <v>42311531</v>
      </c>
      <c r="O3527" s="33" t="s">
        <v>8694</v>
      </c>
      <c r="P3527" s="33" t="s">
        <v>8695</v>
      </c>
      <c r="Q3527" s="34" t="s">
        <v>1494</v>
      </c>
      <c r="R3527" s="34" t="s">
        <v>1494</v>
      </c>
    </row>
    <row r="3528" spans="1:18" ht="15" customHeight="1" x14ac:dyDescent="0.25">
      <c r="A3528" t="str">
        <f>IFERROR(RANK(B3528,$B:$B,1)+COUNTIF($B$1:B3527,B3528),"")</f>
        <v/>
      </c>
      <c r="B3528" t="str">
        <f>IFERROR(SEARCH(#REF!,Table4[[#This Row],[Commodity Title]],1),"")</f>
        <v/>
      </c>
      <c r="C3528" s="35">
        <v>42311537</v>
      </c>
      <c r="D3528" s="33" t="s">
        <v>1495</v>
      </c>
      <c r="E3528" s="33" t="s">
        <v>1496</v>
      </c>
      <c r="F3528" s="33" t="s">
        <v>1497</v>
      </c>
      <c r="G3528" s="33" t="s">
        <v>8656</v>
      </c>
      <c r="H3528" s="33" t="s">
        <v>8657</v>
      </c>
      <c r="I3528" s="33" t="s">
        <v>8658</v>
      </c>
      <c r="J3528" s="33">
        <v>142875</v>
      </c>
      <c r="K3528" s="33" t="s">
        <v>8659</v>
      </c>
      <c r="L3528" s="33" t="s">
        <v>8660</v>
      </c>
      <c r="M3528" s="33" t="s">
        <v>8661</v>
      </c>
      <c r="N3528" s="44">
        <v>42311537</v>
      </c>
      <c r="O3528" s="33" t="s">
        <v>8696</v>
      </c>
      <c r="P3528" s="33" t="s">
        <v>8697</v>
      </c>
      <c r="Q3528" s="34" t="s">
        <v>1494</v>
      </c>
      <c r="R3528" s="34" t="s">
        <v>1494</v>
      </c>
    </row>
    <row r="3529" spans="1:18" ht="15" customHeight="1" x14ac:dyDescent="0.25">
      <c r="A3529" t="str">
        <f>IFERROR(RANK(B3529,$B:$B,1)+COUNTIF($B$1:B3528,B3529),"")</f>
        <v/>
      </c>
      <c r="B3529" t="str">
        <f>IFERROR(SEARCH(#REF!,Table4[[#This Row],[Commodity Title]],1),"")</f>
        <v/>
      </c>
      <c r="C3529" s="35">
        <v>42311539</v>
      </c>
      <c r="D3529" s="33" t="s">
        <v>1495</v>
      </c>
      <c r="E3529" s="33" t="s">
        <v>1496</v>
      </c>
      <c r="F3529" s="33" t="s">
        <v>1497</v>
      </c>
      <c r="G3529" s="33" t="s">
        <v>8656</v>
      </c>
      <c r="H3529" s="33" t="s">
        <v>8657</v>
      </c>
      <c r="I3529" s="33" t="s">
        <v>8658</v>
      </c>
      <c r="J3529" s="33">
        <v>143508</v>
      </c>
      <c r="K3529" s="33" t="s">
        <v>8659</v>
      </c>
      <c r="L3529" s="33" t="s">
        <v>8660</v>
      </c>
      <c r="M3529" s="33" t="s">
        <v>8661</v>
      </c>
      <c r="N3529" s="44">
        <v>42311539</v>
      </c>
      <c r="O3529" s="33" t="s">
        <v>8698</v>
      </c>
      <c r="P3529" s="33" t="s">
        <v>8699</v>
      </c>
      <c r="Q3529" s="34" t="s">
        <v>1494</v>
      </c>
      <c r="R3529" s="34" t="s">
        <v>1494</v>
      </c>
    </row>
    <row r="3530" spans="1:18" ht="15" customHeight="1" x14ac:dyDescent="0.25">
      <c r="A3530" t="str">
        <f>IFERROR(RANK(B3530,$B:$B,1)+COUNTIF($B$1:B3529,B3530),"")</f>
        <v/>
      </c>
      <c r="B3530" t="str">
        <f>IFERROR(SEARCH(#REF!,Table4[[#This Row],[Commodity Title]],1),"")</f>
        <v/>
      </c>
      <c r="C3530" s="35">
        <v>42311540</v>
      </c>
      <c r="D3530" s="33" t="s">
        <v>1495</v>
      </c>
      <c r="E3530" s="33" t="s">
        <v>1496</v>
      </c>
      <c r="F3530" s="33" t="s">
        <v>1497</v>
      </c>
      <c r="G3530" s="33" t="s">
        <v>8656</v>
      </c>
      <c r="H3530" s="33" t="s">
        <v>8657</v>
      </c>
      <c r="I3530" s="33" t="s">
        <v>8658</v>
      </c>
      <c r="J3530" s="33">
        <v>164879</v>
      </c>
      <c r="K3530" s="33" t="s">
        <v>8659</v>
      </c>
      <c r="L3530" s="33" t="s">
        <v>8660</v>
      </c>
      <c r="M3530" s="33" t="s">
        <v>8661</v>
      </c>
      <c r="N3530" s="44">
        <v>42311540</v>
      </c>
      <c r="O3530" s="33" t="s">
        <v>8700</v>
      </c>
      <c r="P3530" s="33" t="s">
        <v>8701</v>
      </c>
      <c r="Q3530" s="34" t="s">
        <v>1494</v>
      </c>
      <c r="R3530" s="34" t="s">
        <v>1494</v>
      </c>
    </row>
    <row r="3531" spans="1:18" ht="15" customHeight="1" x14ac:dyDescent="0.25">
      <c r="A3531" t="str">
        <f>IFERROR(RANK(B3531,$B:$B,1)+COUNTIF($B$1:B3530,B3531),"")</f>
        <v/>
      </c>
      <c r="B3531" t="str">
        <f>IFERROR(SEARCH(#REF!,Table4[[#This Row],[Commodity Title]],1),"")</f>
        <v/>
      </c>
      <c r="C3531" s="35">
        <v>42311541</v>
      </c>
      <c r="D3531" s="33" t="s">
        <v>1495</v>
      </c>
      <c r="E3531" s="33" t="s">
        <v>1496</v>
      </c>
      <c r="F3531" s="33" t="s">
        <v>1497</v>
      </c>
      <c r="G3531" s="33" t="s">
        <v>8656</v>
      </c>
      <c r="H3531" s="33" t="s">
        <v>8657</v>
      </c>
      <c r="I3531" s="33" t="s">
        <v>8658</v>
      </c>
      <c r="J3531" s="33">
        <v>164880</v>
      </c>
      <c r="K3531" s="33" t="s">
        <v>8659</v>
      </c>
      <c r="L3531" s="33" t="s">
        <v>8660</v>
      </c>
      <c r="M3531" s="33" t="s">
        <v>8661</v>
      </c>
      <c r="N3531" s="44">
        <v>42311541</v>
      </c>
      <c r="O3531" s="33" t="s">
        <v>8702</v>
      </c>
      <c r="P3531" s="33" t="s">
        <v>8703</v>
      </c>
      <c r="Q3531" s="34" t="s">
        <v>1494</v>
      </c>
      <c r="R3531" s="34" t="s">
        <v>1494</v>
      </c>
    </row>
    <row r="3532" spans="1:18" ht="15" customHeight="1" x14ac:dyDescent="0.25">
      <c r="A3532" t="str">
        <f>IFERROR(RANK(B3532,$B:$B,1)+COUNTIF($B$1:B3531,B3532),"")</f>
        <v/>
      </c>
      <c r="B3532" t="str">
        <f>IFERROR(SEARCH(#REF!,Table4[[#This Row],[Commodity Title]],1),"")</f>
        <v/>
      </c>
      <c r="C3532" s="35">
        <v>42311543</v>
      </c>
      <c r="D3532" s="33" t="s">
        <v>1495</v>
      </c>
      <c r="E3532" s="33" t="s">
        <v>1496</v>
      </c>
      <c r="F3532" s="33" t="s">
        <v>1497</v>
      </c>
      <c r="G3532" s="33" t="s">
        <v>8656</v>
      </c>
      <c r="H3532" s="33" t="s">
        <v>8657</v>
      </c>
      <c r="I3532" s="33" t="s">
        <v>8658</v>
      </c>
      <c r="J3532" s="33">
        <v>177424</v>
      </c>
      <c r="K3532" s="33" t="s">
        <v>8659</v>
      </c>
      <c r="L3532" s="33" t="s">
        <v>8660</v>
      </c>
      <c r="M3532" s="33" t="s">
        <v>8661</v>
      </c>
      <c r="N3532" s="44">
        <v>42311543</v>
      </c>
      <c r="O3532" s="33" t="s">
        <v>8704</v>
      </c>
      <c r="P3532" s="33" t="s">
        <v>8705</v>
      </c>
      <c r="Q3532" s="34" t="s">
        <v>1494</v>
      </c>
      <c r="R3532" s="34" t="s">
        <v>1494</v>
      </c>
    </row>
    <row r="3533" spans="1:18" ht="15" customHeight="1" x14ac:dyDescent="0.25">
      <c r="A3533" t="str">
        <f>IFERROR(RANK(B3533,$B:$B,1)+COUNTIF($B$1:B3532,B3533),"")</f>
        <v/>
      </c>
      <c r="B3533" t="str">
        <f>IFERROR(SEARCH(#REF!,Table4[[#This Row],[Commodity Title]],1),"")</f>
        <v/>
      </c>
      <c r="C3533" s="35">
        <v>42311544</v>
      </c>
      <c r="D3533" s="33" t="s">
        <v>1495</v>
      </c>
      <c r="E3533" s="33" t="s">
        <v>1496</v>
      </c>
      <c r="F3533" s="33" t="s">
        <v>1497</v>
      </c>
      <c r="G3533" s="33" t="s">
        <v>8656</v>
      </c>
      <c r="H3533" s="33" t="s">
        <v>8657</v>
      </c>
      <c r="I3533" s="33" t="s">
        <v>8658</v>
      </c>
      <c r="J3533" s="33">
        <v>203363</v>
      </c>
      <c r="K3533" s="33" t="s">
        <v>8659</v>
      </c>
      <c r="L3533" s="33" t="s">
        <v>8660</v>
      </c>
      <c r="M3533" s="33" t="s">
        <v>8661</v>
      </c>
      <c r="N3533" s="44">
        <v>42311544</v>
      </c>
      <c r="O3533" s="33" t="s">
        <v>8706</v>
      </c>
      <c r="P3533" s="33" t="s">
        <v>8707</v>
      </c>
      <c r="Q3533" s="34" t="s">
        <v>1494</v>
      </c>
      <c r="R3533" s="34" t="s">
        <v>1494</v>
      </c>
    </row>
    <row r="3534" spans="1:18" ht="15" customHeight="1" x14ac:dyDescent="0.25">
      <c r="A3534" t="str">
        <f>IFERROR(RANK(B3534,$B:$B,1)+COUNTIF($B$1:B3533,B3534),"")</f>
        <v/>
      </c>
      <c r="B3534" t="str">
        <f>IFERROR(SEARCH(#REF!,Table4[[#This Row],[Commodity Title]],1),"")</f>
        <v/>
      </c>
      <c r="C3534" s="35">
        <v>42311545</v>
      </c>
      <c r="D3534" s="33" t="s">
        <v>1495</v>
      </c>
      <c r="E3534" s="33" t="s">
        <v>1496</v>
      </c>
      <c r="F3534" s="33" t="s">
        <v>1497</v>
      </c>
      <c r="G3534" s="33" t="s">
        <v>8656</v>
      </c>
      <c r="H3534" s="33" t="s">
        <v>8657</v>
      </c>
      <c r="I3534" s="33" t="s">
        <v>8658</v>
      </c>
      <c r="J3534" s="33">
        <v>203364</v>
      </c>
      <c r="K3534" s="33" t="s">
        <v>8659</v>
      </c>
      <c r="L3534" s="33" t="s">
        <v>8660</v>
      </c>
      <c r="M3534" s="33" t="s">
        <v>8661</v>
      </c>
      <c r="N3534" s="44">
        <v>42311545</v>
      </c>
      <c r="O3534" s="33" t="s">
        <v>8708</v>
      </c>
      <c r="P3534" s="33" t="s">
        <v>8709</v>
      </c>
      <c r="Q3534" s="34" t="s">
        <v>1494</v>
      </c>
      <c r="R3534" s="34" t="s">
        <v>1494</v>
      </c>
    </row>
    <row r="3535" spans="1:18" ht="15" customHeight="1" x14ac:dyDescent="0.25">
      <c r="A3535" t="str">
        <f>IFERROR(RANK(B3535,$B:$B,1)+COUNTIF($B$1:B3534,B3535),"")</f>
        <v/>
      </c>
      <c r="B3535" t="str">
        <f>IFERROR(SEARCH(#REF!,Table4[[#This Row],[Commodity Title]],1),"")</f>
        <v/>
      </c>
      <c r="C3535" s="35">
        <v>42311546</v>
      </c>
      <c r="D3535" s="33" t="s">
        <v>1495</v>
      </c>
      <c r="E3535" s="33" t="s">
        <v>1496</v>
      </c>
      <c r="F3535" s="33" t="s">
        <v>1497</v>
      </c>
      <c r="G3535" s="33" t="s">
        <v>8656</v>
      </c>
      <c r="H3535" s="33" t="s">
        <v>8657</v>
      </c>
      <c r="I3535" s="33" t="s">
        <v>8658</v>
      </c>
      <c r="J3535" s="33">
        <v>203365</v>
      </c>
      <c r="K3535" s="33" t="s">
        <v>8659</v>
      </c>
      <c r="L3535" s="33" t="s">
        <v>8660</v>
      </c>
      <c r="M3535" s="33" t="s">
        <v>8661</v>
      </c>
      <c r="N3535" s="44">
        <v>42311546</v>
      </c>
      <c r="O3535" s="33" t="s">
        <v>8710</v>
      </c>
      <c r="P3535" s="33" t="s">
        <v>8711</v>
      </c>
      <c r="Q3535" s="34" t="s">
        <v>1494</v>
      </c>
      <c r="R3535" s="34" t="s">
        <v>1494</v>
      </c>
    </row>
    <row r="3536" spans="1:18" ht="15" customHeight="1" x14ac:dyDescent="0.25">
      <c r="A3536" t="str">
        <f>IFERROR(RANK(B3536,$B:$B,1)+COUNTIF($B$1:B3535,B3536),"")</f>
        <v/>
      </c>
      <c r="B3536" t="str">
        <f>IFERROR(SEARCH(#REF!,Table4[[#This Row],[Commodity Title]],1),"")</f>
        <v/>
      </c>
      <c r="C3536" s="35">
        <v>42311547</v>
      </c>
      <c r="D3536" s="33" t="s">
        <v>1495</v>
      </c>
      <c r="E3536" s="33" t="s">
        <v>1496</v>
      </c>
      <c r="F3536" s="33" t="s">
        <v>1497</v>
      </c>
      <c r="G3536" s="33" t="s">
        <v>8656</v>
      </c>
      <c r="H3536" s="33" t="s">
        <v>8657</v>
      </c>
      <c r="I3536" s="33" t="s">
        <v>8658</v>
      </c>
      <c r="J3536" s="33">
        <v>203366</v>
      </c>
      <c r="K3536" s="33" t="s">
        <v>8659</v>
      </c>
      <c r="L3536" s="33" t="s">
        <v>8660</v>
      </c>
      <c r="M3536" s="33" t="s">
        <v>8661</v>
      </c>
      <c r="N3536" s="44">
        <v>42311547</v>
      </c>
      <c r="O3536" s="33" t="s">
        <v>8712</v>
      </c>
      <c r="P3536" s="33" t="s">
        <v>8713</v>
      </c>
      <c r="Q3536" s="34" t="s">
        <v>1494</v>
      </c>
      <c r="R3536" s="34" t="s">
        <v>1494</v>
      </c>
    </row>
    <row r="3537" spans="1:18" ht="15" customHeight="1" x14ac:dyDescent="0.25">
      <c r="A3537" t="str">
        <f>IFERROR(RANK(B3537,$B:$B,1)+COUNTIF($B$1:B3536,B3537),"")</f>
        <v/>
      </c>
      <c r="B3537" t="str">
        <f>IFERROR(SEARCH(#REF!,Table4[[#This Row],[Commodity Title]],1),"")</f>
        <v/>
      </c>
      <c r="C3537" s="35">
        <v>42311548</v>
      </c>
      <c r="D3537" s="33" t="s">
        <v>1495</v>
      </c>
      <c r="E3537" s="33" t="s">
        <v>1496</v>
      </c>
      <c r="F3537" s="33" t="s">
        <v>1497</v>
      </c>
      <c r="G3537" s="33" t="s">
        <v>8656</v>
      </c>
      <c r="H3537" s="33" t="s">
        <v>8657</v>
      </c>
      <c r="I3537" s="33" t="s">
        <v>8658</v>
      </c>
      <c r="J3537" s="33">
        <v>116522</v>
      </c>
      <c r="K3537" s="33" t="s">
        <v>8659</v>
      </c>
      <c r="L3537" s="33" t="s">
        <v>8660</v>
      </c>
      <c r="M3537" s="33" t="s">
        <v>8661</v>
      </c>
      <c r="N3537" s="44">
        <v>42311548</v>
      </c>
      <c r="O3537" s="33" t="s">
        <v>8714</v>
      </c>
      <c r="P3537" s="33" t="s">
        <v>8715</v>
      </c>
      <c r="Q3537" s="34" t="s">
        <v>1494</v>
      </c>
      <c r="R3537" s="34" t="s">
        <v>1494</v>
      </c>
    </row>
    <row r="3538" spans="1:18" ht="15" customHeight="1" x14ac:dyDescent="0.25">
      <c r="A3538" t="str">
        <f>IFERROR(RANK(B3538,$B:$B,1)+COUNTIF($B$1:B3537,B3538),"")</f>
        <v/>
      </c>
      <c r="B3538" t="str">
        <f>IFERROR(SEARCH(#REF!,Table4[[#This Row],[Commodity Title]],1),"")</f>
        <v/>
      </c>
      <c r="C3538" s="35">
        <v>42311549</v>
      </c>
      <c r="D3538" s="33" t="s">
        <v>1495</v>
      </c>
      <c r="E3538" s="33" t="s">
        <v>1496</v>
      </c>
      <c r="F3538" s="33" t="s">
        <v>1497</v>
      </c>
      <c r="G3538" s="33" t="s">
        <v>8656</v>
      </c>
      <c r="H3538" s="33" t="s">
        <v>8657</v>
      </c>
      <c r="I3538" s="33" t="s">
        <v>8658</v>
      </c>
      <c r="J3538" s="33">
        <v>203367</v>
      </c>
      <c r="K3538" s="33" t="s">
        <v>8659</v>
      </c>
      <c r="L3538" s="33" t="s">
        <v>8660</v>
      </c>
      <c r="M3538" s="33" t="s">
        <v>8661</v>
      </c>
      <c r="N3538" s="44">
        <v>42311549</v>
      </c>
      <c r="O3538" s="33" t="s">
        <v>8716</v>
      </c>
      <c r="P3538" s="33" t="s">
        <v>8717</v>
      </c>
      <c r="Q3538" s="34" t="s">
        <v>1494</v>
      </c>
      <c r="R3538" s="34" t="s">
        <v>1494</v>
      </c>
    </row>
    <row r="3539" spans="1:18" ht="15" customHeight="1" x14ac:dyDescent="0.25">
      <c r="A3539" t="str">
        <f>IFERROR(RANK(B3539,$B:$B,1)+COUNTIF($B$1:B3538,B3539),"")</f>
        <v/>
      </c>
      <c r="B3539" t="str">
        <f>IFERROR(SEARCH(#REF!,Table4[[#This Row],[Commodity Title]],1),"")</f>
        <v/>
      </c>
      <c r="C3539" s="35">
        <v>42311550</v>
      </c>
      <c r="D3539" s="33" t="s">
        <v>1495</v>
      </c>
      <c r="E3539" s="33" t="s">
        <v>1496</v>
      </c>
      <c r="F3539" s="33" t="s">
        <v>1497</v>
      </c>
      <c r="G3539" s="33" t="s">
        <v>8656</v>
      </c>
      <c r="H3539" s="33" t="s">
        <v>8657</v>
      </c>
      <c r="I3539" s="33" t="s">
        <v>8658</v>
      </c>
      <c r="J3539" s="33">
        <v>203368</v>
      </c>
      <c r="K3539" s="33" t="s">
        <v>8659</v>
      </c>
      <c r="L3539" s="33" t="s">
        <v>8660</v>
      </c>
      <c r="M3539" s="33" t="s">
        <v>8661</v>
      </c>
      <c r="N3539" s="44">
        <v>42311550</v>
      </c>
      <c r="O3539" s="33" t="s">
        <v>8718</v>
      </c>
      <c r="P3539" s="33" t="s">
        <v>8719</v>
      </c>
      <c r="Q3539" s="34" t="s">
        <v>1494</v>
      </c>
      <c r="R3539" s="34" t="s">
        <v>1494</v>
      </c>
    </row>
    <row r="3540" spans="1:18" ht="15" customHeight="1" x14ac:dyDescent="0.25">
      <c r="A3540" t="str">
        <f>IFERROR(RANK(B3540,$B:$B,1)+COUNTIF($B$1:B3539,B3540),"")</f>
        <v/>
      </c>
      <c r="B3540" t="str">
        <f>IFERROR(SEARCH(#REF!,Table4[[#This Row],[Commodity Title]],1),"")</f>
        <v/>
      </c>
      <c r="C3540" s="35">
        <v>42311551</v>
      </c>
      <c r="D3540" s="33" t="s">
        <v>1495</v>
      </c>
      <c r="E3540" s="33" t="s">
        <v>1496</v>
      </c>
      <c r="F3540" s="33" t="s">
        <v>1497</v>
      </c>
      <c r="G3540" s="33" t="s">
        <v>8656</v>
      </c>
      <c r="H3540" s="33" t="s">
        <v>8657</v>
      </c>
      <c r="I3540" s="33" t="s">
        <v>8658</v>
      </c>
      <c r="J3540" s="33">
        <v>116523</v>
      </c>
      <c r="K3540" s="33" t="s">
        <v>8659</v>
      </c>
      <c r="L3540" s="33" t="s">
        <v>8660</v>
      </c>
      <c r="M3540" s="33" t="s">
        <v>8661</v>
      </c>
      <c r="N3540" s="44">
        <v>42311551</v>
      </c>
      <c r="O3540" s="33" t="s">
        <v>8720</v>
      </c>
      <c r="P3540" s="33" t="s">
        <v>8721</v>
      </c>
      <c r="Q3540" s="34" t="s">
        <v>1494</v>
      </c>
      <c r="R3540" s="34" t="s">
        <v>1494</v>
      </c>
    </row>
    <row r="3541" spans="1:18" ht="15" customHeight="1" x14ac:dyDescent="0.25">
      <c r="A3541" t="str">
        <f>IFERROR(RANK(B3541,$B:$B,1)+COUNTIF($B$1:B3540,B3541),"")</f>
        <v/>
      </c>
      <c r="B3541" t="str">
        <f>IFERROR(SEARCH(#REF!,Table4[[#This Row],[Commodity Title]],1),"")</f>
        <v/>
      </c>
      <c r="C3541" s="35">
        <v>42311552</v>
      </c>
      <c r="D3541" s="33" t="s">
        <v>1495</v>
      </c>
      <c r="E3541" s="33" t="s">
        <v>1496</v>
      </c>
      <c r="F3541" s="33" t="s">
        <v>1497</v>
      </c>
      <c r="G3541" s="33" t="s">
        <v>8656</v>
      </c>
      <c r="H3541" s="33" t="s">
        <v>8657</v>
      </c>
      <c r="I3541" s="33" t="s">
        <v>8658</v>
      </c>
      <c r="J3541" s="33">
        <v>116526</v>
      </c>
      <c r="K3541" s="33" t="s">
        <v>8659</v>
      </c>
      <c r="L3541" s="33" t="s">
        <v>8660</v>
      </c>
      <c r="M3541" s="33" t="s">
        <v>8661</v>
      </c>
      <c r="N3541" s="44">
        <v>42311552</v>
      </c>
      <c r="O3541" s="33" t="s">
        <v>8722</v>
      </c>
      <c r="P3541" s="33" t="s">
        <v>8723</v>
      </c>
      <c r="Q3541" s="34" t="s">
        <v>1494</v>
      </c>
      <c r="R3541" s="34" t="s">
        <v>1494</v>
      </c>
    </row>
    <row r="3542" spans="1:18" ht="15" customHeight="1" x14ac:dyDescent="0.25">
      <c r="A3542" t="str">
        <f>IFERROR(RANK(B3542,$B:$B,1)+COUNTIF($B$1:B3541,B3542),"")</f>
        <v/>
      </c>
      <c r="B3542" t="str">
        <f>IFERROR(SEARCH(#REF!,Table4[[#This Row],[Commodity Title]],1),"")</f>
        <v/>
      </c>
      <c r="C3542" s="33" t="s">
        <v>1494</v>
      </c>
      <c r="D3542" s="33" t="s">
        <v>1495</v>
      </c>
      <c r="E3542" s="33" t="s">
        <v>1496</v>
      </c>
      <c r="F3542" s="33" t="s">
        <v>1497</v>
      </c>
      <c r="G3542" s="33" t="s">
        <v>8656</v>
      </c>
      <c r="H3542" s="33" t="s">
        <v>8657</v>
      </c>
      <c r="I3542" s="33" t="s">
        <v>8658</v>
      </c>
      <c r="J3542" s="33">
        <v>116514</v>
      </c>
      <c r="K3542" s="33" t="s">
        <v>8724</v>
      </c>
      <c r="L3542" s="33" t="s">
        <v>8725</v>
      </c>
      <c r="M3542" s="33" t="s">
        <v>8726</v>
      </c>
      <c r="N3542" s="44" t="s">
        <v>1494</v>
      </c>
      <c r="O3542" s="33" t="s">
        <v>1494</v>
      </c>
      <c r="P3542" s="33" t="s">
        <v>1494</v>
      </c>
      <c r="Q3542" s="34" t="s">
        <v>1494</v>
      </c>
      <c r="R3542" s="34" t="s">
        <v>1494</v>
      </c>
    </row>
    <row r="3543" spans="1:18" ht="15" customHeight="1" x14ac:dyDescent="0.25">
      <c r="A3543" t="str">
        <f>IFERROR(RANK(B3543,$B:$B,1)+COUNTIF($B$1:B3542,B3543),"")</f>
        <v/>
      </c>
      <c r="B3543" t="str">
        <f>IFERROR(SEARCH(#REF!,Table4[[#This Row],[Commodity Title]],1),"")</f>
        <v/>
      </c>
      <c r="C3543" s="35">
        <v>42311606</v>
      </c>
      <c r="D3543" s="33" t="s">
        <v>1495</v>
      </c>
      <c r="E3543" s="33" t="s">
        <v>1496</v>
      </c>
      <c r="F3543" s="33" t="s">
        <v>1497</v>
      </c>
      <c r="G3543" s="33" t="s">
        <v>8656</v>
      </c>
      <c r="H3543" s="33" t="s">
        <v>8657</v>
      </c>
      <c r="I3543" s="33" t="s">
        <v>8658</v>
      </c>
      <c r="J3543" s="33">
        <v>203369</v>
      </c>
      <c r="K3543" s="33" t="s">
        <v>8724</v>
      </c>
      <c r="L3543" s="33" t="s">
        <v>8725</v>
      </c>
      <c r="M3543" s="33" t="s">
        <v>8726</v>
      </c>
      <c r="N3543" s="44">
        <v>42311606</v>
      </c>
      <c r="O3543" s="33" t="s">
        <v>8727</v>
      </c>
      <c r="P3543" s="33" t="s">
        <v>8728</v>
      </c>
      <c r="Q3543" s="34" t="s">
        <v>1494</v>
      </c>
      <c r="R3543" s="34" t="s">
        <v>1494</v>
      </c>
    </row>
    <row r="3544" spans="1:18" ht="15" customHeight="1" x14ac:dyDescent="0.25">
      <c r="A3544" t="str">
        <f>IFERROR(RANK(B3544,$B:$B,1)+COUNTIF($B$1:B3543,B3544),"")</f>
        <v/>
      </c>
      <c r="B3544" t="str">
        <f>IFERROR(SEARCH(#REF!,Table4[[#This Row],[Commodity Title]],1),"")</f>
        <v/>
      </c>
      <c r="C3544" s="35">
        <v>42311607</v>
      </c>
      <c r="D3544" s="33" t="s">
        <v>1495</v>
      </c>
      <c r="E3544" s="33" t="s">
        <v>1496</v>
      </c>
      <c r="F3544" s="33" t="s">
        <v>1497</v>
      </c>
      <c r="G3544" s="33" t="s">
        <v>8656</v>
      </c>
      <c r="H3544" s="33" t="s">
        <v>8657</v>
      </c>
      <c r="I3544" s="33" t="s">
        <v>8658</v>
      </c>
      <c r="J3544" s="33">
        <v>203370</v>
      </c>
      <c r="K3544" s="33" t="s">
        <v>8724</v>
      </c>
      <c r="L3544" s="33" t="s">
        <v>8725</v>
      </c>
      <c r="M3544" s="33" t="s">
        <v>8726</v>
      </c>
      <c r="N3544" s="44">
        <v>42311607</v>
      </c>
      <c r="O3544" s="33" t="s">
        <v>8729</v>
      </c>
      <c r="P3544" s="33" t="s">
        <v>8730</v>
      </c>
      <c r="Q3544" s="34" t="s">
        <v>1494</v>
      </c>
      <c r="R3544" s="34" t="s">
        <v>1494</v>
      </c>
    </row>
    <row r="3545" spans="1:18" ht="15" customHeight="1" x14ac:dyDescent="0.25">
      <c r="A3545" t="str">
        <f>IFERROR(RANK(B3545,$B:$B,1)+COUNTIF($B$1:B3544,B3545),"")</f>
        <v/>
      </c>
      <c r="B3545" t="str">
        <f>IFERROR(SEARCH(#REF!,Table4[[#This Row],[Commodity Title]],1),"")</f>
        <v/>
      </c>
      <c r="C3545" s="33" t="s">
        <v>1494</v>
      </c>
      <c r="D3545" s="33" t="s">
        <v>1495</v>
      </c>
      <c r="E3545" s="33" t="s">
        <v>1496</v>
      </c>
      <c r="F3545" s="33" t="s">
        <v>1497</v>
      </c>
      <c r="G3545" s="33" t="s">
        <v>8656</v>
      </c>
      <c r="H3545" s="33" t="s">
        <v>8657</v>
      </c>
      <c r="I3545" s="33" t="s">
        <v>8658</v>
      </c>
      <c r="J3545" s="33">
        <v>116535</v>
      </c>
      <c r="K3545" s="33" t="s">
        <v>8731</v>
      </c>
      <c r="L3545" s="33" t="s">
        <v>8732</v>
      </c>
      <c r="M3545" s="33" t="s">
        <v>8733</v>
      </c>
      <c r="N3545" s="44" t="s">
        <v>1494</v>
      </c>
      <c r="O3545" s="33" t="s">
        <v>1494</v>
      </c>
      <c r="P3545" s="33" t="s">
        <v>1494</v>
      </c>
      <c r="Q3545" s="34" t="s">
        <v>1494</v>
      </c>
      <c r="R3545" s="34" t="s">
        <v>1494</v>
      </c>
    </row>
    <row r="3546" spans="1:18" ht="15" customHeight="1" x14ac:dyDescent="0.25">
      <c r="A3546" t="str">
        <f>IFERROR(RANK(B3546,$B:$B,1)+COUNTIF($B$1:B3545,B3546),"")</f>
        <v/>
      </c>
      <c r="B3546" t="str">
        <f>IFERROR(SEARCH(#REF!,Table4[[#This Row],[Commodity Title]],1),"")</f>
        <v/>
      </c>
      <c r="C3546" s="35">
        <v>42312002</v>
      </c>
      <c r="D3546" s="33" t="s">
        <v>1495</v>
      </c>
      <c r="E3546" s="33" t="s">
        <v>1496</v>
      </c>
      <c r="F3546" s="33" t="s">
        <v>1497</v>
      </c>
      <c r="G3546" s="33" t="s">
        <v>8656</v>
      </c>
      <c r="H3546" s="33" t="s">
        <v>8657</v>
      </c>
      <c r="I3546" s="33" t="s">
        <v>8658</v>
      </c>
      <c r="J3546" s="33">
        <v>116537</v>
      </c>
      <c r="K3546" s="33" t="s">
        <v>8731</v>
      </c>
      <c r="L3546" s="33" t="s">
        <v>8732</v>
      </c>
      <c r="M3546" s="33" t="s">
        <v>8733</v>
      </c>
      <c r="N3546" s="44">
        <v>42312002</v>
      </c>
      <c r="O3546" s="33" t="s">
        <v>8734</v>
      </c>
      <c r="P3546" s="33" t="s">
        <v>8735</v>
      </c>
      <c r="Q3546" s="34" t="s">
        <v>1494</v>
      </c>
      <c r="R3546" s="34" t="s">
        <v>1494</v>
      </c>
    </row>
    <row r="3547" spans="1:18" ht="15" customHeight="1" x14ac:dyDescent="0.25">
      <c r="A3547" t="str">
        <f>IFERROR(RANK(B3547,$B:$B,1)+COUNTIF($B$1:B3546,B3547),"")</f>
        <v/>
      </c>
      <c r="B3547" t="str">
        <f>IFERROR(SEARCH(#REF!,Table4[[#This Row],[Commodity Title]],1),"")</f>
        <v/>
      </c>
      <c r="C3547" s="35">
        <v>42312004</v>
      </c>
      <c r="D3547" s="33" t="s">
        <v>1495</v>
      </c>
      <c r="E3547" s="33" t="s">
        <v>1496</v>
      </c>
      <c r="F3547" s="33" t="s">
        <v>1497</v>
      </c>
      <c r="G3547" s="33" t="s">
        <v>8656</v>
      </c>
      <c r="H3547" s="33" t="s">
        <v>8657</v>
      </c>
      <c r="I3547" s="33" t="s">
        <v>8658</v>
      </c>
      <c r="J3547" s="33">
        <v>116539</v>
      </c>
      <c r="K3547" s="33" t="s">
        <v>8731</v>
      </c>
      <c r="L3547" s="33" t="s">
        <v>8732</v>
      </c>
      <c r="M3547" s="33" t="s">
        <v>8733</v>
      </c>
      <c r="N3547" s="44">
        <v>42312004</v>
      </c>
      <c r="O3547" s="33" t="s">
        <v>8736</v>
      </c>
      <c r="P3547" s="33" t="s">
        <v>8737</v>
      </c>
      <c r="Q3547" s="34" t="s">
        <v>1494</v>
      </c>
      <c r="R3547" s="34" t="s">
        <v>1494</v>
      </c>
    </row>
    <row r="3548" spans="1:18" ht="15" customHeight="1" x14ac:dyDescent="0.25">
      <c r="A3548" t="str">
        <f>IFERROR(RANK(B3548,$B:$B,1)+COUNTIF($B$1:B3547,B3548),"")</f>
        <v/>
      </c>
      <c r="B3548" t="str">
        <f>IFERROR(SEARCH(#REF!,Table4[[#This Row],[Commodity Title]],1),"")</f>
        <v/>
      </c>
      <c r="C3548" s="35">
        <v>42312005</v>
      </c>
      <c r="D3548" s="33" t="s">
        <v>1495</v>
      </c>
      <c r="E3548" s="33" t="s">
        <v>1496</v>
      </c>
      <c r="F3548" s="33" t="s">
        <v>1497</v>
      </c>
      <c r="G3548" s="33" t="s">
        <v>8656</v>
      </c>
      <c r="H3548" s="33" t="s">
        <v>8657</v>
      </c>
      <c r="I3548" s="33" t="s">
        <v>8658</v>
      </c>
      <c r="J3548" s="33">
        <v>116540</v>
      </c>
      <c r="K3548" s="33" t="s">
        <v>8731</v>
      </c>
      <c r="L3548" s="33" t="s">
        <v>8732</v>
      </c>
      <c r="M3548" s="33" t="s">
        <v>8733</v>
      </c>
      <c r="N3548" s="44">
        <v>42312005</v>
      </c>
      <c r="O3548" s="33" t="s">
        <v>8738</v>
      </c>
      <c r="P3548" s="33" t="s">
        <v>8739</v>
      </c>
      <c r="Q3548" s="34" t="s">
        <v>1494</v>
      </c>
      <c r="R3548" s="34" t="s">
        <v>1494</v>
      </c>
    </row>
    <row r="3549" spans="1:18" ht="15" customHeight="1" x14ac:dyDescent="0.25">
      <c r="A3549" t="str">
        <f>IFERROR(RANK(B3549,$B:$B,1)+COUNTIF($B$1:B3548,B3549),"")</f>
        <v/>
      </c>
      <c r="B3549" t="str">
        <f>IFERROR(SEARCH(#REF!,Table4[[#This Row],[Commodity Title]],1),"")</f>
        <v/>
      </c>
      <c r="C3549" s="35">
        <v>42312006</v>
      </c>
      <c r="D3549" s="33" t="s">
        <v>1495</v>
      </c>
      <c r="E3549" s="33" t="s">
        <v>1496</v>
      </c>
      <c r="F3549" s="33" t="s">
        <v>1497</v>
      </c>
      <c r="G3549" s="33" t="s">
        <v>8656</v>
      </c>
      <c r="H3549" s="33" t="s">
        <v>8657</v>
      </c>
      <c r="I3549" s="33" t="s">
        <v>8658</v>
      </c>
      <c r="J3549" s="33">
        <v>116541</v>
      </c>
      <c r="K3549" s="33" t="s">
        <v>8731</v>
      </c>
      <c r="L3549" s="33" t="s">
        <v>8732</v>
      </c>
      <c r="M3549" s="33" t="s">
        <v>8733</v>
      </c>
      <c r="N3549" s="44">
        <v>42312006</v>
      </c>
      <c r="O3549" s="36" t="s">
        <v>8740</v>
      </c>
      <c r="P3549" s="33" t="s">
        <v>8741</v>
      </c>
      <c r="Q3549" s="34" t="s">
        <v>1494</v>
      </c>
      <c r="R3549" s="34" t="s">
        <v>1494</v>
      </c>
    </row>
    <row r="3550" spans="1:18" ht="15" customHeight="1" x14ac:dyDescent="0.25">
      <c r="A3550" t="str">
        <f>IFERROR(RANK(B3550,$B:$B,1)+COUNTIF($B$1:B3549,B3550),"")</f>
        <v/>
      </c>
      <c r="B3550" t="str">
        <f>IFERROR(SEARCH(#REF!,Table4[[#This Row],[Commodity Title]],1),"")</f>
        <v/>
      </c>
      <c r="C3550" s="35">
        <v>42312007</v>
      </c>
      <c r="D3550" s="33" t="s">
        <v>1495</v>
      </c>
      <c r="E3550" s="33" t="s">
        <v>1496</v>
      </c>
      <c r="F3550" s="33" t="s">
        <v>1497</v>
      </c>
      <c r="G3550" s="33" t="s">
        <v>8656</v>
      </c>
      <c r="H3550" s="33" t="s">
        <v>8657</v>
      </c>
      <c r="I3550" s="33" t="s">
        <v>8658</v>
      </c>
      <c r="J3550" s="33">
        <v>116542</v>
      </c>
      <c r="K3550" s="33" t="s">
        <v>8731</v>
      </c>
      <c r="L3550" s="33" t="s">
        <v>8732</v>
      </c>
      <c r="M3550" s="33" t="s">
        <v>8733</v>
      </c>
      <c r="N3550" s="44">
        <v>42312007</v>
      </c>
      <c r="O3550" s="33" t="s">
        <v>8742</v>
      </c>
      <c r="P3550" s="33" t="s">
        <v>8743</v>
      </c>
      <c r="Q3550" s="34" t="s">
        <v>1494</v>
      </c>
      <c r="R3550" s="34" t="s">
        <v>1494</v>
      </c>
    </row>
    <row r="3551" spans="1:18" ht="15" customHeight="1" x14ac:dyDescent="0.25">
      <c r="A3551" t="str">
        <f>IFERROR(RANK(B3551,$B:$B,1)+COUNTIF($B$1:B3550,B3551),"")</f>
        <v/>
      </c>
      <c r="B3551" t="str">
        <f>IFERROR(SEARCH(#REF!,Table4[[#This Row],[Commodity Title]],1),"")</f>
        <v/>
      </c>
      <c r="C3551" s="35">
        <v>42312009</v>
      </c>
      <c r="D3551" s="33" t="s">
        <v>1495</v>
      </c>
      <c r="E3551" s="33" t="s">
        <v>1496</v>
      </c>
      <c r="F3551" s="33" t="s">
        <v>1497</v>
      </c>
      <c r="G3551" s="33" t="s">
        <v>8656</v>
      </c>
      <c r="H3551" s="33" t="s">
        <v>8657</v>
      </c>
      <c r="I3551" s="33" t="s">
        <v>8658</v>
      </c>
      <c r="J3551" s="33">
        <v>116544</v>
      </c>
      <c r="K3551" s="33" t="s">
        <v>8731</v>
      </c>
      <c r="L3551" s="33" t="s">
        <v>8732</v>
      </c>
      <c r="M3551" s="33" t="s">
        <v>8733</v>
      </c>
      <c r="N3551" s="44">
        <v>42312009</v>
      </c>
      <c r="O3551" s="33" t="s">
        <v>8744</v>
      </c>
      <c r="P3551" s="33" t="s">
        <v>8745</v>
      </c>
      <c r="Q3551" s="34" t="s">
        <v>1494</v>
      </c>
      <c r="R3551" s="34" t="s">
        <v>1494</v>
      </c>
    </row>
    <row r="3552" spans="1:18" ht="15" customHeight="1" x14ac:dyDescent="0.25">
      <c r="A3552" t="str">
        <f>IFERROR(RANK(B3552,$B:$B,1)+COUNTIF($B$1:B3551,B3552),"")</f>
        <v/>
      </c>
      <c r="B3552" t="str">
        <f>IFERROR(SEARCH(#REF!,Table4[[#This Row],[Commodity Title]],1),"")</f>
        <v/>
      </c>
      <c r="C3552" s="35">
        <v>42312010</v>
      </c>
      <c r="D3552" s="33" t="s">
        <v>1495</v>
      </c>
      <c r="E3552" s="33" t="s">
        <v>1496</v>
      </c>
      <c r="F3552" s="33" t="s">
        <v>1497</v>
      </c>
      <c r="G3552" s="33" t="s">
        <v>8656</v>
      </c>
      <c r="H3552" s="33" t="s">
        <v>8657</v>
      </c>
      <c r="I3552" s="33" t="s">
        <v>8658</v>
      </c>
      <c r="J3552" s="33">
        <v>116545</v>
      </c>
      <c r="K3552" s="33" t="s">
        <v>8731</v>
      </c>
      <c r="L3552" s="33" t="s">
        <v>8732</v>
      </c>
      <c r="M3552" s="33" t="s">
        <v>8733</v>
      </c>
      <c r="N3552" s="44">
        <v>42312010</v>
      </c>
      <c r="O3552" s="33" t="s">
        <v>8746</v>
      </c>
      <c r="P3552" s="33" t="s">
        <v>8747</v>
      </c>
      <c r="Q3552" s="34" t="s">
        <v>1494</v>
      </c>
      <c r="R3552" s="34" t="s">
        <v>1494</v>
      </c>
    </row>
    <row r="3553" spans="1:18" ht="15" customHeight="1" x14ac:dyDescent="0.25">
      <c r="A3553" t="str">
        <f>IFERROR(RANK(B3553,$B:$B,1)+COUNTIF($B$1:B3552,B3553),"")</f>
        <v/>
      </c>
      <c r="B3553" t="str">
        <f>IFERROR(SEARCH(#REF!,Table4[[#This Row],[Commodity Title]],1),"")</f>
        <v/>
      </c>
      <c r="C3553" s="35">
        <v>42312011</v>
      </c>
      <c r="D3553" s="33" t="s">
        <v>1495</v>
      </c>
      <c r="E3553" s="33" t="s">
        <v>1496</v>
      </c>
      <c r="F3553" s="33" t="s">
        <v>1497</v>
      </c>
      <c r="G3553" s="33" t="s">
        <v>8656</v>
      </c>
      <c r="H3553" s="33" t="s">
        <v>8657</v>
      </c>
      <c r="I3553" s="33" t="s">
        <v>8658</v>
      </c>
      <c r="J3553" s="33">
        <v>116546</v>
      </c>
      <c r="K3553" s="33" t="s">
        <v>8731</v>
      </c>
      <c r="L3553" s="33" t="s">
        <v>8732</v>
      </c>
      <c r="M3553" s="33" t="s">
        <v>8733</v>
      </c>
      <c r="N3553" s="44">
        <v>42312011</v>
      </c>
      <c r="O3553" s="33" t="s">
        <v>8748</v>
      </c>
      <c r="P3553" s="33" t="s">
        <v>8749</v>
      </c>
      <c r="Q3553" s="34" t="s">
        <v>1494</v>
      </c>
      <c r="R3553" s="34" t="s">
        <v>1494</v>
      </c>
    </row>
    <row r="3554" spans="1:18" ht="15" customHeight="1" x14ac:dyDescent="0.25">
      <c r="A3554" t="str">
        <f>IFERROR(RANK(B3554,$B:$B,1)+COUNTIF($B$1:B3553,B3554),"")</f>
        <v/>
      </c>
      <c r="B3554" t="str">
        <f>IFERROR(SEARCH(#REF!,Table4[[#This Row],[Commodity Title]],1),"")</f>
        <v/>
      </c>
      <c r="C3554" s="35">
        <v>42312012</v>
      </c>
      <c r="D3554" s="33" t="s">
        <v>1495</v>
      </c>
      <c r="E3554" s="33" t="s">
        <v>1496</v>
      </c>
      <c r="F3554" s="33" t="s">
        <v>1497</v>
      </c>
      <c r="G3554" s="33" t="s">
        <v>8656</v>
      </c>
      <c r="H3554" s="33" t="s">
        <v>8657</v>
      </c>
      <c r="I3554" s="33" t="s">
        <v>8658</v>
      </c>
      <c r="J3554" s="33">
        <v>116547</v>
      </c>
      <c r="K3554" s="33" t="s">
        <v>8731</v>
      </c>
      <c r="L3554" s="33" t="s">
        <v>8732</v>
      </c>
      <c r="M3554" s="33" t="s">
        <v>8733</v>
      </c>
      <c r="N3554" s="44">
        <v>42312012</v>
      </c>
      <c r="O3554" s="33" t="s">
        <v>8750</v>
      </c>
      <c r="P3554" s="33" t="s">
        <v>8751</v>
      </c>
      <c r="Q3554" s="34" t="s">
        <v>1494</v>
      </c>
      <c r="R3554" s="34" t="s">
        <v>1494</v>
      </c>
    </row>
    <row r="3555" spans="1:18" ht="15" customHeight="1" x14ac:dyDescent="0.25">
      <c r="A3555" t="str">
        <f>IFERROR(RANK(B3555,$B:$B,1)+COUNTIF($B$1:B3554,B3555),"")</f>
        <v/>
      </c>
      <c r="B3555" t="str">
        <f>IFERROR(SEARCH(#REF!,Table4[[#This Row],[Commodity Title]],1),"")</f>
        <v/>
      </c>
      <c r="C3555" s="35">
        <v>42312013</v>
      </c>
      <c r="D3555" s="33" t="s">
        <v>1495</v>
      </c>
      <c r="E3555" s="33" t="s">
        <v>1496</v>
      </c>
      <c r="F3555" s="33" t="s">
        <v>1497</v>
      </c>
      <c r="G3555" s="33" t="s">
        <v>8656</v>
      </c>
      <c r="H3555" s="33" t="s">
        <v>8657</v>
      </c>
      <c r="I3555" s="33" t="s">
        <v>8658</v>
      </c>
      <c r="J3555" s="33">
        <v>203371</v>
      </c>
      <c r="K3555" s="33" t="s">
        <v>8731</v>
      </c>
      <c r="L3555" s="33" t="s">
        <v>8732</v>
      </c>
      <c r="M3555" s="33" t="s">
        <v>8733</v>
      </c>
      <c r="N3555" s="44">
        <v>42312013</v>
      </c>
      <c r="O3555" s="33" t="s">
        <v>8752</v>
      </c>
      <c r="P3555" s="33" t="s">
        <v>8753</v>
      </c>
      <c r="Q3555" s="34" t="s">
        <v>1494</v>
      </c>
      <c r="R3555" s="34" t="s">
        <v>1494</v>
      </c>
    </row>
    <row r="3556" spans="1:18" ht="15" customHeight="1" x14ac:dyDescent="0.25">
      <c r="A3556" t="str">
        <f>IFERROR(RANK(B3556,$B:$B,1)+COUNTIF($B$1:B3555,B3556),"")</f>
        <v/>
      </c>
      <c r="B3556" t="str">
        <f>IFERROR(SEARCH(#REF!,Table4[[#This Row],[Commodity Title]],1),"")</f>
        <v/>
      </c>
      <c r="C3556" s="35">
        <v>42312014</v>
      </c>
      <c r="D3556" s="33" t="s">
        <v>1495</v>
      </c>
      <c r="E3556" s="33" t="s">
        <v>1496</v>
      </c>
      <c r="F3556" s="33" t="s">
        <v>1497</v>
      </c>
      <c r="G3556" s="33" t="s">
        <v>8656</v>
      </c>
      <c r="H3556" s="33" t="s">
        <v>8657</v>
      </c>
      <c r="I3556" s="33" t="s">
        <v>8658</v>
      </c>
      <c r="J3556" s="33">
        <v>142847</v>
      </c>
      <c r="K3556" s="33" t="s">
        <v>8731</v>
      </c>
      <c r="L3556" s="33" t="s">
        <v>8732</v>
      </c>
      <c r="M3556" s="33" t="s">
        <v>8733</v>
      </c>
      <c r="N3556" s="44">
        <v>42312014</v>
      </c>
      <c r="O3556" s="33" t="s">
        <v>8754</v>
      </c>
      <c r="P3556" s="33" t="s">
        <v>8755</v>
      </c>
      <c r="Q3556" s="34" t="s">
        <v>1494</v>
      </c>
      <c r="R3556" s="34" t="s">
        <v>1494</v>
      </c>
    </row>
    <row r="3557" spans="1:18" ht="15" customHeight="1" x14ac:dyDescent="0.25">
      <c r="A3557" t="str">
        <f>IFERROR(RANK(B3557,$B:$B,1)+COUNTIF($B$1:B3556,B3557),"")</f>
        <v/>
      </c>
      <c r="B3557" t="str">
        <f>IFERROR(SEARCH(#REF!,Table4[[#This Row],[Commodity Title]],1),"")</f>
        <v/>
      </c>
      <c r="C3557" s="35">
        <v>42312015</v>
      </c>
      <c r="D3557" s="33" t="s">
        <v>1495</v>
      </c>
      <c r="E3557" s="33" t="s">
        <v>1496</v>
      </c>
      <c r="F3557" s="33" t="s">
        <v>1497</v>
      </c>
      <c r="G3557" s="33" t="s">
        <v>8656</v>
      </c>
      <c r="H3557" s="33" t="s">
        <v>8657</v>
      </c>
      <c r="I3557" s="33" t="s">
        <v>8658</v>
      </c>
      <c r="J3557" s="33">
        <v>116525</v>
      </c>
      <c r="K3557" s="33" t="s">
        <v>8731</v>
      </c>
      <c r="L3557" s="33" t="s">
        <v>8732</v>
      </c>
      <c r="M3557" s="33" t="s">
        <v>8733</v>
      </c>
      <c r="N3557" s="44">
        <v>42312015</v>
      </c>
      <c r="O3557" s="33" t="s">
        <v>8756</v>
      </c>
      <c r="P3557" s="33" t="s">
        <v>8757</v>
      </c>
      <c r="Q3557" s="34" t="s">
        <v>1494</v>
      </c>
      <c r="R3557" s="34" t="s">
        <v>1494</v>
      </c>
    </row>
    <row r="3558" spans="1:18" ht="15" customHeight="1" x14ac:dyDescent="0.25">
      <c r="A3558" t="str">
        <f>IFERROR(RANK(B3558,$B:$B,1)+COUNTIF($B$1:B3557,B3558),"")</f>
        <v/>
      </c>
      <c r="B3558" t="str">
        <f>IFERROR(SEARCH(#REF!,Table4[[#This Row],[Commodity Title]],1),"")</f>
        <v/>
      </c>
      <c r="C3558" s="33" t="s">
        <v>1494</v>
      </c>
      <c r="D3558" s="33" t="s">
        <v>1495</v>
      </c>
      <c r="E3558" s="33" t="s">
        <v>1496</v>
      </c>
      <c r="F3558" s="33" t="s">
        <v>1497</v>
      </c>
      <c r="G3558" s="33" t="s">
        <v>8656</v>
      </c>
      <c r="H3558" s="33" t="s">
        <v>8657</v>
      </c>
      <c r="I3558" s="33" t="s">
        <v>8658</v>
      </c>
      <c r="J3558" s="33">
        <v>116550</v>
      </c>
      <c r="K3558" s="33" t="s">
        <v>8758</v>
      </c>
      <c r="L3558" s="33" t="s">
        <v>8759</v>
      </c>
      <c r="M3558" s="33" t="s">
        <v>8760</v>
      </c>
      <c r="N3558" s="44" t="s">
        <v>1494</v>
      </c>
      <c r="O3558" s="33" t="s">
        <v>1494</v>
      </c>
      <c r="P3558" s="33" t="s">
        <v>1494</v>
      </c>
      <c r="Q3558" s="34" t="s">
        <v>1494</v>
      </c>
      <c r="R3558" s="34" t="s">
        <v>1494</v>
      </c>
    </row>
    <row r="3559" spans="1:18" ht="15" customHeight="1" x14ac:dyDescent="0.25">
      <c r="A3559" t="str">
        <f>IFERROR(RANK(B3559,$B:$B,1)+COUNTIF($B$1:B3558,B3559),"")</f>
        <v/>
      </c>
      <c r="B3559" t="str">
        <f>IFERROR(SEARCH(#REF!,Table4[[#This Row],[Commodity Title]],1),"")</f>
        <v/>
      </c>
      <c r="C3559" s="35">
        <v>42312101</v>
      </c>
      <c r="D3559" s="33" t="s">
        <v>1495</v>
      </c>
      <c r="E3559" s="33" t="s">
        <v>1496</v>
      </c>
      <c r="F3559" s="33" t="s">
        <v>1497</v>
      </c>
      <c r="G3559" s="33" t="s">
        <v>8656</v>
      </c>
      <c r="H3559" s="33" t="s">
        <v>8657</v>
      </c>
      <c r="I3559" s="33" t="s">
        <v>8658</v>
      </c>
      <c r="J3559" s="33">
        <v>116551</v>
      </c>
      <c r="K3559" s="33" t="s">
        <v>8758</v>
      </c>
      <c r="L3559" s="33" t="s">
        <v>8759</v>
      </c>
      <c r="M3559" s="33" t="s">
        <v>8760</v>
      </c>
      <c r="N3559" s="44">
        <v>42312101</v>
      </c>
      <c r="O3559" s="33" t="s">
        <v>8761</v>
      </c>
      <c r="P3559" s="33" t="s">
        <v>8762</v>
      </c>
      <c r="Q3559" s="34" t="s">
        <v>1494</v>
      </c>
      <c r="R3559" s="34" t="s">
        <v>1494</v>
      </c>
    </row>
    <row r="3560" spans="1:18" ht="15" customHeight="1" x14ac:dyDescent="0.25">
      <c r="A3560" t="str">
        <f>IFERROR(RANK(B3560,$B:$B,1)+COUNTIF($B$1:B3559,B3560),"")</f>
        <v/>
      </c>
      <c r="B3560" t="str">
        <f>IFERROR(SEARCH(#REF!,Table4[[#This Row],[Commodity Title]],1),"")</f>
        <v/>
      </c>
      <c r="C3560" s="35">
        <v>42312102</v>
      </c>
      <c r="D3560" s="33" t="s">
        <v>1495</v>
      </c>
      <c r="E3560" s="33" t="s">
        <v>1496</v>
      </c>
      <c r="F3560" s="33" t="s">
        <v>1497</v>
      </c>
      <c r="G3560" s="33" t="s">
        <v>8656</v>
      </c>
      <c r="H3560" s="33" t="s">
        <v>8657</v>
      </c>
      <c r="I3560" s="33" t="s">
        <v>8658</v>
      </c>
      <c r="J3560" s="33">
        <v>116552</v>
      </c>
      <c r="K3560" s="33" t="s">
        <v>8758</v>
      </c>
      <c r="L3560" s="33" t="s">
        <v>8759</v>
      </c>
      <c r="M3560" s="33" t="s">
        <v>8760</v>
      </c>
      <c r="N3560" s="44">
        <v>42312102</v>
      </c>
      <c r="O3560" s="33" t="s">
        <v>8763</v>
      </c>
      <c r="P3560" s="33" t="s">
        <v>8764</v>
      </c>
      <c r="Q3560" s="34" t="s">
        <v>1494</v>
      </c>
      <c r="R3560" s="34" t="s">
        <v>1494</v>
      </c>
    </row>
    <row r="3561" spans="1:18" ht="15" customHeight="1" x14ac:dyDescent="0.25">
      <c r="A3561" t="str">
        <f>IFERROR(RANK(B3561,$B:$B,1)+COUNTIF($B$1:B3560,B3561),"")</f>
        <v/>
      </c>
      <c r="B3561" t="str">
        <f>IFERROR(SEARCH(#REF!,Table4[[#This Row],[Commodity Title]],1),"")</f>
        <v/>
      </c>
      <c r="C3561" s="35">
        <v>42312103</v>
      </c>
      <c r="D3561" s="33" t="s">
        <v>1495</v>
      </c>
      <c r="E3561" s="33" t="s">
        <v>1496</v>
      </c>
      <c r="F3561" s="33" t="s">
        <v>1497</v>
      </c>
      <c r="G3561" s="33" t="s">
        <v>8656</v>
      </c>
      <c r="H3561" s="33" t="s">
        <v>8657</v>
      </c>
      <c r="I3561" s="33" t="s">
        <v>8658</v>
      </c>
      <c r="J3561" s="33">
        <v>116553</v>
      </c>
      <c r="K3561" s="33" t="s">
        <v>8758</v>
      </c>
      <c r="L3561" s="33" t="s">
        <v>8759</v>
      </c>
      <c r="M3561" s="33" t="s">
        <v>8760</v>
      </c>
      <c r="N3561" s="44">
        <v>42312103</v>
      </c>
      <c r="O3561" s="33" t="s">
        <v>8765</v>
      </c>
      <c r="P3561" s="33" t="s">
        <v>8766</v>
      </c>
      <c r="Q3561" s="34" t="s">
        <v>1494</v>
      </c>
      <c r="R3561" s="34" t="s">
        <v>1494</v>
      </c>
    </row>
    <row r="3562" spans="1:18" ht="15" customHeight="1" x14ac:dyDescent="0.25">
      <c r="A3562" t="str">
        <f>IFERROR(RANK(B3562,$B:$B,1)+COUNTIF($B$1:B3561,B3562),"")</f>
        <v/>
      </c>
      <c r="B3562" t="str">
        <f>IFERROR(SEARCH(#REF!,Table4[[#This Row],[Commodity Title]],1),"")</f>
        <v/>
      </c>
      <c r="C3562" s="35">
        <v>42312104</v>
      </c>
      <c r="D3562" s="33" t="s">
        <v>1495</v>
      </c>
      <c r="E3562" s="33" t="s">
        <v>1496</v>
      </c>
      <c r="F3562" s="33" t="s">
        <v>1497</v>
      </c>
      <c r="G3562" s="33" t="s">
        <v>8656</v>
      </c>
      <c r="H3562" s="33" t="s">
        <v>8657</v>
      </c>
      <c r="I3562" s="33" t="s">
        <v>8658</v>
      </c>
      <c r="J3562" s="33">
        <v>104695</v>
      </c>
      <c r="K3562" s="33" t="s">
        <v>8758</v>
      </c>
      <c r="L3562" s="33" t="s">
        <v>8759</v>
      </c>
      <c r="M3562" s="33" t="s">
        <v>8760</v>
      </c>
      <c r="N3562" s="44">
        <v>42312104</v>
      </c>
      <c r="O3562" s="33" t="s">
        <v>8767</v>
      </c>
      <c r="P3562" s="33" t="s">
        <v>8768</v>
      </c>
      <c r="Q3562" s="34" t="s">
        <v>1494</v>
      </c>
      <c r="R3562" s="34" t="s">
        <v>1494</v>
      </c>
    </row>
    <row r="3563" spans="1:18" ht="15" customHeight="1" x14ac:dyDescent="0.25">
      <c r="A3563" t="str">
        <f>IFERROR(RANK(B3563,$B:$B,1)+COUNTIF($B$1:B3562,B3563),"")</f>
        <v/>
      </c>
      <c r="B3563" t="str">
        <f>IFERROR(SEARCH(#REF!,Table4[[#This Row],[Commodity Title]],1),"")</f>
        <v/>
      </c>
      <c r="C3563" s="35">
        <v>42312105</v>
      </c>
      <c r="D3563" s="33" t="s">
        <v>1495</v>
      </c>
      <c r="E3563" s="33" t="s">
        <v>1496</v>
      </c>
      <c r="F3563" s="33" t="s">
        <v>1497</v>
      </c>
      <c r="G3563" s="33" t="s">
        <v>8656</v>
      </c>
      <c r="H3563" s="33" t="s">
        <v>8657</v>
      </c>
      <c r="I3563" s="33" t="s">
        <v>8658</v>
      </c>
      <c r="J3563" s="33">
        <v>116555</v>
      </c>
      <c r="K3563" s="33" t="s">
        <v>8758</v>
      </c>
      <c r="L3563" s="33" t="s">
        <v>8759</v>
      </c>
      <c r="M3563" s="33" t="s">
        <v>8760</v>
      </c>
      <c r="N3563" s="44">
        <v>42312105</v>
      </c>
      <c r="O3563" s="33" t="s">
        <v>8769</v>
      </c>
      <c r="P3563" s="33" t="s">
        <v>8770</v>
      </c>
      <c r="Q3563" s="34" t="s">
        <v>1494</v>
      </c>
      <c r="R3563" s="34" t="s">
        <v>1494</v>
      </c>
    </row>
    <row r="3564" spans="1:18" ht="15" customHeight="1" x14ac:dyDescent="0.25">
      <c r="A3564" t="str">
        <f>IFERROR(RANK(B3564,$B:$B,1)+COUNTIF($B$1:B3563,B3564),"")</f>
        <v/>
      </c>
      <c r="B3564" t="str">
        <f>IFERROR(SEARCH(#REF!,Table4[[#This Row],[Commodity Title]],1),"")</f>
        <v/>
      </c>
      <c r="C3564" s="35">
        <v>42312106</v>
      </c>
      <c r="D3564" s="33" t="s">
        <v>1495</v>
      </c>
      <c r="E3564" s="33" t="s">
        <v>1496</v>
      </c>
      <c r="F3564" s="33" t="s">
        <v>1497</v>
      </c>
      <c r="G3564" s="33" t="s">
        <v>8656</v>
      </c>
      <c r="H3564" s="33" t="s">
        <v>8657</v>
      </c>
      <c r="I3564" s="33" t="s">
        <v>8658</v>
      </c>
      <c r="J3564" s="33">
        <v>116556</v>
      </c>
      <c r="K3564" s="33" t="s">
        <v>8758</v>
      </c>
      <c r="L3564" s="33" t="s">
        <v>8759</v>
      </c>
      <c r="M3564" s="33" t="s">
        <v>8760</v>
      </c>
      <c r="N3564" s="44">
        <v>42312106</v>
      </c>
      <c r="O3564" s="33" t="s">
        <v>8771</v>
      </c>
      <c r="P3564" s="33" t="s">
        <v>8772</v>
      </c>
      <c r="Q3564" s="34" t="s">
        <v>1494</v>
      </c>
      <c r="R3564" s="34" t="s">
        <v>1494</v>
      </c>
    </row>
    <row r="3565" spans="1:18" ht="15" customHeight="1" x14ac:dyDescent="0.25">
      <c r="A3565" t="str">
        <f>IFERROR(RANK(B3565,$B:$B,1)+COUNTIF($B$1:B3564,B3565),"")</f>
        <v/>
      </c>
      <c r="B3565" t="str">
        <f>IFERROR(SEARCH(#REF!,Table4[[#This Row],[Commodity Title]],1),"")</f>
        <v/>
      </c>
      <c r="C3565" s="35">
        <v>42312107</v>
      </c>
      <c r="D3565" s="33" t="s">
        <v>1495</v>
      </c>
      <c r="E3565" s="33" t="s">
        <v>1496</v>
      </c>
      <c r="F3565" s="33" t="s">
        <v>1497</v>
      </c>
      <c r="G3565" s="33" t="s">
        <v>8656</v>
      </c>
      <c r="H3565" s="33" t="s">
        <v>8657</v>
      </c>
      <c r="I3565" s="33" t="s">
        <v>8658</v>
      </c>
      <c r="J3565" s="33">
        <v>116557</v>
      </c>
      <c r="K3565" s="33" t="s">
        <v>8758</v>
      </c>
      <c r="L3565" s="33" t="s">
        <v>8759</v>
      </c>
      <c r="M3565" s="33" t="s">
        <v>8760</v>
      </c>
      <c r="N3565" s="44">
        <v>42312107</v>
      </c>
      <c r="O3565" s="33" t="s">
        <v>8773</v>
      </c>
      <c r="P3565" s="33" t="s">
        <v>8774</v>
      </c>
      <c r="Q3565" s="34" t="s">
        <v>1494</v>
      </c>
      <c r="R3565" s="34" t="s">
        <v>1494</v>
      </c>
    </row>
    <row r="3566" spans="1:18" ht="15" customHeight="1" x14ac:dyDescent="0.25">
      <c r="A3566" t="str">
        <f>IFERROR(RANK(B3566,$B:$B,1)+COUNTIF($B$1:B3565,B3566),"")</f>
        <v/>
      </c>
      <c r="B3566" t="str">
        <f>IFERROR(SEARCH(#REF!,Table4[[#This Row],[Commodity Title]],1),"")</f>
        <v/>
      </c>
      <c r="C3566" s="35">
        <v>42312108</v>
      </c>
      <c r="D3566" s="33" t="s">
        <v>1495</v>
      </c>
      <c r="E3566" s="33" t="s">
        <v>1496</v>
      </c>
      <c r="F3566" s="33" t="s">
        <v>1497</v>
      </c>
      <c r="G3566" s="33" t="s">
        <v>8656</v>
      </c>
      <c r="H3566" s="33" t="s">
        <v>8657</v>
      </c>
      <c r="I3566" s="33" t="s">
        <v>8658</v>
      </c>
      <c r="J3566" s="33">
        <v>116558</v>
      </c>
      <c r="K3566" s="33" t="s">
        <v>8758</v>
      </c>
      <c r="L3566" s="33" t="s">
        <v>8759</v>
      </c>
      <c r="M3566" s="33" t="s">
        <v>8760</v>
      </c>
      <c r="N3566" s="44">
        <v>42312108</v>
      </c>
      <c r="O3566" s="33" t="s">
        <v>8775</v>
      </c>
      <c r="P3566" s="33" t="s">
        <v>8776</v>
      </c>
      <c r="Q3566" s="34" t="s">
        <v>1494</v>
      </c>
      <c r="R3566" s="34" t="s">
        <v>1494</v>
      </c>
    </row>
    <row r="3567" spans="1:18" ht="15" customHeight="1" x14ac:dyDescent="0.25">
      <c r="A3567" t="str">
        <f>IFERROR(RANK(B3567,$B:$B,1)+COUNTIF($B$1:B3566,B3567),"")</f>
        <v/>
      </c>
      <c r="B3567" t="str">
        <f>IFERROR(SEARCH(#REF!,Table4[[#This Row],[Commodity Title]],1),"")</f>
        <v/>
      </c>
      <c r="C3567" s="35">
        <v>42312109</v>
      </c>
      <c r="D3567" s="33" t="s">
        <v>1495</v>
      </c>
      <c r="E3567" s="33" t="s">
        <v>1496</v>
      </c>
      <c r="F3567" s="33" t="s">
        <v>1497</v>
      </c>
      <c r="G3567" s="33" t="s">
        <v>8656</v>
      </c>
      <c r="H3567" s="33" t="s">
        <v>8657</v>
      </c>
      <c r="I3567" s="33" t="s">
        <v>8658</v>
      </c>
      <c r="J3567" s="33">
        <v>141991</v>
      </c>
      <c r="K3567" s="33" t="s">
        <v>8758</v>
      </c>
      <c r="L3567" s="33" t="s">
        <v>8759</v>
      </c>
      <c r="M3567" s="33" t="s">
        <v>8760</v>
      </c>
      <c r="N3567" s="44">
        <v>42312109</v>
      </c>
      <c r="O3567" s="33" t="s">
        <v>8777</v>
      </c>
      <c r="P3567" s="33" t="s">
        <v>8778</v>
      </c>
      <c r="Q3567" s="34" t="s">
        <v>1494</v>
      </c>
      <c r="R3567" s="34" t="s">
        <v>1494</v>
      </c>
    </row>
    <row r="3568" spans="1:18" ht="15" customHeight="1" x14ac:dyDescent="0.25">
      <c r="A3568" t="str">
        <f>IFERROR(RANK(B3568,$B:$B,1)+COUNTIF($B$1:B3567,B3568),"")</f>
        <v/>
      </c>
      <c r="B3568" t="str">
        <f>IFERROR(SEARCH(#REF!,Table4[[#This Row],[Commodity Title]],1),"")</f>
        <v/>
      </c>
      <c r="C3568" s="35">
        <v>42312110</v>
      </c>
      <c r="D3568" s="33" t="s">
        <v>1495</v>
      </c>
      <c r="E3568" s="33" t="s">
        <v>1496</v>
      </c>
      <c r="F3568" s="33" t="s">
        <v>1497</v>
      </c>
      <c r="G3568" s="33" t="s">
        <v>8656</v>
      </c>
      <c r="H3568" s="33" t="s">
        <v>8657</v>
      </c>
      <c r="I3568" s="33" t="s">
        <v>8658</v>
      </c>
      <c r="J3568" s="33">
        <v>141992</v>
      </c>
      <c r="K3568" s="33" t="s">
        <v>8758</v>
      </c>
      <c r="L3568" s="33" t="s">
        <v>8759</v>
      </c>
      <c r="M3568" s="33" t="s">
        <v>8760</v>
      </c>
      <c r="N3568" s="44">
        <v>42312110</v>
      </c>
      <c r="O3568" s="33" t="s">
        <v>8779</v>
      </c>
      <c r="P3568" s="33" t="s">
        <v>8780</v>
      </c>
      <c r="Q3568" s="34" t="s">
        <v>1494</v>
      </c>
      <c r="R3568" s="34" t="s">
        <v>1494</v>
      </c>
    </row>
    <row r="3569" spans="1:18" ht="15" customHeight="1" x14ac:dyDescent="0.25">
      <c r="A3569" t="str">
        <f>IFERROR(RANK(B3569,$B:$B,1)+COUNTIF($B$1:B3568,B3569),"")</f>
        <v/>
      </c>
      <c r="B3569" t="str">
        <f>IFERROR(SEARCH(#REF!,Table4[[#This Row],[Commodity Title]],1),"")</f>
        <v/>
      </c>
      <c r="C3569" s="35">
        <v>42312111</v>
      </c>
      <c r="D3569" s="33" t="s">
        <v>1495</v>
      </c>
      <c r="E3569" s="33" t="s">
        <v>1496</v>
      </c>
      <c r="F3569" s="33" t="s">
        <v>1497</v>
      </c>
      <c r="G3569" s="33" t="s">
        <v>8656</v>
      </c>
      <c r="H3569" s="33" t="s">
        <v>8657</v>
      </c>
      <c r="I3569" s="33" t="s">
        <v>8658</v>
      </c>
      <c r="J3569" s="33">
        <v>141993</v>
      </c>
      <c r="K3569" s="33" t="s">
        <v>8758</v>
      </c>
      <c r="L3569" s="33" t="s">
        <v>8759</v>
      </c>
      <c r="M3569" s="33" t="s">
        <v>8760</v>
      </c>
      <c r="N3569" s="44">
        <v>42312111</v>
      </c>
      <c r="O3569" s="33" t="s">
        <v>8781</v>
      </c>
      <c r="P3569" s="33" t="s">
        <v>8782</v>
      </c>
      <c r="Q3569" s="34" t="s">
        <v>1494</v>
      </c>
      <c r="R3569" s="34" t="s">
        <v>1494</v>
      </c>
    </row>
    <row r="3570" spans="1:18" ht="15" customHeight="1" x14ac:dyDescent="0.25">
      <c r="A3570" t="str">
        <f>IFERROR(RANK(B3570,$B:$B,1)+COUNTIF($B$1:B3569,B3570),"")</f>
        <v/>
      </c>
      <c r="B3570" t="str">
        <f>IFERROR(SEARCH(#REF!,Table4[[#This Row],[Commodity Title]],1),"")</f>
        <v/>
      </c>
      <c r="C3570" s="35">
        <v>42312112</v>
      </c>
      <c r="D3570" s="33" t="s">
        <v>1495</v>
      </c>
      <c r="E3570" s="33" t="s">
        <v>1496</v>
      </c>
      <c r="F3570" s="33" t="s">
        <v>1497</v>
      </c>
      <c r="G3570" s="33" t="s">
        <v>8656</v>
      </c>
      <c r="H3570" s="33" t="s">
        <v>8657</v>
      </c>
      <c r="I3570" s="33" t="s">
        <v>8658</v>
      </c>
      <c r="J3570" s="33">
        <v>141994</v>
      </c>
      <c r="K3570" s="33" t="s">
        <v>8758</v>
      </c>
      <c r="L3570" s="33" t="s">
        <v>8759</v>
      </c>
      <c r="M3570" s="33" t="s">
        <v>8760</v>
      </c>
      <c r="N3570" s="44">
        <v>42312112</v>
      </c>
      <c r="O3570" s="33" t="s">
        <v>8783</v>
      </c>
      <c r="P3570" s="33" t="s">
        <v>8784</v>
      </c>
      <c r="Q3570" s="34" t="s">
        <v>1494</v>
      </c>
      <c r="R3570" s="34" t="s">
        <v>1494</v>
      </c>
    </row>
    <row r="3571" spans="1:18" ht="15" customHeight="1" x14ac:dyDescent="0.25">
      <c r="A3571" t="str">
        <f>IFERROR(RANK(B3571,$B:$B,1)+COUNTIF($B$1:B3570,B3571),"")</f>
        <v/>
      </c>
      <c r="B3571" t="str">
        <f>IFERROR(SEARCH(#REF!,Table4[[#This Row],[Commodity Title]],1),"")</f>
        <v/>
      </c>
      <c r="C3571" s="35">
        <v>42312113</v>
      </c>
      <c r="D3571" s="33" t="s">
        <v>1495</v>
      </c>
      <c r="E3571" s="33" t="s">
        <v>1496</v>
      </c>
      <c r="F3571" s="33" t="s">
        <v>1497</v>
      </c>
      <c r="G3571" s="33" t="s">
        <v>8656</v>
      </c>
      <c r="H3571" s="33" t="s">
        <v>8657</v>
      </c>
      <c r="I3571" s="33" t="s">
        <v>8658</v>
      </c>
      <c r="J3571" s="33">
        <v>141995</v>
      </c>
      <c r="K3571" s="33" t="s">
        <v>8758</v>
      </c>
      <c r="L3571" s="33" t="s">
        <v>8759</v>
      </c>
      <c r="M3571" s="33" t="s">
        <v>8760</v>
      </c>
      <c r="N3571" s="44">
        <v>42312113</v>
      </c>
      <c r="O3571" s="33" t="s">
        <v>8785</v>
      </c>
      <c r="P3571" s="33" t="s">
        <v>8786</v>
      </c>
      <c r="Q3571" s="34" t="s">
        <v>1494</v>
      </c>
      <c r="R3571" s="34" t="s">
        <v>1494</v>
      </c>
    </row>
    <row r="3572" spans="1:18" ht="15" customHeight="1" x14ac:dyDescent="0.25">
      <c r="A3572" t="str">
        <f>IFERROR(RANK(B3572,$B:$B,1)+COUNTIF($B$1:B3571,B3572),"")</f>
        <v/>
      </c>
      <c r="B3572" t="str">
        <f>IFERROR(SEARCH(#REF!,Table4[[#This Row],[Commodity Title]],1),"")</f>
        <v/>
      </c>
      <c r="C3572" s="35">
        <v>42312115</v>
      </c>
      <c r="D3572" s="33" t="s">
        <v>1495</v>
      </c>
      <c r="E3572" s="33" t="s">
        <v>1496</v>
      </c>
      <c r="F3572" s="33" t="s">
        <v>1497</v>
      </c>
      <c r="G3572" s="33" t="s">
        <v>8656</v>
      </c>
      <c r="H3572" s="33" t="s">
        <v>8657</v>
      </c>
      <c r="I3572" s="33" t="s">
        <v>8658</v>
      </c>
      <c r="J3572" s="33">
        <v>142877</v>
      </c>
      <c r="K3572" s="33" t="s">
        <v>8758</v>
      </c>
      <c r="L3572" s="33" t="s">
        <v>8759</v>
      </c>
      <c r="M3572" s="33" t="s">
        <v>8760</v>
      </c>
      <c r="N3572" s="44">
        <v>42312115</v>
      </c>
      <c r="O3572" s="33" t="s">
        <v>8787</v>
      </c>
      <c r="P3572" s="33" t="s">
        <v>8788</v>
      </c>
      <c r="Q3572" s="34" t="s">
        <v>1494</v>
      </c>
      <c r="R3572" s="34" t="s">
        <v>1494</v>
      </c>
    </row>
    <row r="3573" spans="1:18" ht="15" customHeight="1" x14ac:dyDescent="0.25">
      <c r="A3573" t="str">
        <f>IFERROR(RANK(B3573,$B:$B,1)+COUNTIF($B$1:B3572,B3573),"")</f>
        <v/>
      </c>
      <c r="B3573" t="str">
        <f>IFERROR(SEARCH(#REF!,Table4[[#This Row],[Commodity Title]],1),"")</f>
        <v/>
      </c>
      <c r="C3573" s="35">
        <v>42312116</v>
      </c>
      <c r="D3573" s="33" t="s">
        <v>1495</v>
      </c>
      <c r="E3573" s="33" t="s">
        <v>1496</v>
      </c>
      <c r="F3573" s="33" t="s">
        <v>1497</v>
      </c>
      <c r="G3573" s="33" t="s">
        <v>8656</v>
      </c>
      <c r="H3573" s="33" t="s">
        <v>8657</v>
      </c>
      <c r="I3573" s="33" t="s">
        <v>8658</v>
      </c>
      <c r="J3573" s="33">
        <v>203372</v>
      </c>
      <c r="K3573" s="33" t="s">
        <v>8758</v>
      </c>
      <c r="L3573" s="33" t="s">
        <v>8759</v>
      </c>
      <c r="M3573" s="33" t="s">
        <v>8760</v>
      </c>
      <c r="N3573" s="44">
        <v>42312116</v>
      </c>
      <c r="O3573" s="33" t="s">
        <v>8789</v>
      </c>
      <c r="P3573" s="33" t="s">
        <v>8790</v>
      </c>
      <c r="Q3573" s="34" t="s">
        <v>1494</v>
      </c>
      <c r="R3573" s="34" t="s">
        <v>1494</v>
      </c>
    </row>
    <row r="3574" spans="1:18" ht="15" customHeight="1" x14ac:dyDescent="0.25">
      <c r="A3574" t="str">
        <f>IFERROR(RANK(B3574,$B:$B,1)+COUNTIF($B$1:B3573,B3574),"")</f>
        <v/>
      </c>
      <c r="B3574" t="str">
        <f>IFERROR(SEARCH(#REF!,Table4[[#This Row],[Commodity Title]],1),"")</f>
        <v/>
      </c>
      <c r="C3574" s="35">
        <v>42312117</v>
      </c>
      <c r="D3574" s="33" t="s">
        <v>1495</v>
      </c>
      <c r="E3574" s="33" t="s">
        <v>1496</v>
      </c>
      <c r="F3574" s="33" t="s">
        <v>1497</v>
      </c>
      <c r="G3574" s="33" t="s">
        <v>8656</v>
      </c>
      <c r="H3574" s="33" t="s">
        <v>8657</v>
      </c>
      <c r="I3574" s="33" t="s">
        <v>8658</v>
      </c>
      <c r="J3574" s="33">
        <v>203373</v>
      </c>
      <c r="K3574" s="33" t="s">
        <v>8758</v>
      </c>
      <c r="L3574" s="33" t="s">
        <v>8759</v>
      </c>
      <c r="M3574" s="33" t="s">
        <v>8760</v>
      </c>
      <c r="N3574" s="44">
        <v>42312117</v>
      </c>
      <c r="O3574" s="33" t="s">
        <v>8791</v>
      </c>
      <c r="P3574" s="33" t="s">
        <v>8792</v>
      </c>
      <c r="Q3574" s="34" t="s">
        <v>1494</v>
      </c>
      <c r="R3574" s="34" t="s">
        <v>1494</v>
      </c>
    </row>
    <row r="3575" spans="1:18" ht="15" customHeight="1" x14ac:dyDescent="0.25">
      <c r="A3575" t="str">
        <f>IFERROR(RANK(B3575,$B:$B,1)+COUNTIF($B$1:B3574,B3575),"")</f>
        <v/>
      </c>
      <c r="B3575" t="str">
        <f>IFERROR(SEARCH(#REF!,Table4[[#This Row],[Commodity Title]],1),"")</f>
        <v/>
      </c>
      <c r="C3575" s="35">
        <v>42312118</v>
      </c>
      <c r="D3575" s="33" t="s">
        <v>1495</v>
      </c>
      <c r="E3575" s="33" t="s">
        <v>1496</v>
      </c>
      <c r="F3575" s="33" t="s">
        <v>1497</v>
      </c>
      <c r="G3575" s="33" t="s">
        <v>8656</v>
      </c>
      <c r="H3575" s="33" t="s">
        <v>8657</v>
      </c>
      <c r="I3575" s="33" t="s">
        <v>8658</v>
      </c>
      <c r="J3575" s="33">
        <v>203374</v>
      </c>
      <c r="K3575" s="33" t="s">
        <v>8758</v>
      </c>
      <c r="L3575" s="33" t="s">
        <v>8759</v>
      </c>
      <c r="M3575" s="33" t="s">
        <v>8760</v>
      </c>
      <c r="N3575" s="44">
        <v>42312118</v>
      </c>
      <c r="O3575" s="33" t="s">
        <v>8793</v>
      </c>
      <c r="P3575" s="33" t="s">
        <v>8794</v>
      </c>
      <c r="Q3575" s="34" t="s">
        <v>1494</v>
      </c>
      <c r="R3575" s="34" t="s">
        <v>1494</v>
      </c>
    </row>
    <row r="3576" spans="1:18" ht="15" customHeight="1" x14ac:dyDescent="0.25">
      <c r="A3576" t="str">
        <f>IFERROR(RANK(B3576,$B:$B,1)+COUNTIF($B$1:B3575,B3576),"")</f>
        <v/>
      </c>
      <c r="B3576" t="str">
        <f>IFERROR(SEARCH(#REF!,Table4[[#This Row],[Commodity Title]],1),"")</f>
        <v/>
      </c>
      <c r="C3576" s="35">
        <v>42312119</v>
      </c>
      <c r="D3576" s="33" t="s">
        <v>1495</v>
      </c>
      <c r="E3576" s="33" t="s">
        <v>1496</v>
      </c>
      <c r="F3576" s="33" t="s">
        <v>1497</v>
      </c>
      <c r="G3576" s="33" t="s">
        <v>8656</v>
      </c>
      <c r="H3576" s="33" t="s">
        <v>8657</v>
      </c>
      <c r="I3576" s="33" t="s">
        <v>8658</v>
      </c>
      <c r="J3576" s="33">
        <v>203375</v>
      </c>
      <c r="K3576" s="33" t="s">
        <v>8758</v>
      </c>
      <c r="L3576" s="33" t="s">
        <v>8759</v>
      </c>
      <c r="M3576" s="33" t="s">
        <v>8760</v>
      </c>
      <c r="N3576" s="44">
        <v>42312119</v>
      </c>
      <c r="O3576" s="33" t="s">
        <v>8795</v>
      </c>
      <c r="P3576" s="33" t="s">
        <v>8796</v>
      </c>
      <c r="Q3576" s="34" t="s">
        <v>1494</v>
      </c>
      <c r="R3576" s="34" t="s">
        <v>1494</v>
      </c>
    </row>
    <row r="3577" spans="1:18" ht="15" customHeight="1" x14ac:dyDescent="0.25">
      <c r="A3577" t="str">
        <f>IFERROR(RANK(B3577,$B:$B,1)+COUNTIF($B$1:B3576,B3577),"")</f>
        <v/>
      </c>
      <c r="B3577" t="str">
        <f>IFERROR(SEARCH(#REF!,Table4[[#This Row],[Commodity Title]],1),"")</f>
        <v/>
      </c>
      <c r="C3577" s="35">
        <v>42312120</v>
      </c>
      <c r="D3577" s="33" t="s">
        <v>1495</v>
      </c>
      <c r="E3577" s="33" t="s">
        <v>1496</v>
      </c>
      <c r="F3577" s="33" t="s">
        <v>1497</v>
      </c>
      <c r="G3577" s="33" t="s">
        <v>8656</v>
      </c>
      <c r="H3577" s="33" t="s">
        <v>8657</v>
      </c>
      <c r="I3577" s="33" t="s">
        <v>8658</v>
      </c>
      <c r="J3577" s="33">
        <v>203376</v>
      </c>
      <c r="K3577" s="33" t="s">
        <v>8758</v>
      </c>
      <c r="L3577" s="33" t="s">
        <v>8759</v>
      </c>
      <c r="M3577" s="33" t="s">
        <v>8760</v>
      </c>
      <c r="N3577" s="44">
        <v>42312120</v>
      </c>
      <c r="O3577" s="33" t="s">
        <v>8797</v>
      </c>
      <c r="P3577" s="33" t="s">
        <v>8798</v>
      </c>
      <c r="Q3577" s="34" t="s">
        <v>1494</v>
      </c>
      <c r="R3577" s="34" t="s">
        <v>1494</v>
      </c>
    </row>
    <row r="3578" spans="1:18" ht="15" customHeight="1" x14ac:dyDescent="0.25">
      <c r="A3578" t="str">
        <f>IFERROR(RANK(B3578,$B:$B,1)+COUNTIF($B$1:B3577,B3578),"")</f>
        <v/>
      </c>
      <c r="B3578" t="str">
        <f>IFERROR(SEARCH(#REF!,Table4[[#This Row],[Commodity Title]],1),"")</f>
        <v/>
      </c>
      <c r="C3578" s="33" t="s">
        <v>1494</v>
      </c>
      <c r="D3578" s="33" t="s">
        <v>1495</v>
      </c>
      <c r="E3578" s="33" t="s">
        <v>1496</v>
      </c>
      <c r="F3578" s="33" t="s">
        <v>1497</v>
      </c>
      <c r="G3578" s="33" t="s">
        <v>8656</v>
      </c>
      <c r="H3578" s="33" t="s">
        <v>8657</v>
      </c>
      <c r="I3578" s="33" t="s">
        <v>8658</v>
      </c>
      <c r="J3578" s="33">
        <v>116559</v>
      </c>
      <c r="K3578" s="33" t="s">
        <v>8799</v>
      </c>
      <c r="L3578" s="33" t="s">
        <v>8800</v>
      </c>
      <c r="M3578" s="33" t="s">
        <v>8801</v>
      </c>
      <c r="N3578" s="44" t="s">
        <v>1494</v>
      </c>
      <c r="O3578" s="33" t="s">
        <v>1494</v>
      </c>
      <c r="P3578" s="33" t="s">
        <v>1494</v>
      </c>
      <c r="Q3578" s="34" t="s">
        <v>1494</v>
      </c>
      <c r="R3578" s="34" t="s">
        <v>1494</v>
      </c>
    </row>
    <row r="3579" spans="1:18" ht="15" customHeight="1" x14ac:dyDescent="0.25">
      <c r="A3579" t="str">
        <f>IFERROR(RANK(B3579,$B:$B,1)+COUNTIF($B$1:B3578,B3579),"")</f>
        <v/>
      </c>
      <c r="B3579" t="str">
        <f>IFERROR(SEARCH(#REF!,Table4[[#This Row],[Commodity Title]],1),"")</f>
        <v/>
      </c>
      <c r="C3579" s="35">
        <v>42312201</v>
      </c>
      <c r="D3579" s="33" t="s">
        <v>1495</v>
      </c>
      <c r="E3579" s="33" t="s">
        <v>1496</v>
      </c>
      <c r="F3579" s="33" t="s">
        <v>1497</v>
      </c>
      <c r="G3579" s="33" t="s">
        <v>8656</v>
      </c>
      <c r="H3579" s="33" t="s">
        <v>8657</v>
      </c>
      <c r="I3579" s="33" t="s">
        <v>8658</v>
      </c>
      <c r="J3579" s="33">
        <v>116560</v>
      </c>
      <c r="K3579" s="33" t="s">
        <v>8799</v>
      </c>
      <c r="L3579" s="33" t="s">
        <v>8800</v>
      </c>
      <c r="M3579" s="33" t="s">
        <v>8801</v>
      </c>
      <c r="N3579" s="44">
        <v>42312201</v>
      </c>
      <c r="O3579" s="33" t="s">
        <v>33</v>
      </c>
      <c r="P3579" s="33" t="s">
        <v>8802</v>
      </c>
      <c r="Q3579" s="34" t="s">
        <v>1494</v>
      </c>
      <c r="R3579" s="34" t="s">
        <v>1494</v>
      </c>
    </row>
    <row r="3580" spans="1:18" ht="15" customHeight="1" x14ac:dyDescent="0.25">
      <c r="A3580" t="str">
        <f>IFERROR(RANK(B3580,$B:$B,1)+COUNTIF($B$1:B3579,B3580),"")</f>
        <v/>
      </c>
      <c r="B3580" t="str">
        <f>IFERROR(SEARCH(#REF!,Table4[[#This Row],[Commodity Title]],1),"")</f>
        <v/>
      </c>
      <c r="C3580" s="35">
        <v>42312202</v>
      </c>
      <c r="D3580" s="33" t="s">
        <v>1495</v>
      </c>
      <c r="E3580" s="33" t="s">
        <v>1496</v>
      </c>
      <c r="F3580" s="33" t="s">
        <v>1497</v>
      </c>
      <c r="G3580" s="33" t="s">
        <v>8656</v>
      </c>
      <c r="H3580" s="33" t="s">
        <v>8657</v>
      </c>
      <c r="I3580" s="33" t="s">
        <v>8658</v>
      </c>
      <c r="J3580" s="33">
        <v>116561</v>
      </c>
      <c r="K3580" s="33" t="s">
        <v>8799</v>
      </c>
      <c r="L3580" s="33" t="s">
        <v>8800</v>
      </c>
      <c r="M3580" s="33" t="s">
        <v>8801</v>
      </c>
      <c r="N3580" s="44">
        <v>42312202</v>
      </c>
      <c r="O3580" s="33" t="s">
        <v>8803</v>
      </c>
      <c r="P3580" s="33" t="s">
        <v>8804</v>
      </c>
      <c r="Q3580" s="34" t="s">
        <v>1494</v>
      </c>
      <c r="R3580" s="34" t="s">
        <v>1494</v>
      </c>
    </row>
    <row r="3581" spans="1:18" ht="15" customHeight="1" x14ac:dyDescent="0.25">
      <c r="A3581" t="str">
        <f>IFERROR(RANK(B3581,$B:$B,1)+COUNTIF($B$1:B3580,B3581),"")</f>
        <v/>
      </c>
      <c r="B3581" t="str">
        <f>IFERROR(SEARCH(#REF!,Table4[[#This Row],[Commodity Title]],1),"")</f>
        <v/>
      </c>
      <c r="C3581" s="35">
        <v>42312203</v>
      </c>
      <c r="D3581" s="33" t="s">
        <v>1495</v>
      </c>
      <c r="E3581" s="33" t="s">
        <v>1496</v>
      </c>
      <c r="F3581" s="33" t="s">
        <v>1497</v>
      </c>
      <c r="G3581" s="33" t="s">
        <v>8656</v>
      </c>
      <c r="H3581" s="33" t="s">
        <v>8657</v>
      </c>
      <c r="I3581" s="33" t="s">
        <v>8658</v>
      </c>
      <c r="J3581" s="33">
        <v>116562</v>
      </c>
      <c r="K3581" s="33" t="s">
        <v>8799</v>
      </c>
      <c r="L3581" s="33" t="s">
        <v>8800</v>
      </c>
      <c r="M3581" s="33" t="s">
        <v>8801</v>
      </c>
      <c r="N3581" s="44">
        <v>42312203</v>
      </c>
      <c r="O3581" s="33" t="s">
        <v>8805</v>
      </c>
      <c r="P3581" s="33" t="s">
        <v>8806</v>
      </c>
      <c r="Q3581" s="34" t="s">
        <v>1494</v>
      </c>
      <c r="R3581" s="34" t="s">
        <v>1494</v>
      </c>
    </row>
    <row r="3582" spans="1:18" ht="15" customHeight="1" x14ac:dyDescent="0.25">
      <c r="A3582" t="str">
        <f>IFERROR(RANK(B3582,$B:$B,1)+COUNTIF($B$1:B3581,B3582),"")</f>
        <v/>
      </c>
      <c r="B3582" t="str">
        <f>IFERROR(SEARCH(#REF!,Table4[[#This Row],[Commodity Title]],1),"")</f>
        <v/>
      </c>
      <c r="C3582" s="35">
        <v>42312204</v>
      </c>
      <c r="D3582" s="33" t="s">
        <v>1495</v>
      </c>
      <c r="E3582" s="33" t="s">
        <v>1496</v>
      </c>
      <c r="F3582" s="33" t="s">
        <v>1497</v>
      </c>
      <c r="G3582" s="33" t="s">
        <v>8656</v>
      </c>
      <c r="H3582" s="33" t="s">
        <v>8657</v>
      </c>
      <c r="I3582" s="33" t="s">
        <v>8658</v>
      </c>
      <c r="J3582" s="33">
        <v>116563</v>
      </c>
      <c r="K3582" s="33" t="s">
        <v>8799</v>
      </c>
      <c r="L3582" s="33" t="s">
        <v>8800</v>
      </c>
      <c r="M3582" s="33" t="s">
        <v>8801</v>
      </c>
      <c r="N3582" s="44">
        <v>42312204</v>
      </c>
      <c r="O3582" s="33" t="s">
        <v>8807</v>
      </c>
      <c r="P3582" s="33" t="s">
        <v>8808</v>
      </c>
      <c r="Q3582" s="34" t="s">
        <v>1494</v>
      </c>
      <c r="R3582" s="34" t="s">
        <v>1494</v>
      </c>
    </row>
    <row r="3583" spans="1:18" ht="15" customHeight="1" x14ac:dyDescent="0.25">
      <c r="A3583" t="str">
        <f>IFERROR(RANK(B3583,$B:$B,1)+COUNTIF($B$1:B3582,B3583),"")</f>
        <v/>
      </c>
      <c r="B3583" t="str">
        <f>IFERROR(SEARCH(#REF!,Table4[[#This Row],[Commodity Title]],1),"")</f>
        <v/>
      </c>
      <c r="C3583" s="35">
        <v>42312206</v>
      </c>
      <c r="D3583" s="33" t="s">
        <v>1495</v>
      </c>
      <c r="E3583" s="33" t="s">
        <v>1496</v>
      </c>
      <c r="F3583" s="33" t="s">
        <v>1497</v>
      </c>
      <c r="G3583" s="33" t="s">
        <v>8656</v>
      </c>
      <c r="H3583" s="33" t="s">
        <v>8657</v>
      </c>
      <c r="I3583" s="33" t="s">
        <v>8658</v>
      </c>
      <c r="J3583" s="33">
        <v>104559</v>
      </c>
      <c r="K3583" s="33" t="s">
        <v>8799</v>
      </c>
      <c r="L3583" s="33" t="s">
        <v>8800</v>
      </c>
      <c r="M3583" s="33" t="s">
        <v>8801</v>
      </c>
      <c r="N3583" s="44">
        <v>42312206</v>
      </c>
      <c r="O3583" s="33" t="s">
        <v>8809</v>
      </c>
      <c r="P3583" s="33" t="s">
        <v>8810</v>
      </c>
      <c r="Q3583" s="34" t="s">
        <v>1494</v>
      </c>
      <c r="R3583" s="34" t="s">
        <v>1494</v>
      </c>
    </row>
    <row r="3584" spans="1:18" ht="15" customHeight="1" x14ac:dyDescent="0.25">
      <c r="A3584" t="str">
        <f>IFERROR(RANK(B3584,$B:$B,1)+COUNTIF($B$1:B3583,B3584),"")</f>
        <v/>
      </c>
      <c r="B3584" t="str">
        <f>IFERROR(SEARCH(#REF!,Table4[[#This Row],[Commodity Title]],1),"")</f>
        <v/>
      </c>
      <c r="C3584" s="35">
        <v>42312207</v>
      </c>
      <c r="D3584" s="33" t="s">
        <v>1495</v>
      </c>
      <c r="E3584" s="33" t="s">
        <v>1496</v>
      </c>
      <c r="F3584" s="33" t="s">
        <v>1497</v>
      </c>
      <c r="G3584" s="33" t="s">
        <v>8656</v>
      </c>
      <c r="H3584" s="33" t="s">
        <v>8657</v>
      </c>
      <c r="I3584" s="33" t="s">
        <v>8658</v>
      </c>
      <c r="J3584" s="33">
        <v>116566</v>
      </c>
      <c r="K3584" s="33" t="s">
        <v>8799</v>
      </c>
      <c r="L3584" s="33" t="s">
        <v>8800</v>
      </c>
      <c r="M3584" s="33" t="s">
        <v>8801</v>
      </c>
      <c r="N3584" s="44">
        <v>42312207</v>
      </c>
      <c r="O3584" s="33" t="s">
        <v>8811</v>
      </c>
      <c r="P3584" s="33" t="s">
        <v>8812</v>
      </c>
      <c r="Q3584" s="34" t="s">
        <v>1494</v>
      </c>
      <c r="R3584" s="34" t="s">
        <v>1494</v>
      </c>
    </row>
    <row r="3585" spans="1:18" ht="15" customHeight="1" x14ac:dyDescent="0.25">
      <c r="A3585" t="str">
        <f>IFERROR(RANK(B3585,$B:$B,1)+COUNTIF($B$1:B3584,B3585),"")</f>
        <v/>
      </c>
      <c r="B3585" t="str">
        <f>IFERROR(SEARCH(#REF!,Table4[[#This Row],[Commodity Title]],1),"")</f>
        <v/>
      </c>
      <c r="C3585" s="35">
        <v>42312208</v>
      </c>
      <c r="D3585" s="33" t="s">
        <v>1495</v>
      </c>
      <c r="E3585" s="33" t="s">
        <v>1496</v>
      </c>
      <c r="F3585" s="33" t="s">
        <v>1497</v>
      </c>
      <c r="G3585" s="33" t="s">
        <v>8656</v>
      </c>
      <c r="H3585" s="33" t="s">
        <v>8657</v>
      </c>
      <c r="I3585" s="33" t="s">
        <v>8658</v>
      </c>
      <c r="J3585" s="33">
        <v>116567</v>
      </c>
      <c r="K3585" s="33" t="s">
        <v>8799</v>
      </c>
      <c r="L3585" s="33" t="s">
        <v>8800</v>
      </c>
      <c r="M3585" s="33" t="s">
        <v>8801</v>
      </c>
      <c r="N3585" s="44">
        <v>42312208</v>
      </c>
      <c r="O3585" s="33" t="s">
        <v>8813</v>
      </c>
      <c r="P3585" s="33" t="s">
        <v>8814</v>
      </c>
      <c r="Q3585" s="34" t="s">
        <v>1494</v>
      </c>
      <c r="R3585" s="34" t="s">
        <v>1494</v>
      </c>
    </row>
    <row r="3586" spans="1:18" ht="15" customHeight="1" x14ac:dyDescent="0.25">
      <c r="A3586" t="str">
        <f>IFERROR(RANK(B3586,$B:$B,1)+COUNTIF($B$1:B3585,B3586),"")</f>
        <v/>
      </c>
      <c r="B3586" t="str">
        <f>IFERROR(SEARCH(#REF!,Table4[[#This Row],[Commodity Title]],1),"")</f>
        <v/>
      </c>
      <c r="C3586" s="35">
        <v>42312209</v>
      </c>
      <c r="D3586" s="33" t="s">
        <v>1495</v>
      </c>
      <c r="E3586" s="33" t="s">
        <v>1496</v>
      </c>
      <c r="F3586" s="33" t="s">
        <v>1497</v>
      </c>
      <c r="G3586" s="33" t="s">
        <v>8656</v>
      </c>
      <c r="H3586" s="33" t="s">
        <v>8657</v>
      </c>
      <c r="I3586" s="33" t="s">
        <v>8658</v>
      </c>
      <c r="J3586" s="33">
        <v>104449</v>
      </c>
      <c r="K3586" s="33" t="s">
        <v>8799</v>
      </c>
      <c r="L3586" s="33" t="s">
        <v>8800</v>
      </c>
      <c r="M3586" s="33" t="s">
        <v>8801</v>
      </c>
      <c r="N3586" s="44">
        <v>42312209</v>
      </c>
      <c r="O3586" s="33" t="s">
        <v>8815</v>
      </c>
      <c r="P3586" s="33" t="s">
        <v>8816</v>
      </c>
      <c r="Q3586" s="34" t="s">
        <v>1494</v>
      </c>
      <c r="R3586" s="34" t="s">
        <v>1494</v>
      </c>
    </row>
    <row r="3587" spans="1:18" ht="15" customHeight="1" x14ac:dyDescent="0.25">
      <c r="A3587" t="str">
        <f>IFERROR(RANK(B3587,$B:$B,1)+COUNTIF($B$1:B3586,B3587),"")</f>
        <v/>
      </c>
      <c r="B3587" t="str">
        <f>IFERROR(SEARCH(#REF!,Table4[[#This Row],[Commodity Title]],1),"")</f>
        <v/>
      </c>
      <c r="C3587" s="35">
        <v>42312210</v>
      </c>
      <c r="D3587" s="33" t="s">
        <v>1495</v>
      </c>
      <c r="E3587" s="33" t="s">
        <v>1496</v>
      </c>
      <c r="F3587" s="33" t="s">
        <v>1497</v>
      </c>
      <c r="G3587" s="33" t="s">
        <v>8656</v>
      </c>
      <c r="H3587" s="33" t="s">
        <v>8657</v>
      </c>
      <c r="I3587" s="33" t="s">
        <v>8658</v>
      </c>
      <c r="J3587" s="33">
        <v>203377</v>
      </c>
      <c r="K3587" s="33" t="s">
        <v>8799</v>
      </c>
      <c r="L3587" s="33" t="s">
        <v>8800</v>
      </c>
      <c r="M3587" s="33" t="s">
        <v>8801</v>
      </c>
      <c r="N3587" s="44">
        <v>42312210</v>
      </c>
      <c r="O3587" s="33" t="s">
        <v>8817</v>
      </c>
      <c r="P3587" s="33" t="s">
        <v>8818</v>
      </c>
      <c r="Q3587" s="34" t="s">
        <v>1494</v>
      </c>
      <c r="R3587" s="34" t="s">
        <v>1494</v>
      </c>
    </row>
    <row r="3588" spans="1:18" ht="15" customHeight="1" x14ac:dyDescent="0.25">
      <c r="A3588" t="str">
        <f>IFERROR(RANK(B3588,$B:$B,1)+COUNTIF($B$1:B3587,B3588),"")</f>
        <v/>
      </c>
      <c r="B3588" t="str">
        <f>IFERROR(SEARCH(#REF!,Table4[[#This Row],[Commodity Title]],1),"")</f>
        <v/>
      </c>
      <c r="C3588" s="35">
        <v>42312211</v>
      </c>
      <c r="D3588" s="33" t="s">
        <v>1495</v>
      </c>
      <c r="E3588" s="33" t="s">
        <v>1496</v>
      </c>
      <c r="F3588" s="33" t="s">
        <v>1497</v>
      </c>
      <c r="G3588" s="33" t="s">
        <v>8656</v>
      </c>
      <c r="H3588" s="33" t="s">
        <v>8657</v>
      </c>
      <c r="I3588" s="33" t="s">
        <v>8658</v>
      </c>
      <c r="J3588" s="33">
        <v>203378</v>
      </c>
      <c r="K3588" s="33" t="s">
        <v>8799</v>
      </c>
      <c r="L3588" s="33" t="s">
        <v>8800</v>
      </c>
      <c r="M3588" s="33" t="s">
        <v>8801</v>
      </c>
      <c r="N3588" s="44">
        <v>42312211</v>
      </c>
      <c r="O3588" s="33" t="s">
        <v>8819</v>
      </c>
      <c r="P3588" s="33" t="s">
        <v>8820</v>
      </c>
      <c r="Q3588" s="34" t="s">
        <v>1494</v>
      </c>
      <c r="R3588" s="34" t="s">
        <v>1494</v>
      </c>
    </row>
    <row r="3589" spans="1:18" ht="15" customHeight="1" x14ac:dyDescent="0.25">
      <c r="A3589" t="str">
        <f>IFERROR(RANK(B3589,$B:$B,1)+COUNTIF($B$1:B3588,B3589),"")</f>
        <v/>
      </c>
      <c r="B3589" t="str">
        <f>IFERROR(SEARCH(#REF!,Table4[[#This Row],[Commodity Title]],1),"")</f>
        <v/>
      </c>
      <c r="C3589" s="33" t="s">
        <v>1494</v>
      </c>
      <c r="D3589" s="33" t="s">
        <v>1495</v>
      </c>
      <c r="E3589" s="33" t="s">
        <v>1496</v>
      </c>
      <c r="F3589" s="33" t="s">
        <v>1497</v>
      </c>
      <c r="G3589" s="33" t="s">
        <v>8656</v>
      </c>
      <c r="H3589" s="33" t="s">
        <v>8657</v>
      </c>
      <c r="I3589" s="33" t="s">
        <v>8658</v>
      </c>
      <c r="J3589" s="33">
        <v>116568</v>
      </c>
      <c r="K3589" s="33" t="s">
        <v>8821</v>
      </c>
      <c r="L3589" s="33" t="s">
        <v>8822</v>
      </c>
      <c r="M3589" s="33" t="s">
        <v>8823</v>
      </c>
      <c r="N3589" s="44" t="s">
        <v>1494</v>
      </c>
      <c r="O3589" s="33" t="s">
        <v>1494</v>
      </c>
      <c r="P3589" s="33" t="s">
        <v>1494</v>
      </c>
      <c r="Q3589" s="34" t="s">
        <v>1494</v>
      </c>
      <c r="R3589" s="34" t="s">
        <v>1494</v>
      </c>
    </row>
    <row r="3590" spans="1:18" ht="15" customHeight="1" x14ac:dyDescent="0.25">
      <c r="A3590" t="str">
        <f>IFERROR(RANK(B3590,$B:$B,1)+COUNTIF($B$1:B3589,B3590),"")</f>
        <v/>
      </c>
      <c r="B3590" t="str">
        <f>IFERROR(SEARCH(#REF!,Table4[[#This Row],[Commodity Title]],1),"")</f>
        <v/>
      </c>
      <c r="C3590" s="35">
        <v>42312301</v>
      </c>
      <c r="D3590" s="33" t="s">
        <v>1495</v>
      </c>
      <c r="E3590" s="33" t="s">
        <v>1496</v>
      </c>
      <c r="F3590" s="33" t="s">
        <v>1497</v>
      </c>
      <c r="G3590" s="33" t="s">
        <v>8656</v>
      </c>
      <c r="H3590" s="33" t="s">
        <v>8657</v>
      </c>
      <c r="I3590" s="33" t="s">
        <v>8658</v>
      </c>
      <c r="J3590" s="33">
        <v>116569</v>
      </c>
      <c r="K3590" s="33" t="s">
        <v>8821</v>
      </c>
      <c r="L3590" s="33" t="s">
        <v>8822</v>
      </c>
      <c r="M3590" s="33" t="s">
        <v>8823</v>
      </c>
      <c r="N3590" s="44">
        <v>42312301</v>
      </c>
      <c r="O3590" s="33" t="s">
        <v>8824</v>
      </c>
      <c r="P3590" s="33" t="s">
        <v>8825</v>
      </c>
      <c r="Q3590" s="34" t="s">
        <v>1494</v>
      </c>
      <c r="R3590" s="34" t="s">
        <v>1494</v>
      </c>
    </row>
    <row r="3591" spans="1:18" ht="15" customHeight="1" x14ac:dyDescent="0.25">
      <c r="A3591" t="str">
        <f>IFERROR(RANK(B3591,$B:$B,1)+COUNTIF($B$1:B3590,B3591),"")</f>
        <v/>
      </c>
      <c r="B3591" t="str">
        <f>IFERROR(SEARCH(#REF!,Table4[[#This Row],[Commodity Title]],1),"")</f>
        <v/>
      </c>
      <c r="C3591" s="35">
        <v>42312302</v>
      </c>
      <c r="D3591" s="33" t="s">
        <v>1495</v>
      </c>
      <c r="E3591" s="33" t="s">
        <v>1496</v>
      </c>
      <c r="F3591" s="33" t="s">
        <v>1497</v>
      </c>
      <c r="G3591" s="33" t="s">
        <v>8656</v>
      </c>
      <c r="H3591" s="33" t="s">
        <v>8657</v>
      </c>
      <c r="I3591" s="33" t="s">
        <v>8658</v>
      </c>
      <c r="J3591" s="33">
        <v>116570</v>
      </c>
      <c r="K3591" s="33" t="s">
        <v>8821</v>
      </c>
      <c r="L3591" s="33" t="s">
        <v>8822</v>
      </c>
      <c r="M3591" s="33" t="s">
        <v>8823</v>
      </c>
      <c r="N3591" s="44">
        <v>42312302</v>
      </c>
      <c r="O3591" s="33" t="s">
        <v>8826</v>
      </c>
      <c r="P3591" s="33" t="s">
        <v>8827</v>
      </c>
      <c r="Q3591" s="34" t="s">
        <v>1494</v>
      </c>
      <c r="R3591" s="34" t="s">
        <v>1494</v>
      </c>
    </row>
    <row r="3592" spans="1:18" ht="15" customHeight="1" x14ac:dyDescent="0.25">
      <c r="A3592" t="str">
        <f>IFERROR(RANK(B3592,$B:$B,1)+COUNTIF($B$1:B3591,B3592),"")</f>
        <v/>
      </c>
      <c r="B3592" t="str">
        <f>IFERROR(SEARCH(#REF!,Table4[[#This Row],[Commodity Title]],1),"")</f>
        <v/>
      </c>
      <c r="C3592" s="35">
        <v>42312303</v>
      </c>
      <c r="D3592" s="33" t="s">
        <v>1495</v>
      </c>
      <c r="E3592" s="33" t="s">
        <v>1496</v>
      </c>
      <c r="F3592" s="33" t="s">
        <v>1497</v>
      </c>
      <c r="G3592" s="33" t="s">
        <v>8656</v>
      </c>
      <c r="H3592" s="33" t="s">
        <v>8657</v>
      </c>
      <c r="I3592" s="33" t="s">
        <v>8658</v>
      </c>
      <c r="J3592" s="33">
        <v>116571</v>
      </c>
      <c r="K3592" s="33" t="s">
        <v>8821</v>
      </c>
      <c r="L3592" s="33" t="s">
        <v>8822</v>
      </c>
      <c r="M3592" s="33" t="s">
        <v>8823</v>
      </c>
      <c r="N3592" s="44">
        <v>42312303</v>
      </c>
      <c r="O3592" s="33" t="s">
        <v>8828</v>
      </c>
      <c r="P3592" s="33" t="s">
        <v>8829</v>
      </c>
      <c r="Q3592" s="34" t="s">
        <v>1494</v>
      </c>
      <c r="R3592" s="34" t="s">
        <v>1494</v>
      </c>
    </row>
    <row r="3593" spans="1:18" ht="15" customHeight="1" x14ac:dyDescent="0.25">
      <c r="A3593" t="str">
        <f>IFERROR(RANK(B3593,$B:$B,1)+COUNTIF($B$1:B3592,B3593),"")</f>
        <v/>
      </c>
      <c r="B3593" t="str">
        <f>IFERROR(SEARCH(#REF!,Table4[[#This Row],[Commodity Title]],1),"")</f>
        <v/>
      </c>
      <c r="C3593" s="35">
        <v>42312304</v>
      </c>
      <c r="D3593" s="33" t="s">
        <v>1495</v>
      </c>
      <c r="E3593" s="33" t="s">
        <v>1496</v>
      </c>
      <c r="F3593" s="33" t="s">
        <v>1497</v>
      </c>
      <c r="G3593" s="33" t="s">
        <v>8656</v>
      </c>
      <c r="H3593" s="33" t="s">
        <v>8657</v>
      </c>
      <c r="I3593" s="33" t="s">
        <v>8658</v>
      </c>
      <c r="J3593" s="33">
        <v>116572</v>
      </c>
      <c r="K3593" s="33" t="s">
        <v>8821</v>
      </c>
      <c r="L3593" s="33" t="s">
        <v>8822</v>
      </c>
      <c r="M3593" s="33" t="s">
        <v>8823</v>
      </c>
      <c r="N3593" s="44">
        <v>42312304</v>
      </c>
      <c r="O3593" s="33" t="s">
        <v>8830</v>
      </c>
      <c r="P3593" s="33" t="s">
        <v>8831</v>
      </c>
      <c r="Q3593" s="34" t="s">
        <v>1494</v>
      </c>
      <c r="R3593" s="34" t="s">
        <v>1494</v>
      </c>
    </row>
    <row r="3594" spans="1:18" ht="15" customHeight="1" x14ac:dyDescent="0.25">
      <c r="A3594" t="str">
        <f>IFERROR(RANK(B3594,$B:$B,1)+COUNTIF($B$1:B3593,B3594),"")</f>
        <v/>
      </c>
      <c r="B3594" t="str">
        <f>IFERROR(SEARCH(#REF!,Table4[[#This Row],[Commodity Title]],1),"")</f>
        <v/>
      </c>
      <c r="C3594" s="35">
        <v>42312305</v>
      </c>
      <c r="D3594" s="33" t="s">
        <v>1495</v>
      </c>
      <c r="E3594" s="33" t="s">
        <v>1496</v>
      </c>
      <c r="F3594" s="33" t="s">
        <v>1497</v>
      </c>
      <c r="G3594" s="33" t="s">
        <v>8656</v>
      </c>
      <c r="H3594" s="33" t="s">
        <v>8657</v>
      </c>
      <c r="I3594" s="33" t="s">
        <v>8658</v>
      </c>
      <c r="J3594" s="33">
        <v>116573</v>
      </c>
      <c r="K3594" s="33" t="s">
        <v>8821</v>
      </c>
      <c r="L3594" s="33" t="s">
        <v>8822</v>
      </c>
      <c r="M3594" s="33" t="s">
        <v>8823</v>
      </c>
      <c r="N3594" s="44">
        <v>42312305</v>
      </c>
      <c r="O3594" s="33" t="s">
        <v>8832</v>
      </c>
      <c r="P3594" s="33" t="s">
        <v>8833</v>
      </c>
      <c r="Q3594" s="34" t="s">
        <v>1494</v>
      </c>
      <c r="R3594" s="34" t="s">
        <v>1494</v>
      </c>
    </row>
    <row r="3595" spans="1:18" ht="15" customHeight="1" x14ac:dyDescent="0.25">
      <c r="A3595" t="str">
        <f>IFERROR(RANK(B3595,$B:$B,1)+COUNTIF($B$1:B3594,B3595),"")</f>
        <v/>
      </c>
      <c r="B3595" t="str">
        <f>IFERROR(SEARCH(#REF!,Table4[[#This Row],[Commodity Title]],1),"")</f>
        <v/>
      </c>
      <c r="C3595" s="35">
        <v>42312306</v>
      </c>
      <c r="D3595" s="33" t="s">
        <v>1495</v>
      </c>
      <c r="E3595" s="33" t="s">
        <v>1496</v>
      </c>
      <c r="F3595" s="33" t="s">
        <v>1497</v>
      </c>
      <c r="G3595" s="33" t="s">
        <v>8656</v>
      </c>
      <c r="H3595" s="33" t="s">
        <v>8657</v>
      </c>
      <c r="I3595" s="33" t="s">
        <v>8658</v>
      </c>
      <c r="J3595" s="33">
        <v>116574</v>
      </c>
      <c r="K3595" s="33" t="s">
        <v>8821</v>
      </c>
      <c r="L3595" s="33" t="s">
        <v>8822</v>
      </c>
      <c r="M3595" s="33" t="s">
        <v>8823</v>
      </c>
      <c r="N3595" s="44">
        <v>42312306</v>
      </c>
      <c r="O3595" s="33" t="s">
        <v>8834</v>
      </c>
      <c r="P3595" s="33" t="s">
        <v>8835</v>
      </c>
      <c r="Q3595" s="34" t="s">
        <v>1494</v>
      </c>
      <c r="R3595" s="34" t="s">
        <v>1494</v>
      </c>
    </row>
    <row r="3596" spans="1:18" ht="15" customHeight="1" x14ac:dyDescent="0.25">
      <c r="A3596" t="str">
        <f>IFERROR(RANK(B3596,$B:$B,1)+COUNTIF($B$1:B3595,B3596),"")</f>
        <v/>
      </c>
      <c r="B3596" t="str">
        <f>IFERROR(SEARCH(#REF!,Table4[[#This Row],[Commodity Title]],1),"")</f>
        <v/>
      </c>
      <c r="C3596" s="35">
        <v>42312307</v>
      </c>
      <c r="D3596" s="33" t="s">
        <v>1495</v>
      </c>
      <c r="E3596" s="33" t="s">
        <v>1496</v>
      </c>
      <c r="F3596" s="33" t="s">
        <v>1497</v>
      </c>
      <c r="G3596" s="33" t="s">
        <v>8656</v>
      </c>
      <c r="H3596" s="33" t="s">
        <v>8657</v>
      </c>
      <c r="I3596" s="33" t="s">
        <v>8658</v>
      </c>
      <c r="J3596" s="33">
        <v>116575</v>
      </c>
      <c r="K3596" s="33" t="s">
        <v>8821</v>
      </c>
      <c r="L3596" s="33" t="s">
        <v>8822</v>
      </c>
      <c r="M3596" s="33" t="s">
        <v>8823</v>
      </c>
      <c r="N3596" s="44">
        <v>42312307</v>
      </c>
      <c r="O3596" s="33" t="s">
        <v>8836</v>
      </c>
      <c r="P3596" s="33" t="s">
        <v>8837</v>
      </c>
      <c r="Q3596" s="34" t="s">
        <v>1494</v>
      </c>
      <c r="R3596" s="34" t="s">
        <v>1494</v>
      </c>
    </row>
    <row r="3597" spans="1:18" ht="15" customHeight="1" x14ac:dyDescent="0.25">
      <c r="A3597" t="str">
        <f>IFERROR(RANK(B3597,$B:$B,1)+COUNTIF($B$1:B3596,B3597),"")</f>
        <v/>
      </c>
      <c r="B3597" t="str">
        <f>IFERROR(SEARCH(#REF!,Table4[[#This Row],[Commodity Title]],1),"")</f>
        <v/>
      </c>
      <c r="C3597" s="35">
        <v>42312309</v>
      </c>
      <c r="D3597" s="33" t="s">
        <v>1495</v>
      </c>
      <c r="E3597" s="33" t="s">
        <v>1496</v>
      </c>
      <c r="F3597" s="33" t="s">
        <v>1497</v>
      </c>
      <c r="G3597" s="33" t="s">
        <v>8656</v>
      </c>
      <c r="H3597" s="33" t="s">
        <v>8657</v>
      </c>
      <c r="I3597" s="33" t="s">
        <v>8658</v>
      </c>
      <c r="J3597" s="33">
        <v>142878</v>
      </c>
      <c r="K3597" s="33" t="s">
        <v>8821</v>
      </c>
      <c r="L3597" s="33" t="s">
        <v>8822</v>
      </c>
      <c r="M3597" s="33" t="s">
        <v>8823</v>
      </c>
      <c r="N3597" s="44">
        <v>42312309</v>
      </c>
      <c r="O3597" s="33" t="s">
        <v>8838</v>
      </c>
      <c r="P3597" s="33" t="s">
        <v>8839</v>
      </c>
      <c r="Q3597" s="34" t="s">
        <v>1494</v>
      </c>
      <c r="R3597" s="34" t="s">
        <v>1494</v>
      </c>
    </row>
    <row r="3598" spans="1:18" ht="15" customHeight="1" x14ac:dyDescent="0.25">
      <c r="A3598" t="str">
        <f>IFERROR(RANK(B3598,$B:$B,1)+COUNTIF($B$1:B3597,B3598),"")</f>
        <v/>
      </c>
      <c r="B3598" t="str">
        <f>IFERROR(SEARCH(#REF!,Table4[[#This Row],[Commodity Title]],1),"")</f>
        <v/>
      </c>
      <c r="C3598" s="35">
        <v>42312310</v>
      </c>
      <c r="D3598" s="33" t="s">
        <v>1495</v>
      </c>
      <c r="E3598" s="33" t="s">
        <v>1496</v>
      </c>
      <c r="F3598" s="33" t="s">
        <v>1497</v>
      </c>
      <c r="G3598" s="33" t="s">
        <v>8656</v>
      </c>
      <c r="H3598" s="33" t="s">
        <v>8657</v>
      </c>
      <c r="I3598" s="33" t="s">
        <v>8658</v>
      </c>
      <c r="J3598" s="33">
        <v>142879</v>
      </c>
      <c r="K3598" s="33" t="s">
        <v>8821</v>
      </c>
      <c r="L3598" s="33" t="s">
        <v>8822</v>
      </c>
      <c r="M3598" s="33" t="s">
        <v>8823</v>
      </c>
      <c r="N3598" s="44">
        <v>42312310</v>
      </c>
      <c r="O3598" s="33" t="s">
        <v>8840</v>
      </c>
      <c r="P3598" s="33" t="s">
        <v>8841</v>
      </c>
      <c r="Q3598" s="34" t="s">
        <v>1494</v>
      </c>
      <c r="R3598" s="34" t="s">
        <v>1494</v>
      </c>
    </row>
    <row r="3599" spans="1:18" ht="15" customHeight="1" x14ac:dyDescent="0.25">
      <c r="A3599" t="str">
        <f>IFERROR(RANK(B3599,$B:$B,1)+COUNTIF($B$1:B3598,B3599),"")</f>
        <v/>
      </c>
      <c r="B3599" t="str">
        <f>IFERROR(SEARCH(#REF!,Table4[[#This Row],[Commodity Title]],1),"")</f>
        <v/>
      </c>
      <c r="C3599" s="35">
        <v>42312311</v>
      </c>
      <c r="D3599" s="33" t="s">
        <v>1495</v>
      </c>
      <c r="E3599" s="33" t="s">
        <v>1496</v>
      </c>
      <c r="F3599" s="33" t="s">
        <v>1497</v>
      </c>
      <c r="G3599" s="33" t="s">
        <v>8656</v>
      </c>
      <c r="H3599" s="33" t="s">
        <v>8657</v>
      </c>
      <c r="I3599" s="33" t="s">
        <v>8658</v>
      </c>
      <c r="J3599" s="33">
        <v>142874</v>
      </c>
      <c r="K3599" s="33" t="s">
        <v>8821</v>
      </c>
      <c r="L3599" s="33" t="s">
        <v>8822</v>
      </c>
      <c r="M3599" s="33" t="s">
        <v>8823</v>
      </c>
      <c r="N3599" s="44">
        <v>42312311</v>
      </c>
      <c r="O3599" s="33" t="s">
        <v>8842</v>
      </c>
      <c r="P3599" s="33" t="s">
        <v>8843</v>
      </c>
      <c r="Q3599" s="34" t="s">
        <v>1494</v>
      </c>
      <c r="R3599" s="34" t="s">
        <v>1494</v>
      </c>
    </row>
    <row r="3600" spans="1:18" ht="15" customHeight="1" x14ac:dyDescent="0.25">
      <c r="A3600" t="str">
        <f>IFERROR(RANK(B3600,$B:$B,1)+COUNTIF($B$1:B3599,B3600),"")</f>
        <v/>
      </c>
      <c r="B3600" t="str">
        <f>IFERROR(SEARCH(#REF!,Table4[[#This Row],[Commodity Title]],1),"")</f>
        <v/>
      </c>
      <c r="C3600" s="35">
        <v>42312312</v>
      </c>
      <c r="D3600" s="33" t="s">
        <v>1495</v>
      </c>
      <c r="E3600" s="33" t="s">
        <v>1496</v>
      </c>
      <c r="F3600" s="33" t="s">
        <v>1497</v>
      </c>
      <c r="G3600" s="33" t="s">
        <v>8656</v>
      </c>
      <c r="H3600" s="33" t="s">
        <v>8657</v>
      </c>
      <c r="I3600" s="33" t="s">
        <v>8658</v>
      </c>
      <c r="J3600" s="33">
        <v>143509</v>
      </c>
      <c r="K3600" s="33" t="s">
        <v>8821</v>
      </c>
      <c r="L3600" s="33" t="s">
        <v>8822</v>
      </c>
      <c r="M3600" s="33" t="s">
        <v>8823</v>
      </c>
      <c r="N3600" s="44">
        <v>42312312</v>
      </c>
      <c r="O3600" s="33" t="s">
        <v>8844</v>
      </c>
      <c r="P3600" s="33" t="s">
        <v>8845</v>
      </c>
      <c r="Q3600" s="34" t="s">
        <v>1494</v>
      </c>
      <c r="R3600" s="34" t="s">
        <v>1494</v>
      </c>
    </row>
    <row r="3601" spans="1:18" ht="15" customHeight="1" x14ac:dyDescent="0.25">
      <c r="A3601" t="str">
        <f>IFERROR(RANK(B3601,$B:$B,1)+COUNTIF($B$1:B3600,B3601),"")</f>
        <v/>
      </c>
      <c r="B3601" t="str">
        <f>IFERROR(SEARCH(#REF!,Table4[[#This Row],[Commodity Title]],1),"")</f>
        <v/>
      </c>
      <c r="C3601" s="35">
        <v>42312313</v>
      </c>
      <c r="D3601" s="33" t="s">
        <v>1495</v>
      </c>
      <c r="E3601" s="33" t="s">
        <v>1496</v>
      </c>
      <c r="F3601" s="33" t="s">
        <v>1497</v>
      </c>
      <c r="G3601" s="33" t="s">
        <v>8656</v>
      </c>
      <c r="H3601" s="33" t="s">
        <v>8657</v>
      </c>
      <c r="I3601" s="33" t="s">
        <v>8658</v>
      </c>
      <c r="J3601" s="33">
        <v>143510</v>
      </c>
      <c r="K3601" s="33" t="s">
        <v>8821</v>
      </c>
      <c r="L3601" s="33" t="s">
        <v>8822</v>
      </c>
      <c r="M3601" s="33" t="s">
        <v>8823</v>
      </c>
      <c r="N3601" s="44">
        <v>42312313</v>
      </c>
      <c r="O3601" s="33" t="s">
        <v>8846</v>
      </c>
      <c r="P3601" s="33" t="s">
        <v>8847</v>
      </c>
      <c r="Q3601" s="34" t="s">
        <v>1494</v>
      </c>
      <c r="R3601" s="34" t="s">
        <v>1494</v>
      </c>
    </row>
    <row r="3602" spans="1:18" ht="15" customHeight="1" x14ac:dyDescent="0.25">
      <c r="A3602" t="str">
        <f>IFERROR(RANK(B3602,$B:$B,1)+COUNTIF($B$1:B3601,B3602),"")</f>
        <v/>
      </c>
      <c r="B3602" t="str">
        <f>IFERROR(SEARCH(#REF!,Table4[[#This Row],[Commodity Title]],1),"")</f>
        <v/>
      </c>
      <c r="C3602" s="35">
        <v>42312314</v>
      </c>
      <c r="D3602" s="33" t="s">
        <v>1495</v>
      </c>
      <c r="E3602" s="33" t="s">
        <v>1496</v>
      </c>
      <c r="F3602" s="33" t="s">
        <v>1497</v>
      </c>
      <c r="G3602" s="33" t="s">
        <v>8656</v>
      </c>
      <c r="H3602" s="33" t="s">
        <v>8657</v>
      </c>
      <c r="I3602" s="33" t="s">
        <v>8658</v>
      </c>
      <c r="J3602" s="33">
        <v>203379</v>
      </c>
      <c r="K3602" s="33" t="s">
        <v>8821</v>
      </c>
      <c r="L3602" s="33" t="s">
        <v>8822</v>
      </c>
      <c r="M3602" s="33" t="s">
        <v>8823</v>
      </c>
      <c r="N3602" s="44">
        <v>42312314</v>
      </c>
      <c r="O3602" s="33" t="s">
        <v>8848</v>
      </c>
      <c r="P3602" s="33" t="s">
        <v>8849</v>
      </c>
      <c r="Q3602" s="34" t="s">
        <v>1494</v>
      </c>
      <c r="R3602" s="34" t="s">
        <v>1494</v>
      </c>
    </row>
    <row r="3603" spans="1:18" ht="15" customHeight="1" x14ac:dyDescent="0.25">
      <c r="A3603" t="str">
        <f>IFERROR(RANK(B3603,$B:$B,1)+COUNTIF($B$1:B3602,B3603),"")</f>
        <v/>
      </c>
      <c r="B3603" t="str">
        <f>IFERROR(SEARCH(#REF!,Table4[[#This Row],[Commodity Title]],1),"")</f>
        <v/>
      </c>
      <c r="C3603" s="35">
        <v>42312315</v>
      </c>
      <c r="D3603" s="33" t="s">
        <v>1495</v>
      </c>
      <c r="E3603" s="33" t="s">
        <v>1496</v>
      </c>
      <c r="F3603" s="33" t="s">
        <v>1497</v>
      </c>
      <c r="G3603" s="33" t="s">
        <v>8656</v>
      </c>
      <c r="H3603" s="33" t="s">
        <v>8657</v>
      </c>
      <c r="I3603" s="33" t="s">
        <v>8658</v>
      </c>
      <c r="J3603" s="33">
        <v>203380</v>
      </c>
      <c r="K3603" s="33" t="s">
        <v>8821</v>
      </c>
      <c r="L3603" s="33" t="s">
        <v>8822</v>
      </c>
      <c r="M3603" s="33" t="s">
        <v>8823</v>
      </c>
      <c r="N3603" s="44">
        <v>42312315</v>
      </c>
      <c r="O3603" s="33" t="s">
        <v>8850</v>
      </c>
      <c r="P3603" s="33" t="s">
        <v>8851</v>
      </c>
      <c r="Q3603" s="34" t="s">
        <v>1494</v>
      </c>
      <c r="R3603" s="34" t="s">
        <v>1494</v>
      </c>
    </row>
    <row r="3604" spans="1:18" ht="15" customHeight="1" x14ac:dyDescent="0.25">
      <c r="A3604" t="str">
        <f>IFERROR(RANK(B3604,$B:$B,1)+COUNTIF($B$1:B3603,B3604),"")</f>
        <v/>
      </c>
      <c r="B3604" t="str">
        <f>IFERROR(SEARCH(#REF!,Table4[[#This Row],[Commodity Title]],1),"")</f>
        <v/>
      </c>
      <c r="C3604" s="33" t="s">
        <v>1494</v>
      </c>
      <c r="D3604" s="33" t="s">
        <v>1495</v>
      </c>
      <c r="E3604" s="33" t="s">
        <v>1496</v>
      </c>
      <c r="F3604" s="33" t="s">
        <v>1497</v>
      </c>
      <c r="G3604" s="33" t="s">
        <v>8656</v>
      </c>
      <c r="H3604" s="33" t="s">
        <v>8657</v>
      </c>
      <c r="I3604" s="33" t="s">
        <v>8658</v>
      </c>
      <c r="J3604" s="33">
        <v>116577</v>
      </c>
      <c r="K3604" s="33" t="s">
        <v>8852</v>
      </c>
      <c r="L3604" s="33" t="s">
        <v>8853</v>
      </c>
      <c r="M3604" s="33" t="s">
        <v>8854</v>
      </c>
      <c r="N3604" s="44" t="s">
        <v>1494</v>
      </c>
      <c r="O3604" s="33" t="s">
        <v>1494</v>
      </c>
      <c r="P3604" s="33" t="s">
        <v>1494</v>
      </c>
      <c r="Q3604" s="34" t="s">
        <v>1494</v>
      </c>
      <c r="R3604" s="34" t="s">
        <v>1494</v>
      </c>
    </row>
    <row r="3605" spans="1:18" ht="15" customHeight="1" x14ac:dyDescent="0.25">
      <c r="A3605" t="str">
        <f>IFERROR(RANK(B3605,$B:$B,1)+COUNTIF($B$1:B3604,B3605),"")</f>
        <v/>
      </c>
      <c r="B3605" t="str">
        <f>IFERROR(SEARCH(#REF!,Table4[[#This Row],[Commodity Title]],1),"")</f>
        <v/>
      </c>
      <c r="C3605" s="35">
        <v>42312401</v>
      </c>
      <c r="D3605" s="33" t="s">
        <v>1495</v>
      </c>
      <c r="E3605" s="33" t="s">
        <v>1496</v>
      </c>
      <c r="F3605" s="33" t="s">
        <v>1497</v>
      </c>
      <c r="G3605" s="33" t="s">
        <v>8656</v>
      </c>
      <c r="H3605" s="33" t="s">
        <v>8657</v>
      </c>
      <c r="I3605" s="33" t="s">
        <v>8658</v>
      </c>
      <c r="J3605" s="33">
        <v>116578</v>
      </c>
      <c r="K3605" s="33" t="s">
        <v>8852</v>
      </c>
      <c r="L3605" s="33" t="s">
        <v>8853</v>
      </c>
      <c r="M3605" s="33" t="s">
        <v>8854</v>
      </c>
      <c r="N3605" s="44">
        <v>42312401</v>
      </c>
      <c r="O3605" s="33" t="s">
        <v>8855</v>
      </c>
      <c r="P3605" s="33" t="s">
        <v>8856</v>
      </c>
      <c r="Q3605" s="34" t="s">
        <v>1494</v>
      </c>
      <c r="R3605" s="34" t="s">
        <v>1494</v>
      </c>
    </row>
    <row r="3606" spans="1:18" ht="15" customHeight="1" x14ac:dyDescent="0.25">
      <c r="A3606" t="str">
        <f>IFERROR(RANK(B3606,$B:$B,1)+COUNTIF($B$1:B3605,B3606),"")</f>
        <v/>
      </c>
      <c r="B3606" t="str">
        <f>IFERROR(SEARCH(#REF!,Table4[[#This Row],[Commodity Title]],1),"")</f>
        <v/>
      </c>
      <c r="C3606" s="35">
        <v>42312402</v>
      </c>
      <c r="D3606" s="33" t="s">
        <v>1495</v>
      </c>
      <c r="E3606" s="33" t="s">
        <v>1496</v>
      </c>
      <c r="F3606" s="33" t="s">
        <v>1497</v>
      </c>
      <c r="G3606" s="33" t="s">
        <v>8656</v>
      </c>
      <c r="H3606" s="33" t="s">
        <v>8657</v>
      </c>
      <c r="I3606" s="33" t="s">
        <v>8658</v>
      </c>
      <c r="J3606" s="33">
        <v>116579</v>
      </c>
      <c r="K3606" s="33" t="s">
        <v>8852</v>
      </c>
      <c r="L3606" s="33" t="s">
        <v>8853</v>
      </c>
      <c r="M3606" s="33" t="s">
        <v>8854</v>
      </c>
      <c r="N3606" s="44">
        <v>42312402</v>
      </c>
      <c r="O3606" s="33" t="s">
        <v>8857</v>
      </c>
      <c r="P3606" s="33" t="s">
        <v>8858</v>
      </c>
      <c r="Q3606" s="34" t="s">
        <v>1494</v>
      </c>
      <c r="R3606" s="34" t="s">
        <v>1494</v>
      </c>
    </row>
    <row r="3607" spans="1:18" ht="15" customHeight="1" x14ac:dyDescent="0.25">
      <c r="A3607" t="str">
        <f>IFERROR(RANK(B3607,$B:$B,1)+COUNTIF($B$1:B3606,B3607),"")</f>
        <v/>
      </c>
      <c r="B3607" t="str">
        <f>IFERROR(SEARCH(#REF!,Table4[[#This Row],[Commodity Title]],1),"")</f>
        <v/>
      </c>
      <c r="C3607" s="35">
        <v>42312403</v>
      </c>
      <c r="D3607" s="33" t="s">
        <v>1495</v>
      </c>
      <c r="E3607" s="33" t="s">
        <v>1496</v>
      </c>
      <c r="F3607" s="33" t="s">
        <v>1497</v>
      </c>
      <c r="G3607" s="33" t="s">
        <v>8656</v>
      </c>
      <c r="H3607" s="33" t="s">
        <v>8657</v>
      </c>
      <c r="I3607" s="33" t="s">
        <v>8658</v>
      </c>
      <c r="J3607" s="33">
        <v>116580</v>
      </c>
      <c r="K3607" s="33" t="s">
        <v>8852</v>
      </c>
      <c r="L3607" s="33" t="s">
        <v>8853</v>
      </c>
      <c r="M3607" s="33" t="s">
        <v>8854</v>
      </c>
      <c r="N3607" s="44">
        <v>42312403</v>
      </c>
      <c r="O3607" s="33" t="s">
        <v>8859</v>
      </c>
      <c r="P3607" s="33" t="s">
        <v>8860</v>
      </c>
      <c r="Q3607" s="34" t="s">
        <v>1494</v>
      </c>
      <c r="R3607" s="34" t="s">
        <v>1494</v>
      </c>
    </row>
    <row r="3608" spans="1:18" ht="15" customHeight="1" x14ac:dyDescent="0.25">
      <c r="A3608" t="str">
        <f>IFERROR(RANK(B3608,$B:$B,1)+COUNTIF($B$1:B3607,B3608),"")</f>
        <v/>
      </c>
      <c r="B3608" t="str">
        <f>IFERROR(SEARCH(#REF!,Table4[[#This Row],[Commodity Title]],1),"")</f>
        <v/>
      </c>
      <c r="C3608" s="33" t="s">
        <v>1494</v>
      </c>
      <c r="D3608" s="33" t="s">
        <v>1495</v>
      </c>
      <c r="E3608" s="33" t="s">
        <v>1496</v>
      </c>
      <c r="F3608" s="33" t="s">
        <v>1497</v>
      </c>
      <c r="G3608" s="33" t="s">
        <v>8656</v>
      </c>
      <c r="H3608" s="33" t="s">
        <v>8657</v>
      </c>
      <c r="I3608" s="33" t="s">
        <v>8658</v>
      </c>
      <c r="J3608" s="33">
        <v>143863</v>
      </c>
      <c r="K3608" s="33" t="s">
        <v>8861</v>
      </c>
      <c r="L3608" s="33" t="s">
        <v>8862</v>
      </c>
      <c r="M3608" s="33" t="s">
        <v>8863</v>
      </c>
      <c r="N3608" s="44" t="s">
        <v>1494</v>
      </c>
      <c r="O3608" s="33" t="s">
        <v>1494</v>
      </c>
      <c r="P3608" s="33" t="s">
        <v>1494</v>
      </c>
      <c r="Q3608" s="34" t="s">
        <v>1494</v>
      </c>
      <c r="R3608" s="34" t="s">
        <v>1494</v>
      </c>
    </row>
    <row r="3609" spans="1:18" ht="15" customHeight="1" x14ac:dyDescent="0.25">
      <c r="A3609" t="str">
        <f>IFERROR(RANK(B3609,$B:$B,1)+COUNTIF($B$1:B3608,B3609),"")</f>
        <v/>
      </c>
      <c r="B3609" t="str">
        <f>IFERROR(SEARCH(#REF!,Table4[[#This Row],[Commodity Title]],1),"")</f>
        <v/>
      </c>
      <c r="C3609" s="35">
        <v>42312501</v>
      </c>
      <c r="D3609" s="33" t="s">
        <v>1495</v>
      </c>
      <c r="E3609" s="33" t="s">
        <v>1496</v>
      </c>
      <c r="F3609" s="33" t="s">
        <v>1497</v>
      </c>
      <c r="G3609" s="33" t="s">
        <v>8656</v>
      </c>
      <c r="H3609" s="33" t="s">
        <v>8657</v>
      </c>
      <c r="I3609" s="33" t="s">
        <v>8658</v>
      </c>
      <c r="J3609" s="33">
        <v>143864</v>
      </c>
      <c r="K3609" s="33" t="s">
        <v>8861</v>
      </c>
      <c r="L3609" s="33" t="s">
        <v>8862</v>
      </c>
      <c r="M3609" s="33" t="s">
        <v>8863</v>
      </c>
      <c r="N3609" s="44">
        <v>42312501</v>
      </c>
      <c r="O3609" s="33" t="s">
        <v>8864</v>
      </c>
      <c r="P3609" s="33" t="s">
        <v>8865</v>
      </c>
      <c r="Q3609" s="34" t="s">
        <v>1494</v>
      </c>
      <c r="R3609" s="34" t="s">
        <v>1494</v>
      </c>
    </row>
    <row r="3610" spans="1:18" ht="15" customHeight="1" x14ac:dyDescent="0.25">
      <c r="A3610" t="str">
        <f>IFERROR(RANK(B3610,$B:$B,1)+COUNTIF($B$1:B3609,B3610),"")</f>
        <v/>
      </c>
      <c r="B3610" t="str">
        <f>IFERROR(SEARCH(#REF!,Table4[[#This Row],[Commodity Title]],1),"")</f>
        <v/>
      </c>
      <c r="C3610" s="35">
        <v>42312502</v>
      </c>
      <c r="D3610" s="33" t="s">
        <v>1495</v>
      </c>
      <c r="E3610" s="33" t="s">
        <v>1496</v>
      </c>
      <c r="F3610" s="33" t="s">
        <v>1497</v>
      </c>
      <c r="G3610" s="33" t="s">
        <v>8656</v>
      </c>
      <c r="H3610" s="33" t="s">
        <v>8657</v>
      </c>
      <c r="I3610" s="33" t="s">
        <v>8658</v>
      </c>
      <c r="J3610" s="33">
        <v>143865</v>
      </c>
      <c r="K3610" s="33" t="s">
        <v>8861</v>
      </c>
      <c r="L3610" s="33" t="s">
        <v>8862</v>
      </c>
      <c r="M3610" s="33" t="s">
        <v>8863</v>
      </c>
      <c r="N3610" s="44">
        <v>42312502</v>
      </c>
      <c r="O3610" s="33" t="s">
        <v>8866</v>
      </c>
      <c r="P3610" s="33" t="s">
        <v>8867</v>
      </c>
      <c r="Q3610" s="34" t="s">
        <v>1494</v>
      </c>
      <c r="R3610" s="34" t="s">
        <v>1494</v>
      </c>
    </row>
    <row r="3611" spans="1:18" ht="15" customHeight="1" x14ac:dyDescent="0.25">
      <c r="A3611" t="str">
        <f>IFERROR(RANK(B3611,$B:$B,1)+COUNTIF($B$1:B3610,B3611),"")</f>
        <v/>
      </c>
      <c r="B3611" t="str">
        <f>IFERROR(SEARCH(#REF!,Table4[[#This Row],[Commodity Title]],1),"")</f>
        <v/>
      </c>
      <c r="C3611" s="35">
        <v>42312503</v>
      </c>
      <c r="D3611" s="33" t="s">
        <v>1495</v>
      </c>
      <c r="E3611" s="33" t="s">
        <v>1496</v>
      </c>
      <c r="F3611" s="33" t="s">
        <v>1497</v>
      </c>
      <c r="G3611" s="33" t="s">
        <v>8656</v>
      </c>
      <c r="H3611" s="33" t="s">
        <v>8657</v>
      </c>
      <c r="I3611" s="33" t="s">
        <v>8658</v>
      </c>
      <c r="J3611" s="33">
        <v>143866</v>
      </c>
      <c r="K3611" s="33" t="s">
        <v>8861</v>
      </c>
      <c r="L3611" s="33" t="s">
        <v>8862</v>
      </c>
      <c r="M3611" s="33" t="s">
        <v>8863</v>
      </c>
      <c r="N3611" s="44">
        <v>42312503</v>
      </c>
      <c r="O3611" s="33" t="s">
        <v>8868</v>
      </c>
      <c r="P3611" s="33" t="s">
        <v>8869</v>
      </c>
      <c r="Q3611" s="34" t="s">
        <v>1494</v>
      </c>
      <c r="R3611" s="34" t="s">
        <v>1494</v>
      </c>
    </row>
    <row r="3612" spans="1:18" ht="15" customHeight="1" x14ac:dyDescent="0.25">
      <c r="A3612" t="str">
        <f>IFERROR(RANK(B3612,$B:$B,1)+COUNTIF($B$1:B3611,B3612),"")</f>
        <v/>
      </c>
      <c r="B3612" t="str">
        <f>IFERROR(SEARCH(#REF!,Table4[[#This Row],[Commodity Title]],1),"")</f>
        <v/>
      </c>
      <c r="C3612" s="35">
        <v>42312504</v>
      </c>
      <c r="D3612" s="33" t="s">
        <v>1495</v>
      </c>
      <c r="E3612" s="33" t="s">
        <v>1496</v>
      </c>
      <c r="F3612" s="33" t="s">
        <v>1497</v>
      </c>
      <c r="G3612" s="33" t="s">
        <v>8656</v>
      </c>
      <c r="H3612" s="33" t="s">
        <v>8657</v>
      </c>
      <c r="I3612" s="33" t="s">
        <v>8658</v>
      </c>
      <c r="J3612" s="33">
        <v>164881</v>
      </c>
      <c r="K3612" s="33" t="s">
        <v>8861</v>
      </c>
      <c r="L3612" s="33" t="s">
        <v>8862</v>
      </c>
      <c r="M3612" s="33" t="s">
        <v>8863</v>
      </c>
      <c r="N3612" s="44">
        <v>42312504</v>
      </c>
      <c r="O3612" s="33" t="s">
        <v>8870</v>
      </c>
      <c r="P3612" s="33" t="s">
        <v>8871</v>
      </c>
      <c r="Q3612" s="34" t="s">
        <v>1494</v>
      </c>
      <c r="R3612" s="34" t="s">
        <v>1494</v>
      </c>
    </row>
    <row r="3613" spans="1:18" ht="15" customHeight="1" x14ac:dyDescent="0.25">
      <c r="A3613" t="str">
        <f>IFERROR(RANK(B3613,$B:$B,1)+COUNTIF($B$1:B3612,B3613),"")</f>
        <v/>
      </c>
      <c r="B3613" t="str">
        <f>IFERROR(SEARCH(#REF!,Table4[[#This Row],[Commodity Title]],1),"")</f>
        <v/>
      </c>
      <c r="C3613" s="35">
        <v>42312505</v>
      </c>
      <c r="D3613" s="33" t="s">
        <v>1495</v>
      </c>
      <c r="E3613" s="33" t="s">
        <v>1496</v>
      </c>
      <c r="F3613" s="33" t="s">
        <v>1497</v>
      </c>
      <c r="G3613" s="33" t="s">
        <v>8656</v>
      </c>
      <c r="H3613" s="33" t="s">
        <v>8657</v>
      </c>
      <c r="I3613" s="33" t="s">
        <v>8658</v>
      </c>
      <c r="J3613" s="33">
        <v>203381</v>
      </c>
      <c r="K3613" s="33" t="s">
        <v>8861</v>
      </c>
      <c r="L3613" s="33" t="s">
        <v>8862</v>
      </c>
      <c r="M3613" s="33" t="s">
        <v>8863</v>
      </c>
      <c r="N3613" s="44">
        <v>42312505</v>
      </c>
      <c r="O3613" s="33" t="s">
        <v>8872</v>
      </c>
      <c r="P3613" s="33" t="s">
        <v>8873</v>
      </c>
      <c r="Q3613" s="34" t="s">
        <v>1494</v>
      </c>
      <c r="R3613" s="34" t="s">
        <v>1494</v>
      </c>
    </row>
    <row r="3614" spans="1:18" ht="15" customHeight="1" x14ac:dyDescent="0.25">
      <c r="A3614" t="str">
        <f>IFERROR(RANK(B3614,$B:$B,1)+COUNTIF($B$1:B3613,B3614),"")</f>
        <v/>
      </c>
      <c r="B3614" t="str">
        <f>IFERROR(SEARCH(#REF!,Table4[[#This Row],[Commodity Title]],1),"")</f>
        <v/>
      </c>
      <c r="C3614" s="33" t="s">
        <v>1494</v>
      </c>
      <c r="D3614" s="33" t="s">
        <v>1495</v>
      </c>
      <c r="E3614" s="33" t="s">
        <v>1496</v>
      </c>
      <c r="F3614" s="33" t="s">
        <v>1497</v>
      </c>
      <c r="G3614" s="33" t="s">
        <v>8656</v>
      </c>
      <c r="H3614" s="33" t="s">
        <v>8657</v>
      </c>
      <c r="I3614" s="33" t="s">
        <v>8658</v>
      </c>
      <c r="J3614" s="33">
        <v>146199</v>
      </c>
      <c r="K3614" s="33" t="s">
        <v>8874</v>
      </c>
      <c r="L3614" s="33" t="s">
        <v>8875</v>
      </c>
      <c r="M3614" s="33" t="s">
        <v>8876</v>
      </c>
      <c r="N3614" s="44" t="s">
        <v>1494</v>
      </c>
      <c r="O3614" s="33" t="s">
        <v>1494</v>
      </c>
      <c r="P3614" s="33" t="s">
        <v>1494</v>
      </c>
      <c r="Q3614" s="34" t="s">
        <v>1494</v>
      </c>
      <c r="R3614" s="34" t="s">
        <v>1494</v>
      </c>
    </row>
    <row r="3615" spans="1:18" ht="15" customHeight="1" x14ac:dyDescent="0.25">
      <c r="A3615" t="str">
        <f>IFERROR(RANK(B3615,$B:$B,1)+COUNTIF($B$1:B3614,B3615),"")</f>
        <v/>
      </c>
      <c r="B3615" t="str">
        <f>IFERROR(SEARCH(#REF!,Table4[[#This Row],[Commodity Title]],1),"")</f>
        <v/>
      </c>
      <c r="C3615" s="35">
        <v>42312601</v>
      </c>
      <c r="D3615" s="33" t="s">
        <v>1495</v>
      </c>
      <c r="E3615" s="33" t="s">
        <v>1496</v>
      </c>
      <c r="F3615" s="33" t="s">
        <v>1497</v>
      </c>
      <c r="G3615" s="33" t="s">
        <v>8656</v>
      </c>
      <c r="H3615" s="33" t="s">
        <v>8657</v>
      </c>
      <c r="I3615" s="33" t="s">
        <v>8658</v>
      </c>
      <c r="J3615" s="33">
        <v>146118</v>
      </c>
      <c r="K3615" s="33" t="s">
        <v>8874</v>
      </c>
      <c r="L3615" s="33" t="s">
        <v>8875</v>
      </c>
      <c r="M3615" s="33" t="s">
        <v>8876</v>
      </c>
      <c r="N3615" s="44">
        <v>42312601</v>
      </c>
      <c r="O3615" s="33" t="s">
        <v>8877</v>
      </c>
      <c r="P3615" s="33" t="s">
        <v>8878</v>
      </c>
      <c r="Q3615" s="34" t="s">
        <v>1494</v>
      </c>
      <c r="R3615" s="34" t="s">
        <v>1494</v>
      </c>
    </row>
    <row r="3616" spans="1:18" ht="15" customHeight="1" x14ac:dyDescent="0.25">
      <c r="A3616" t="str">
        <f>IFERROR(RANK(B3616,$B:$B,1)+COUNTIF($B$1:B3615,B3616),"")</f>
        <v/>
      </c>
      <c r="B3616" t="str">
        <f>IFERROR(SEARCH(#REF!,Table4[[#This Row],[Commodity Title]],1),"")</f>
        <v/>
      </c>
      <c r="C3616" s="35">
        <v>42312602</v>
      </c>
      <c r="D3616" s="33" t="s">
        <v>1495</v>
      </c>
      <c r="E3616" s="33" t="s">
        <v>1496</v>
      </c>
      <c r="F3616" s="33" t="s">
        <v>1497</v>
      </c>
      <c r="G3616" s="33" t="s">
        <v>8656</v>
      </c>
      <c r="H3616" s="33" t="s">
        <v>8657</v>
      </c>
      <c r="I3616" s="33" t="s">
        <v>8658</v>
      </c>
      <c r="J3616" s="33">
        <v>146119</v>
      </c>
      <c r="K3616" s="33" t="s">
        <v>8874</v>
      </c>
      <c r="L3616" s="33" t="s">
        <v>8875</v>
      </c>
      <c r="M3616" s="33" t="s">
        <v>8876</v>
      </c>
      <c r="N3616" s="44">
        <v>42312602</v>
      </c>
      <c r="O3616" s="33" t="s">
        <v>8879</v>
      </c>
      <c r="P3616" s="33" t="s">
        <v>8880</v>
      </c>
      <c r="Q3616" s="34" t="s">
        <v>1494</v>
      </c>
      <c r="R3616" s="34" t="s">
        <v>1494</v>
      </c>
    </row>
    <row r="3617" spans="1:18" ht="15" customHeight="1" x14ac:dyDescent="0.25">
      <c r="A3617" t="str">
        <f>IFERROR(RANK(B3617,$B:$B,1)+COUNTIF($B$1:B3616,B3617),"")</f>
        <v/>
      </c>
      <c r="B3617" t="str">
        <f>IFERROR(SEARCH(#REF!,Table4[[#This Row],[Commodity Title]],1),"")</f>
        <v/>
      </c>
      <c r="C3617" s="35">
        <v>42312603</v>
      </c>
      <c r="D3617" s="33" t="s">
        <v>1495</v>
      </c>
      <c r="E3617" s="33" t="s">
        <v>1496</v>
      </c>
      <c r="F3617" s="33" t="s">
        <v>1497</v>
      </c>
      <c r="G3617" s="33" t="s">
        <v>8656</v>
      </c>
      <c r="H3617" s="33" t="s">
        <v>8657</v>
      </c>
      <c r="I3617" s="33" t="s">
        <v>8658</v>
      </c>
      <c r="J3617" s="33">
        <v>116506</v>
      </c>
      <c r="K3617" s="33" t="s">
        <v>8874</v>
      </c>
      <c r="L3617" s="33" t="s">
        <v>8875</v>
      </c>
      <c r="M3617" s="33" t="s">
        <v>8876</v>
      </c>
      <c r="N3617" s="44">
        <v>42312603</v>
      </c>
      <c r="O3617" s="33" t="s">
        <v>8881</v>
      </c>
      <c r="P3617" s="33" t="s">
        <v>8882</v>
      </c>
      <c r="Q3617" s="34" t="s">
        <v>1494</v>
      </c>
      <c r="R3617" s="34" t="s">
        <v>1494</v>
      </c>
    </row>
    <row r="3618" spans="1:18" ht="15" customHeight="1" x14ac:dyDescent="0.25">
      <c r="A3618" t="str">
        <f>IFERROR(RANK(B3618,$B:$B,1)+COUNTIF($B$1:B3617,B3618),"")</f>
        <v/>
      </c>
      <c r="B3618" t="str">
        <f>IFERROR(SEARCH(#REF!,Table4[[#This Row],[Commodity Title]],1),"")</f>
        <v/>
      </c>
      <c r="C3618" s="35">
        <v>42312604</v>
      </c>
      <c r="D3618" s="33" t="s">
        <v>1495</v>
      </c>
      <c r="E3618" s="33" t="s">
        <v>1496</v>
      </c>
      <c r="F3618" s="33" t="s">
        <v>1497</v>
      </c>
      <c r="G3618" s="33" t="s">
        <v>8656</v>
      </c>
      <c r="H3618" s="33" t="s">
        <v>8657</v>
      </c>
      <c r="I3618" s="33" t="s">
        <v>8658</v>
      </c>
      <c r="J3618" s="33">
        <v>174427</v>
      </c>
      <c r="K3618" s="33" t="s">
        <v>8874</v>
      </c>
      <c r="L3618" s="33" t="s">
        <v>8875</v>
      </c>
      <c r="M3618" s="33" t="s">
        <v>8876</v>
      </c>
      <c r="N3618" s="44">
        <v>42312604</v>
      </c>
      <c r="O3618" s="33" t="s">
        <v>8883</v>
      </c>
      <c r="P3618" s="33" t="s">
        <v>8884</v>
      </c>
      <c r="Q3618" s="34" t="s">
        <v>1494</v>
      </c>
      <c r="R3618" s="34" t="s">
        <v>1494</v>
      </c>
    </row>
    <row r="3619" spans="1:18" ht="15" customHeight="1" x14ac:dyDescent="0.25">
      <c r="A3619" t="str">
        <f>IFERROR(RANK(B3619,$B:$B,1)+COUNTIF($B$1:B3618,B3619),"")</f>
        <v/>
      </c>
      <c r="B3619" t="str">
        <f>IFERROR(SEARCH(#REF!,Table4[[#This Row],[Commodity Title]],1),"")</f>
        <v/>
      </c>
      <c r="C3619" s="33" t="s">
        <v>1494</v>
      </c>
      <c r="D3619" s="33" t="s">
        <v>1495</v>
      </c>
      <c r="E3619" s="33" t="s">
        <v>1496</v>
      </c>
      <c r="F3619" s="33" t="s">
        <v>1497</v>
      </c>
      <c r="G3619" s="33" t="s">
        <v>8885</v>
      </c>
      <c r="H3619" s="33" t="s">
        <v>8886</v>
      </c>
      <c r="I3619" s="33" t="s">
        <v>8887</v>
      </c>
      <c r="J3619" s="33">
        <v>145095</v>
      </c>
      <c r="K3619" s="33" t="s">
        <v>1494</v>
      </c>
      <c r="L3619" s="33" t="s">
        <v>1494</v>
      </c>
      <c r="M3619" s="33" t="s">
        <v>1494</v>
      </c>
      <c r="N3619" s="44" t="s">
        <v>1494</v>
      </c>
      <c r="O3619" s="33" t="s">
        <v>1494</v>
      </c>
      <c r="P3619" s="33" t="s">
        <v>1494</v>
      </c>
      <c r="Q3619" s="34" t="s">
        <v>1494</v>
      </c>
      <c r="R3619" s="34" t="s">
        <v>1494</v>
      </c>
    </row>
    <row r="3620" spans="1:18" ht="15" customHeight="1" x14ac:dyDescent="0.25">
      <c r="A3620" t="str">
        <f>IFERROR(RANK(B3620,$B:$B,1)+COUNTIF($B$1:B3619,B3620),"")</f>
        <v/>
      </c>
      <c r="B3620" t="str">
        <f>IFERROR(SEARCH(#REF!,Table4[[#This Row],[Commodity Title]],1),"")</f>
        <v/>
      </c>
      <c r="C3620" s="33" t="s">
        <v>1494</v>
      </c>
      <c r="D3620" s="33" t="s">
        <v>1495</v>
      </c>
      <c r="E3620" s="33" t="s">
        <v>1496</v>
      </c>
      <c r="F3620" s="33" t="s">
        <v>1497</v>
      </c>
      <c r="G3620" s="33" t="s">
        <v>8885</v>
      </c>
      <c r="H3620" s="33" t="s">
        <v>8886</v>
      </c>
      <c r="I3620" s="33" t="s">
        <v>8887</v>
      </c>
      <c r="J3620" s="33">
        <v>145099</v>
      </c>
      <c r="K3620" s="33" t="s">
        <v>8888</v>
      </c>
      <c r="L3620" s="33" t="s">
        <v>8889</v>
      </c>
      <c r="M3620" s="33" t="s">
        <v>8890</v>
      </c>
      <c r="N3620" s="44" t="s">
        <v>1494</v>
      </c>
      <c r="O3620" s="33" t="s">
        <v>1494</v>
      </c>
      <c r="P3620" s="33" t="s">
        <v>1494</v>
      </c>
      <c r="Q3620" s="34" t="s">
        <v>1494</v>
      </c>
      <c r="R3620" s="34" t="s">
        <v>1494</v>
      </c>
    </row>
    <row r="3621" spans="1:18" ht="15" customHeight="1" x14ac:dyDescent="0.25">
      <c r="A3621" t="str">
        <f>IFERROR(RANK(B3621,$B:$B,1)+COUNTIF($B$1:B3620,B3621),"")</f>
        <v/>
      </c>
      <c r="B3621" t="str">
        <f>IFERROR(SEARCH(#REF!,Table4[[#This Row],[Commodity Title]],1),"")</f>
        <v/>
      </c>
      <c r="C3621" s="35">
        <v>42321501</v>
      </c>
      <c r="D3621" s="33" t="s">
        <v>1495</v>
      </c>
      <c r="E3621" s="33" t="s">
        <v>1496</v>
      </c>
      <c r="F3621" s="33" t="s">
        <v>1497</v>
      </c>
      <c r="G3621" s="33" t="s">
        <v>8885</v>
      </c>
      <c r="H3621" s="33" t="s">
        <v>8886</v>
      </c>
      <c r="I3621" s="33" t="s">
        <v>8887</v>
      </c>
      <c r="J3621" s="33">
        <v>145098</v>
      </c>
      <c r="K3621" s="33" t="s">
        <v>8888</v>
      </c>
      <c r="L3621" s="33" t="s">
        <v>8889</v>
      </c>
      <c r="M3621" s="33" t="s">
        <v>8890</v>
      </c>
      <c r="N3621" s="44">
        <v>42321501</v>
      </c>
      <c r="O3621" s="33" t="s">
        <v>116</v>
      </c>
      <c r="P3621" s="33" t="s">
        <v>8891</v>
      </c>
      <c r="Q3621" s="34" t="s">
        <v>1494</v>
      </c>
      <c r="R3621" s="34" t="s">
        <v>1494</v>
      </c>
    </row>
    <row r="3622" spans="1:18" ht="15" customHeight="1" x14ac:dyDescent="0.25">
      <c r="A3622" t="str">
        <f>IFERROR(RANK(B3622,$B:$B,1)+COUNTIF($B$1:B3621,B3622),"")</f>
        <v/>
      </c>
      <c r="B3622" t="str">
        <f>IFERROR(SEARCH(#REF!,Table4[[#This Row],[Commodity Title]],1),"")</f>
        <v/>
      </c>
      <c r="C3622" s="35">
        <v>42321504</v>
      </c>
      <c r="D3622" s="33" t="s">
        <v>1495</v>
      </c>
      <c r="E3622" s="33" t="s">
        <v>1496</v>
      </c>
      <c r="F3622" s="33" t="s">
        <v>1497</v>
      </c>
      <c r="G3622" s="33" t="s">
        <v>8885</v>
      </c>
      <c r="H3622" s="33" t="s">
        <v>8886</v>
      </c>
      <c r="I3622" s="33" t="s">
        <v>8887</v>
      </c>
      <c r="J3622" s="33">
        <v>146164</v>
      </c>
      <c r="K3622" s="33" t="s">
        <v>8888</v>
      </c>
      <c r="L3622" s="33" t="s">
        <v>8889</v>
      </c>
      <c r="M3622" s="33" t="s">
        <v>8890</v>
      </c>
      <c r="N3622" s="44">
        <v>42321504</v>
      </c>
      <c r="O3622" s="33" t="s">
        <v>8892</v>
      </c>
      <c r="P3622" s="33" t="s">
        <v>8893</v>
      </c>
      <c r="Q3622" s="34" t="s">
        <v>1494</v>
      </c>
      <c r="R3622" s="34" t="s">
        <v>1494</v>
      </c>
    </row>
    <row r="3623" spans="1:18" ht="15" customHeight="1" x14ac:dyDescent="0.25">
      <c r="A3623" t="str">
        <f>IFERROR(RANK(B3623,$B:$B,1)+COUNTIF($B$1:B3622,B3623),"")</f>
        <v/>
      </c>
      <c r="B3623" t="str">
        <f>IFERROR(SEARCH(#REF!,Table4[[#This Row],[Commodity Title]],1),"")</f>
        <v/>
      </c>
      <c r="C3623" s="35">
        <v>42321505</v>
      </c>
      <c r="D3623" s="33" t="s">
        <v>1495</v>
      </c>
      <c r="E3623" s="33" t="s">
        <v>1496</v>
      </c>
      <c r="F3623" s="33" t="s">
        <v>1497</v>
      </c>
      <c r="G3623" s="33" t="s">
        <v>8885</v>
      </c>
      <c r="H3623" s="33" t="s">
        <v>8886</v>
      </c>
      <c r="I3623" s="33" t="s">
        <v>8887</v>
      </c>
      <c r="J3623" s="33">
        <v>146165</v>
      </c>
      <c r="K3623" s="33" t="s">
        <v>8888</v>
      </c>
      <c r="L3623" s="33" t="s">
        <v>8889</v>
      </c>
      <c r="M3623" s="33" t="s">
        <v>8890</v>
      </c>
      <c r="N3623" s="44">
        <v>42321505</v>
      </c>
      <c r="O3623" s="33" t="s">
        <v>212</v>
      </c>
      <c r="P3623" s="33" t="s">
        <v>8894</v>
      </c>
      <c r="Q3623" s="34" t="s">
        <v>1494</v>
      </c>
      <c r="R3623" s="34" t="s">
        <v>1494</v>
      </c>
    </row>
    <row r="3624" spans="1:18" ht="15" customHeight="1" x14ac:dyDescent="0.25">
      <c r="A3624" t="str">
        <f>IFERROR(RANK(B3624,$B:$B,1)+COUNTIF($B$1:B3623,B3624),"")</f>
        <v/>
      </c>
      <c r="B3624" t="str">
        <f>IFERROR(SEARCH(#REF!,Table4[[#This Row],[Commodity Title]],1),"")</f>
        <v/>
      </c>
      <c r="C3624" s="35">
        <v>42321506</v>
      </c>
      <c r="D3624" s="33" t="s">
        <v>1495</v>
      </c>
      <c r="E3624" s="33" t="s">
        <v>1496</v>
      </c>
      <c r="F3624" s="33" t="s">
        <v>1497</v>
      </c>
      <c r="G3624" s="33" t="s">
        <v>8885</v>
      </c>
      <c r="H3624" s="33" t="s">
        <v>8886</v>
      </c>
      <c r="I3624" s="33" t="s">
        <v>8887</v>
      </c>
      <c r="J3624" s="33">
        <v>146166</v>
      </c>
      <c r="K3624" s="33" t="s">
        <v>8888</v>
      </c>
      <c r="L3624" s="33" t="s">
        <v>8889</v>
      </c>
      <c r="M3624" s="33" t="s">
        <v>8890</v>
      </c>
      <c r="N3624" s="44">
        <v>42321506</v>
      </c>
      <c r="O3624" s="33" t="s">
        <v>185</v>
      </c>
      <c r="P3624" s="33" t="s">
        <v>8895</v>
      </c>
      <c r="Q3624" s="34" t="s">
        <v>1494</v>
      </c>
      <c r="R3624" s="34" t="s">
        <v>1494</v>
      </c>
    </row>
    <row r="3625" spans="1:18" ht="15" customHeight="1" x14ac:dyDescent="0.25">
      <c r="A3625" t="str">
        <f>IFERROR(RANK(B3625,$B:$B,1)+COUNTIF($B$1:B3624,B3625),"")</f>
        <v/>
      </c>
      <c r="B3625" t="str">
        <f>IFERROR(SEARCH(#REF!,Table4[[#This Row],[Commodity Title]],1),"")</f>
        <v/>
      </c>
      <c r="C3625" s="35">
        <v>42321507</v>
      </c>
      <c r="D3625" s="33" t="s">
        <v>1495</v>
      </c>
      <c r="E3625" s="33" t="s">
        <v>1496</v>
      </c>
      <c r="F3625" s="33" t="s">
        <v>1497</v>
      </c>
      <c r="G3625" s="33" t="s">
        <v>8885</v>
      </c>
      <c r="H3625" s="33" t="s">
        <v>8886</v>
      </c>
      <c r="I3625" s="33" t="s">
        <v>8887</v>
      </c>
      <c r="J3625" s="33">
        <v>146167</v>
      </c>
      <c r="K3625" s="33" t="s">
        <v>8888</v>
      </c>
      <c r="L3625" s="33" t="s">
        <v>8889</v>
      </c>
      <c r="M3625" s="33" t="s">
        <v>8890</v>
      </c>
      <c r="N3625" s="44">
        <v>42321507</v>
      </c>
      <c r="O3625" s="33" t="s">
        <v>294</v>
      </c>
      <c r="P3625" s="33" t="s">
        <v>8896</v>
      </c>
      <c r="Q3625" s="34" t="s">
        <v>1494</v>
      </c>
      <c r="R3625" s="34" t="s">
        <v>1494</v>
      </c>
    </row>
    <row r="3626" spans="1:18" ht="15" customHeight="1" x14ac:dyDescent="0.25">
      <c r="A3626" t="str">
        <f>IFERROR(RANK(B3626,$B:$B,1)+COUNTIF($B$1:B3625,B3626),"")</f>
        <v/>
      </c>
      <c r="B3626" t="str">
        <f>IFERROR(SEARCH(#REF!,Table4[[#This Row],[Commodity Title]],1),"")</f>
        <v/>
      </c>
      <c r="C3626" s="35">
        <v>42321508</v>
      </c>
      <c r="D3626" s="33" t="s">
        <v>1495</v>
      </c>
      <c r="E3626" s="33" t="s">
        <v>1496</v>
      </c>
      <c r="F3626" s="33" t="s">
        <v>1497</v>
      </c>
      <c r="G3626" s="33" t="s">
        <v>8885</v>
      </c>
      <c r="H3626" s="33" t="s">
        <v>8886</v>
      </c>
      <c r="I3626" s="33" t="s">
        <v>8887</v>
      </c>
      <c r="J3626" s="33">
        <v>150704</v>
      </c>
      <c r="K3626" s="33" t="s">
        <v>8888</v>
      </c>
      <c r="L3626" s="33" t="s">
        <v>8889</v>
      </c>
      <c r="M3626" s="33" t="s">
        <v>8890</v>
      </c>
      <c r="N3626" s="44">
        <v>42321508</v>
      </c>
      <c r="O3626" s="33" t="s">
        <v>8897</v>
      </c>
      <c r="P3626" s="33" t="s">
        <v>8898</v>
      </c>
      <c r="Q3626" s="34" t="s">
        <v>1494</v>
      </c>
      <c r="R3626" s="34" t="s">
        <v>1494</v>
      </c>
    </row>
    <row r="3627" spans="1:18" ht="15" customHeight="1" x14ac:dyDescent="0.25">
      <c r="A3627" t="str">
        <f>IFERROR(RANK(B3627,$B:$B,1)+COUNTIF($B$1:B3626,B3627),"")</f>
        <v/>
      </c>
      <c r="B3627" t="str">
        <f>IFERROR(SEARCH(#REF!,Table4[[#This Row],[Commodity Title]],1),"")</f>
        <v/>
      </c>
      <c r="C3627" s="35">
        <v>42321509</v>
      </c>
      <c r="D3627" s="33" t="s">
        <v>1495</v>
      </c>
      <c r="E3627" s="33" t="s">
        <v>1496</v>
      </c>
      <c r="F3627" s="33" t="s">
        <v>1497</v>
      </c>
      <c r="G3627" s="33" t="s">
        <v>8885</v>
      </c>
      <c r="H3627" s="33" t="s">
        <v>8886</v>
      </c>
      <c r="I3627" s="33" t="s">
        <v>8887</v>
      </c>
      <c r="J3627" s="33">
        <v>150705</v>
      </c>
      <c r="K3627" s="33" t="s">
        <v>8888</v>
      </c>
      <c r="L3627" s="33" t="s">
        <v>8889</v>
      </c>
      <c r="M3627" s="33" t="s">
        <v>8890</v>
      </c>
      <c r="N3627" s="44">
        <v>42321509</v>
      </c>
      <c r="O3627" s="33" t="s">
        <v>132</v>
      </c>
      <c r="P3627" s="33" t="s">
        <v>8899</v>
      </c>
      <c r="Q3627" s="34" t="s">
        <v>1494</v>
      </c>
      <c r="R3627" s="34" t="s">
        <v>1494</v>
      </c>
    </row>
    <row r="3628" spans="1:18" ht="15" customHeight="1" x14ac:dyDescent="0.25">
      <c r="A3628" t="str">
        <f>IFERROR(RANK(B3628,$B:$B,1)+COUNTIF($B$1:B3627,B3628),"")</f>
        <v/>
      </c>
      <c r="B3628" t="str">
        <f>IFERROR(SEARCH(#REF!,Table4[[#This Row],[Commodity Title]],1),"")</f>
        <v/>
      </c>
      <c r="C3628" s="35">
        <v>42321510</v>
      </c>
      <c r="D3628" s="33" t="s">
        <v>1495</v>
      </c>
      <c r="E3628" s="33" t="s">
        <v>1496</v>
      </c>
      <c r="F3628" s="33" t="s">
        <v>1497</v>
      </c>
      <c r="G3628" s="33" t="s">
        <v>8885</v>
      </c>
      <c r="H3628" s="33" t="s">
        <v>8886</v>
      </c>
      <c r="I3628" s="33" t="s">
        <v>8887</v>
      </c>
      <c r="J3628" s="33">
        <v>150699</v>
      </c>
      <c r="K3628" s="33" t="s">
        <v>8888</v>
      </c>
      <c r="L3628" s="33" t="s">
        <v>8889</v>
      </c>
      <c r="M3628" s="33" t="s">
        <v>8890</v>
      </c>
      <c r="N3628" s="44">
        <v>42321510</v>
      </c>
      <c r="O3628" s="33" t="s">
        <v>8900</v>
      </c>
      <c r="P3628" s="33" t="s">
        <v>8901</v>
      </c>
      <c r="Q3628" s="34" t="s">
        <v>1494</v>
      </c>
      <c r="R3628" s="34" t="s">
        <v>1494</v>
      </c>
    </row>
    <row r="3629" spans="1:18" ht="15" customHeight="1" x14ac:dyDescent="0.25">
      <c r="A3629" t="str">
        <f>IFERROR(RANK(B3629,$B:$B,1)+COUNTIF($B$1:B3628,B3629),"")</f>
        <v/>
      </c>
      <c r="B3629" t="str">
        <f>IFERROR(SEARCH(#REF!,Table4[[#This Row],[Commodity Title]],1),"")</f>
        <v/>
      </c>
      <c r="C3629" s="35">
        <v>42321512</v>
      </c>
      <c r="D3629" s="33" t="s">
        <v>1495</v>
      </c>
      <c r="E3629" s="33" t="s">
        <v>1496</v>
      </c>
      <c r="F3629" s="33" t="s">
        <v>1497</v>
      </c>
      <c r="G3629" s="33" t="s">
        <v>8885</v>
      </c>
      <c r="H3629" s="33" t="s">
        <v>8886</v>
      </c>
      <c r="I3629" s="33" t="s">
        <v>8887</v>
      </c>
      <c r="J3629" s="33">
        <v>164838</v>
      </c>
      <c r="K3629" s="33" t="s">
        <v>8888</v>
      </c>
      <c r="L3629" s="33" t="s">
        <v>8889</v>
      </c>
      <c r="M3629" s="33" t="s">
        <v>8890</v>
      </c>
      <c r="N3629" s="44">
        <v>42321512</v>
      </c>
      <c r="O3629" s="33" t="s">
        <v>58</v>
      </c>
      <c r="P3629" s="33" t="s">
        <v>8902</v>
      </c>
      <c r="Q3629" s="34" t="s">
        <v>1494</v>
      </c>
      <c r="R3629" s="34" t="s">
        <v>1494</v>
      </c>
    </row>
    <row r="3630" spans="1:18" ht="15" customHeight="1" x14ac:dyDescent="0.25">
      <c r="A3630" t="str">
        <f>IFERROR(RANK(B3630,$B:$B,1)+COUNTIF($B$1:B3629,B3630),"")</f>
        <v/>
      </c>
      <c r="B3630" t="str">
        <f>IFERROR(SEARCH(#REF!,Table4[[#This Row],[Commodity Title]],1),"")</f>
        <v/>
      </c>
      <c r="C3630" s="35">
        <v>42321513</v>
      </c>
      <c r="D3630" s="33" t="s">
        <v>1495</v>
      </c>
      <c r="E3630" s="33" t="s">
        <v>1496</v>
      </c>
      <c r="F3630" s="33" t="s">
        <v>1497</v>
      </c>
      <c r="G3630" s="33" t="s">
        <v>8885</v>
      </c>
      <c r="H3630" s="33" t="s">
        <v>8886</v>
      </c>
      <c r="I3630" s="33" t="s">
        <v>8887</v>
      </c>
      <c r="J3630" s="33">
        <v>174428</v>
      </c>
      <c r="K3630" s="33" t="s">
        <v>8888</v>
      </c>
      <c r="L3630" s="33" t="s">
        <v>8889</v>
      </c>
      <c r="M3630" s="33" t="s">
        <v>8890</v>
      </c>
      <c r="N3630" s="44">
        <v>42321513</v>
      </c>
      <c r="O3630" s="33" t="s">
        <v>8903</v>
      </c>
      <c r="P3630" s="33" t="s">
        <v>8904</v>
      </c>
      <c r="Q3630" s="34" t="s">
        <v>1494</v>
      </c>
      <c r="R3630" s="34" t="s">
        <v>1494</v>
      </c>
    </row>
    <row r="3631" spans="1:18" ht="15" customHeight="1" x14ac:dyDescent="0.25">
      <c r="A3631" t="str">
        <f>IFERROR(RANK(B3631,$B:$B,1)+COUNTIF($B$1:B3630,B3631),"")</f>
        <v/>
      </c>
      <c r="B3631" t="str">
        <f>IFERROR(SEARCH(#REF!,Table4[[#This Row],[Commodity Title]],1),"")</f>
        <v/>
      </c>
      <c r="C3631" s="35">
        <v>42321514</v>
      </c>
      <c r="D3631" s="33" t="s">
        <v>1495</v>
      </c>
      <c r="E3631" s="33" t="s">
        <v>1496</v>
      </c>
      <c r="F3631" s="33" t="s">
        <v>1497</v>
      </c>
      <c r="G3631" s="33" t="s">
        <v>8885</v>
      </c>
      <c r="H3631" s="33" t="s">
        <v>8886</v>
      </c>
      <c r="I3631" s="33" t="s">
        <v>8887</v>
      </c>
      <c r="J3631" s="33">
        <v>174429</v>
      </c>
      <c r="K3631" s="33" t="s">
        <v>8888</v>
      </c>
      <c r="L3631" s="33" t="s">
        <v>8889</v>
      </c>
      <c r="M3631" s="33" t="s">
        <v>8890</v>
      </c>
      <c r="N3631" s="44">
        <v>42321514</v>
      </c>
      <c r="O3631" s="33" t="s">
        <v>305</v>
      </c>
      <c r="P3631" s="33" t="s">
        <v>8905</v>
      </c>
      <c r="Q3631" s="34" t="s">
        <v>1494</v>
      </c>
      <c r="R3631" s="34" t="s">
        <v>1494</v>
      </c>
    </row>
    <row r="3632" spans="1:18" ht="15" customHeight="1" x14ac:dyDescent="0.25">
      <c r="A3632" t="str">
        <f>IFERROR(RANK(B3632,$B:$B,1)+COUNTIF($B$1:B3631,B3632),"")</f>
        <v/>
      </c>
      <c r="B3632" t="str">
        <f>IFERROR(SEARCH(#REF!,Table4[[#This Row],[Commodity Title]],1),"")</f>
        <v/>
      </c>
      <c r="C3632" s="35">
        <v>42321515</v>
      </c>
      <c r="D3632" s="33" t="s">
        <v>1495</v>
      </c>
      <c r="E3632" s="33" t="s">
        <v>1496</v>
      </c>
      <c r="F3632" s="33" t="s">
        <v>1497</v>
      </c>
      <c r="G3632" s="33" t="s">
        <v>8885</v>
      </c>
      <c r="H3632" s="33" t="s">
        <v>8886</v>
      </c>
      <c r="I3632" s="33" t="s">
        <v>8887</v>
      </c>
      <c r="J3632" s="33">
        <v>174430</v>
      </c>
      <c r="K3632" s="33" t="s">
        <v>8888</v>
      </c>
      <c r="L3632" s="33" t="s">
        <v>8889</v>
      </c>
      <c r="M3632" s="33" t="s">
        <v>8890</v>
      </c>
      <c r="N3632" s="44">
        <v>42321515</v>
      </c>
      <c r="O3632" s="33" t="s">
        <v>8906</v>
      </c>
      <c r="P3632" s="33" t="s">
        <v>8907</v>
      </c>
      <c r="Q3632" s="34" t="s">
        <v>1494</v>
      </c>
      <c r="R3632" s="34" t="s">
        <v>1494</v>
      </c>
    </row>
    <row r="3633" spans="1:18" ht="15" customHeight="1" x14ac:dyDescent="0.25">
      <c r="A3633" t="str">
        <f>IFERROR(RANK(B3633,$B:$B,1)+COUNTIF($B$1:B3632,B3633),"")</f>
        <v/>
      </c>
      <c r="B3633" t="str">
        <f>IFERROR(SEARCH(#REF!,Table4[[#This Row],[Commodity Title]],1),"")</f>
        <v/>
      </c>
      <c r="C3633" s="35">
        <v>42321516</v>
      </c>
      <c r="D3633" s="33" t="s">
        <v>1495</v>
      </c>
      <c r="E3633" s="33" t="s">
        <v>1496</v>
      </c>
      <c r="F3633" s="33" t="s">
        <v>1497</v>
      </c>
      <c r="G3633" s="33" t="s">
        <v>8885</v>
      </c>
      <c r="H3633" s="33" t="s">
        <v>8886</v>
      </c>
      <c r="I3633" s="33" t="s">
        <v>8887</v>
      </c>
      <c r="J3633" s="33">
        <v>176732</v>
      </c>
      <c r="K3633" s="33" t="s">
        <v>8888</v>
      </c>
      <c r="L3633" s="33" t="s">
        <v>8889</v>
      </c>
      <c r="M3633" s="33" t="s">
        <v>8890</v>
      </c>
      <c r="N3633" s="44">
        <v>42321516</v>
      </c>
      <c r="O3633" s="33" t="s">
        <v>8908</v>
      </c>
      <c r="P3633" s="33" t="s">
        <v>8909</v>
      </c>
      <c r="Q3633" s="34" t="s">
        <v>1494</v>
      </c>
      <c r="R3633" s="34" t="s">
        <v>1494</v>
      </c>
    </row>
    <row r="3634" spans="1:18" ht="15" customHeight="1" x14ac:dyDescent="0.25">
      <c r="A3634" t="str">
        <f>IFERROR(RANK(B3634,$B:$B,1)+COUNTIF($B$1:B3633,B3634),"")</f>
        <v/>
      </c>
      <c r="B3634" t="str">
        <f>IFERROR(SEARCH(#REF!,Table4[[#This Row],[Commodity Title]],1),"")</f>
        <v/>
      </c>
      <c r="C3634" s="35">
        <v>42321517</v>
      </c>
      <c r="D3634" s="33" t="s">
        <v>1495</v>
      </c>
      <c r="E3634" s="33" t="s">
        <v>1496</v>
      </c>
      <c r="F3634" s="33" t="s">
        <v>1497</v>
      </c>
      <c r="G3634" s="33" t="s">
        <v>8885</v>
      </c>
      <c r="H3634" s="33" t="s">
        <v>8886</v>
      </c>
      <c r="I3634" s="33" t="s">
        <v>8887</v>
      </c>
      <c r="J3634" s="33">
        <v>203382</v>
      </c>
      <c r="K3634" s="33" t="s">
        <v>8888</v>
      </c>
      <c r="L3634" s="33" t="s">
        <v>8889</v>
      </c>
      <c r="M3634" s="33" t="s">
        <v>8890</v>
      </c>
      <c r="N3634" s="44">
        <v>42321517</v>
      </c>
      <c r="O3634" s="33" t="s">
        <v>8910</v>
      </c>
      <c r="P3634" s="33" t="s">
        <v>8911</v>
      </c>
      <c r="Q3634" s="34" t="s">
        <v>1494</v>
      </c>
      <c r="R3634" s="34" t="s">
        <v>1494</v>
      </c>
    </row>
    <row r="3635" spans="1:18" ht="15" customHeight="1" x14ac:dyDescent="0.25">
      <c r="A3635" t="str">
        <f>IFERROR(RANK(B3635,$B:$B,1)+COUNTIF($B$1:B3634,B3635),"")</f>
        <v/>
      </c>
      <c r="B3635" t="str">
        <f>IFERROR(SEARCH(#REF!,Table4[[#This Row],[Commodity Title]],1),"")</f>
        <v/>
      </c>
      <c r="C3635" s="35">
        <v>42321518</v>
      </c>
      <c r="D3635" s="33" t="s">
        <v>1495</v>
      </c>
      <c r="E3635" s="33" t="s">
        <v>1496</v>
      </c>
      <c r="F3635" s="33" t="s">
        <v>1497</v>
      </c>
      <c r="G3635" s="33" t="s">
        <v>8885</v>
      </c>
      <c r="H3635" s="33" t="s">
        <v>8886</v>
      </c>
      <c r="I3635" s="33" t="s">
        <v>8887</v>
      </c>
      <c r="J3635" s="33">
        <v>203383</v>
      </c>
      <c r="K3635" s="33" t="s">
        <v>8888</v>
      </c>
      <c r="L3635" s="33" t="s">
        <v>8889</v>
      </c>
      <c r="M3635" s="33" t="s">
        <v>8890</v>
      </c>
      <c r="N3635" s="44">
        <v>42321518</v>
      </c>
      <c r="O3635" s="33" t="s">
        <v>8912</v>
      </c>
      <c r="P3635" s="33" t="s">
        <v>8913</v>
      </c>
      <c r="Q3635" s="34" t="s">
        <v>1494</v>
      </c>
      <c r="R3635" s="34" t="s">
        <v>1494</v>
      </c>
    </row>
    <row r="3636" spans="1:18" ht="15" customHeight="1" x14ac:dyDescent="0.25">
      <c r="A3636" t="str">
        <f>IFERROR(RANK(B3636,$B:$B,1)+COUNTIF($B$1:B3635,B3636),"")</f>
        <v/>
      </c>
      <c r="B3636" t="str">
        <f>IFERROR(SEARCH(#REF!,Table4[[#This Row],[Commodity Title]],1),"")</f>
        <v/>
      </c>
      <c r="C3636" s="33" t="s">
        <v>1494</v>
      </c>
      <c r="D3636" s="33" t="s">
        <v>1495</v>
      </c>
      <c r="E3636" s="33" t="s">
        <v>1496</v>
      </c>
      <c r="F3636" s="33" t="s">
        <v>1497</v>
      </c>
      <c r="G3636" s="33" t="s">
        <v>8885</v>
      </c>
      <c r="H3636" s="33" t="s">
        <v>8886</v>
      </c>
      <c r="I3636" s="33" t="s">
        <v>8887</v>
      </c>
      <c r="J3636" s="33">
        <v>145593</v>
      </c>
      <c r="K3636" s="33" t="s">
        <v>8914</v>
      </c>
      <c r="L3636" s="33" t="s">
        <v>8915</v>
      </c>
      <c r="M3636" s="33" t="s">
        <v>8916</v>
      </c>
      <c r="N3636" s="44" t="s">
        <v>1494</v>
      </c>
      <c r="O3636" s="33" t="s">
        <v>1494</v>
      </c>
      <c r="P3636" s="33" t="s">
        <v>1494</v>
      </c>
      <c r="Q3636" s="34" t="s">
        <v>1494</v>
      </c>
      <c r="R3636" s="34" t="s">
        <v>1494</v>
      </c>
    </row>
    <row r="3637" spans="1:18" ht="15" customHeight="1" x14ac:dyDescent="0.25">
      <c r="A3637" t="str">
        <f>IFERROR(RANK(B3637,$B:$B,1)+COUNTIF($B$1:B3636,B3637),"")</f>
        <v/>
      </c>
      <c r="B3637" t="str">
        <f>IFERROR(SEARCH(#REF!,Table4[[#This Row],[Commodity Title]],1),"")</f>
        <v/>
      </c>
      <c r="C3637" s="35">
        <v>42321601</v>
      </c>
      <c r="D3637" s="33" t="s">
        <v>1495</v>
      </c>
      <c r="E3637" s="33" t="s">
        <v>1496</v>
      </c>
      <c r="F3637" s="33" t="s">
        <v>1497</v>
      </c>
      <c r="G3637" s="33" t="s">
        <v>8885</v>
      </c>
      <c r="H3637" s="33" t="s">
        <v>8886</v>
      </c>
      <c r="I3637" s="33" t="s">
        <v>8887</v>
      </c>
      <c r="J3637" s="33">
        <v>146168</v>
      </c>
      <c r="K3637" s="33" t="s">
        <v>8914</v>
      </c>
      <c r="L3637" s="33" t="s">
        <v>8915</v>
      </c>
      <c r="M3637" s="33" t="s">
        <v>8916</v>
      </c>
      <c r="N3637" s="44">
        <v>42321601</v>
      </c>
      <c r="O3637" s="33" t="s">
        <v>8917</v>
      </c>
      <c r="P3637" s="33" t="s">
        <v>8918</v>
      </c>
      <c r="Q3637" s="34" t="s">
        <v>1494</v>
      </c>
      <c r="R3637" s="34" t="s">
        <v>1494</v>
      </c>
    </row>
    <row r="3638" spans="1:18" ht="15" customHeight="1" x14ac:dyDescent="0.25">
      <c r="A3638" t="str">
        <f>IFERROR(RANK(B3638,$B:$B,1)+COUNTIF($B$1:B3637,B3638),"")</f>
        <v/>
      </c>
      <c r="B3638" t="str">
        <f>IFERROR(SEARCH(#REF!,Table4[[#This Row],[Commodity Title]],1),"")</f>
        <v/>
      </c>
      <c r="C3638" s="35">
        <v>42321602</v>
      </c>
      <c r="D3638" s="33" t="s">
        <v>1495</v>
      </c>
      <c r="E3638" s="33" t="s">
        <v>1496</v>
      </c>
      <c r="F3638" s="33" t="s">
        <v>1497</v>
      </c>
      <c r="G3638" s="33" t="s">
        <v>8885</v>
      </c>
      <c r="H3638" s="33" t="s">
        <v>8886</v>
      </c>
      <c r="I3638" s="33" t="s">
        <v>8887</v>
      </c>
      <c r="J3638" s="33">
        <v>146169</v>
      </c>
      <c r="K3638" s="33" t="s">
        <v>8914</v>
      </c>
      <c r="L3638" s="33" t="s">
        <v>8915</v>
      </c>
      <c r="M3638" s="33" t="s">
        <v>8916</v>
      </c>
      <c r="N3638" s="44">
        <v>42321602</v>
      </c>
      <c r="O3638" s="33" t="s">
        <v>8919</v>
      </c>
      <c r="P3638" s="33" t="s">
        <v>8920</v>
      </c>
      <c r="Q3638" s="34" t="s">
        <v>1494</v>
      </c>
      <c r="R3638" s="34" t="s">
        <v>1494</v>
      </c>
    </row>
    <row r="3639" spans="1:18" ht="15" customHeight="1" x14ac:dyDescent="0.25">
      <c r="A3639" t="str">
        <f>IFERROR(RANK(B3639,$B:$B,1)+COUNTIF($B$1:B3638,B3639),"")</f>
        <v/>
      </c>
      <c r="B3639" t="str">
        <f>IFERROR(SEARCH(#REF!,Table4[[#This Row],[Commodity Title]],1),"")</f>
        <v/>
      </c>
      <c r="C3639" s="35">
        <v>42321603</v>
      </c>
      <c r="D3639" s="33" t="s">
        <v>1495</v>
      </c>
      <c r="E3639" s="33" t="s">
        <v>1496</v>
      </c>
      <c r="F3639" s="33" t="s">
        <v>1497</v>
      </c>
      <c r="G3639" s="33" t="s">
        <v>8885</v>
      </c>
      <c r="H3639" s="33" t="s">
        <v>8886</v>
      </c>
      <c r="I3639" s="33" t="s">
        <v>8887</v>
      </c>
      <c r="J3639" s="33">
        <v>146170</v>
      </c>
      <c r="K3639" s="33" t="s">
        <v>8914</v>
      </c>
      <c r="L3639" s="33" t="s">
        <v>8915</v>
      </c>
      <c r="M3639" s="33" t="s">
        <v>8916</v>
      </c>
      <c r="N3639" s="44">
        <v>42321603</v>
      </c>
      <c r="O3639" s="33" t="s">
        <v>8921</v>
      </c>
      <c r="P3639" s="33" t="s">
        <v>8922</v>
      </c>
      <c r="Q3639" s="34" t="s">
        <v>1494</v>
      </c>
      <c r="R3639" s="34" t="s">
        <v>1494</v>
      </c>
    </row>
    <row r="3640" spans="1:18" ht="15" customHeight="1" x14ac:dyDescent="0.25">
      <c r="A3640" t="str">
        <f>IFERROR(RANK(B3640,$B:$B,1)+COUNTIF($B$1:B3639,B3640),"")</f>
        <v/>
      </c>
      <c r="B3640" t="str">
        <f>IFERROR(SEARCH(#REF!,Table4[[#This Row],[Commodity Title]],1),"")</f>
        <v/>
      </c>
      <c r="C3640" s="35">
        <v>42321604</v>
      </c>
      <c r="D3640" s="33" t="s">
        <v>1495</v>
      </c>
      <c r="E3640" s="33" t="s">
        <v>1496</v>
      </c>
      <c r="F3640" s="33" t="s">
        <v>1497</v>
      </c>
      <c r="G3640" s="33" t="s">
        <v>8885</v>
      </c>
      <c r="H3640" s="33" t="s">
        <v>8886</v>
      </c>
      <c r="I3640" s="33" t="s">
        <v>8887</v>
      </c>
      <c r="J3640" s="33">
        <v>146171</v>
      </c>
      <c r="K3640" s="33" t="s">
        <v>8914</v>
      </c>
      <c r="L3640" s="33" t="s">
        <v>8915</v>
      </c>
      <c r="M3640" s="33" t="s">
        <v>8916</v>
      </c>
      <c r="N3640" s="44">
        <v>42321604</v>
      </c>
      <c r="O3640" s="33" t="s">
        <v>8923</v>
      </c>
      <c r="P3640" s="33" t="s">
        <v>8924</v>
      </c>
      <c r="Q3640" s="34" t="s">
        <v>1494</v>
      </c>
      <c r="R3640" s="34" t="s">
        <v>1494</v>
      </c>
    </row>
    <row r="3641" spans="1:18" ht="15" customHeight="1" x14ac:dyDescent="0.25">
      <c r="A3641" t="str">
        <f>IFERROR(RANK(B3641,$B:$B,1)+COUNTIF($B$1:B3640,B3641),"")</f>
        <v/>
      </c>
      <c r="B3641" t="str">
        <f>IFERROR(SEARCH(#REF!,Table4[[#This Row],[Commodity Title]],1),"")</f>
        <v/>
      </c>
      <c r="C3641" s="35">
        <v>42321605</v>
      </c>
      <c r="D3641" s="33" t="s">
        <v>1495</v>
      </c>
      <c r="E3641" s="33" t="s">
        <v>1496</v>
      </c>
      <c r="F3641" s="33" t="s">
        <v>1497</v>
      </c>
      <c r="G3641" s="33" t="s">
        <v>8885</v>
      </c>
      <c r="H3641" s="33" t="s">
        <v>8886</v>
      </c>
      <c r="I3641" s="33" t="s">
        <v>8887</v>
      </c>
      <c r="J3641" s="33">
        <v>146172</v>
      </c>
      <c r="K3641" s="33" t="s">
        <v>8914</v>
      </c>
      <c r="L3641" s="33" t="s">
        <v>8915</v>
      </c>
      <c r="M3641" s="33" t="s">
        <v>8916</v>
      </c>
      <c r="N3641" s="44">
        <v>42321605</v>
      </c>
      <c r="O3641" s="33" t="s">
        <v>8925</v>
      </c>
      <c r="P3641" s="33" t="s">
        <v>8926</v>
      </c>
      <c r="Q3641" s="34" t="s">
        <v>1494</v>
      </c>
      <c r="R3641" s="34" t="s">
        <v>1494</v>
      </c>
    </row>
    <row r="3642" spans="1:18" ht="15" customHeight="1" x14ac:dyDescent="0.25">
      <c r="A3642" t="str">
        <f>IFERROR(RANK(B3642,$B:$B,1)+COUNTIF($B$1:B3641,B3642),"")</f>
        <v/>
      </c>
      <c r="B3642" t="str">
        <f>IFERROR(SEARCH(#REF!,Table4[[#This Row],[Commodity Title]],1),"")</f>
        <v/>
      </c>
      <c r="C3642" s="35">
        <v>42321606</v>
      </c>
      <c r="D3642" s="33" t="s">
        <v>1495</v>
      </c>
      <c r="E3642" s="33" t="s">
        <v>1496</v>
      </c>
      <c r="F3642" s="33" t="s">
        <v>1497</v>
      </c>
      <c r="G3642" s="33" t="s">
        <v>8885</v>
      </c>
      <c r="H3642" s="33" t="s">
        <v>8886</v>
      </c>
      <c r="I3642" s="33" t="s">
        <v>8887</v>
      </c>
      <c r="J3642" s="33">
        <v>146173</v>
      </c>
      <c r="K3642" s="33" t="s">
        <v>8914</v>
      </c>
      <c r="L3642" s="33" t="s">
        <v>8915</v>
      </c>
      <c r="M3642" s="33" t="s">
        <v>8916</v>
      </c>
      <c r="N3642" s="44">
        <v>42321606</v>
      </c>
      <c r="O3642" s="33" t="s">
        <v>8927</v>
      </c>
      <c r="P3642" s="33" t="s">
        <v>8928</v>
      </c>
      <c r="Q3642" s="34" t="s">
        <v>1494</v>
      </c>
      <c r="R3642" s="34" t="s">
        <v>1494</v>
      </c>
    </row>
    <row r="3643" spans="1:18" ht="15" customHeight="1" x14ac:dyDescent="0.25">
      <c r="A3643" t="str">
        <f>IFERROR(RANK(B3643,$B:$B,1)+COUNTIF($B$1:B3642,B3643),"")</f>
        <v/>
      </c>
      <c r="B3643" t="str">
        <f>IFERROR(SEARCH(#REF!,Table4[[#This Row],[Commodity Title]],1),"")</f>
        <v/>
      </c>
      <c r="C3643" s="35">
        <v>42321607</v>
      </c>
      <c r="D3643" s="33" t="s">
        <v>1495</v>
      </c>
      <c r="E3643" s="33" t="s">
        <v>1496</v>
      </c>
      <c r="F3643" s="33" t="s">
        <v>1497</v>
      </c>
      <c r="G3643" s="33" t="s">
        <v>8885</v>
      </c>
      <c r="H3643" s="33" t="s">
        <v>8886</v>
      </c>
      <c r="I3643" s="33" t="s">
        <v>8887</v>
      </c>
      <c r="J3643" s="33">
        <v>146174</v>
      </c>
      <c r="K3643" s="33" t="s">
        <v>8914</v>
      </c>
      <c r="L3643" s="33" t="s">
        <v>8915</v>
      </c>
      <c r="M3643" s="33" t="s">
        <v>8916</v>
      </c>
      <c r="N3643" s="44">
        <v>42321607</v>
      </c>
      <c r="O3643" s="33" t="s">
        <v>8929</v>
      </c>
      <c r="P3643" s="33" t="s">
        <v>8930</v>
      </c>
      <c r="Q3643" s="34" t="s">
        <v>1494</v>
      </c>
      <c r="R3643" s="34" t="s">
        <v>1494</v>
      </c>
    </row>
    <row r="3644" spans="1:18" ht="15" customHeight="1" x14ac:dyDescent="0.25">
      <c r="A3644" t="str">
        <f>IFERROR(RANK(B3644,$B:$B,1)+COUNTIF($B$1:B3643,B3644),"")</f>
        <v/>
      </c>
      <c r="B3644" t="str">
        <f>IFERROR(SEARCH(#REF!,Table4[[#This Row],[Commodity Title]],1),"")</f>
        <v/>
      </c>
      <c r="C3644" s="35">
        <v>42321609</v>
      </c>
      <c r="D3644" s="33" t="s">
        <v>1495</v>
      </c>
      <c r="E3644" s="33" t="s">
        <v>1496</v>
      </c>
      <c r="F3644" s="33" t="s">
        <v>1497</v>
      </c>
      <c r="G3644" s="33" t="s">
        <v>8885</v>
      </c>
      <c r="H3644" s="33" t="s">
        <v>8886</v>
      </c>
      <c r="I3644" s="33" t="s">
        <v>8887</v>
      </c>
      <c r="J3644" s="33">
        <v>150701</v>
      </c>
      <c r="K3644" s="33" t="s">
        <v>8914</v>
      </c>
      <c r="L3644" s="33" t="s">
        <v>8915</v>
      </c>
      <c r="M3644" s="33" t="s">
        <v>8916</v>
      </c>
      <c r="N3644" s="44">
        <v>42321609</v>
      </c>
      <c r="O3644" s="33" t="s">
        <v>8931</v>
      </c>
      <c r="P3644" s="33" t="s">
        <v>8932</v>
      </c>
      <c r="Q3644" s="34" t="s">
        <v>1494</v>
      </c>
      <c r="R3644" s="34" t="s">
        <v>1494</v>
      </c>
    </row>
    <row r="3645" spans="1:18" ht="15" customHeight="1" x14ac:dyDescent="0.25">
      <c r="A3645" t="str">
        <f>IFERROR(RANK(B3645,$B:$B,1)+COUNTIF($B$1:B3644,B3645),"")</f>
        <v/>
      </c>
      <c r="B3645" t="str">
        <f>IFERROR(SEARCH(#REF!,Table4[[#This Row],[Commodity Title]],1),"")</f>
        <v/>
      </c>
      <c r="C3645" s="35">
        <v>42321610</v>
      </c>
      <c r="D3645" s="33" t="s">
        <v>1495</v>
      </c>
      <c r="E3645" s="33" t="s">
        <v>1496</v>
      </c>
      <c r="F3645" s="33" t="s">
        <v>1497</v>
      </c>
      <c r="G3645" s="33" t="s">
        <v>8885</v>
      </c>
      <c r="H3645" s="33" t="s">
        <v>8886</v>
      </c>
      <c r="I3645" s="33" t="s">
        <v>8887</v>
      </c>
      <c r="J3645" s="33">
        <v>164882</v>
      </c>
      <c r="K3645" s="33" t="s">
        <v>8914</v>
      </c>
      <c r="L3645" s="33" t="s">
        <v>8915</v>
      </c>
      <c r="M3645" s="33" t="s">
        <v>8916</v>
      </c>
      <c r="N3645" s="44">
        <v>42321610</v>
      </c>
      <c r="O3645" s="33" t="s">
        <v>8933</v>
      </c>
      <c r="P3645" s="33" t="s">
        <v>8934</v>
      </c>
      <c r="Q3645" s="34" t="s">
        <v>1494</v>
      </c>
      <c r="R3645" s="34" t="s">
        <v>1494</v>
      </c>
    </row>
    <row r="3646" spans="1:18" ht="15" customHeight="1" x14ac:dyDescent="0.25">
      <c r="A3646" t="str">
        <f>IFERROR(RANK(B3646,$B:$B,1)+COUNTIF($B$1:B3645,B3646),"")</f>
        <v/>
      </c>
      <c r="B3646" t="str">
        <f>IFERROR(SEARCH(#REF!,Table4[[#This Row],[Commodity Title]],1),"")</f>
        <v/>
      </c>
      <c r="C3646" s="35">
        <v>42321611</v>
      </c>
      <c r="D3646" s="33" t="s">
        <v>1495</v>
      </c>
      <c r="E3646" s="33" t="s">
        <v>1496</v>
      </c>
      <c r="F3646" s="33" t="s">
        <v>1497</v>
      </c>
      <c r="G3646" s="33" t="s">
        <v>8885</v>
      </c>
      <c r="H3646" s="33" t="s">
        <v>8886</v>
      </c>
      <c r="I3646" s="33" t="s">
        <v>8887</v>
      </c>
      <c r="J3646" s="33">
        <v>164883</v>
      </c>
      <c r="K3646" s="33" t="s">
        <v>8914</v>
      </c>
      <c r="L3646" s="33" t="s">
        <v>8915</v>
      </c>
      <c r="M3646" s="33" t="s">
        <v>8916</v>
      </c>
      <c r="N3646" s="44">
        <v>42321611</v>
      </c>
      <c r="O3646" s="33" t="s">
        <v>8935</v>
      </c>
      <c r="P3646" s="33" t="s">
        <v>8936</v>
      </c>
      <c r="Q3646" s="34" t="s">
        <v>1494</v>
      </c>
      <c r="R3646" s="34" t="s">
        <v>1494</v>
      </c>
    </row>
    <row r="3647" spans="1:18" ht="15" customHeight="1" x14ac:dyDescent="0.25">
      <c r="A3647" t="str">
        <f>IFERROR(RANK(B3647,$B:$B,1)+COUNTIF($B$1:B3646,B3647),"")</f>
        <v/>
      </c>
      <c r="B3647" t="str">
        <f>IFERROR(SEARCH(#REF!,Table4[[#This Row],[Commodity Title]],1),"")</f>
        <v/>
      </c>
      <c r="C3647" s="35">
        <v>42321612</v>
      </c>
      <c r="D3647" s="33" t="s">
        <v>1495</v>
      </c>
      <c r="E3647" s="33" t="s">
        <v>1496</v>
      </c>
      <c r="F3647" s="33" t="s">
        <v>1497</v>
      </c>
      <c r="G3647" s="33" t="s">
        <v>8885</v>
      </c>
      <c r="H3647" s="33" t="s">
        <v>8886</v>
      </c>
      <c r="I3647" s="33" t="s">
        <v>8887</v>
      </c>
      <c r="J3647" s="33">
        <v>164884</v>
      </c>
      <c r="K3647" s="33" t="s">
        <v>8914</v>
      </c>
      <c r="L3647" s="33" t="s">
        <v>8915</v>
      </c>
      <c r="M3647" s="33" t="s">
        <v>8916</v>
      </c>
      <c r="N3647" s="44">
        <v>42321612</v>
      </c>
      <c r="O3647" s="33" t="s">
        <v>8937</v>
      </c>
      <c r="P3647" s="33" t="s">
        <v>8938</v>
      </c>
      <c r="Q3647" s="34" t="s">
        <v>1494</v>
      </c>
      <c r="R3647" s="34" t="s">
        <v>1494</v>
      </c>
    </row>
    <row r="3648" spans="1:18" ht="15" customHeight="1" x14ac:dyDescent="0.25">
      <c r="A3648" t="str">
        <f>IFERROR(RANK(B3648,$B:$B,1)+COUNTIF($B$1:B3647,B3648),"")</f>
        <v/>
      </c>
      <c r="B3648" t="str">
        <f>IFERROR(SEARCH(#REF!,Table4[[#This Row],[Commodity Title]],1),"")</f>
        <v/>
      </c>
      <c r="C3648" s="35">
        <v>42321613</v>
      </c>
      <c r="D3648" s="33" t="s">
        <v>1495</v>
      </c>
      <c r="E3648" s="33" t="s">
        <v>1496</v>
      </c>
      <c r="F3648" s="33" t="s">
        <v>1497</v>
      </c>
      <c r="G3648" s="33" t="s">
        <v>8885</v>
      </c>
      <c r="H3648" s="33" t="s">
        <v>8886</v>
      </c>
      <c r="I3648" s="33" t="s">
        <v>8887</v>
      </c>
      <c r="J3648" s="33">
        <v>164885</v>
      </c>
      <c r="K3648" s="33" t="s">
        <v>8914</v>
      </c>
      <c r="L3648" s="33" t="s">
        <v>8915</v>
      </c>
      <c r="M3648" s="33" t="s">
        <v>8916</v>
      </c>
      <c r="N3648" s="44">
        <v>42321613</v>
      </c>
      <c r="O3648" s="33" t="s">
        <v>8939</v>
      </c>
      <c r="P3648" s="33" t="s">
        <v>8940</v>
      </c>
      <c r="Q3648" s="34" t="s">
        <v>1494</v>
      </c>
      <c r="R3648" s="34" t="s">
        <v>1494</v>
      </c>
    </row>
    <row r="3649" spans="1:18" ht="15" customHeight="1" x14ac:dyDescent="0.25">
      <c r="A3649" t="str">
        <f>IFERROR(RANK(B3649,$B:$B,1)+COUNTIF($B$1:B3648,B3649),"")</f>
        <v/>
      </c>
      <c r="B3649" t="str">
        <f>IFERROR(SEARCH(#REF!,Table4[[#This Row],[Commodity Title]],1),"")</f>
        <v/>
      </c>
      <c r="C3649" s="35">
        <v>42321614</v>
      </c>
      <c r="D3649" s="33" t="s">
        <v>1495</v>
      </c>
      <c r="E3649" s="33" t="s">
        <v>1496</v>
      </c>
      <c r="F3649" s="33" t="s">
        <v>1497</v>
      </c>
      <c r="G3649" s="33" t="s">
        <v>8885</v>
      </c>
      <c r="H3649" s="33" t="s">
        <v>8886</v>
      </c>
      <c r="I3649" s="33" t="s">
        <v>8887</v>
      </c>
      <c r="J3649" s="33">
        <v>164886</v>
      </c>
      <c r="K3649" s="33" t="s">
        <v>8914</v>
      </c>
      <c r="L3649" s="33" t="s">
        <v>8915</v>
      </c>
      <c r="M3649" s="33" t="s">
        <v>8916</v>
      </c>
      <c r="N3649" s="44">
        <v>42321614</v>
      </c>
      <c r="O3649" s="33" t="s">
        <v>8941</v>
      </c>
      <c r="P3649" s="33" t="s">
        <v>8942</v>
      </c>
      <c r="Q3649" s="34" t="s">
        <v>1494</v>
      </c>
      <c r="R3649" s="34" t="s">
        <v>1494</v>
      </c>
    </row>
    <row r="3650" spans="1:18" ht="15" customHeight="1" x14ac:dyDescent="0.25">
      <c r="A3650" t="str">
        <f>IFERROR(RANK(B3650,$B:$B,1)+COUNTIF($B$1:B3649,B3650),"")</f>
        <v/>
      </c>
      <c r="B3650" t="str">
        <f>IFERROR(SEARCH(#REF!,Table4[[#This Row],[Commodity Title]],1),"")</f>
        <v/>
      </c>
      <c r="C3650" s="35">
        <v>42321615</v>
      </c>
      <c r="D3650" s="33" t="s">
        <v>1495</v>
      </c>
      <c r="E3650" s="33" t="s">
        <v>1496</v>
      </c>
      <c r="F3650" s="33" t="s">
        <v>1497</v>
      </c>
      <c r="G3650" s="33" t="s">
        <v>8885</v>
      </c>
      <c r="H3650" s="33" t="s">
        <v>8886</v>
      </c>
      <c r="I3650" s="33" t="s">
        <v>8887</v>
      </c>
      <c r="J3650" s="33">
        <v>164887</v>
      </c>
      <c r="K3650" s="33" t="s">
        <v>8914</v>
      </c>
      <c r="L3650" s="33" t="s">
        <v>8915</v>
      </c>
      <c r="M3650" s="33" t="s">
        <v>8916</v>
      </c>
      <c r="N3650" s="44">
        <v>42321615</v>
      </c>
      <c r="O3650" s="33" t="s">
        <v>8943</v>
      </c>
      <c r="P3650" s="33" t="s">
        <v>8944</v>
      </c>
      <c r="Q3650" s="34" t="s">
        <v>1494</v>
      </c>
      <c r="R3650" s="34" t="s">
        <v>1494</v>
      </c>
    </row>
    <row r="3651" spans="1:18" ht="15" customHeight="1" x14ac:dyDescent="0.25">
      <c r="A3651" t="str">
        <f>IFERROR(RANK(B3651,$B:$B,1)+COUNTIF($B$1:B3650,B3651),"")</f>
        <v/>
      </c>
      <c r="B3651" t="str">
        <f>IFERROR(SEARCH(#REF!,Table4[[#This Row],[Commodity Title]],1),"")</f>
        <v/>
      </c>
      <c r="C3651" s="35">
        <v>42321616</v>
      </c>
      <c r="D3651" s="33" t="s">
        <v>1495</v>
      </c>
      <c r="E3651" s="33" t="s">
        <v>1496</v>
      </c>
      <c r="F3651" s="33" t="s">
        <v>1497</v>
      </c>
      <c r="G3651" s="33" t="s">
        <v>8885</v>
      </c>
      <c r="H3651" s="33" t="s">
        <v>8886</v>
      </c>
      <c r="I3651" s="33" t="s">
        <v>8887</v>
      </c>
      <c r="J3651" s="33">
        <v>174431</v>
      </c>
      <c r="K3651" s="33" t="s">
        <v>8914</v>
      </c>
      <c r="L3651" s="33" t="s">
        <v>8915</v>
      </c>
      <c r="M3651" s="33" t="s">
        <v>8916</v>
      </c>
      <c r="N3651" s="44">
        <v>42321616</v>
      </c>
      <c r="O3651" s="33" t="s">
        <v>8945</v>
      </c>
      <c r="P3651" s="33" t="s">
        <v>8946</v>
      </c>
      <c r="Q3651" s="34" t="s">
        <v>1494</v>
      </c>
      <c r="R3651" s="34" t="s">
        <v>1494</v>
      </c>
    </row>
    <row r="3652" spans="1:18" ht="15" customHeight="1" x14ac:dyDescent="0.25">
      <c r="A3652" t="str">
        <f>IFERROR(RANK(B3652,$B:$B,1)+COUNTIF($B$1:B3651,B3652),"")</f>
        <v/>
      </c>
      <c r="B3652" t="str">
        <f>IFERROR(SEARCH(#REF!,Table4[[#This Row],[Commodity Title]],1),"")</f>
        <v/>
      </c>
      <c r="C3652" s="35">
        <v>42321617</v>
      </c>
      <c r="D3652" s="33" t="s">
        <v>1495</v>
      </c>
      <c r="E3652" s="33" t="s">
        <v>1496</v>
      </c>
      <c r="F3652" s="33" t="s">
        <v>1497</v>
      </c>
      <c r="G3652" s="33" t="s">
        <v>8885</v>
      </c>
      <c r="H3652" s="33" t="s">
        <v>8886</v>
      </c>
      <c r="I3652" s="33" t="s">
        <v>8887</v>
      </c>
      <c r="J3652" s="33">
        <v>174432</v>
      </c>
      <c r="K3652" s="33" t="s">
        <v>8914</v>
      </c>
      <c r="L3652" s="33" t="s">
        <v>8915</v>
      </c>
      <c r="M3652" s="33" t="s">
        <v>8916</v>
      </c>
      <c r="N3652" s="44">
        <v>42321617</v>
      </c>
      <c r="O3652" s="33" t="s">
        <v>8947</v>
      </c>
      <c r="P3652" s="33" t="s">
        <v>8948</v>
      </c>
      <c r="Q3652" s="34" t="s">
        <v>1494</v>
      </c>
      <c r="R3652" s="34" t="s">
        <v>1494</v>
      </c>
    </row>
    <row r="3653" spans="1:18" ht="15" customHeight="1" x14ac:dyDescent="0.25">
      <c r="A3653" t="str">
        <f>IFERROR(RANK(B3653,$B:$B,1)+COUNTIF($B$1:B3652,B3653),"")</f>
        <v/>
      </c>
      <c r="B3653" t="str">
        <f>IFERROR(SEARCH(#REF!,Table4[[#This Row],[Commodity Title]],1),"")</f>
        <v/>
      </c>
      <c r="C3653" s="35">
        <v>42321618</v>
      </c>
      <c r="D3653" s="33" t="s">
        <v>1495</v>
      </c>
      <c r="E3653" s="33" t="s">
        <v>1496</v>
      </c>
      <c r="F3653" s="33" t="s">
        <v>1497</v>
      </c>
      <c r="G3653" s="33" t="s">
        <v>8885</v>
      </c>
      <c r="H3653" s="33" t="s">
        <v>8886</v>
      </c>
      <c r="I3653" s="33" t="s">
        <v>8887</v>
      </c>
      <c r="J3653" s="33">
        <v>174433</v>
      </c>
      <c r="K3653" s="33" t="s">
        <v>8914</v>
      </c>
      <c r="L3653" s="33" t="s">
        <v>8915</v>
      </c>
      <c r="M3653" s="33" t="s">
        <v>8916</v>
      </c>
      <c r="N3653" s="44">
        <v>42321618</v>
      </c>
      <c r="O3653" s="33" t="s">
        <v>8949</v>
      </c>
      <c r="P3653" s="33" t="s">
        <v>8950</v>
      </c>
      <c r="Q3653" s="34" t="s">
        <v>1494</v>
      </c>
      <c r="R3653" s="34" t="s">
        <v>1494</v>
      </c>
    </row>
    <row r="3654" spans="1:18" ht="15" customHeight="1" x14ac:dyDescent="0.25">
      <c r="A3654" t="str">
        <f>IFERROR(RANK(B3654,$B:$B,1)+COUNTIF($B$1:B3653,B3654),"")</f>
        <v/>
      </c>
      <c r="B3654" t="str">
        <f>IFERROR(SEARCH(#REF!,Table4[[#This Row],[Commodity Title]],1),"")</f>
        <v/>
      </c>
      <c r="C3654" s="35">
        <v>42321619</v>
      </c>
      <c r="D3654" s="33" t="s">
        <v>1495</v>
      </c>
      <c r="E3654" s="33" t="s">
        <v>1496</v>
      </c>
      <c r="F3654" s="33" t="s">
        <v>1497</v>
      </c>
      <c r="G3654" s="33" t="s">
        <v>8885</v>
      </c>
      <c r="H3654" s="33" t="s">
        <v>8886</v>
      </c>
      <c r="I3654" s="33" t="s">
        <v>8887</v>
      </c>
      <c r="J3654" s="33">
        <v>174434</v>
      </c>
      <c r="K3654" s="33" t="s">
        <v>8914</v>
      </c>
      <c r="L3654" s="33" t="s">
        <v>8915</v>
      </c>
      <c r="M3654" s="33" t="s">
        <v>8916</v>
      </c>
      <c r="N3654" s="44">
        <v>42321619</v>
      </c>
      <c r="O3654" s="33" t="s">
        <v>8951</v>
      </c>
      <c r="P3654" s="33" t="s">
        <v>8952</v>
      </c>
      <c r="Q3654" s="34" t="s">
        <v>1494</v>
      </c>
      <c r="R3654" s="34" t="s">
        <v>1494</v>
      </c>
    </row>
    <row r="3655" spans="1:18" ht="15" customHeight="1" x14ac:dyDescent="0.25">
      <c r="A3655" t="str">
        <f>IFERROR(RANK(B3655,$B:$B,1)+COUNTIF($B$1:B3654,B3655),"")</f>
        <v/>
      </c>
      <c r="B3655" t="str">
        <f>IFERROR(SEARCH(#REF!,Table4[[#This Row],[Commodity Title]],1),"")</f>
        <v/>
      </c>
      <c r="C3655" s="35">
        <v>42321620</v>
      </c>
      <c r="D3655" s="33" t="s">
        <v>1495</v>
      </c>
      <c r="E3655" s="33" t="s">
        <v>1496</v>
      </c>
      <c r="F3655" s="33" t="s">
        <v>1497</v>
      </c>
      <c r="G3655" s="33" t="s">
        <v>8885</v>
      </c>
      <c r="H3655" s="33" t="s">
        <v>8886</v>
      </c>
      <c r="I3655" s="33" t="s">
        <v>8887</v>
      </c>
      <c r="J3655" s="33">
        <v>174435</v>
      </c>
      <c r="K3655" s="33" t="s">
        <v>8914</v>
      </c>
      <c r="L3655" s="33" t="s">
        <v>8915</v>
      </c>
      <c r="M3655" s="33" t="s">
        <v>8916</v>
      </c>
      <c r="N3655" s="44">
        <v>42321620</v>
      </c>
      <c r="O3655" s="33" t="s">
        <v>8953</v>
      </c>
      <c r="P3655" s="33" t="s">
        <v>8954</v>
      </c>
      <c r="Q3655" s="34" t="s">
        <v>1494</v>
      </c>
      <c r="R3655" s="34" t="s">
        <v>1494</v>
      </c>
    </row>
    <row r="3656" spans="1:18" ht="15" customHeight="1" x14ac:dyDescent="0.25">
      <c r="A3656" t="str">
        <f>IFERROR(RANK(B3656,$B:$B,1)+COUNTIF($B$1:B3655,B3656),"")</f>
        <v/>
      </c>
      <c r="B3656" t="str">
        <f>IFERROR(SEARCH(#REF!,Table4[[#This Row],[Commodity Title]],1),"")</f>
        <v/>
      </c>
      <c r="C3656" s="35">
        <v>42321621</v>
      </c>
      <c r="D3656" s="33" t="s">
        <v>1495</v>
      </c>
      <c r="E3656" s="33" t="s">
        <v>1496</v>
      </c>
      <c r="F3656" s="33" t="s">
        <v>1497</v>
      </c>
      <c r="G3656" s="33" t="s">
        <v>8885</v>
      </c>
      <c r="H3656" s="33" t="s">
        <v>8886</v>
      </c>
      <c r="I3656" s="33" t="s">
        <v>8887</v>
      </c>
      <c r="J3656" s="33">
        <v>176733</v>
      </c>
      <c r="K3656" s="33" t="s">
        <v>8914</v>
      </c>
      <c r="L3656" s="33" t="s">
        <v>8915</v>
      </c>
      <c r="M3656" s="33" t="s">
        <v>8916</v>
      </c>
      <c r="N3656" s="44">
        <v>42321621</v>
      </c>
      <c r="O3656" s="33" t="s">
        <v>8955</v>
      </c>
      <c r="P3656" s="33" t="s">
        <v>8956</v>
      </c>
      <c r="Q3656" s="34" t="s">
        <v>1494</v>
      </c>
      <c r="R3656" s="34" t="s">
        <v>1494</v>
      </c>
    </row>
    <row r="3657" spans="1:18" ht="15" customHeight="1" x14ac:dyDescent="0.25">
      <c r="A3657" t="str">
        <f>IFERROR(RANK(B3657,$B:$B,1)+COUNTIF($B$1:B3656,B3657),"")</f>
        <v/>
      </c>
      <c r="B3657" t="str">
        <f>IFERROR(SEARCH(#REF!,Table4[[#This Row],[Commodity Title]],1),"")</f>
        <v/>
      </c>
      <c r="C3657" s="35">
        <v>42321622</v>
      </c>
      <c r="D3657" s="33" t="s">
        <v>1495</v>
      </c>
      <c r="E3657" s="33" t="s">
        <v>1496</v>
      </c>
      <c r="F3657" s="33" t="s">
        <v>1497</v>
      </c>
      <c r="G3657" s="33" t="s">
        <v>8885</v>
      </c>
      <c r="H3657" s="33" t="s">
        <v>8886</v>
      </c>
      <c r="I3657" s="33" t="s">
        <v>8887</v>
      </c>
      <c r="J3657" s="33">
        <v>176734</v>
      </c>
      <c r="K3657" s="33" t="s">
        <v>8914</v>
      </c>
      <c r="L3657" s="33" t="s">
        <v>8915</v>
      </c>
      <c r="M3657" s="33" t="s">
        <v>8916</v>
      </c>
      <c r="N3657" s="44">
        <v>42321622</v>
      </c>
      <c r="O3657" s="33" t="s">
        <v>8957</v>
      </c>
      <c r="P3657" s="33" t="s">
        <v>8958</v>
      </c>
      <c r="Q3657" s="34" t="s">
        <v>1494</v>
      </c>
      <c r="R3657" s="34" t="s">
        <v>1494</v>
      </c>
    </row>
    <row r="3658" spans="1:18" ht="15" customHeight="1" x14ac:dyDescent="0.25">
      <c r="A3658" t="str">
        <f>IFERROR(RANK(B3658,$B:$B,1)+COUNTIF($B$1:B3657,B3658),"")</f>
        <v/>
      </c>
      <c r="B3658" t="str">
        <f>IFERROR(SEARCH(#REF!,Table4[[#This Row],[Commodity Title]],1),"")</f>
        <v/>
      </c>
      <c r="C3658" s="33" t="s">
        <v>1494</v>
      </c>
      <c r="D3658" s="33" t="s">
        <v>1495</v>
      </c>
      <c r="E3658" s="33" t="s">
        <v>1496</v>
      </c>
      <c r="F3658" s="33" t="s">
        <v>1497</v>
      </c>
      <c r="G3658" s="33" t="s">
        <v>8885</v>
      </c>
      <c r="H3658" s="33" t="s">
        <v>8886</v>
      </c>
      <c r="I3658" s="33" t="s">
        <v>8887</v>
      </c>
      <c r="J3658" s="33">
        <v>145849</v>
      </c>
      <c r="K3658" s="33" t="s">
        <v>8959</v>
      </c>
      <c r="L3658" s="33" t="s">
        <v>8960</v>
      </c>
      <c r="M3658" s="33" t="s">
        <v>8961</v>
      </c>
      <c r="N3658" s="44" t="s">
        <v>1494</v>
      </c>
      <c r="O3658" s="33" t="s">
        <v>1494</v>
      </c>
      <c r="P3658" s="33" t="s">
        <v>1494</v>
      </c>
      <c r="Q3658" s="34" t="s">
        <v>1494</v>
      </c>
      <c r="R3658" s="34" t="s">
        <v>1494</v>
      </c>
    </row>
    <row r="3659" spans="1:18" ht="15" customHeight="1" x14ac:dyDescent="0.25">
      <c r="A3659" t="str">
        <f>IFERROR(RANK(B3659,$B:$B,1)+COUNTIF($B$1:B3658,B3659),"")</f>
        <v/>
      </c>
      <c r="B3659" t="str">
        <f>IFERROR(SEARCH(#REF!,Table4[[#This Row],[Commodity Title]],1),"")</f>
        <v/>
      </c>
      <c r="C3659" s="35">
        <v>42321701</v>
      </c>
      <c r="D3659" s="33" t="s">
        <v>1495</v>
      </c>
      <c r="E3659" s="33" t="s">
        <v>1496</v>
      </c>
      <c r="F3659" s="33" t="s">
        <v>1497</v>
      </c>
      <c r="G3659" s="33" t="s">
        <v>8885</v>
      </c>
      <c r="H3659" s="33" t="s">
        <v>8886</v>
      </c>
      <c r="I3659" s="33" t="s">
        <v>8887</v>
      </c>
      <c r="J3659" s="33">
        <v>146176</v>
      </c>
      <c r="K3659" s="33" t="s">
        <v>8959</v>
      </c>
      <c r="L3659" s="33" t="s">
        <v>8960</v>
      </c>
      <c r="M3659" s="33" t="s">
        <v>8961</v>
      </c>
      <c r="N3659" s="44">
        <v>42321701</v>
      </c>
      <c r="O3659" s="33" t="s">
        <v>8962</v>
      </c>
      <c r="P3659" s="33" t="s">
        <v>8963</v>
      </c>
      <c r="Q3659" s="34" t="s">
        <v>1494</v>
      </c>
      <c r="R3659" s="34" t="s">
        <v>1494</v>
      </c>
    </row>
    <row r="3660" spans="1:18" ht="15" customHeight="1" x14ac:dyDescent="0.25">
      <c r="A3660" t="str">
        <f>IFERROR(RANK(B3660,$B:$B,1)+COUNTIF($B$1:B3659,B3660),"")</f>
        <v/>
      </c>
      <c r="B3660" t="str">
        <f>IFERROR(SEARCH(#REF!,Table4[[#This Row],[Commodity Title]],1),"")</f>
        <v/>
      </c>
      <c r="C3660" s="35">
        <v>42321702</v>
      </c>
      <c r="D3660" s="33" t="s">
        <v>1495</v>
      </c>
      <c r="E3660" s="33" t="s">
        <v>1496</v>
      </c>
      <c r="F3660" s="33" t="s">
        <v>1497</v>
      </c>
      <c r="G3660" s="33" t="s">
        <v>8885</v>
      </c>
      <c r="H3660" s="33" t="s">
        <v>8886</v>
      </c>
      <c r="I3660" s="33" t="s">
        <v>8887</v>
      </c>
      <c r="J3660" s="33">
        <v>146177</v>
      </c>
      <c r="K3660" s="33" t="s">
        <v>8959</v>
      </c>
      <c r="L3660" s="33" t="s">
        <v>8960</v>
      </c>
      <c r="M3660" s="33" t="s">
        <v>8961</v>
      </c>
      <c r="N3660" s="44">
        <v>42321702</v>
      </c>
      <c r="O3660" s="33" t="s">
        <v>159</v>
      </c>
      <c r="P3660" s="33" t="s">
        <v>8964</v>
      </c>
      <c r="Q3660" s="34" t="s">
        <v>1494</v>
      </c>
      <c r="R3660" s="34" t="s">
        <v>1494</v>
      </c>
    </row>
    <row r="3661" spans="1:18" ht="15" customHeight="1" x14ac:dyDescent="0.25">
      <c r="A3661" t="str">
        <f>IFERROR(RANK(B3661,$B:$B,1)+COUNTIF($B$1:B3660,B3661),"")</f>
        <v/>
      </c>
      <c r="B3661" t="str">
        <f>IFERROR(SEARCH(#REF!,Table4[[#This Row],[Commodity Title]],1),"")</f>
        <v/>
      </c>
      <c r="C3661" s="35">
        <v>42321703</v>
      </c>
      <c r="D3661" s="33" t="s">
        <v>1495</v>
      </c>
      <c r="E3661" s="33" t="s">
        <v>1496</v>
      </c>
      <c r="F3661" s="33" t="s">
        <v>1497</v>
      </c>
      <c r="G3661" s="33" t="s">
        <v>8885</v>
      </c>
      <c r="H3661" s="33" t="s">
        <v>8886</v>
      </c>
      <c r="I3661" s="33" t="s">
        <v>8887</v>
      </c>
      <c r="J3661" s="33">
        <v>146178</v>
      </c>
      <c r="K3661" s="33" t="s">
        <v>8959</v>
      </c>
      <c r="L3661" s="33" t="s">
        <v>8960</v>
      </c>
      <c r="M3661" s="33" t="s">
        <v>8961</v>
      </c>
      <c r="N3661" s="44">
        <v>42321703</v>
      </c>
      <c r="O3661" s="33" t="s">
        <v>161</v>
      </c>
      <c r="P3661" s="33" t="s">
        <v>8965</v>
      </c>
      <c r="Q3661" s="34" t="s">
        <v>1494</v>
      </c>
      <c r="R3661" s="34" t="s">
        <v>1494</v>
      </c>
    </row>
    <row r="3662" spans="1:18" ht="15" customHeight="1" x14ac:dyDescent="0.25">
      <c r="A3662" t="str">
        <f>IFERROR(RANK(B3662,$B:$B,1)+COUNTIF($B$1:B3661,B3662),"")</f>
        <v/>
      </c>
      <c r="B3662" t="str">
        <f>IFERROR(SEARCH(#REF!,Table4[[#This Row],[Commodity Title]],1),"")</f>
        <v/>
      </c>
      <c r="C3662" s="35">
        <v>42321704</v>
      </c>
      <c r="D3662" s="33" t="s">
        <v>1495</v>
      </c>
      <c r="E3662" s="33" t="s">
        <v>1496</v>
      </c>
      <c r="F3662" s="33" t="s">
        <v>1497</v>
      </c>
      <c r="G3662" s="33" t="s">
        <v>8885</v>
      </c>
      <c r="H3662" s="33" t="s">
        <v>8886</v>
      </c>
      <c r="I3662" s="33" t="s">
        <v>8887</v>
      </c>
      <c r="J3662" s="33">
        <v>146179</v>
      </c>
      <c r="K3662" s="33" t="s">
        <v>8959</v>
      </c>
      <c r="L3662" s="33" t="s">
        <v>8960</v>
      </c>
      <c r="M3662" s="33" t="s">
        <v>8961</v>
      </c>
      <c r="N3662" s="44">
        <v>42321704</v>
      </c>
      <c r="O3662" s="33" t="s">
        <v>8966</v>
      </c>
      <c r="P3662" s="33" t="s">
        <v>8967</v>
      </c>
      <c r="Q3662" s="34" t="s">
        <v>1494</v>
      </c>
      <c r="R3662" s="34" t="s">
        <v>1494</v>
      </c>
    </row>
    <row r="3663" spans="1:18" ht="15" customHeight="1" x14ac:dyDescent="0.25">
      <c r="A3663" t="str">
        <f>IFERROR(RANK(B3663,$B:$B,1)+COUNTIF($B$1:B3662,B3663),"")</f>
        <v/>
      </c>
      <c r="B3663" t="str">
        <f>IFERROR(SEARCH(#REF!,Table4[[#This Row],[Commodity Title]],1),"")</f>
        <v/>
      </c>
      <c r="C3663" s="35">
        <v>42321705</v>
      </c>
      <c r="D3663" s="33" t="s">
        <v>1495</v>
      </c>
      <c r="E3663" s="33" t="s">
        <v>1496</v>
      </c>
      <c r="F3663" s="33" t="s">
        <v>1497</v>
      </c>
      <c r="G3663" s="33" t="s">
        <v>8885</v>
      </c>
      <c r="H3663" s="33" t="s">
        <v>8886</v>
      </c>
      <c r="I3663" s="33" t="s">
        <v>8887</v>
      </c>
      <c r="J3663" s="33">
        <v>146180</v>
      </c>
      <c r="K3663" s="33" t="s">
        <v>8959</v>
      </c>
      <c r="L3663" s="33" t="s">
        <v>8960</v>
      </c>
      <c r="M3663" s="33" t="s">
        <v>8961</v>
      </c>
      <c r="N3663" s="44">
        <v>42321705</v>
      </c>
      <c r="O3663" s="33" t="s">
        <v>8968</v>
      </c>
      <c r="P3663" s="33" t="s">
        <v>8969</v>
      </c>
      <c r="Q3663" s="34" t="s">
        <v>1494</v>
      </c>
      <c r="R3663" s="34" t="s">
        <v>1494</v>
      </c>
    </row>
    <row r="3664" spans="1:18" ht="15" customHeight="1" x14ac:dyDescent="0.25">
      <c r="A3664" t="str">
        <f>IFERROR(RANK(B3664,$B:$B,1)+COUNTIF($B$1:B3663,B3664),"")</f>
        <v/>
      </c>
      <c r="B3664" t="str">
        <f>IFERROR(SEARCH(#REF!,Table4[[#This Row],[Commodity Title]],1),"")</f>
        <v/>
      </c>
      <c r="C3664" s="35">
        <v>42321706</v>
      </c>
      <c r="D3664" s="33" t="s">
        <v>1495</v>
      </c>
      <c r="E3664" s="33" t="s">
        <v>1496</v>
      </c>
      <c r="F3664" s="33" t="s">
        <v>1497</v>
      </c>
      <c r="G3664" s="33" t="s">
        <v>8885</v>
      </c>
      <c r="H3664" s="33" t="s">
        <v>8886</v>
      </c>
      <c r="I3664" s="33" t="s">
        <v>8887</v>
      </c>
      <c r="J3664" s="33">
        <v>146181</v>
      </c>
      <c r="K3664" s="33" t="s">
        <v>8959</v>
      </c>
      <c r="L3664" s="33" t="s">
        <v>8960</v>
      </c>
      <c r="M3664" s="33" t="s">
        <v>8961</v>
      </c>
      <c r="N3664" s="44">
        <v>42321706</v>
      </c>
      <c r="O3664" s="33" t="s">
        <v>8970</v>
      </c>
      <c r="P3664" s="33" t="s">
        <v>8971</v>
      </c>
      <c r="Q3664" s="34" t="s">
        <v>1494</v>
      </c>
      <c r="R3664" s="34" t="s">
        <v>1494</v>
      </c>
    </row>
    <row r="3665" spans="1:18" ht="15" customHeight="1" x14ac:dyDescent="0.25">
      <c r="A3665" t="str">
        <f>IFERROR(RANK(B3665,$B:$B,1)+COUNTIF($B$1:B3664,B3665),"")</f>
        <v/>
      </c>
      <c r="B3665" t="str">
        <f>IFERROR(SEARCH(#REF!,Table4[[#This Row],[Commodity Title]],1),"")</f>
        <v/>
      </c>
      <c r="C3665" s="35">
        <v>42321707</v>
      </c>
      <c r="D3665" s="33" t="s">
        <v>1495</v>
      </c>
      <c r="E3665" s="33" t="s">
        <v>1496</v>
      </c>
      <c r="F3665" s="33" t="s">
        <v>1497</v>
      </c>
      <c r="G3665" s="33" t="s">
        <v>8885</v>
      </c>
      <c r="H3665" s="33" t="s">
        <v>8886</v>
      </c>
      <c r="I3665" s="33" t="s">
        <v>8887</v>
      </c>
      <c r="J3665" s="33">
        <v>146182</v>
      </c>
      <c r="K3665" s="33" t="s">
        <v>8959</v>
      </c>
      <c r="L3665" s="33" t="s">
        <v>8960</v>
      </c>
      <c r="M3665" s="33" t="s">
        <v>8961</v>
      </c>
      <c r="N3665" s="44">
        <v>42321707</v>
      </c>
      <c r="O3665" s="33" t="s">
        <v>8972</v>
      </c>
      <c r="P3665" s="33" t="s">
        <v>8973</v>
      </c>
      <c r="Q3665" s="34" t="s">
        <v>1494</v>
      </c>
      <c r="R3665" s="34" t="s">
        <v>1494</v>
      </c>
    </row>
    <row r="3666" spans="1:18" ht="15" customHeight="1" x14ac:dyDescent="0.25">
      <c r="A3666" t="str">
        <f>IFERROR(RANK(B3666,$B:$B,1)+COUNTIF($B$1:B3665,B3666),"")</f>
        <v/>
      </c>
      <c r="B3666" t="str">
        <f>IFERROR(SEARCH(#REF!,Table4[[#This Row],[Commodity Title]],1),"")</f>
        <v/>
      </c>
      <c r="C3666" s="35">
        <v>42321708</v>
      </c>
      <c r="D3666" s="33" t="s">
        <v>1495</v>
      </c>
      <c r="E3666" s="33" t="s">
        <v>1496</v>
      </c>
      <c r="F3666" s="33" t="s">
        <v>1497</v>
      </c>
      <c r="G3666" s="33" t="s">
        <v>8885</v>
      </c>
      <c r="H3666" s="33" t="s">
        <v>8886</v>
      </c>
      <c r="I3666" s="33" t="s">
        <v>8887</v>
      </c>
      <c r="J3666" s="33">
        <v>146183</v>
      </c>
      <c r="K3666" s="33" t="s">
        <v>8959</v>
      </c>
      <c r="L3666" s="33" t="s">
        <v>8960</v>
      </c>
      <c r="M3666" s="33" t="s">
        <v>8961</v>
      </c>
      <c r="N3666" s="44">
        <v>42321708</v>
      </c>
      <c r="O3666" s="33" t="s">
        <v>8974</v>
      </c>
      <c r="P3666" s="33" t="s">
        <v>8975</v>
      </c>
      <c r="Q3666" s="34" t="s">
        <v>1494</v>
      </c>
      <c r="R3666" s="34" t="s">
        <v>1494</v>
      </c>
    </row>
    <row r="3667" spans="1:18" ht="15" customHeight="1" x14ac:dyDescent="0.25">
      <c r="A3667" t="str">
        <f>IFERROR(RANK(B3667,$B:$B,1)+COUNTIF($B$1:B3666,B3667),"")</f>
        <v/>
      </c>
      <c r="B3667" t="str">
        <f>IFERROR(SEARCH(#REF!,Table4[[#This Row],[Commodity Title]],1),"")</f>
        <v/>
      </c>
      <c r="C3667" s="35">
        <v>42321709</v>
      </c>
      <c r="D3667" s="33" t="s">
        <v>1495</v>
      </c>
      <c r="E3667" s="33" t="s">
        <v>1496</v>
      </c>
      <c r="F3667" s="33" t="s">
        <v>1497</v>
      </c>
      <c r="G3667" s="33" t="s">
        <v>8885</v>
      </c>
      <c r="H3667" s="33" t="s">
        <v>8886</v>
      </c>
      <c r="I3667" s="33" t="s">
        <v>8887</v>
      </c>
      <c r="J3667" s="33">
        <v>164903</v>
      </c>
      <c r="K3667" s="33" t="s">
        <v>8959</v>
      </c>
      <c r="L3667" s="33" t="s">
        <v>8960</v>
      </c>
      <c r="M3667" s="33" t="s">
        <v>8961</v>
      </c>
      <c r="N3667" s="44">
        <v>42321709</v>
      </c>
      <c r="O3667" s="33" t="s">
        <v>8976</v>
      </c>
      <c r="P3667" s="33" t="s">
        <v>8977</v>
      </c>
      <c r="Q3667" s="34" t="s">
        <v>1494</v>
      </c>
      <c r="R3667" s="34" t="s">
        <v>1494</v>
      </c>
    </row>
    <row r="3668" spans="1:18" ht="15" customHeight="1" x14ac:dyDescent="0.25">
      <c r="A3668" t="str">
        <f>IFERROR(RANK(B3668,$B:$B,1)+COUNTIF($B$1:B3667,B3668),"")</f>
        <v/>
      </c>
      <c r="B3668" t="str">
        <f>IFERROR(SEARCH(#REF!,Table4[[#This Row],[Commodity Title]],1),"")</f>
        <v/>
      </c>
      <c r="C3668" s="35">
        <v>42321710</v>
      </c>
      <c r="D3668" s="33" t="s">
        <v>1495</v>
      </c>
      <c r="E3668" s="33" t="s">
        <v>1496</v>
      </c>
      <c r="F3668" s="33" t="s">
        <v>1497</v>
      </c>
      <c r="G3668" s="33" t="s">
        <v>8885</v>
      </c>
      <c r="H3668" s="33" t="s">
        <v>8886</v>
      </c>
      <c r="I3668" s="33" t="s">
        <v>8887</v>
      </c>
      <c r="J3668" s="33">
        <v>164888</v>
      </c>
      <c r="K3668" s="33" t="s">
        <v>8959</v>
      </c>
      <c r="L3668" s="33" t="s">
        <v>8960</v>
      </c>
      <c r="M3668" s="33" t="s">
        <v>8961</v>
      </c>
      <c r="N3668" s="44">
        <v>42321710</v>
      </c>
      <c r="O3668" s="33" t="s">
        <v>8978</v>
      </c>
      <c r="P3668" s="33" t="s">
        <v>8979</v>
      </c>
      <c r="Q3668" s="34" t="s">
        <v>1494</v>
      </c>
      <c r="R3668" s="34" t="s">
        <v>1494</v>
      </c>
    </row>
    <row r="3669" spans="1:18" ht="15" customHeight="1" x14ac:dyDescent="0.25">
      <c r="A3669" t="str">
        <f>IFERROR(RANK(B3669,$B:$B,1)+COUNTIF($B$1:B3668,B3669),"")</f>
        <v/>
      </c>
      <c r="B3669" t="str">
        <f>IFERROR(SEARCH(#REF!,Table4[[#This Row],[Commodity Title]],1),"")</f>
        <v/>
      </c>
      <c r="C3669" s="35">
        <v>42321711</v>
      </c>
      <c r="D3669" s="33" t="s">
        <v>1495</v>
      </c>
      <c r="E3669" s="33" t="s">
        <v>1496</v>
      </c>
      <c r="F3669" s="33" t="s">
        <v>1497</v>
      </c>
      <c r="G3669" s="33" t="s">
        <v>8885</v>
      </c>
      <c r="H3669" s="33" t="s">
        <v>8886</v>
      </c>
      <c r="I3669" s="33" t="s">
        <v>8887</v>
      </c>
      <c r="J3669" s="33">
        <v>164889</v>
      </c>
      <c r="K3669" s="33" t="s">
        <v>8959</v>
      </c>
      <c r="L3669" s="33" t="s">
        <v>8960</v>
      </c>
      <c r="M3669" s="33" t="s">
        <v>8961</v>
      </c>
      <c r="N3669" s="44">
        <v>42321711</v>
      </c>
      <c r="O3669" s="33" t="s">
        <v>8980</v>
      </c>
      <c r="P3669" s="33" t="s">
        <v>8981</v>
      </c>
      <c r="Q3669" s="34" t="s">
        <v>1494</v>
      </c>
      <c r="R3669" s="34" t="s">
        <v>1494</v>
      </c>
    </row>
    <row r="3670" spans="1:18" ht="15" customHeight="1" x14ac:dyDescent="0.25">
      <c r="A3670" t="str">
        <f>IFERROR(RANK(B3670,$B:$B,1)+COUNTIF($B$1:B3669,B3670),"")</f>
        <v/>
      </c>
      <c r="B3670" t="str">
        <f>IFERROR(SEARCH(#REF!,Table4[[#This Row],[Commodity Title]],1),"")</f>
        <v/>
      </c>
      <c r="C3670" s="35">
        <v>42321712</v>
      </c>
      <c r="D3670" s="33" t="s">
        <v>1495</v>
      </c>
      <c r="E3670" s="33" t="s">
        <v>1496</v>
      </c>
      <c r="F3670" s="33" t="s">
        <v>1497</v>
      </c>
      <c r="G3670" s="33" t="s">
        <v>8885</v>
      </c>
      <c r="H3670" s="33" t="s">
        <v>8886</v>
      </c>
      <c r="I3670" s="33" t="s">
        <v>8887</v>
      </c>
      <c r="J3670" s="33">
        <v>164839</v>
      </c>
      <c r="K3670" s="33" t="s">
        <v>8959</v>
      </c>
      <c r="L3670" s="33" t="s">
        <v>8960</v>
      </c>
      <c r="M3670" s="33" t="s">
        <v>8961</v>
      </c>
      <c r="N3670" s="44">
        <v>42321712</v>
      </c>
      <c r="O3670" s="33" t="s">
        <v>8982</v>
      </c>
      <c r="P3670" s="33" t="s">
        <v>8983</v>
      </c>
      <c r="Q3670" s="34" t="s">
        <v>1494</v>
      </c>
      <c r="R3670" s="34" t="s">
        <v>1494</v>
      </c>
    </row>
    <row r="3671" spans="1:18" ht="15" customHeight="1" x14ac:dyDescent="0.25">
      <c r="A3671" t="str">
        <f>IFERROR(RANK(B3671,$B:$B,1)+COUNTIF($B$1:B3670,B3671),"")</f>
        <v/>
      </c>
      <c r="B3671" t="str">
        <f>IFERROR(SEARCH(#REF!,Table4[[#This Row],[Commodity Title]],1),"")</f>
        <v/>
      </c>
      <c r="C3671" s="35">
        <v>42321713</v>
      </c>
      <c r="D3671" s="33" t="s">
        <v>1495</v>
      </c>
      <c r="E3671" s="33" t="s">
        <v>1496</v>
      </c>
      <c r="F3671" s="33" t="s">
        <v>1497</v>
      </c>
      <c r="G3671" s="33" t="s">
        <v>8885</v>
      </c>
      <c r="H3671" s="33" t="s">
        <v>8886</v>
      </c>
      <c r="I3671" s="33" t="s">
        <v>8887</v>
      </c>
      <c r="J3671" s="33">
        <v>164840</v>
      </c>
      <c r="K3671" s="33" t="s">
        <v>8959</v>
      </c>
      <c r="L3671" s="33" t="s">
        <v>8960</v>
      </c>
      <c r="M3671" s="33" t="s">
        <v>8961</v>
      </c>
      <c r="N3671" s="44">
        <v>42321713</v>
      </c>
      <c r="O3671" s="33" t="s">
        <v>8984</v>
      </c>
      <c r="P3671" s="33" t="s">
        <v>8985</v>
      </c>
      <c r="Q3671" s="34" t="s">
        <v>1494</v>
      </c>
      <c r="R3671" s="34" t="s">
        <v>1494</v>
      </c>
    </row>
    <row r="3672" spans="1:18" ht="15" customHeight="1" x14ac:dyDescent="0.25">
      <c r="A3672" t="str">
        <f>IFERROR(RANK(B3672,$B:$B,1)+COUNTIF($B$1:B3671,B3672),"")</f>
        <v/>
      </c>
      <c r="B3672" t="str">
        <f>IFERROR(SEARCH(#REF!,Table4[[#This Row],[Commodity Title]],1),"")</f>
        <v/>
      </c>
      <c r="C3672" s="35">
        <v>42321714</v>
      </c>
      <c r="D3672" s="33" t="s">
        <v>1495</v>
      </c>
      <c r="E3672" s="33" t="s">
        <v>1496</v>
      </c>
      <c r="F3672" s="33" t="s">
        <v>1497</v>
      </c>
      <c r="G3672" s="33" t="s">
        <v>8885</v>
      </c>
      <c r="H3672" s="33" t="s">
        <v>8886</v>
      </c>
      <c r="I3672" s="33" t="s">
        <v>8887</v>
      </c>
      <c r="J3672" s="33">
        <v>164841</v>
      </c>
      <c r="K3672" s="33" t="s">
        <v>8959</v>
      </c>
      <c r="L3672" s="33" t="s">
        <v>8960</v>
      </c>
      <c r="M3672" s="33" t="s">
        <v>8961</v>
      </c>
      <c r="N3672" s="44">
        <v>42321714</v>
      </c>
      <c r="O3672" s="33" t="s">
        <v>8986</v>
      </c>
      <c r="P3672" s="33" t="s">
        <v>8987</v>
      </c>
      <c r="Q3672" s="34" t="s">
        <v>1494</v>
      </c>
      <c r="R3672" s="34" t="s">
        <v>1494</v>
      </c>
    </row>
    <row r="3673" spans="1:18" ht="15" customHeight="1" x14ac:dyDescent="0.25">
      <c r="A3673" t="str">
        <f>IFERROR(RANK(B3673,$B:$B,1)+COUNTIF($B$1:B3672,B3673),"")</f>
        <v/>
      </c>
      <c r="B3673" t="str">
        <f>IFERROR(SEARCH(#REF!,Table4[[#This Row],[Commodity Title]],1),"")</f>
        <v/>
      </c>
      <c r="C3673" s="35">
        <v>42321715</v>
      </c>
      <c r="D3673" s="33" t="s">
        <v>1495</v>
      </c>
      <c r="E3673" s="33" t="s">
        <v>1496</v>
      </c>
      <c r="F3673" s="33" t="s">
        <v>1497</v>
      </c>
      <c r="G3673" s="33" t="s">
        <v>8885</v>
      </c>
      <c r="H3673" s="33" t="s">
        <v>8886</v>
      </c>
      <c r="I3673" s="33" t="s">
        <v>8887</v>
      </c>
      <c r="J3673" s="33">
        <v>164890</v>
      </c>
      <c r="K3673" s="33" t="s">
        <v>8959</v>
      </c>
      <c r="L3673" s="33" t="s">
        <v>8960</v>
      </c>
      <c r="M3673" s="33" t="s">
        <v>8961</v>
      </c>
      <c r="N3673" s="44">
        <v>42321715</v>
      </c>
      <c r="O3673" s="33" t="s">
        <v>8988</v>
      </c>
      <c r="P3673" s="33" t="s">
        <v>8989</v>
      </c>
      <c r="Q3673" s="34" t="s">
        <v>1494</v>
      </c>
      <c r="R3673" s="34" t="s">
        <v>1494</v>
      </c>
    </row>
    <row r="3674" spans="1:18" ht="15" customHeight="1" x14ac:dyDescent="0.25">
      <c r="A3674" t="str">
        <f>IFERROR(RANK(B3674,$B:$B,1)+COUNTIF($B$1:B3673,B3674),"")</f>
        <v/>
      </c>
      <c r="B3674" t="str">
        <f>IFERROR(SEARCH(#REF!,Table4[[#This Row],[Commodity Title]],1),"")</f>
        <v/>
      </c>
      <c r="C3674" s="35">
        <v>42321716</v>
      </c>
      <c r="D3674" s="33" t="s">
        <v>1495</v>
      </c>
      <c r="E3674" s="33" t="s">
        <v>1496</v>
      </c>
      <c r="F3674" s="33" t="s">
        <v>1497</v>
      </c>
      <c r="G3674" s="33" t="s">
        <v>8885</v>
      </c>
      <c r="H3674" s="33" t="s">
        <v>8886</v>
      </c>
      <c r="I3674" s="33" t="s">
        <v>8887</v>
      </c>
      <c r="J3674" s="33">
        <v>174436</v>
      </c>
      <c r="K3674" s="33" t="s">
        <v>8959</v>
      </c>
      <c r="L3674" s="33" t="s">
        <v>8960</v>
      </c>
      <c r="M3674" s="33" t="s">
        <v>8961</v>
      </c>
      <c r="N3674" s="44">
        <v>42321716</v>
      </c>
      <c r="O3674" s="33" t="s">
        <v>8990</v>
      </c>
      <c r="P3674" s="33" t="s">
        <v>8991</v>
      </c>
      <c r="Q3674" s="34" t="s">
        <v>1494</v>
      </c>
      <c r="R3674" s="34" t="s">
        <v>1494</v>
      </c>
    </row>
    <row r="3675" spans="1:18" ht="15" customHeight="1" x14ac:dyDescent="0.25">
      <c r="A3675" t="str">
        <f>IFERROR(RANK(B3675,$B:$B,1)+COUNTIF($B$1:B3674,B3675),"")</f>
        <v/>
      </c>
      <c r="B3675" t="str">
        <f>IFERROR(SEARCH(#REF!,Table4[[#This Row],[Commodity Title]],1),"")</f>
        <v/>
      </c>
      <c r="C3675" s="35">
        <v>42321718</v>
      </c>
      <c r="D3675" s="33" t="s">
        <v>1495</v>
      </c>
      <c r="E3675" s="33" t="s">
        <v>1496</v>
      </c>
      <c r="F3675" s="33" t="s">
        <v>1497</v>
      </c>
      <c r="G3675" s="33" t="s">
        <v>8885</v>
      </c>
      <c r="H3675" s="33" t="s">
        <v>8886</v>
      </c>
      <c r="I3675" s="33" t="s">
        <v>8887</v>
      </c>
      <c r="J3675" s="33">
        <v>176735</v>
      </c>
      <c r="K3675" s="33" t="s">
        <v>8959</v>
      </c>
      <c r="L3675" s="33" t="s">
        <v>8960</v>
      </c>
      <c r="M3675" s="33" t="s">
        <v>8961</v>
      </c>
      <c r="N3675" s="44">
        <v>42321718</v>
      </c>
      <c r="O3675" s="33" t="s">
        <v>8992</v>
      </c>
      <c r="P3675" s="33" t="s">
        <v>8993</v>
      </c>
      <c r="Q3675" s="34" t="s">
        <v>1494</v>
      </c>
      <c r="R3675" s="34" t="s">
        <v>1494</v>
      </c>
    </row>
    <row r="3676" spans="1:18" ht="15" customHeight="1" x14ac:dyDescent="0.25">
      <c r="A3676" t="str">
        <f>IFERROR(RANK(B3676,$B:$B,1)+COUNTIF($B$1:B3675,B3676),"")</f>
        <v/>
      </c>
      <c r="B3676" t="str">
        <f>IFERROR(SEARCH(#REF!,Table4[[#This Row],[Commodity Title]],1),"")</f>
        <v/>
      </c>
      <c r="C3676" s="35">
        <v>42321719</v>
      </c>
      <c r="D3676" s="33" t="s">
        <v>1495</v>
      </c>
      <c r="E3676" s="33" t="s">
        <v>1496</v>
      </c>
      <c r="F3676" s="33" t="s">
        <v>1497</v>
      </c>
      <c r="G3676" s="33" t="s">
        <v>8885</v>
      </c>
      <c r="H3676" s="33" t="s">
        <v>8886</v>
      </c>
      <c r="I3676" s="33" t="s">
        <v>8887</v>
      </c>
      <c r="J3676" s="33">
        <v>176736</v>
      </c>
      <c r="K3676" s="33" t="s">
        <v>8959</v>
      </c>
      <c r="L3676" s="33" t="s">
        <v>8960</v>
      </c>
      <c r="M3676" s="33" t="s">
        <v>8961</v>
      </c>
      <c r="N3676" s="44">
        <v>42321719</v>
      </c>
      <c r="O3676" s="33" t="s">
        <v>8994</v>
      </c>
      <c r="P3676" s="33" t="s">
        <v>8995</v>
      </c>
      <c r="Q3676" s="34" t="s">
        <v>1494</v>
      </c>
      <c r="R3676" s="34" t="s">
        <v>1494</v>
      </c>
    </row>
    <row r="3677" spans="1:18" ht="15" customHeight="1" x14ac:dyDescent="0.25">
      <c r="A3677" t="str">
        <f>IFERROR(RANK(B3677,$B:$B,1)+COUNTIF($B$1:B3676,B3677),"")</f>
        <v/>
      </c>
      <c r="B3677" t="str">
        <f>IFERROR(SEARCH(#REF!,Table4[[#This Row],[Commodity Title]],1),"")</f>
        <v/>
      </c>
      <c r="C3677" s="35">
        <v>42321720</v>
      </c>
      <c r="D3677" s="33" t="s">
        <v>1495</v>
      </c>
      <c r="E3677" s="33" t="s">
        <v>1496</v>
      </c>
      <c r="F3677" s="33" t="s">
        <v>1497</v>
      </c>
      <c r="G3677" s="33" t="s">
        <v>8885</v>
      </c>
      <c r="H3677" s="33" t="s">
        <v>8886</v>
      </c>
      <c r="I3677" s="33" t="s">
        <v>8887</v>
      </c>
      <c r="J3677" s="33">
        <v>176737</v>
      </c>
      <c r="K3677" s="33" t="s">
        <v>8959</v>
      </c>
      <c r="L3677" s="33" t="s">
        <v>8960</v>
      </c>
      <c r="M3677" s="33" t="s">
        <v>8961</v>
      </c>
      <c r="N3677" s="44">
        <v>42321720</v>
      </c>
      <c r="O3677" s="33" t="s">
        <v>8996</v>
      </c>
      <c r="P3677" s="33" t="s">
        <v>8997</v>
      </c>
      <c r="Q3677" s="34" t="s">
        <v>1494</v>
      </c>
      <c r="R3677" s="34" t="s">
        <v>1494</v>
      </c>
    </row>
    <row r="3678" spans="1:18" ht="15" customHeight="1" x14ac:dyDescent="0.25">
      <c r="A3678" t="str">
        <f>IFERROR(RANK(B3678,$B:$B,1)+COUNTIF($B$1:B3677,B3678),"")</f>
        <v/>
      </c>
      <c r="B3678" t="str">
        <f>IFERROR(SEARCH(#REF!,Table4[[#This Row],[Commodity Title]],1),"")</f>
        <v/>
      </c>
      <c r="C3678" s="35">
        <v>42321721</v>
      </c>
      <c r="D3678" s="33" t="s">
        <v>1495</v>
      </c>
      <c r="E3678" s="33" t="s">
        <v>1496</v>
      </c>
      <c r="F3678" s="33" t="s">
        <v>1497</v>
      </c>
      <c r="G3678" s="33" t="s">
        <v>8885</v>
      </c>
      <c r="H3678" s="33" t="s">
        <v>8886</v>
      </c>
      <c r="I3678" s="33" t="s">
        <v>8887</v>
      </c>
      <c r="J3678" s="33">
        <v>176738</v>
      </c>
      <c r="K3678" s="33" t="s">
        <v>8959</v>
      </c>
      <c r="L3678" s="33" t="s">
        <v>8960</v>
      </c>
      <c r="M3678" s="33" t="s">
        <v>8961</v>
      </c>
      <c r="N3678" s="44">
        <v>42321721</v>
      </c>
      <c r="O3678" s="33" t="s">
        <v>8998</v>
      </c>
      <c r="P3678" s="33" t="s">
        <v>8999</v>
      </c>
      <c r="Q3678" s="34" t="s">
        <v>1494</v>
      </c>
      <c r="R3678" s="34" t="s">
        <v>1494</v>
      </c>
    </row>
    <row r="3679" spans="1:18" ht="15" customHeight="1" x14ac:dyDescent="0.25">
      <c r="A3679" t="str">
        <f>IFERROR(RANK(B3679,$B:$B,1)+COUNTIF($B$1:B3678,B3679),"")</f>
        <v/>
      </c>
      <c r="B3679" t="str">
        <f>IFERROR(SEARCH(#REF!,Table4[[#This Row],[Commodity Title]],1),"")</f>
        <v/>
      </c>
      <c r="C3679" s="35">
        <v>42321722</v>
      </c>
      <c r="D3679" s="33" t="s">
        <v>1495</v>
      </c>
      <c r="E3679" s="33" t="s">
        <v>1496</v>
      </c>
      <c r="F3679" s="33" t="s">
        <v>1497</v>
      </c>
      <c r="G3679" s="33" t="s">
        <v>8885</v>
      </c>
      <c r="H3679" s="33" t="s">
        <v>8886</v>
      </c>
      <c r="I3679" s="33" t="s">
        <v>8887</v>
      </c>
      <c r="J3679" s="33">
        <v>176739</v>
      </c>
      <c r="K3679" s="33" t="s">
        <v>8959</v>
      </c>
      <c r="L3679" s="33" t="s">
        <v>8960</v>
      </c>
      <c r="M3679" s="33" t="s">
        <v>8961</v>
      </c>
      <c r="N3679" s="44">
        <v>42321722</v>
      </c>
      <c r="O3679" s="33" t="s">
        <v>9000</v>
      </c>
      <c r="P3679" s="33" t="s">
        <v>9001</v>
      </c>
      <c r="Q3679" s="34" t="s">
        <v>1494</v>
      </c>
      <c r="R3679" s="34" t="s">
        <v>1494</v>
      </c>
    </row>
    <row r="3680" spans="1:18" ht="15" customHeight="1" x14ac:dyDescent="0.25">
      <c r="A3680" t="str">
        <f>IFERROR(RANK(B3680,$B:$B,1)+COUNTIF($B$1:B3679,B3680),"")</f>
        <v/>
      </c>
      <c r="B3680" t="str">
        <f>IFERROR(SEARCH(#REF!,Table4[[#This Row],[Commodity Title]],1),"")</f>
        <v/>
      </c>
      <c r="C3680" s="35">
        <v>42321723</v>
      </c>
      <c r="D3680" s="33" t="s">
        <v>1495</v>
      </c>
      <c r="E3680" s="33" t="s">
        <v>1496</v>
      </c>
      <c r="F3680" s="33" t="s">
        <v>1497</v>
      </c>
      <c r="G3680" s="33" t="s">
        <v>8885</v>
      </c>
      <c r="H3680" s="33" t="s">
        <v>8886</v>
      </c>
      <c r="I3680" s="33" t="s">
        <v>8887</v>
      </c>
      <c r="J3680" s="33">
        <v>176740</v>
      </c>
      <c r="K3680" s="33" t="s">
        <v>8959</v>
      </c>
      <c r="L3680" s="33" t="s">
        <v>8960</v>
      </c>
      <c r="M3680" s="33" t="s">
        <v>8961</v>
      </c>
      <c r="N3680" s="44">
        <v>42321723</v>
      </c>
      <c r="O3680" s="33" t="s">
        <v>9002</v>
      </c>
      <c r="P3680" s="33" t="s">
        <v>9003</v>
      </c>
      <c r="Q3680" s="34" t="s">
        <v>1494</v>
      </c>
      <c r="R3680" s="34" t="s">
        <v>1494</v>
      </c>
    </row>
    <row r="3681" spans="1:18" ht="15" customHeight="1" x14ac:dyDescent="0.25">
      <c r="A3681" t="str">
        <f>IFERROR(RANK(B3681,$B:$B,1)+COUNTIF($B$1:B3680,B3681),"")</f>
        <v/>
      </c>
      <c r="B3681" t="str">
        <f>IFERROR(SEARCH(#REF!,Table4[[#This Row],[Commodity Title]],1),"")</f>
        <v/>
      </c>
      <c r="C3681" s="35">
        <v>42321724</v>
      </c>
      <c r="D3681" s="33" t="s">
        <v>1495</v>
      </c>
      <c r="E3681" s="33" t="s">
        <v>1496</v>
      </c>
      <c r="F3681" s="33" t="s">
        <v>1497</v>
      </c>
      <c r="G3681" s="33" t="s">
        <v>8885</v>
      </c>
      <c r="H3681" s="33" t="s">
        <v>8886</v>
      </c>
      <c r="I3681" s="33" t="s">
        <v>8887</v>
      </c>
      <c r="J3681" s="33">
        <v>203384</v>
      </c>
      <c r="K3681" s="33" t="s">
        <v>8959</v>
      </c>
      <c r="L3681" s="33" t="s">
        <v>8960</v>
      </c>
      <c r="M3681" s="33" t="s">
        <v>8961</v>
      </c>
      <c r="N3681" s="44">
        <v>42321724</v>
      </c>
      <c r="O3681" s="33" t="s">
        <v>9004</v>
      </c>
      <c r="P3681" s="33" t="s">
        <v>9005</v>
      </c>
      <c r="Q3681" s="34" t="s">
        <v>1494</v>
      </c>
      <c r="R3681" s="34" t="s">
        <v>1494</v>
      </c>
    </row>
    <row r="3682" spans="1:18" ht="15" customHeight="1" x14ac:dyDescent="0.25">
      <c r="A3682" t="str">
        <f>IFERROR(RANK(B3682,$B:$B,1)+COUNTIF($B$1:B3681,B3682),"")</f>
        <v/>
      </c>
      <c r="B3682" t="str">
        <f>IFERROR(SEARCH(#REF!,Table4[[#This Row],[Commodity Title]],1),"")</f>
        <v/>
      </c>
      <c r="C3682" s="33" t="s">
        <v>1494</v>
      </c>
      <c r="D3682" s="33" t="s">
        <v>1495</v>
      </c>
      <c r="E3682" s="33" t="s">
        <v>1496</v>
      </c>
      <c r="F3682" s="33" t="s">
        <v>1497</v>
      </c>
      <c r="G3682" s="33" t="s">
        <v>8885</v>
      </c>
      <c r="H3682" s="33" t="s">
        <v>8886</v>
      </c>
      <c r="I3682" s="33" t="s">
        <v>8887</v>
      </c>
      <c r="J3682" s="33">
        <v>145850</v>
      </c>
      <c r="K3682" s="33" t="s">
        <v>9006</v>
      </c>
      <c r="L3682" s="33" t="s">
        <v>9007</v>
      </c>
      <c r="M3682" s="33" t="s">
        <v>9008</v>
      </c>
      <c r="N3682" s="44" t="s">
        <v>1494</v>
      </c>
      <c r="O3682" s="33" t="s">
        <v>1494</v>
      </c>
      <c r="P3682" s="33" t="s">
        <v>1494</v>
      </c>
      <c r="Q3682" s="34" t="s">
        <v>1494</v>
      </c>
      <c r="R3682" s="34" t="s">
        <v>1494</v>
      </c>
    </row>
    <row r="3683" spans="1:18" ht="15" customHeight="1" x14ac:dyDescent="0.25">
      <c r="A3683" t="str">
        <f>IFERROR(RANK(B3683,$B:$B,1)+COUNTIF($B$1:B3682,B3683),"")</f>
        <v/>
      </c>
      <c r="B3683" t="str">
        <f>IFERROR(SEARCH(#REF!,Table4[[#This Row],[Commodity Title]],1),"")</f>
        <v/>
      </c>
      <c r="C3683" s="35">
        <v>42321801</v>
      </c>
      <c r="D3683" s="33" t="s">
        <v>1495</v>
      </c>
      <c r="E3683" s="33" t="s">
        <v>1496</v>
      </c>
      <c r="F3683" s="33" t="s">
        <v>1497</v>
      </c>
      <c r="G3683" s="33" t="s">
        <v>8885</v>
      </c>
      <c r="H3683" s="33" t="s">
        <v>8886</v>
      </c>
      <c r="I3683" s="33" t="s">
        <v>8887</v>
      </c>
      <c r="J3683" s="33">
        <v>146184</v>
      </c>
      <c r="K3683" s="33" t="s">
        <v>9006</v>
      </c>
      <c r="L3683" s="33" t="s">
        <v>9007</v>
      </c>
      <c r="M3683" s="33" t="s">
        <v>9008</v>
      </c>
      <c r="N3683" s="44">
        <v>42321801</v>
      </c>
      <c r="O3683" s="33" t="s">
        <v>249</v>
      </c>
      <c r="P3683" s="33" t="s">
        <v>9009</v>
      </c>
      <c r="Q3683" s="34" t="s">
        <v>1494</v>
      </c>
      <c r="R3683" s="34" t="s">
        <v>1494</v>
      </c>
    </row>
    <row r="3684" spans="1:18" ht="15" customHeight="1" x14ac:dyDescent="0.25">
      <c r="A3684" t="str">
        <f>IFERROR(RANK(B3684,$B:$B,1)+COUNTIF($B$1:B3683,B3684),"")</f>
        <v/>
      </c>
      <c r="B3684" t="str">
        <f>IFERROR(SEARCH(#REF!,Table4[[#This Row],[Commodity Title]],1),"")</f>
        <v/>
      </c>
      <c r="C3684" s="35">
        <v>42321802</v>
      </c>
      <c r="D3684" s="33" t="s">
        <v>1495</v>
      </c>
      <c r="E3684" s="33" t="s">
        <v>1496</v>
      </c>
      <c r="F3684" s="33" t="s">
        <v>1497</v>
      </c>
      <c r="G3684" s="33" t="s">
        <v>8885</v>
      </c>
      <c r="H3684" s="33" t="s">
        <v>8886</v>
      </c>
      <c r="I3684" s="33" t="s">
        <v>8887</v>
      </c>
      <c r="J3684" s="33">
        <v>146185</v>
      </c>
      <c r="K3684" s="33" t="s">
        <v>9006</v>
      </c>
      <c r="L3684" s="33" t="s">
        <v>9007</v>
      </c>
      <c r="M3684" s="33" t="s">
        <v>9008</v>
      </c>
      <c r="N3684" s="44">
        <v>42321802</v>
      </c>
      <c r="O3684" s="33" t="s">
        <v>243</v>
      </c>
      <c r="P3684" s="33" t="s">
        <v>9010</v>
      </c>
      <c r="Q3684" s="34" t="s">
        <v>1494</v>
      </c>
      <c r="R3684" s="34" t="s">
        <v>1494</v>
      </c>
    </row>
    <row r="3685" spans="1:18" ht="15" customHeight="1" x14ac:dyDescent="0.25">
      <c r="A3685" t="str">
        <f>IFERROR(RANK(B3685,$B:$B,1)+COUNTIF($B$1:B3684,B3685),"")</f>
        <v/>
      </c>
      <c r="B3685" t="str">
        <f>IFERROR(SEARCH(#REF!,Table4[[#This Row],[Commodity Title]],1),"")</f>
        <v/>
      </c>
      <c r="C3685" s="35">
        <v>42321804</v>
      </c>
      <c r="D3685" s="33" t="s">
        <v>1495</v>
      </c>
      <c r="E3685" s="33" t="s">
        <v>1496</v>
      </c>
      <c r="F3685" s="33" t="s">
        <v>1497</v>
      </c>
      <c r="G3685" s="33" t="s">
        <v>8885</v>
      </c>
      <c r="H3685" s="33" t="s">
        <v>8886</v>
      </c>
      <c r="I3685" s="33" t="s">
        <v>8887</v>
      </c>
      <c r="J3685" s="33">
        <v>146187</v>
      </c>
      <c r="K3685" s="33" t="s">
        <v>9006</v>
      </c>
      <c r="L3685" s="33" t="s">
        <v>9007</v>
      </c>
      <c r="M3685" s="33" t="s">
        <v>9008</v>
      </c>
      <c r="N3685" s="44">
        <v>42321804</v>
      </c>
      <c r="O3685" s="33" t="s">
        <v>9011</v>
      </c>
      <c r="P3685" s="33" t="s">
        <v>9012</v>
      </c>
      <c r="Q3685" s="34" t="s">
        <v>1494</v>
      </c>
      <c r="R3685" s="34" t="s">
        <v>1494</v>
      </c>
    </row>
    <row r="3686" spans="1:18" ht="15" customHeight="1" x14ac:dyDescent="0.25">
      <c r="A3686" t="str">
        <f>IFERROR(RANK(B3686,$B:$B,1)+COUNTIF($B$1:B3685,B3686),"")</f>
        <v/>
      </c>
      <c r="B3686" t="str">
        <f>IFERROR(SEARCH(#REF!,Table4[[#This Row],[Commodity Title]],1),"")</f>
        <v/>
      </c>
      <c r="C3686" s="35">
        <v>42321805</v>
      </c>
      <c r="D3686" s="33" t="s">
        <v>1495</v>
      </c>
      <c r="E3686" s="33" t="s">
        <v>1496</v>
      </c>
      <c r="F3686" s="33" t="s">
        <v>1497</v>
      </c>
      <c r="G3686" s="33" t="s">
        <v>8885</v>
      </c>
      <c r="H3686" s="33" t="s">
        <v>8886</v>
      </c>
      <c r="I3686" s="33" t="s">
        <v>8887</v>
      </c>
      <c r="J3686" s="33">
        <v>146188</v>
      </c>
      <c r="K3686" s="33" t="s">
        <v>9006</v>
      </c>
      <c r="L3686" s="33" t="s">
        <v>9007</v>
      </c>
      <c r="M3686" s="33" t="s">
        <v>9008</v>
      </c>
      <c r="N3686" s="44">
        <v>42321805</v>
      </c>
      <c r="O3686" s="33" t="s">
        <v>9013</v>
      </c>
      <c r="P3686" s="33" t="s">
        <v>9014</v>
      </c>
      <c r="Q3686" s="34" t="s">
        <v>1494</v>
      </c>
      <c r="R3686" s="34" t="s">
        <v>1494</v>
      </c>
    </row>
    <row r="3687" spans="1:18" ht="15" customHeight="1" x14ac:dyDescent="0.25">
      <c r="A3687" t="str">
        <f>IFERROR(RANK(B3687,$B:$B,1)+COUNTIF($B$1:B3686,B3687),"")</f>
        <v/>
      </c>
      <c r="B3687" t="str">
        <f>IFERROR(SEARCH(#REF!,Table4[[#This Row],[Commodity Title]],1),"")</f>
        <v/>
      </c>
      <c r="C3687" s="35">
        <v>42321806</v>
      </c>
      <c r="D3687" s="33" t="s">
        <v>1495</v>
      </c>
      <c r="E3687" s="33" t="s">
        <v>1496</v>
      </c>
      <c r="F3687" s="33" t="s">
        <v>1497</v>
      </c>
      <c r="G3687" s="33" t="s">
        <v>8885</v>
      </c>
      <c r="H3687" s="33" t="s">
        <v>8886</v>
      </c>
      <c r="I3687" s="33" t="s">
        <v>8887</v>
      </c>
      <c r="J3687" s="33">
        <v>146189</v>
      </c>
      <c r="K3687" s="33" t="s">
        <v>9006</v>
      </c>
      <c r="L3687" s="33" t="s">
        <v>9007</v>
      </c>
      <c r="M3687" s="33" t="s">
        <v>9008</v>
      </c>
      <c r="N3687" s="44">
        <v>42321806</v>
      </c>
      <c r="O3687" s="33" t="s">
        <v>209</v>
      </c>
      <c r="P3687" s="33" t="s">
        <v>9015</v>
      </c>
      <c r="Q3687" s="34" t="s">
        <v>1494</v>
      </c>
      <c r="R3687" s="34" t="s">
        <v>1494</v>
      </c>
    </row>
    <row r="3688" spans="1:18" ht="15" customHeight="1" x14ac:dyDescent="0.25">
      <c r="A3688" t="str">
        <f>IFERROR(RANK(B3688,$B:$B,1)+COUNTIF($B$1:B3687,B3688),"")</f>
        <v/>
      </c>
      <c r="B3688" t="str">
        <f>IFERROR(SEARCH(#REF!,Table4[[#This Row],[Commodity Title]],1),"")</f>
        <v/>
      </c>
      <c r="C3688" s="35">
        <v>42321808</v>
      </c>
      <c r="D3688" s="33" t="s">
        <v>1495</v>
      </c>
      <c r="E3688" s="33" t="s">
        <v>1496</v>
      </c>
      <c r="F3688" s="33" t="s">
        <v>1497</v>
      </c>
      <c r="G3688" s="33" t="s">
        <v>8885</v>
      </c>
      <c r="H3688" s="33" t="s">
        <v>8886</v>
      </c>
      <c r="I3688" s="33" t="s">
        <v>8887</v>
      </c>
      <c r="J3688" s="33">
        <v>146191</v>
      </c>
      <c r="K3688" s="33" t="s">
        <v>9006</v>
      </c>
      <c r="L3688" s="33" t="s">
        <v>9007</v>
      </c>
      <c r="M3688" s="33" t="s">
        <v>9008</v>
      </c>
      <c r="N3688" s="44">
        <v>42321808</v>
      </c>
      <c r="O3688" s="33" t="s">
        <v>72</v>
      </c>
      <c r="P3688" s="33" t="s">
        <v>9016</v>
      </c>
      <c r="Q3688" s="34" t="s">
        <v>1494</v>
      </c>
      <c r="R3688" s="34" t="s">
        <v>1494</v>
      </c>
    </row>
    <row r="3689" spans="1:18" ht="15" customHeight="1" x14ac:dyDescent="0.25">
      <c r="A3689" t="str">
        <f>IFERROR(RANK(B3689,$B:$B,1)+COUNTIF($B$1:B3688,B3689),"")</f>
        <v/>
      </c>
      <c r="B3689" t="str">
        <f>IFERROR(SEARCH(#REF!,Table4[[#This Row],[Commodity Title]],1),"")</f>
        <v/>
      </c>
      <c r="C3689" s="35">
        <v>42321809</v>
      </c>
      <c r="D3689" s="33" t="s">
        <v>1495</v>
      </c>
      <c r="E3689" s="33" t="s">
        <v>1496</v>
      </c>
      <c r="F3689" s="33" t="s">
        <v>1497</v>
      </c>
      <c r="G3689" s="33" t="s">
        <v>8885</v>
      </c>
      <c r="H3689" s="33" t="s">
        <v>8886</v>
      </c>
      <c r="I3689" s="33" t="s">
        <v>8887</v>
      </c>
      <c r="J3689" s="33">
        <v>164842</v>
      </c>
      <c r="K3689" s="33" t="s">
        <v>9006</v>
      </c>
      <c r="L3689" s="33" t="s">
        <v>9007</v>
      </c>
      <c r="M3689" s="33" t="s">
        <v>9008</v>
      </c>
      <c r="N3689" s="44">
        <v>42321809</v>
      </c>
      <c r="O3689" s="33" t="s">
        <v>9017</v>
      </c>
      <c r="P3689" s="33" t="s">
        <v>9018</v>
      </c>
      <c r="Q3689" s="34" t="s">
        <v>1494</v>
      </c>
      <c r="R3689" s="34" t="s">
        <v>1494</v>
      </c>
    </row>
    <row r="3690" spans="1:18" ht="15" customHeight="1" x14ac:dyDescent="0.25">
      <c r="A3690" t="str">
        <f>IFERROR(RANK(B3690,$B:$B,1)+COUNTIF($B$1:B3689,B3690),"")</f>
        <v/>
      </c>
      <c r="B3690" t="str">
        <f>IFERROR(SEARCH(#REF!,Table4[[#This Row],[Commodity Title]],1),"")</f>
        <v/>
      </c>
      <c r="C3690" s="35">
        <v>42321810</v>
      </c>
      <c r="D3690" s="33" t="s">
        <v>1495</v>
      </c>
      <c r="E3690" s="33" t="s">
        <v>1496</v>
      </c>
      <c r="F3690" s="33" t="s">
        <v>1497</v>
      </c>
      <c r="G3690" s="33" t="s">
        <v>8885</v>
      </c>
      <c r="H3690" s="33" t="s">
        <v>8886</v>
      </c>
      <c r="I3690" s="33" t="s">
        <v>8887</v>
      </c>
      <c r="J3690" s="33">
        <v>164843</v>
      </c>
      <c r="K3690" s="33" t="s">
        <v>9006</v>
      </c>
      <c r="L3690" s="33" t="s">
        <v>9007</v>
      </c>
      <c r="M3690" s="33" t="s">
        <v>9008</v>
      </c>
      <c r="N3690" s="44">
        <v>42321810</v>
      </c>
      <c r="O3690" s="33" t="s">
        <v>9019</v>
      </c>
      <c r="P3690" s="33" t="s">
        <v>9020</v>
      </c>
      <c r="Q3690" s="34" t="s">
        <v>1494</v>
      </c>
      <c r="R3690" s="34" t="s">
        <v>1494</v>
      </c>
    </row>
    <row r="3691" spans="1:18" ht="15" customHeight="1" x14ac:dyDescent="0.25">
      <c r="A3691" t="str">
        <f>IFERROR(RANK(B3691,$B:$B,1)+COUNTIF($B$1:B3690,B3691),"")</f>
        <v/>
      </c>
      <c r="B3691" t="str">
        <f>IFERROR(SEARCH(#REF!,Table4[[#This Row],[Commodity Title]],1),"")</f>
        <v/>
      </c>
      <c r="C3691" s="35">
        <v>42321811</v>
      </c>
      <c r="D3691" s="33" t="s">
        <v>1495</v>
      </c>
      <c r="E3691" s="33" t="s">
        <v>1496</v>
      </c>
      <c r="F3691" s="33" t="s">
        <v>1497</v>
      </c>
      <c r="G3691" s="33" t="s">
        <v>8885</v>
      </c>
      <c r="H3691" s="33" t="s">
        <v>8886</v>
      </c>
      <c r="I3691" s="33" t="s">
        <v>8887</v>
      </c>
      <c r="J3691" s="33">
        <v>174438</v>
      </c>
      <c r="K3691" s="33" t="s">
        <v>9006</v>
      </c>
      <c r="L3691" s="33" t="s">
        <v>9007</v>
      </c>
      <c r="M3691" s="33" t="s">
        <v>9008</v>
      </c>
      <c r="N3691" s="44">
        <v>42321811</v>
      </c>
      <c r="O3691" s="33" t="s">
        <v>9021</v>
      </c>
      <c r="P3691" s="33" t="s">
        <v>9022</v>
      </c>
      <c r="Q3691" s="34" t="s">
        <v>1494</v>
      </c>
      <c r="R3691" s="34" t="s">
        <v>1494</v>
      </c>
    </row>
    <row r="3692" spans="1:18" ht="15" customHeight="1" x14ac:dyDescent="0.25">
      <c r="A3692" t="str">
        <f>IFERROR(RANK(B3692,$B:$B,1)+COUNTIF($B$1:B3691,B3692),"")</f>
        <v/>
      </c>
      <c r="B3692" t="str">
        <f>IFERROR(SEARCH(#REF!,Table4[[#This Row],[Commodity Title]],1),"")</f>
        <v/>
      </c>
      <c r="C3692" s="35">
        <v>42321812</v>
      </c>
      <c r="D3692" s="33" t="s">
        <v>1495</v>
      </c>
      <c r="E3692" s="33" t="s">
        <v>1496</v>
      </c>
      <c r="F3692" s="33" t="s">
        <v>1497</v>
      </c>
      <c r="G3692" s="33" t="s">
        <v>8885</v>
      </c>
      <c r="H3692" s="33" t="s">
        <v>8886</v>
      </c>
      <c r="I3692" s="33" t="s">
        <v>8887</v>
      </c>
      <c r="J3692" s="33">
        <v>176741</v>
      </c>
      <c r="K3692" s="33" t="s">
        <v>9006</v>
      </c>
      <c r="L3692" s="33" t="s">
        <v>9007</v>
      </c>
      <c r="M3692" s="33" t="s">
        <v>9008</v>
      </c>
      <c r="N3692" s="44">
        <v>42321812</v>
      </c>
      <c r="O3692" s="33" t="s">
        <v>9023</v>
      </c>
      <c r="P3692" s="33" t="s">
        <v>9024</v>
      </c>
      <c r="Q3692" s="34" t="s">
        <v>1494</v>
      </c>
      <c r="R3692" s="34" t="s">
        <v>1494</v>
      </c>
    </row>
    <row r="3693" spans="1:18" ht="15" customHeight="1" x14ac:dyDescent="0.25">
      <c r="A3693" t="str">
        <f>IFERROR(RANK(B3693,$B:$B,1)+COUNTIF($B$1:B3692,B3693),"")</f>
        <v/>
      </c>
      <c r="B3693" t="str">
        <f>IFERROR(SEARCH(#REF!,Table4[[#This Row],[Commodity Title]],1),"")</f>
        <v/>
      </c>
      <c r="C3693" s="35">
        <v>42321813</v>
      </c>
      <c r="D3693" s="33" t="s">
        <v>1495</v>
      </c>
      <c r="E3693" s="33" t="s">
        <v>1496</v>
      </c>
      <c r="F3693" s="33" t="s">
        <v>1497</v>
      </c>
      <c r="G3693" s="33" t="s">
        <v>8885</v>
      </c>
      <c r="H3693" s="33" t="s">
        <v>8886</v>
      </c>
      <c r="I3693" s="33" t="s">
        <v>8887</v>
      </c>
      <c r="J3693" s="33">
        <v>176742</v>
      </c>
      <c r="K3693" s="33" t="s">
        <v>9006</v>
      </c>
      <c r="L3693" s="33" t="s">
        <v>9007</v>
      </c>
      <c r="M3693" s="33" t="s">
        <v>9008</v>
      </c>
      <c r="N3693" s="44">
        <v>42321813</v>
      </c>
      <c r="O3693" s="33" t="s">
        <v>245</v>
      </c>
      <c r="P3693" s="33" t="s">
        <v>9025</v>
      </c>
      <c r="Q3693" s="34" t="s">
        <v>1494</v>
      </c>
      <c r="R3693" s="34" t="s">
        <v>1494</v>
      </c>
    </row>
    <row r="3694" spans="1:18" ht="15" customHeight="1" x14ac:dyDescent="0.25">
      <c r="A3694" t="str">
        <f>IFERROR(RANK(B3694,$B:$B,1)+COUNTIF($B$1:B3693,B3694),"")</f>
        <v/>
      </c>
      <c r="B3694" t="str">
        <f>IFERROR(SEARCH(#REF!,Table4[[#This Row],[Commodity Title]],1),"")</f>
        <v/>
      </c>
      <c r="C3694" s="35">
        <v>42321814</v>
      </c>
      <c r="D3694" s="33" t="s">
        <v>1495</v>
      </c>
      <c r="E3694" s="33" t="s">
        <v>1496</v>
      </c>
      <c r="F3694" s="33" t="s">
        <v>1497</v>
      </c>
      <c r="G3694" s="33" t="s">
        <v>8885</v>
      </c>
      <c r="H3694" s="33" t="s">
        <v>8886</v>
      </c>
      <c r="I3694" s="33" t="s">
        <v>8887</v>
      </c>
      <c r="J3694" s="33">
        <v>203385</v>
      </c>
      <c r="K3694" s="33" t="s">
        <v>9006</v>
      </c>
      <c r="L3694" s="33" t="s">
        <v>9007</v>
      </c>
      <c r="M3694" s="33" t="s">
        <v>9008</v>
      </c>
      <c r="N3694" s="44">
        <v>42321814</v>
      </c>
      <c r="O3694" s="33" t="s">
        <v>9026</v>
      </c>
      <c r="P3694" s="33" t="s">
        <v>9027</v>
      </c>
      <c r="Q3694" s="34" t="s">
        <v>1494</v>
      </c>
      <c r="R3694" s="34" t="s">
        <v>1494</v>
      </c>
    </row>
    <row r="3695" spans="1:18" ht="15" customHeight="1" x14ac:dyDescent="0.25">
      <c r="A3695" t="str">
        <f>IFERROR(RANK(B3695,$B:$B,1)+COUNTIF($B$1:B3694,B3695),"")</f>
        <v/>
      </c>
      <c r="B3695" t="str">
        <f>IFERROR(SEARCH(#REF!,Table4[[#This Row],[Commodity Title]],1),"")</f>
        <v/>
      </c>
      <c r="C3695" s="35">
        <v>42321815</v>
      </c>
      <c r="D3695" s="33" t="s">
        <v>1495</v>
      </c>
      <c r="E3695" s="33" t="s">
        <v>1496</v>
      </c>
      <c r="F3695" s="33" t="s">
        <v>1497</v>
      </c>
      <c r="G3695" s="33" t="s">
        <v>8885</v>
      </c>
      <c r="H3695" s="33" t="s">
        <v>8886</v>
      </c>
      <c r="I3695" s="33" t="s">
        <v>8887</v>
      </c>
      <c r="J3695" s="33">
        <v>203386</v>
      </c>
      <c r="K3695" s="33" t="s">
        <v>9006</v>
      </c>
      <c r="L3695" s="33" t="s">
        <v>9007</v>
      </c>
      <c r="M3695" s="33" t="s">
        <v>9008</v>
      </c>
      <c r="N3695" s="44">
        <v>42321815</v>
      </c>
      <c r="O3695" s="33" t="s">
        <v>9028</v>
      </c>
      <c r="P3695" s="33" t="s">
        <v>9029</v>
      </c>
      <c r="Q3695" s="34" t="s">
        <v>1494</v>
      </c>
      <c r="R3695" s="34" t="s">
        <v>1494</v>
      </c>
    </row>
    <row r="3696" spans="1:18" ht="15" customHeight="1" x14ac:dyDescent="0.25">
      <c r="A3696" t="str">
        <f>IFERROR(RANK(B3696,$B:$B,1)+COUNTIF($B$1:B3695,B3696),"")</f>
        <v/>
      </c>
      <c r="B3696" t="str">
        <f>IFERROR(SEARCH(#REF!,Table4[[#This Row],[Commodity Title]],1),"")</f>
        <v/>
      </c>
      <c r="C3696" s="35">
        <v>42321816</v>
      </c>
      <c r="D3696" s="33" t="s">
        <v>1495</v>
      </c>
      <c r="E3696" s="33" t="s">
        <v>1496</v>
      </c>
      <c r="F3696" s="33" t="s">
        <v>1497</v>
      </c>
      <c r="G3696" s="33" t="s">
        <v>8885</v>
      </c>
      <c r="H3696" s="33" t="s">
        <v>8886</v>
      </c>
      <c r="I3696" s="33" t="s">
        <v>8887</v>
      </c>
      <c r="J3696" s="33">
        <v>203387</v>
      </c>
      <c r="K3696" s="33" t="s">
        <v>9006</v>
      </c>
      <c r="L3696" s="33" t="s">
        <v>9007</v>
      </c>
      <c r="M3696" s="33" t="s">
        <v>9008</v>
      </c>
      <c r="N3696" s="44">
        <v>42321816</v>
      </c>
      <c r="O3696" s="33" t="s">
        <v>9030</v>
      </c>
      <c r="P3696" s="33" t="s">
        <v>9031</v>
      </c>
      <c r="Q3696" s="34" t="s">
        <v>1494</v>
      </c>
      <c r="R3696" s="34" t="s">
        <v>1494</v>
      </c>
    </row>
    <row r="3697" spans="1:18" ht="15" customHeight="1" x14ac:dyDescent="0.25">
      <c r="A3697" t="str">
        <f>IFERROR(RANK(B3697,$B:$B,1)+COUNTIF($B$1:B3696,B3697),"")</f>
        <v/>
      </c>
      <c r="B3697" t="str">
        <f>IFERROR(SEARCH(#REF!,Table4[[#This Row],[Commodity Title]],1),"")</f>
        <v/>
      </c>
      <c r="C3697" s="33" t="s">
        <v>1494</v>
      </c>
      <c r="D3697" s="33" t="s">
        <v>1495</v>
      </c>
      <c r="E3697" s="33" t="s">
        <v>1496</v>
      </c>
      <c r="F3697" s="33" t="s">
        <v>1497</v>
      </c>
      <c r="G3697" s="33" t="s">
        <v>8885</v>
      </c>
      <c r="H3697" s="33" t="s">
        <v>8886</v>
      </c>
      <c r="I3697" s="33" t="s">
        <v>8887</v>
      </c>
      <c r="J3697" s="33">
        <v>145851</v>
      </c>
      <c r="K3697" s="33" t="s">
        <v>9032</v>
      </c>
      <c r="L3697" s="33" t="s">
        <v>9033</v>
      </c>
      <c r="M3697" s="33" t="s">
        <v>9034</v>
      </c>
      <c r="N3697" s="44" t="s">
        <v>1494</v>
      </c>
      <c r="O3697" s="33" t="s">
        <v>1494</v>
      </c>
      <c r="P3697" s="33" t="s">
        <v>1494</v>
      </c>
      <c r="Q3697" s="34" t="s">
        <v>1494</v>
      </c>
      <c r="R3697" s="34" t="s">
        <v>1494</v>
      </c>
    </row>
    <row r="3698" spans="1:18" ht="15" customHeight="1" x14ac:dyDescent="0.25">
      <c r="A3698" t="str">
        <f>IFERROR(RANK(B3698,$B:$B,1)+COUNTIF($B$1:B3697,B3698),"")</f>
        <v/>
      </c>
      <c r="B3698" t="str">
        <f>IFERROR(SEARCH(#REF!,Table4[[#This Row],[Commodity Title]],1),"")</f>
        <v/>
      </c>
      <c r="C3698" s="35">
        <v>42321902</v>
      </c>
      <c r="D3698" s="33" t="s">
        <v>1495</v>
      </c>
      <c r="E3698" s="33" t="s">
        <v>1496</v>
      </c>
      <c r="F3698" s="33" t="s">
        <v>1497</v>
      </c>
      <c r="G3698" s="33" t="s">
        <v>8885</v>
      </c>
      <c r="H3698" s="33" t="s">
        <v>8886</v>
      </c>
      <c r="I3698" s="33" t="s">
        <v>8887</v>
      </c>
      <c r="J3698" s="33">
        <v>146193</v>
      </c>
      <c r="K3698" s="33" t="s">
        <v>9032</v>
      </c>
      <c r="L3698" s="33" t="s">
        <v>9033</v>
      </c>
      <c r="M3698" s="33" t="s">
        <v>9034</v>
      </c>
      <c r="N3698" s="44">
        <v>42321902</v>
      </c>
      <c r="O3698" s="33" t="s">
        <v>274</v>
      </c>
      <c r="P3698" s="33" t="s">
        <v>9035</v>
      </c>
      <c r="Q3698" s="34" t="s">
        <v>1494</v>
      </c>
      <c r="R3698" s="34" t="s">
        <v>1494</v>
      </c>
    </row>
    <row r="3699" spans="1:18" ht="15" customHeight="1" x14ac:dyDescent="0.25">
      <c r="A3699" t="str">
        <f>IFERROR(RANK(B3699,$B:$B,1)+COUNTIF($B$1:B3698,B3699),"")</f>
        <v/>
      </c>
      <c r="B3699" t="str">
        <f>IFERROR(SEARCH(#REF!,Table4[[#This Row],[Commodity Title]],1),"")</f>
        <v/>
      </c>
      <c r="C3699" s="35">
        <v>42321903</v>
      </c>
      <c r="D3699" s="33" t="s">
        <v>1495</v>
      </c>
      <c r="E3699" s="33" t="s">
        <v>1496</v>
      </c>
      <c r="F3699" s="33" t="s">
        <v>1497</v>
      </c>
      <c r="G3699" s="33" t="s">
        <v>8885</v>
      </c>
      <c r="H3699" s="33" t="s">
        <v>8886</v>
      </c>
      <c r="I3699" s="33" t="s">
        <v>8887</v>
      </c>
      <c r="J3699" s="33">
        <v>146194</v>
      </c>
      <c r="K3699" s="33" t="s">
        <v>9032</v>
      </c>
      <c r="L3699" s="33" t="s">
        <v>9033</v>
      </c>
      <c r="M3699" s="33" t="s">
        <v>9034</v>
      </c>
      <c r="N3699" s="44">
        <v>42321903</v>
      </c>
      <c r="O3699" s="33" t="s">
        <v>150</v>
      </c>
      <c r="P3699" s="33" t="s">
        <v>9036</v>
      </c>
      <c r="Q3699" s="34" t="s">
        <v>1494</v>
      </c>
      <c r="R3699" s="34" t="s">
        <v>1494</v>
      </c>
    </row>
    <row r="3700" spans="1:18" ht="15" customHeight="1" x14ac:dyDescent="0.25">
      <c r="A3700" t="str">
        <f>IFERROR(RANK(B3700,$B:$B,1)+COUNTIF($B$1:B3699,B3700),"")</f>
        <v/>
      </c>
      <c r="B3700" t="str">
        <f>IFERROR(SEARCH(#REF!,Table4[[#This Row],[Commodity Title]],1),"")</f>
        <v/>
      </c>
      <c r="C3700" s="35">
        <v>42321904</v>
      </c>
      <c r="D3700" s="33" t="s">
        <v>1495</v>
      </c>
      <c r="E3700" s="33" t="s">
        <v>1496</v>
      </c>
      <c r="F3700" s="33" t="s">
        <v>1497</v>
      </c>
      <c r="G3700" s="33" t="s">
        <v>8885</v>
      </c>
      <c r="H3700" s="33" t="s">
        <v>8886</v>
      </c>
      <c r="I3700" s="33" t="s">
        <v>8887</v>
      </c>
      <c r="J3700" s="33">
        <v>164844</v>
      </c>
      <c r="K3700" s="33" t="s">
        <v>9032</v>
      </c>
      <c r="L3700" s="33" t="s">
        <v>9033</v>
      </c>
      <c r="M3700" s="33" t="s">
        <v>9034</v>
      </c>
      <c r="N3700" s="44">
        <v>42321904</v>
      </c>
      <c r="O3700" s="33" t="s">
        <v>252</v>
      </c>
      <c r="P3700" s="33" t="s">
        <v>9037</v>
      </c>
      <c r="Q3700" s="34" t="s">
        <v>1494</v>
      </c>
      <c r="R3700" s="34" t="s">
        <v>1494</v>
      </c>
    </row>
    <row r="3701" spans="1:18" ht="15" customHeight="1" x14ac:dyDescent="0.25">
      <c r="A3701" t="str">
        <f>IFERROR(RANK(B3701,$B:$B,1)+COUNTIF($B$1:B3700,B3701),"")</f>
        <v/>
      </c>
      <c r="B3701" t="str">
        <f>IFERROR(SEARCH(#REF!,Table4[[#This Row],[Commodity Title]],1),"")</f>
        <v/>
      </c>
      <c r="C3701" s="35">
        <v>42321905</v>
      </c>
      <c r="D3701" s="33" t="s">
        <v>1495</v>
      </c>
      <c r="E3701" s="33" t="s">
        <v>1496</v>
      </c>
      <c r="F3701" s="33" t="s">
        <v>1497</v>
      </c>
      <c r="G3701" s="33" t="s">
        <v>8885</v>
      </c>
      <c r="H3701" s="33" t="s">
        <v>8886</v>
      </c>
      <c r="I3701" s="33" t="s">
        <v>8887</v>
      </c>
      <c r="J3701" s="33">
        <v>164845</v>
      </c>
      <c r="K3701" s="33" t="s">
        <v>9032</v>
      </c>
      <c r="L3701" s="33" t="s">
        <v>9033</v>
      </c>
      <c r="M3701" s="33" t="s">
        <v>9034</v>
      </c>
      <c r="N3701" s="44">
        <v>42321905</v>
      </c>
      <c r="O3701" s="33" t="s">
        <v>9038</v>
      </c>
      <c r="P3701" s="33" t="s">
        <v>9039</v>
      </c>
      <c r="Q3701" s="34" t="s">
        <v>1494</v>
      </c>
      <c r="R3701" s="34" t="s">
        <v>1494</v>
      </c>
    </row>
    <row r="3702" spans="1:18" ht="15" customHeight="1" x14ac:dyDescent="0.25">
      <c r="A3702" t="str">
        <f>IFERROR(RANK(B3702,$B:$B,1)+COUNTIF($B$1:B3701,B3702),"")</f>
        <v/>
      </c>
      <c r="B3702" t="str">
        <f>IFERROR(SEARCH(#REF!,Table4[[#This Row],[Commodity Title]],1),"")</f>
        <v/>
      </c>
      <c r="C3702" s="35">
        <v>42321906</v>
      </c>
      <c r="D3702" s="33" t="s">
        <v>1495</v>
      </c>
      <c r="E3702" s="33" t="s">
        <v>1496</v>
      </c>
      <c r="F3702" s="33" t="s">
        <v>1497</v>
      </c>
      <c r="G3702" s="33" t="s">
        <v>8885</v>
      </c>
      <c r="H3702" s="33" t="s">
        <v>8886</v>
      </c>
      <c r="I3702" s="33" t="s">
        <v>8887</v>
      </c>
      <c r="J3702" s="33">
        <v>164846</v>
      </c>
      <c r="K3702" s="33" t="s">
        <v>9032</v>
      </c>
      <c r="L3702" s="33" t="s">
        <v>9033</v>
      </c>
      <c r="M3702" s="33" t="s">
        <v>9034</v>
      </c>
      <c r="N3702" s="44">
        <v>42321906</v>
      </c>
      <c r="O3702" s="33" t="s">
        <v>9040</v>
      </c>
      <c r="P3702" s="33" t="s">
        <v>9041</v>
      </c>
      <c r="Q3702" s="34" t="s">
        <v>1494</v>
      </c>
      <c r="R3702" s="34" t="s">
        <v>1494</v>
      </c>
    </row>
    <row r="3703" spans="1:18" ht="15" customHeight="1" x14ac:dyDescent="0.25">
      <c r="A3703" t="str">
        <f>IFERROR(RANK(B3703,$B:$B,1)+COUNTIF($B$1:B3702,B3703),"")</f>
        <v/>
      </c>
      <c r="B3703" t="str">
        <f>IFERROR(SEARCH(#REF!,Table4[[#This Row],[Commodity Title]],1),"")</f>
        <v/>
      </c>
      <c r="C3703" s="35">
        <v>42321907</v>
      </c>
      <c r="D3703" s="33" t="s">
        <v>1495</v>
      </c>
      <c r="E3703" s="33" t="s">
        <v>1496</v>
      </c>
      <c r="F3703" s="33" t="s">
        <v>1497</v>
      </c>
      <c r="G3703" s="33" t="s">
        <v>8885</v>
      </c>
      <c r="H3703" s="33" t="s">
        <v>8886</v>
      </c>
      <c r="I3703" s="33" t="s">
        <v>8887</v>
      </c>
      <c r="J3703" s="33">
        <v>164891</v>
      </c>
      <c r="K3703" s="33" t="s">
        <v>9032</v>
      </c>
      <c r="L3703" s="33" t="s">
        <v>9033</v>
      </c>
      <c r="M3703" s="33" t="s">
        <v>9034</v>
      </c>
      <c r="N3703" s="44">
        <v>42321907</v>
      </c>
      <c r="O3703" s="33" t="s">
        <v>9042</v>
      </c>
      <c r="P3703" s="33" t="s">
        <v>9043</v>
      </c>
      <c r="Q3703" s="34" t="s">
        <v>1494</v>
      </c>
      <c r="R3703" s="34" t="s">
        <v>1494</v>
      </c>
    </row>
    <row r="3704" spans="1:18" ht="15" customHeight="1" x14ac:dyDescent="0.25">
      <c r="A3704" t="str">
        <f>IFERROR(RANK(B3704,$B:$B,1)+COUNTIF($B$1:B3703,B3704),"")</f>
        <v/>
      </c>
      <c r="B3704" t="str">
        <f>IFERROR(SEARCH(#REF!,Table4[[#This Row],[Commodity Title]],1),"")</f>
        <v/>
      </c>
      <c r="C3704" s="35">
        <v>42321908</v>
      </c>
      <c r="D3704" s="33" t="s">
        <v>1495</v>
      </c>
      <c r="E3704" s="33" t="s">
        <v>1496</v>
      </c>
      <c r="F3704" s="33" t="s">
        <v>1497</v>
      </c>
      <c r="G3704" s="33" t="s">
        <v>8885</v>
      </c>
      <c r="H3704" s="33" t="s">
        <v>8886</v>
      </c>
      <c r="I3704" s="33" t="s">
        <v>8887</v>
      </c>
      <c r="J3704" s="33">
        <v>174439</v>
      </c>
      <c r="K3704" s="33" t="s">
        <v>9032</v>
      </c>
      <c r="L3704" s="33" t="s">
        <v>9033</v>
      </c>
      <c r="M3704" s="33" t="s">
        <v>9034</v>
      </c>
      <c r="N3704" s="44">
        <v>42321908</v>
      </c>
      <c r="O3704" s="33" t="s">
        <v>9044</v>
      </c>
      <c r="P3704" s="33" t="s">
        <v>9045</v>
      </c>
      <c r="Q3704" s="34" t="s">
        <v>1494</v>
      </c>
      <c r="R3704" s="34" t="s">
        <v>1494</v>
      </c>
    </row>
    <row r="3705" spans="1:18" ht="15" customHeight="1" x14ac:dyDescent="0.25">
      <c r="A3705" t="str">
        <f>IFERROR(RANK(B3705,$B:$B,1)+COUNTIF($B$1:B3704,B3705),"")</f>
        <v/>
      </c>
      <c r="B3705" t="str">
        <f>IFERROR(SEARCH(#REF!,Table4[[#This Row],[Commodity Title]],1),"")</f>
        <v/>
      </c>
      <c r="C3705" s="35">
        <v>42321909</v>
      </c>
      <c r="D3705" s="33" t="s">
        <v>1495</v>
      </c>
      <c r="E3705" s="33" t="s">
        <v>1496</v>
      </c>
      <c r="F3705" s="33" t="s">
        <v>1497</v>
      </c>
      <c r="G3705" s="33" t="s">
        <v>8885</v>
      </c>
      <c r="H3705" s="33" t="s">
        <v>8886</v>
      </c>
      <c r="I3705" s="33" t="s">
        <v>8887</v>
      </c>
      <c r="J3705" s="33">
        <v>174440</v>
      </c>
      <c r="K3705" s="33" t="s">
        <v>9032</v>
      </c>
      <c r="L3705" s="33" t="s">
        <v>9033</v>
      </c>
      <c r="M3705" s="33" t="s">
        <v>9034</v>
      </c>
      <c r="N3705" s="44">
        <v>42321909</v>
      </c>
      <c r="O3705" s="33" t="s">
        <v>9046</v>
      </c>
      <c r="P3705" s="33" t="s">
        <v>9047</v>
      </c>
      <c r="Q3705" s="34" t="s">
        <v>1494</v>
      </c>
      <c r="R3705" s="34" t="s">
        <v>1494</v>
      </c>
    </row>
    <row r="3706" spans="1:18" ht="15" customHeight="1" x14ac:dyDescent="0.25">
      <c r="A3706" t="str">
        <f>IFERROR(RANK(B3706,$B:$B,1)+COUNTIF($B$1:B3705,B3706),"")</f>
        <v/>
      </c>
      <c r="B3706" t="str">
        <f>IFERROR(SEARCH(#REF!,Table4[[#This Row],[Commodity Title]],1),"")</f>
        <v/>
      </c>
      <c r="C3706" s="35">
        <v>42321910</v>
      </c>
      <c r="D3706" s="33" t="s">
        <v>1495</v>
      </c>
      <c r="E3706" s="33" t="s">
        <v>1496</v>
      </c>
      <c r="F3706" s="33" t="s">
        <v>1497</v>
      </c>
      <c r="G3706" s="33" t="s">
        <v>8885</v>
      </c>
      <c r="H3706" s="33" t="s">
        <v>8886</v>
      </c>
      <c r="I3706" s="33" t="s">
        <v>8887</v>
      </c>
      <c r="J3706" s="33">
        <v>174441</v>
      </c>
      <c r="K3706" s="33" t="s">
        <v>9032</v>
      </c>
      <c r="L3706" s="33" t="s">
        <v>9033</v>
      </c>
      <c r="M3706" s="33" t="s">
        <v>9034</v>
      </c>
      <c r="N3706" s="44">
        <v>42321910</v>
      </c>
      <c r="O3706" s="33" t="s">
        <v>85</v>
      </c>
      <c r="P3706" s="33" t="s">
        <v>9048</v>
      </c>
      <c r="Q3706" s="34" t="s">
        <v>1494</v>
      </c>
      <c r="R3706" s="34" t="s">
        <v>1494</v>
      </c>
    </row>
    <row r="3707" spans="1:18" ht="15" customHeight="1" x14ac:dyDescent="0.25">
      <c r="A3707" t="str">
        <f>IFERROR(RANK(B3707,$B:$B,1)+COUNTIF($B$1:B3706,B3707),"")</f>
        <v/>
      </c>
      <c r="B3707" t="str">
        <f>IFERROR(SEARCH(#REF!,Table4[[#This Row],[Commodity Title]],1),"")</f>
        <v/>
      </c>
      <c r="C3707" s="35">
        <v>42321911</v>
      </c>
      <c r="D3707" s="33" t="s">
        <v>1495</v>
      </c>
      <c r="E3707" s="33" t="s">
        <v>1496</v>
      </c>
      <c r="F3707" s="33" t="s">
        <v>1497</v>
      </c>
      <c r="G3707" s="33" t="s">
        <v>8885</v>
      </c>
      <c r="H3707" s="33" t="s">
        <v>8886</v>
      </c>
      <c r="I3707" s="33" t="s">
        <v>8887</v>
      </c>
      <c r="J3707" s="33">
        <v>176743</v>
      </c>
      <c r="K3707" s="33" t="s">
        <v>9032</v>
      </c>
      <c r="L3707" s="33" t="s">
        <v>9033</v>
      </c>
      <c r="M3707" s="33" t="s">
        <v>9034</v>
      </c>
      <c r="N3707" s="44">
        <v>42321911</v>
      </c>
      <c r="O3707" s="33" t="s">
        <v>280</v>
      </c>
      <c r="P3707" s="33" t="s">
        <v>9049</v>
      </c>
      <c r="Q3707" s="34" t="s">
        <v>1494</v>
      </c>
      <c r="R3707" s="34" t="s">
        <v>1494</v>
      </c>
    </row>
    <row r="3708" spans="1:18" ht="15" customHeight="1" x14ac:dyDescent="0.25">
      <c r="A3708" t="str">
        <f>IFERROR(RANK(B3708,$B:$B,1)+COUNTIF($B$1:B3707,B3708),"")</f>
        <v/>
      </c>
      <c r="B3708" t="str">
        <f>IFERROR(SEARCH(#REF!,Table4[[#This Row],[Commodity Title]],1),"")</f>
        <v/>
      </c>
      <c r="C3708" s="35">
        <v>42321912</v>
      </c>
      <c r="D3708" s="33" t="s">
        <v>1495</v>
      </c>
      <c r="E3708" s="33" t="s">
        <v>1496</v>
      </c>
      <c r="F3708" s="33" t="s">
        <v>1497</v>
      </c>
      <c r="G3708" s="33" t="s">
        <v>8885</v>
      </c>
      <c r="H3708" s="33" t="s">
        <v>8886</v>
      </c>
      <c r="I3708" s="33" t="s">
        <v>8887</v>
      </c>
      <c r="J3708" s="33">
        <v>176744</v>
      </c>
      <c r="K3708" s="33" t="s">
        <v>9032</v>
      </c>
      <c r="L3708" s="33" t="s">
        <v>9033</v>
      </c>
      <c r="M3708" s="33" t="s">
        <v>9034</v>
      </c>
      <c r="N3708" s="44">
        <v>42321912</v>
      </c>
      <c r="O3708" s="33" t="s">
        <v>9050</v>
      </c>
      <c r="P3708" s="33" t="s">
        <v>9051</v>
      </c>
      <c r="Q3708" s="34" t="s">
        <v>1494</v>
      </c>
      <c r="R3708" s="34" t="s">
        <v>1494</v>
      </c>
    </row>
    <row r="3709" spans="1:18" ht="15" customHeight="1" x14ac:dyDescent="0.25">
      <c r="A3709" t="str">
        <f>IFERROR(RANK(B3709,$B:$B,1)+COUNTIF($B$1:B3708,B3709),"")</f>
        <v/>
      </c>
      <c r="B3709" t="str">
        <f>IFERROR(SEARCH(#REF!,Table4[[#This Row],[Commodity Title]],1),"")</f>
        <v/>
      </c>
      <c r="C3709" s="35">
        <v>42321913</v>
      </c>
      <c r="D3709" s="33" t="s">
        <v>1495</v>
      </c>
      <c r="E3709" s="33" t="s">
        <v>1496</v>
      </c>
      <c r="F3709" s="33" t="s">
        <v>1497</v>
      </c>
      <c r="G3709" s="33" t="s">
        <v>8885</v>
      </c>
      <c r="H3709" s="33" t="s">
        <v>8886</v>
      </c>
      <c r="I3709" s="33" t="s">
        <v>8887</v>
      </c>
      <c r="J3709" s="33">
        <v>203388</v>
      </c>
      <c r="K3709" s="33" t="s">
        <v>9032</v>
      </c>
      <c r="L3709" s="33" t="s">
        <v>9033</v>
      </c>
      <c r="M3709" s="33" t="s">
        <v>9034</v>
      </c>
      <c r="N3709" s="44">
        <v>42321913</v>
      </c>
      <c r="O3709" s="33" t="s">
        <v>9052</v>
      </c>
      <c r="P3709" s="33" t="s">
        <v>9053</v>
      </c>
      <c r="Q3709" s="34" t="s">
        <v>1494</v>
      </c>
      <c r="R3709" s="34" t="s">
        <v>1494</v>
      </c>
    </row>
    <row r="3710" spans="1:18" ht="15" customHeight="1" x14ac:dyDescent="0.25">
      <c r="A3710" t="str">
        <f>IFERROR(RANK(B3710,$B:$B,1)+COUNTIF($B$1:B3709,B3710),"")</f>
        <v/>
      </c>
      <c r="B3710" t="str">
        <f>IFERROR(SEARCH(#REF!,Table4[[#This Row],[Commodity Title]],1),"")</f>
        <v/>
      </c>
      <c r="C3710" s="33" t="s">
        <v>1494</v>
      </c>
      <c r="D3710" s="33" t="s">
        <v>1495</v>
      </c>
      <c r="E3710" s="33" t="s">
        <v>1496</v>
      </c>
      <c r="F3710" s="33" t="s">
        <v>1497</v>
      </c>
      <c r="G3710" s="33" t="s">
        <v>8885</v>
      </c>
      <c r="H3710" s="33" t="s">
        <v>8886</v>
      </c>
      <c r="I3710" s="33" t="s">
        <v>8887</v>
      </c>
      <c r="J3710" s="33">
        <v>146195</v>
      </c>
      <c r="K3710" s="33" t="s">
        <v>9054</v>
      </c>
      <c r="L3710" s="33" t="s">
        <v>9055</v>
      </c>
      <c r="M3710" s="33" t="s">
        <v>9056</v>
      </c>
      <c r="N3710" s="44" t="s">
        <v>1494</v>
      </c>
      <c r="O3710" s="33" t="s">
        <v>1494</v>
      </c>
      <c r="P3710" s="33" t="s">
        <v>1494</v>
      </c>
      <c r="Q3710" s="34" t="s">
        <v>1494</v>
      </c>
      <c r="R3710" s="34" t="s">
        <v>1494</v>
      </c>
    </row>
    <row r="3711" spans="1:18" ht="15" customHeight="1" x14ac:dyDescent="0.25">
      <c r="A3711" t="str">
        <f>IFERROR(RANK(B3711,$B:$B,1)+COUNTIF($B$1:B3710,B3711),"")</f>
        <v/>
      </c>
      <c r="B3711" t="str">
        <f>IFERROR(SEARCH(#REF!,Table4[[#This Row],[Commodity Title]],1),"")</f>
        <v/>
      </c>
      <c r="C3711" s="35">
        <v>42322001</v>
      </c>
      <c r="D3711" s="33" t="s">
        <v>1495</v>
      </c>
      <c r="E3711" s="33" t="s">
        <v>1496</v>
      </c>
      <c r="F3711" s="33" t="s">
        <v>1497</v>
      </c>
      <c r="G3711" s="33" t="s">
        <v>8885</v>
      </c>
      <c r="H3711" s="33" t="s">
        <v>8886</v>
      </c>
      <c r="I3711" s="33" t="s">
        <v>8887</v>
      </c>
      <c r="J3711" s="33">
        <v>145852</v>
      </c>
      <c r="K3711" s="33" t="s">
        <v>9054</v>
      </c>
      <c r="L3711" s="33" t="s">
        <v>9055</v>
      </c>
      <c r="M3711" s="33" t="s">
        <v>9056</v>
      </c>
      <c r="N3711" s="44">
        <v>42322001</v>
      </c>
      <c r="O3711" s="33" t="s">
        <v>9057</v>
      </c>
      <c r="P3711" s="33" t="s">
        <v>9058</v>
      </c>
      <c r="Q3711" s="34" t="s">
        <v>1494</v>
      </c>
      <c r="R3711" s="34" t="s">
        <v>1494</v>
      </c>
    </row>
    <row r="3712" spans="1:18" ht="15" customHeight="1" x14ac:dyDescent="0.25">
      <c r="A3712" t="str">
        <f>IFERROR(RANK(B3712,$B:$B,1)+COUNTIF($B$1:B3711,B3712),"")</f>
        <v/>
      </c>
      <c r="B3712" t="str">
        <f>IFERROR(SEARCH(#REF!,Table4[[#This Row],[Commodity Title]],1),"")</f>
        <v/>
      </c>
      <c r="C3712" s="35">
        <v>42322002</v>
      </c>
      <c r="D3712" s="33" t="s">
        <v>1495</v>
      </c>
      <c r="E3712" s="33" t="s">
        <v>1496</v>
      </c>
      <c r="F3712" s="33" t="s">
        <v>1497</v>
      </c>
      <c r="G3712" s="33" t="s">
        <v>8885</v>
      </c>
      <c r="H3712" s="33" t="s">
        <v>8886</v>
      </c>
      <c r="I3712" s="33" t="s">
        <v>8887</v>
      </c>
      <c r="J3712" s="33">
        <v>145853</v>
      </c>
      <c r="K3712" s="33" t="s">
        <v>9054</v>
      </c>
      <c r="L3712" s="33" t="s">
        <v>9055</v>
      </c>
      <c r="M3712" s="33" t="s">
        <v>9056</v>
      </c>
      <c r="N3712" s="44">
        <v>42322002</v>
      </c>
      <c r="O3712" s="33" t="s">
        <v>9059</v>
      </c>
      <c r="P3712" s="33" t="s">
        <v>9060</v>
      </c>
      <c r="Q3712" s="34" t="s">
        <v>1494</v>
      </c>
      <c r="R3712" s="34" t="s">
        <v>1494</v>
      </c>
    </row>
    <row r="3713" spans="1:18" ht="15" customHeight="1" x14ac:dyDescent="0.25">
      <c r="A3713" t="str">
        <f>IFERROR(RANK(B3713,$B:$B,1)+COUNTIF($B$1:B3712,B3713),"")</f>
        <v/>
      </c>
      <c r="B3713" t="str">
        <f>IFERROR(SEARCH(#REF!,Table4[[#This Row],[Commodity Title]],1),"")</f>
        <v/>
      </c>
      <c r="C3713" s="35">
        <v>42322003</v>
      </c>
      <c r="D3713" s="33" t="s">
        <v>1495</v>
      </c>
      <c r="E3713" s="33" t="s">
        <v>1496</v>
      </c>
      <c r="F3713" s="33" t="s">
        <v>1497</v>
      </c>
      <c r="G3713" s="33" t="s">
        <v>8885</v>
      </c>
      <c r="H3713" s="33" t="s">
        <v>8886</v>
      </c>
      <c r="I3713" s="33" t="s">
        <v>8887</v>
      </c>
      <c r="J3713" s="33">
        <v>145854</v>
      </c>
      <c r="K3713" s="33" t="s">
        <v>9054</v>
      </c>
      <c r="L3713" s="33" t="s">
        <v>9055</v>
      </c>
      <c r="M3713" s="33" t="s">
        <v>9056</v>
      </c>
      <c r="N3713" s="44">
        <v>42322003</v>
      </c>
      <c r="O3713" s="33" t="s">
        <v>9061</v>
      </c>
      <c r="P3713" s="33" t="s">
        <v>9062</v>
      </c>
      <c r="Q3713" s="34" t="s">
        <v>1494</v>
      </c>
      <c r="R3713" s="34" t="s">
        <v>1494</v>
      </c>
    </row>
    <row r="3714" spans="1:18" ht="15" customHeight="1" x14ac:dyDescent="0.25">
      <c r="A3714" t="str">
        <f>IFERROR(RANK(B3714,$B:$B,1)+COUNTIF($B$1:B3713,B3714),"")</f>
        <v/>
      </c>
      <c r="B3714" t="str">
        <f>IFERROR(SEARCH(#REF!,Table4[[#This Row],[Commodity Title]],1),"")</f>
        <v/>
      </c>
      <c r="C3714" s="35">
        <v>42322004</v>
      </c>
      <c r="D3714" s="33" t="s">
        <v>1495</v>
      </c>
      <c r="E3714" s="33" t="s">
        <v>1496</v>
      </c>
      <c r="F3714" s="33" t="s">
        <v>1497</v>
      </c>
      <c r="G3714" s="33" t="s">
        <v>8885</v>
      </c>
      <c r="H3714" s="33" t="s">
        <v>8886</v>
      </c>
      <c r="I3714" s="33" t="s">
        <v>8887</v>
      </c>
      <c r="J3714" s="33">
        <v>145855</v>
      </c>
      <c r="K3714" s="33" t="s">
        <v>9054</v>
      </c>
      <c r="L3714" s="33" t="s">
        <v>9055</v>
      </c>
      <c r="M3714" s="33" t="s">
        <v>9056</v>
      </c>
      <c r="N3714" s="44">
        <v>42322004</v>
      </c>
      <c r="O3714" s="33" t="s">
        <v>9063</v>
      </c>
      <c r="P3714" s="33" t="s">
        <v>9064</v>
      </c>
      <c r="Q3714" s="34" t="s">
        <v>1494</v>
      </c>
      <c r="R3714" s="34" t="s">
        <v>1494</v>
      </c>
    </row>
    <row r="3715" spans="1:18" ht="15" customHeight="1" x14ac:dyDescent="0.25">
      <c r="A3715" t="str">
        <f>IFERROR(RANK(B3715,$B:$B,1)+COUNTIF($B$1:B3714,B3715),"")</f>
        <v/>
      </c>
      <c r="B3715" t="str">
        <f>IFERROR(SEARCH(#REF!,Table4[[#This Row],[Commodity Title]],1),"")</f>
        <v/>
      </c>
      <c r="C3715" s="35">
        <v>42322005</v>
      </c>
      <c r="D3715" s="33" t="s">
        <v>1495</v>
      </c>
      <c r="E3715" s="33" t="s">
        <v>1496</v>
      </c>
      <c r="F3715" s="33" t="s">
        <v>1497</v>
      </c>
      <c r="G3715" s="33" t="s">
        <v>8885</v>
      </c>
      <c r="H3715" s="33" t="s">
        <v>8886</v>
      </c>
      <c r="I3715" s="33" t="s">
        <v>8887</v>
      </c>
      <c r="J3715" s="33">
        <v>145856</v>
      </c>
      <c r="K3715" s="33" t="s">
        <v>9054</v>
      </c>
      <c r="L3715" s="33" t="s">
        <v>9055</v>
      </c>
      <c r="M3715" s="33" t="s">
        <v>9056</v>
      </c>
      <c r="N3715" s="44">
        <v>42322005</v>
      </c>
      <c r="O3715" s="33" t="s">
        <v>9065</v>
      </c>
      <c r="P3715" s="33" t="s">
        <v>9066</v>
      </c>
      <c r="Q3715" s="34" t="s">
        <v>1494</v>
      </c>
      <c r="R3715" s="34" t="s">
        <v>1494</v>
      </c>
    </row>
    <row r="3716" spans="1:18" ht="15" customHeight="1" x14ac:dyDescent="0.25">
      <c r="A3716" t="str">
        <f>IFERROR(RANK(B3716,$B:$B,1)+COUNTIF($B$1:B3715,B3716),"")</f>
        <v/>
      </c>
      <c r="B3716" t="str">
        <f>IFERROR(SEARCH(#REF!,Table4[[#This Row],[Commodity Title]],1),"")</f>
        <v/>
      </c>
      <c r="C3716" s="35">
        <v>42322006</v>
      </c>
      <c r="D3716" s="33" t="s">
        <v>1495</v>
      </c>
      <c r="E3716" s="33" t="s">
        <v>1496</v>
      </c>
      <c r="F3716" s="33" t="s">
        <v>1497</v>
      </c>
      <c r="G3716" s="33" t="s">
        <v>8885</v>
      </c>
      <c r="H3716" s="33" t="s">
        <v>8886</v>
      </c>
      <c r="I3716" s="33" t="s">
        <v>8887</v>
      </c>
      <c r="J3716" s="33">
        <v>164847</v>
      </c>
      <c r="K3716" s="33" t="s">
        <v>9054</v>
      </c>
      <c r="L3716" s="33" t="s">
        <v>9055</v>
      </c>
      <c r="M3716" s="33" t="s">
        <v>9056</v>
      </c>
      <c r="N3716" s="44">
        <v>42322006</v>
      </c>
      <c r="O3716" s="33" t="s">
        <v>9067</v>
      </c>
      <c r="P3716" s="33" t="s">
        <v>9068</v>
      </c>
      <c r="Q3716" s="34" t="s">
        <v>1494</v>
      </c>
      <c r="R3716" s="34" t="s">
        <v>1494</v>
      </c>
    </row>
    <row r="3717" spans="1:18" ht="15" customHeight="1" x14ac:dyDescent="0.25">
      <c r="A3717" t="str">
        <f>IFERROR(RANK(B3717,$B:$B,1)+COUNTIF($B$1:B3716,B3717),"")</f>
        <v/>
      </c>
      <c r="B3717" t="str">
        <f>IFERROR(SEARCH(#REF!,Table4[[#This Row],[Commodity Title]],1),"")</f>
        <v/>
      </c>
      <c r="C3717" s="35">
        <v>42322007</v>
      </c>
      <c r="D3717" s="33" t="s">
        <v>1495</v>
      </c>
      <c r="E3717" s="33" t="s">
        <v>1496</v>
      </c>
      <c r="F3717" s="33" t="s">
        <v>1497</v>
      </c>
      <c r="G3717" s="33" t="s">
        <v>8885</v>
      </c>
      <c r="H3717" s="33" t="s">
        <v>8886</v>
      </c>
      <c r="I3717" s="33" t="s">
        <v>8887</v>
      </c>
      <c r="J3717" s="33">
        <v>203389</v>
      </c>
      <c r="K3717" s="33" t="s">
        <v>9054</v>
      </c>
      <c r="L3717" s="33" t="s">
        <v>9055</v>
      </c>
      <c r="M3717" s="33" t="s">
        <v>9056</v>
      </c>
      <c r="N3717" s="44">
        <v>42322007</v>
      </c>
      <c r="O3717" s="33" t="s">
        <v>233</v>
      </c>
      <c r="P3717" s="33" t="s">
        <v>9069</v>
      </c>
      <c r="Q3717" s="34" t="s">
        <v>1494</v>
      </c>
      <c r="R3717" s="34" t="s">
        <v>1494</v>
      </c>
    </row>
    <row r="3718" spans="1:18" ht="15" customHeight="1" x14ac:dyDescent="0.25">
      <c r="A3718" t="str">
        <f>IFERROR(RANK(B3718,$B:$B,1)+COUNTIF($B$1:B3717,B3718),"")</f>
        <v/>
      </c>
      <c r="B3718" t="str">
        <f>IFERROR(SEARCH(#REF!,Table4[[#This Row],[Commodity Title]],1),"")</f>
        <v/>
      </c>
      <c r="C3718" s="35">
        <v>42322008</v>
      </c>
      <c r="D3718" s="33" t="s">
        <v>1495</v>
      </c>
      <c r="E3718" s="33" t="s">
        <v>1496</v>
      </c>
      <c r="F3718" s="33" t="s">
        <v>1497</v>
      </c>
      <c r="G3718" s="33" t="s">
        <v>8885</v>
      </c>
      <c r="H3718" s="33" t="s">
        <v>8886</v>
      </c>
      <c r="I3718" s="33" t="s">
        <v>8887</v>
      </c>
      <c r="J3718" s="33">
        <v>203390</v>
      </c>
      <c r="K3718" s="33" t="s">
        <v>9054</v>
      </c>
      <c r="L3718" s="33" t="s">
        <v>9055</v>
      </c>
      <c r="M3718" s="33" t="s">
        <v>9056</v>
      </c>
      <c r="N3718" s="44">
        <v>42322008</v>
      </c>
      <c r="O3718" s="33" t="s">
        <v>9070</v>
      </c>
      <c r="P3718" s="33" t="s">
        <v>9071</v>
      </c>
      <c r="Q3718" s="34" t="s">
        <v>1494</v>
      </c>
      <c r="R3718" s="34" t="s">
        <v>1494</v>
      </c>
    </row>
    <row r="3719" spans="1:18" ht="15" customHeight="1" x14ac:dyDescent="0.25">
      <c r="A3719" t="str">
        <f>IFERROR(RANK(B3719,$B:$B,1)+COUNTIF($B$1:B3718,B3719),"")</f>
        <v/>
      </c>
      <c r="B3719" t="str">
        <f>IFERROR(SEARCH(#REF!,Table4[[#This Row],[Commodity Title]],1),"")</f>
        <v/>
      </c>
      <c r="C3719" s="35">
        <v>42322009</v>
      </c>
      <c r="D3719" s="33" t="s">
        <v>1495</v>
      </c>
      <c r="E3719" s="33" t="s">
        <v>1496</v>
      </c>
      <c r="F3719" s="33" t="s">
        <v>1497</v>
      </c>
      <c r="G3719" s="33" t="s">
        <v>8885</v>
      </c>
      <c r="H3719" s="33" t="s">
        <v>8886</v>
      </c>
      <c r="I3719" s="33" t="s">
        <v>8887</v>
      </c>
      <c r="J3719" s="33">
        <v>203391</v>
      </c>
      <c r="K3719" s="33" t="s">
        <v>9054</v>
      </c>
      <c r="L3719" s="33" t="s">
        <v>9055</v>
      </c>
      <c r="M3719" s="33" t="s">
        <v>9056</v>
      </c>
      <c r="N3719" s="44">
        <v>42322009</v>
      </c>
      <c r="O3719" s="33" t="s">
        <v>9072</v>
      </c>
      <c r="P3719" s="33" t="s">
        <v>9073</v>
      </c>
      <c r="Q3719" s="34" t="s">
        <v>1494</v>
      </c>
      <c r="R3719" s="34" t="s">
        <v>1494</v>
      </c>
    </row>
    <row r="3720" spans="1:18" ht="15" customHeight="1" x14ac:dyDescent="0.25">
      <c r="A3720" t="str">
        <f>IFERROR(RANK(B3720,$B:$B,1)+COUNTIF($B$1:B3719,B3720),"")</f>
        <v/>
      </c>
      <c r="B3720" t="str">
        <f>IFERROR(SEARCH(#REF!,Table4[[#This Row],[Commodity Title]],1),"")</f>
        <v/>
      </c>
      <c r="C3720" s="33" t="s">
        <v>1494</v>
      </c>
      <c r="D3720" s="33" t="s">
        <v>1495</v>
      </c>
      <c r="E3720" s="33" t="s">
        <v>1496</v>
      </c>
      <c r="F3720" s="33" t="s">
        <v>1497</v>
      </c>
      <c r="G3720" s="33" t="s">
        <v>8885</v>
      </c>
      <c r="H3720" s="33" t="s">
        <v>8886</v>
      </c>
      <c r="I3720" s="33" t="s">
        <v>8887</v>
      </c>
      <c r="J3720" s="33">
        <v>164892</v>
      </c>
      <c r="K3720" s="33" t="s">
        <v>9074</v>
      </c>
      <c r="L3720" s="33" t="s">
        <v>9075</v>
      </c>
      <c r="M3720" s="33" t="s">
        <v>9076</v>
      </c>
      <c r="N3720" s="44" t="s">
        <v>1494</v>
      </c>
      <c r="O3720" s="33" t="s">
        <v>1494</v>
      </c>
      <c r="P3720" s="33" t="s">
        <v>1494</v>
      </c>
      <c r="Q3720" s="34" t="s">
        <v>1494</v>
      </c>
      <c r="R3720" s="34" t="s">
        <v>1494</v>
      </c>
    </row>
    <row r="3721" spans="1:18" ht="15" customHeight="1" x14ac:dyDescent="0.25">
      <c r="A3721" t="str">
        <f>IFERROR(RANK(B3721,$B:$B,1)+COUNTIF($B$1:B3720,B3721),"")</f>
        <v/>
      </c>
      <c r="B3721" t="str">
        <f>IFERROR(SEARCH(#REF!,Table4[[#This Row],[Commodity Title]],1),"")</f>
        <v/>
      </c>
      <c r="C3721" s="35">
        <v>42322101</v>
      </c>
      <c r="D3721" s="33" t="s">
        <v>1495</v>
      </c>
      <c r="E3721" s="33" t="s">
        <v>1496</v>
      </c>
      <c r="F3721" s="33" t="s">
        <v>1497</v>
      </c>
      <c r="G3721" s="33" t="s">
        <v>8885</v>
      </c>
      <c r="H3721" s="33" t="s">
        <v>8886</v>
      </c>
      <c r="I3721" s="33" t="s">
        <v>8887</v>
      </c>
      <c r="J3721" s="33">
        <v>164893</v>
      </c>
      <c r="K3721" s="33" t="s">
        <v>9074</v>
      </c>
      <c r="L3721" s="33" t="s">
        <v>9075</v>
      </c>
      <c r="M3721" s="33" t="s">
        <v>9076</v>
      </c>
      <c r="N3721" s="44">
        <v>42322101</v>
      </c>
      <c r="O3721" s="33" t="s">
        <v>270</v>
      </c>
      <c r="P3721" s="33" t="s">
        <v>9077</v>
      </c>
      <c r="Q3721" s="34" t="s">
        <v>1494</v>
      </c>
      <c r="R3721" s="34" t="s">
        <v>1494</v>
      </c>
    </row>
    <row r="3722" spans="1:18" ht="15" customHeight="1" x14ac:dyDescent="0.25">
      <c r="A3722" t="str">
        <f>IFERROR(RANK(B3722,$B:$B,1)+COUNTIF($B$1:B3721,B3722),"")</f>
        <v/>
      </c>
      <c r="B3722" t="str">
        <f>IFERROR(SEARCH(#REF!,Table4[[#This Row],[Commodity Title]],1),"")</f>
        <v/>
      </c>
      <c r="C3722" s="35">
        <v>42322102</v>
      </c>
      <c r="D3722" s="33" t="s">
        <v>1495</v>
      </c>
      <c r="E3722" s="33" t="s">
        <v>1496</v>
      </c>
      <c r="F3722" s="33" t="s">
        <v>1497</v>
      </c>
      <c r="G3722" s="33" t="s">
        <v>8885</v>
      </c>
      <c r="H3722" s="33" t="s">
        <v>8886</v>
      </c>
      <c r="I3722" s="33" t="s">
        <v>8887</v>
      </c>
      <c r="J3722" s="33">
        <v>164894</v>
      </c>
      <c r="K3722" s="33" t="s">
        <v>9074</v>
      </c>
      <c r="L3722" s="33" t="s">
        <v>9075</v>
      </c>
      <c r="M3722" s="33" t="s">
        <v>9076</v>
      </c>
      <c r="N3722" s="44">
        <v>42322102</v>
      </c>
      <c r="O3722" s="33" t="s">
        <v>9078</v>
      </c>
      <c r="P3722" s="33" t="s">
        <v>9079</v>
      </c>
      <c r="Q3722" s="34" t="s">
        <v>1494</v>
      </c>
      <c r="R3722" s="34" t="s">
        <v>1494</v>
      </c>
    </row>
    <row r="3723" spans="1:18" ht="15" customHeight="1" x14ac:dyDescent="0.25">
      <c r="A3723" t="str">
        <f>IFERROR(RANK(B3723,$B:$B,1)+COUNTIF($B$1:B3722,B3723),"")</f>
        <v/>
      </c>
      <c r="B3723" t="str">
        <f>IFERROR(SEARCH(#REF!,Table4[[#This Row],[Commodity Title]],1),"")</f>
        <v/>
      </c>
      <c r="C3723" s="35">
        <v>42322103</v>
      </c>
      <c r="D3723" s="33" t="s">
        <v>1495</v>
      </c>
      <c r="E3723" s="33" t="s">
        <v>1496</v>
      </c>
      <c r="F3723" s="33" t="s">
        <v>1497</v>
      </c>
      <c r="G3723" s="33" t="s">
        <v>8885</v>
      </c>
      <c r="H3723" s="33" t="s">
        <v>8886</v>
      </c>
      <c r="I3723" s="33" t="s">
        <v>8887</v>
      </c>
      <c r="J3723" s="33">
        <v>164895</v>
      </c>
      <c r="K3723" s="33" t="s">
        <v>9074</v>
      </c>
      <c r="L3723" s="33" t="s">
        <v>9075</v>
      </c>
      <c r="M3723" s="33" t="s">
        <v>9076</v>
      </c>
      <c r="N3723" s="44">
        <v>42322103</v>
      </c>
      <c r="O3723" s="33" t="s">
        <v>9080</v>
      </c>
      <c r="P3723" s="33" t="s">
        <v>9081</v>
      </c>
      <c r="Q3723" s="34" t="s">
        <v>1494</v>
      </c>
      <c r="R3723" s="34" t="s">
        <v>1494</v>
      </c>
    </row>
    <row r="3724" spans="1:18" ht="15" customHeight="1" x14ac:dyDescent="0.25">
      <c r="A3724" t="str">
        <f>IFERROR(RANK(B3724,$B:$B,1)+COUNTIF($B$1:B3723,B3724),"")</f>
        <v/>
      </c>
      <c r="B3724" t="str">
        <f>IFERROR(SEARCH(#REF!,Table4[[#This Row],[Commodity Title]],1),"")</f>
        <v/>
      </c>
      <c r="C3724" s="35">
        <v>42322104</v>
      </c>
      <c r="D3724" s="33" t="s">
        <v>1495</v>
      </c>
      <c r="E3724" s="33" t="s">
        <v>1496</v>
      </c>
      <c r="F3724" s="33" t="s">
        <v>1497</v>
      </c>
      <c r="G3724" s="33" t="s">
        <v>8885</v>
      </c>
      <c r="H3724" s="33" t="s">
        <v>8886</v>
      </c>
      <c r="I3724" s="33" t="s">
        <v>8887</v>
      </c>
      <c r="J3724" s="33">
        <v>164896</v>
      </c>
      <c r="K3724" s="33" t="s">
        <v>9074</v>
      </c>
      <c r="L3724" s="33" t="s">
        <v>9075</v>
      </c>
      <c r="M3724" s="33" t="s">
        <v>9076</v>
      </c>
      <c r="N3724" s="44">
        <v>42322104</v>
      </c>
      <c r="O3724" s="33" t="s">
        <v>9082</v>
      </c>
      <c r="P3724" s="33" t="s">
        <v>9083</v>
      </c>
      <c r="Q3724" s="34" t="s">
        <v>1494</v>
      </c>
      <c r="R3724" s="34" t="s">
        <v>1494</v>
      </c>
    </row>
    <row r="3725" spans="1:18" ht="15" customHeight="1" x14ac:dyDescent="0.25">
      <c r="A3725" t="str">
        <f>IFERROR(RANK(B3725,$B:$B,1)+COUNTIF($B$1:B3724,B3725),"")</f>
        <v/>
      </c>
      <c r="B3725" t="str">
        <f>IFERROR(SEARCH(#REF!,Table4[[#This Row],[Commodity Title]],1),"")</f>
        <v/>
      </c>
      <c r="C3725" s="35">
        <v>42322105</v>
      </c>
      <c r="D3725" s="33" t="s">
        <v>1495</v>
      </c>
      <c r="E3725" s="33" t="s">
        <v>1496</v>
      </c>
      <c r="F3725" s="33" t="s">
        <v>1497</v>
      </c>
      <c r="G3725" s="33" t="s">
        <v>8885</v>
      </c>
      <c r="H3725" s="33" t="s">
        <v>8886</v>
      </c>
      <c r="I3725" s="33" t="s">
        <v>8887</v>
      </c>
      <c r="J3725" s="33">
        <v>174442</v>
      </c>
      <c r="K3725" s="33" t="s">
        <v>9074</v>
      </c>
      <c r="L3725" s="33" t="s">
        <v>9075</v>
      </c>
      <c r="M3725" s="33" t="s">
        <v>9076</v>
      </c>
      <c r="N3725" s="44">
        <v>42322105</v>
      </c>
      <c r="O3725" s="33" t="s">
        <v>9084</v>
      </c>
      <c r="P3725" s="33" t="s">
        <v>9085</v>
      </c>
      <c r="Q3725" s="34" t="s">
        <v>1494</v>
      </c>
      <c r="R3725" s="34" t="s">
        <v>1494</v>
      </c>
    </row>
    <row r="3726" spans="1:18" ht="15" customHeight="1" x14ac:dyDescent="0.25">
      <c r="A3726" t="str">
        <f>IFERROR(RANK(B3726,$B:$B,1)+COUNTIF($B$1:B3725,B3726),"")</f>
        <v/>
      </c>
      <c r="B3726" t="str">
        <f>IFERROR(SEARCH(#REF!,Table4[[#This Row],[Commodity Title]],1),"")</f>
        <v/>
      </c>
      <c r="C3726" s="35">
        <v>42322106</v>
      </c>
      <c r="D3726" s="33" t="s">
        <v>1495</v>
      </c>
      <c r="E3726" s="33" t="s">
        <v>1496</v>
      </c>
      <c r="F3726" s="33" t="s">
        <v>1497</v>
      </c>
      <c r="G3726" s="33" t="s">
        <v>8885</v>
      </c>
      <c r="H3726" s="33" t="s">
        <v>8886</v>
      </c>
      <c r="I3726" s="33" t="s">
        <v>8887</v>
      </c>
      <c r="J3726" s="33">
        <v>174443</v>
      </c>
      <c r="K3726" s="33" t="s">
        <v>9074</v>
      </c>
      <c r="L3726" s="33" t="s">
        <v>9075</v>
      </c>
      <c r="M3726" s="33" t="s">
        <v>9076</v>
      </c>
      <c r="N3726" s="44">
        <v>42322106</v>
      </c>
      <c r="O3726" s="33" t="s">
        <v>9086</v>
      </c>
      <c r="P3726" s="33" t="s">
        <v>9087</v>
      </c>
      <c r="Q3726" s="34" t="s">
        <v>1494</v>
      </c>
      <c r="R3726" s="34" t="s">
        <v>1494</v>
      </c>
    </row>
    <row r="3727" spans="1:18" ht="15" customHeight="1" x14ac:dyDescent="0.25">
      <c r="A3727" t="str">
        <f>IFERROR(RANK(B3727,$B:$B,1)+COUNTIF($B$1:B3726,B3727),"")</f>
        <v/>
      </c>
      <c r="B3727" t="str">
        <f>IFERROR(SEARCH(#REF!,Table4[[#This Row],[Commodity Title]],1),"")</f>
        <v/>
      </c>
      <c r="C3727" s="33" t="s">
        <v>1494</v>
      </c>
      <c r="D3727" s="33" t="s">
        <v>1495</v>
      </c>
      <c r="E3727" s="33" t="s">
        <v>1496</v>
      </c>
      <c r="F3727" s="33" t="s">
        <v>1497</v>
      </c>
      <c r="G3727" s="33" t="s">
        <v>8885</v>
      </c>
      <c r="H3727" s="33" t="s">
        <v>8886</v>
      </c>
      <c r="I3727" s="33" t="s">
        <v>8887</v>
      </c>
      <c r="J3727" s="33">
        <v>164897</v>
      </c>
      <c r="K3727" s="33" t="s">
        <v>9088</v>
      </c>
      <c r="L3727" s="33" t="s">
        <v>9089</v>
      </c>
      <c r="M3727" s="33" t="s">
        <v>9090</v>
      </c>
      <c r="N3727" s="44" t="s">
        <v>1494</v>
      </c>
      <c r="O3727" s="33" t="s">
        <v>1494</v>
      </c>
      <c r="P3727" s="33" t="s">
        <v>1494</v>
      </c>
      <c r="Q3727" s="34" t="s">
        <v>1494</v>
      </c>
      <c r="R3727" s="34" t="s">
        <v>1494</v>
      </c>
    </row>
    <row r="3728" spans="1:18" ht="15" customHeight="1" x14ac:dyDescent="0.25">
      <c r="A3728" t="str">
        <f>IFERROR(RANK(B3728,$B:$B,1)+COUNTIF($B$1:B3727,B3728),"")</f>
        <v/>
      </c>
      <c r="B3728" t="str">
        <f>IFERROR(SEARCH(#REF!,Table4[[#This Row],[Commodity Title]],1),"")</f>
        <v/>
      </c>
      <c r="C3728" s="35">
        <v>42322201</v>
      </c>
      <c r="D3728" s="33" t="s">
        <v>1495</v>
      </c>
      <c r="E3728" s="33" t="s">
        <v>1496</v>
      </c>
      <c r="F3728" s="33" t="s">
        <v>1497</v>
      </c>
      <c r="G3728" s="33" t="s">
        <v>8885</v>
      </c>
      <c r="H3728" s="33" t="s">
        <v>8886</v>
      </c>
      <c r="I3728" s="33" t="s">
        <v>8887</v>
      </c>
      <c r="J3728" s="33">
        <v>164848</v>
      </c>
      <c r="K3728" s="33" t="s">
        <v>9088</v>
      </c>
      <c r="L3728" s="33" t="s">
        <v>9089</v>
      </c>
      <c r="M3728" s="33" t="s">
        <v>9090</v>
      </c>
      <c r="N3728" s="44">
        <v>42322201</v>
      </c>
      <c r="O3728" s="33" t="s">
        <v>9091</v>
      </c>
      <c r="P3728" s="33" t="s">
        <v>9092</v>
      </c>
      <c r="Q3728" s="34" t="s">
        <v>1494</v>
      </c>
      <c r="R3728" s="34" t="s">
        <v>1494</v>
      </c>
    </row>
    <row r="3729" spans="1:18" ht="15" customHeight="1" x14ac:dyDescent="0.25">
      <c r="A3729" t="str">
        <f>IFERROR(RANK(B3729,$B:$B,1)+COUNTIF($B$1:B3728,B3729),"")</f>
        <v/>
      </c>
      <c r="B3729" t="str">
        <f>IFERROR(SEARCH(#REF!,Table4[[#This Row],[Commodity Title]],1),"")</f>
        <v/>
      </c>
      <c r="C3729" s="35">
        <v>42322202</v>
      </c>
      <c r="D3729" s="33" t="s">
        <v>1495</v>
      </c>
      <c r="E3729" s="33" t="s">
        <v>1496</v>
      </c>
      <c r="F3729" s="33" t="s">
        <v>1497</v>
      </c>
      <c r="G3729" s="33" t="s">
        <v>8885</v>
      </c>
      <c r="H3729" s="33" t="s">
        <v>8886</v>
      </c>
      <c r="I3729" s="33" t="s">
        <v>8887</v>
      </c>
      <c r="J3729" s="33">
        <v>164898</v>
      </c>
      <c r="K3729" s="33" t="s">
        <v>9088</v>
      </c>
      <c r="L3729" s="33" t="s">
        <v>9089</v>
      </c>
      <c r="M3729" s="33" t="s">
        <v>9090</v>
      </c>
      <c r="N3729" s="44">
        <v>42322202</v>
      </c>
      <c r="O3729" s="33" t="s">
        <v>9093</v>
      </c>
      <c r="P3729" s="33" t="s">
        <v>9094</v>
      </c>
      <c r="Q3729" s="34" t="s">
        <v>1494</v>
      </c>
      <c r="R3729" s="34" t="s">
        <v>1494</v>
      </c>
    </row>
    <row r="3730" spans="1:18" ht="15" customHeight="1" x14ac:dyDescent="0.25">
      <c r="A3730" t="str">
        <f>IFERROR(RANK(B3730,$B:$B,1)+COUNTIF($B$1:B3729,B3730),"")</f>
        <v/>
      </c>
      <c r="B3730" t="str">
        <f>IFERROR(SEARCH(#REF!,Table4[[#This Row],[Commodity Title]],1),"")</f>
        <v/>
      </c>
      <c r="C3730" s="35">
        <v>42322203</v>
      </c>
      <c r="D3730" s="33" t="s">
        <v>1495</v>
      </c>
      <c r="E3730" s="33" t="s">
        <v>1496</v>
      </c>
      <c r="F3730" s="33" t="s">
        <v>1497</v>
      </c>
      <c r="G3730" s="33" t="s">
        <v>8885</v>
      </c>
      <c r="H3730" s="33" t="s">
        <v>8886</v>
      </c>
      <c r="I3730" s="33" t="s">
        <v>8887</v>
      </c>
      <c r="J3730" s="33">
        <v>164849</v>
      </c>
      <c r="K3730" s="33" t="s">
        <v>9088</v>
      </c>
      <c r="L3730" s="33" t="s">
        <v>9089</v>
      </c>
      <c r="M3730" s="33" t="s">
        <v>9090</v>
      </c>
      <c r="N3730" s="44">
        <v>42322203</v>
      </c>
      <c r="O3730" s="33" t="s">
        <v>9095</v>
      </c>
      <c r="P3730" s="33" t="s">
        <v>9096</v>
      </c>
      <c r="Q3730" s="34" t="s">
        <v>1494</v>
      </c>
      <c r="R3730" s="34" t="s">
        <v>1494</v>
      </c>
    </row>
    <row r="3731" spans="1:18" ht="15" customHeight="1" x14ac:dyDescent="0.25">
      <c r="A3731" t="str">
        <f>IFERROR(RANK(B3731,$B:$B,1)+COUNTIF($B$1:B3730,B3731),"")</f>
        <v/>
      </c>
      <c r="B3731" t="str">
        <f>IFERROR(SEARCH(#REF!,Table4[[#This Row],[Commodity Title]],1),"")</f>
        <v/>
      </c>
      <c r="C3731" s="35">
        <v>42322204</v>
      </c>
      <c r="D3731" s="33" t="s">
        <v>1495</v>
      </c>
      <c r="E3731" s="33" t="s">
        <v>1496</v>
      </c>
      <c r="F3731" s="33" t="s">
        <v>1497</v>
      </c>
      <c r="G3731" s="33" t="s">
        <v>8885</v>
      </c>
      <c r="H3731" s="33" t="s">
        <v>8886</v>
      </c>
      <c r="I3731" s="33" t="s">
        <v>8887</v>
      </c>
      <c r="J3731" s="33">
        <v>174444</v>
      </c>
      <c r="K3731" s="33" t="s">
        <v>9088</v>
      </c>
      <c r="L3731" s="33" t="s">
        <v>9089</v>
      </c>
      <c r="M3731" s="33" t="s">
        <v>9090</v>
      </c>
      <c r="N3731" s="44">
        <v>42322204</v>
      </c>
      <c r="O3731" s="33" t="s">
        <v>9097</v>
      </c>
      <c r="P3731" s="33" t="s">
        <v>9098</v>
      </c>
      <c r="Q3731" s="34" t="s">
        <v>1494</v>
      </c>
      <c r="R3731" s="34" t="s">
        <v>1494</v>
      </c>
    </row>
    <row r="3732" spans="1:18" ht="15" customHeight="1" x14ac:dyDescent="0.25">
      <c r="A3732" t="str">
        <f>IFERROR(RANK(B3732,$B:$B,1)+COUNTIF($B$1:B3731,B3732),"")</f>
        <v/>
      </c>
      <c r="B3732" t="str">
        <f>IFERROR(SEARCH(#REF!,Table4[[#This Row],[Commodity Title]],1),"")</f>
        <v/>
      </c>
      <c r="C3732" s="35">
        <v>42322205</v>
      </c>
      <c r="D3732" s="33" t="s">
        <v>1495</v>
      </c>
      <c r="E3732" s="33" t="s">
        <v>1496</v>
      </c>
      <c r="F3732" s="33" t="s">
        <v>1497</v>
      </c>
      <c r="G3732" s="33" t="s">
        <v>8885</v>
      </c>
      <c r="H3732" s="33" t="s">
        <v>8886</v>
      </c>
      <c r="I3732" s="33" t="s">
        <v>8887</v>
      </c>
      <c r="J3732" s="33">
        <v>174445</v>
      </c>
      <c r="K3732" s="33" t="s">
        <v>9088</v>
      </c>
      <c r="L3732" s="33" t="s">
        <v>9089</v>
      </c>
      <c r="M3732" s="33" t="s">
        <v>9090</v>
      </c>
      <c r="N3732" s="44">
        <v>42322205</v>
      </c>
      <c r="O3732" s="33" t="s">
        <v>9099</v>
      </c>
      <c r="P3732" s="33" t="s">
        <v>9100</v>
      </c>
      <c r="Q3732" s="34" t="s">
        <v>1494</v>
      </c>
      <c r="R3732" s="34" t="s">
        <v>1494</v>
      </c>
    </row>
    <row r="3733" spans="1:18" ht="15" customHeight="1" x14ac:dyDescent="0.25">
      <c r="A3733" t="str">
        <f>IFERROR(RANK(B3733,$B:$B,1)+COUNTIF($B$1:B3732,B3733),"")</f>
        <v/>
      </c>
      <c r="B3733" t="str">
        <f>IFERROR(SEARCH(#REF!,Table4[[#This Row],[Commodity Title]],1),"")</f>
        <v/>
      </c>
      <c r="C3733" s="35">
        <v>42322206</v>
      </c>
      <c r="D3733" s="33" t="s">
        <v>1495</v>
      </c>
      <c r="E3733" s="33" t="s">
        <v>1496</v>
      </c>
      <c r="F3733" s="33" t="s">
        <v>1497</v>
      </c>
      <c r="G3733" s="33" t="s">
        <v>8885</v>
      </c>
      <c r="H3733" s="33" t="s">
        <v>8886</v>
      </c>
      <c r="I3733" s="33" t="s">
        <v>8887</v>
      </c>
      <c r="J3733" s="33">
        <v>176745</v>
      </c>
      <c r="K3733" s="33" t="s">
        <v>9088</v>
      </c>
      <c r="L3733" s="33" t="s">
        <v>9089</v>
      </c>
      <c r="M3733" s="33" t="s">
        <v>9090</v>
      </c>
      <c r="N3733" s="44">
        <v>42322206</v>
      </c>
      <c r="O3733" s="33" t="s">
        <v>9101</v>
      </c>
      <c r="P3733" s="33" t="s">
        <v>9102</v>
      </c>
      <c r="Q3733" s="34" t="s">
        <v>1494</v>
      </c>
      <c r="R3733" s="34" t="s">
        <v>1494</v>
      </c>
    </row>
    <row r="3734" spans="1:18" ht="15" customHeight="1" x14ac:dyDescent="0.25">
      <c r="A3734" t="str">
        <f>IFERROR(RANK(B3734,$B:$B,1)+COUNTIF($B$1:B3733,B3734),"")</f>
        <v/>
      </c>
      <c r="B3734" t="str">
        <f>IFERROR(SEARCH(#REF!,Table4[[#This Row],[Commodity Title]],1),"")</f>
        <v/>
      </c>
      <c r="C3734" s="33" t="s">
        <v>1494</v>
      </c>
      <c r="D3734" s="33" t="s">
        <v>1495</v>
      </c>
      <c r="E3734" s="33" t="s">
        <v>1496</v>
      </c>
      <c r="F3734" s="33" t="s">
        <v>1497</v>
      </c>
      <c r="G3734" s="33" t="s">
        <v>8885</v>
      </c>
      <c r="H3734" s="33" t="s">
        <v>8886</v>
      </c>
      <c r="I3734" s="33" t="s">
        <v>8887</v>
      </c>
      <c r="J3734" s="33">
        <v>203392</v>
      </c>
      <c r="K3734" s="33" t="s">
        <v>9103</v>
      </c>
      <c r="L3734" s="33" t="s">
        <v>9104</v>
      </c>
      <c r="M3734" s="33" t="s">
        <v>9105</v>
      </c>
      <c r="N3734" s="44" t="s">
        <v>1494</v>
      </c>
      <c r="O3734" s="33" t="s">
        <v>1494</v>
      </c>
      <c r="P3734" s="33" t="s">
        <v>1494</v>
      </c>
      <c r="Q3734" s="34" t="s">
        <v>1494</v>
      </c>
      <c r="R3734" s="34" t="s">
        <v>1494</v>
      </c>
    </row>
    <row r="3735" spans="1:18" ht="15" customHeight="1" x14ac:dyDescent="0.25">
      <c r="A3735" t="str">
        <f>IFERROR(RANK(B3735,$B:$B,1)+COUNTIF($B$1:B3734,B3735),"")</f>
        <v/>
      </c>
      <c r="B3735" t="str">
        <f>IFERROR(SEARCH(#REF!,Table4[[#This Row],[Commodity Title]],1),"")</f>
        <v/>
      </c>
      <c r="C3735" s="35">
        <v>42322301</v>
      </c>
      <c r="D3735" s="33" t="s">
        <v>1495</v>
      </c>
      <c r="E3735" s="33" t="s">
        <v>1496</v>
      </c>
      <c r="F3735" s="33" t="s">
        <v>1497</v>
      </c>
      <c r="G3735" s="33" t="s">
        <v>8885</v>
      </c>
      <c r="H3735" s="33" t="s">
        <v>8886</v>
      </c>
      <c r="I3735" s="33" t="s">
        <v>8887</v>
      </c>
      <c r="J3735" s="33">
        <v>203393</v>
      </c>
      <c r="K3735" s="33" t="s">
        <v>9103</v>
      </c>
      <c r="L3735" s="33" t="s">
        <v>9104</v>
      </c>
      <c r="M3735" s="33" t="s">
        <v>9105</v>
      </c>
      <c r="N3735" s="44">
        <v>42322301</v>
      </c>
      <c r="O3735" s="33" t="s">
        <v>9106</v>
      </c>
      <c r="P3735" s="33" t="s">
        <v>9107</v>
      </c>
      <c r="Q3735" s="34" t="s">
        <v>1494</v>
      </c>
      <c r="R3735" s="34" t="s">
        <v>1494</v>
      </c>
    </row>
    <row r="3736" spans="1:18" ht="15" customHeight="1" x14ac:dyDescent="0.25">
      <c r="A3736" t="str">
        <f>IFERROR(RANK(B3736,$B:$B,1)+COUNTIF($B$1:B3735,B3736),"")</f>
        <v/>
      </c>
      <c r="B3736" t="str">
        <f>IFERROR(SEARCH(#REF!,Table4[[#This Row],[Commodity Title]],1),"")</f>
        <v/>
      </c>
      <c r="C3736" s="35">
        <v>42322302</v>
      </c>
      <c r="D3736" s="33" t="s">
        <v>1495</v>
      </c>
      <c r="E3736" s="33" t="s">
        <v>1496</v>
      </c>
      <c r="F3736" s="33" t="s">
        <v>1497</v>
      </c>
      <c r="G3736" s="33" t="s">
        <v>8885</v>
      </c>
      <c r="H3736" s="33" t="s">
        <v>8886</v>
      </c>
      <c r="I3736" s="33" t="s">
        <v>8887</v>
      </c>
      <c r="J3736" s="33">
        <v>203394</v>
      </c>
      <c r="K3736" s="33" t="s">
        <v>9103</v>
      </c>
      <c r="L3736" s="33" t="s">
        <v>9104</v>
      </c>
      <c r="M3736" s="33" t="s">
        <v>9105</v>
      </c>
      <c r="N3736" s="44">
        <v>42322302</v>
      </c>
      <c r="O3736" s="33" t="s">
        <v>9108</v>
      </c>
      <c r="P3736" s="33" t="s">
        <v>9109</v>
      </c>
      <c r="Q3736" s="34" t="s">
        <v>1494</v>
      </c>
      <c r="R3736" s="34" t="s">
        <v>1494</v>
      </c>
    </row>
    <row r="3737" spans="1:18" ht="15" customHeight="1" x14ac:dyDescent="0.25">
      <c r="A3737" t="str">
        <f>IFERROR(RANK(B3737,$B:$B,1)+COUNTIF($B$1:B3736,B3737),"")</f>
        <v/>
      </c>
      <c r="B3737" t="str">
        <f>IFERROR(SEARCH(#REF!,Table4[[#This Row],[Commodity Title]],1),"")</f>
        <v/>
      </c>
      <c r="C3737" s="33" t="s">
        <v>1494</v>
      </c>
      <c r="D3737" s="33" t="s">
        <v>1495</v>
      </c>
      <c r="E3737" s="33" t="s">
        <v>1496</v>
      </c>
      <c r="F3737" s="33" t="s">
        <v>1497</v>
      </c>
      <c r="G3737" s="33" t="s">
        <v>8885</v>
      </c>
      <c r="H3737" s="33" t="s">
        <v>8886</v>
      </c>
      <c r="I3737" s="33" t="s">
        <v>8887</v>
      </c>
      <c r="J3737" s="33">
        <v>203395</v>
      </c>
      <c r="K3737" s="33" t="s">
        <v>9110</v>
      </c>
      <c r="L3737" s="33" t="s">
        <v>9111</v>
      </c>
      <c r="M3737" s="33" t="s">
        <v>9112</v>
      </c>
      <c r="N3737" s="44" t="s">
        <v>1494</v>
      </c>
      <c r="O3737" s="33" t="s">
        <v>1494</v>
      </c>
      <c r="P3737" s="33" t="s">
        <v>1494</v>
      </c>
      <c r="Q3737" s="34" t="s">
        <v>1494</v>
      </c>
      <c r="R3737" s="34" t="s">
        <v>1494</v>
      </c>
    </row>
    <row r="3738" spans="1:18" ht="15" customHeight="1" x14ac:dyDescent="0.25">
      <c r="A3738" t="str">
        <f>IFERROR(RANK(B3738,$B:$B,1)+COUNTIF($B$1:B3737,B3738),"")</f>
        <v/>
      </c>
      <c r="B3738" t="str">
        <f>IFERROR(SEARCH(#REF!,Table4[[#This Row],[Commodity Title]],1),"")</f>
        <v/>
      </c>
      <c r="C3738" s="35">
        <v>42322401</v>
      </c>
      <c r="D3738" s="33" t="s">
        <v>1495</v>
      </c>
      <c r="E3738" s="33" t="s">
        <v>1496</v>
      </c>
      <c r="F3738" s="33" t="s">
        <v>1497</v>
      </c>
      <c r="G3738" s="33" t="s">
        <v>8885</v>
      </c>
      <c r="H3738" s="33" t="s">
        <v>8886</v>
      </c>
      <c r="I3738" s="33" t="s">
        <v>8887</v>
      </c>
      <c r="J3738" s="33">
        <v>203396</v>
      </c>
      <c r="K3738" s="33" t="s">
        <v>9110</v>
      </c>
      <c r="L3738" s="33" t="s">
        <v>9111</v>
      </c>
      <c r="M3738" s="33" t="s">
        <v>9112</v>
      </c>
      <c r="N3738" s="44">
        <v>42322401</v>
      </c>
      <c r="O3738" s="33" t="s">
        <v>9113</v>
      </c>
      <c r="P3738" s="33" t="s">
        <v>9114</v>
      </c>
      <c r="Q3738" s="34" t="s">
        <v>1494</v>
      </c>
      <c r="R3738" s="34" t="s">
        <v>1494</v>
      </c>
    </row>
    <row r="3739" spans="1:18" ht="15" customHeight="1" x14ac:dyDescent="0.25">
      <c r="A3739" t="str">
        <f>IFERROR(RANK(B3739,$B:$B,1)+COUNTIF($B$1:B3738,B3739),"")</f>
        <v/>
      </c>
      <c r="B3739" t="str">
        <f>IFERROR(SEARCH(#REF!,Table4[[#This Row],[Commodity Title]],1),"")</f>
        <v/>
      </c>
      <c r="C3739" s="35">
        <v>42322402</v>
      </c>
      <c r="D3739" s="33" t="s">
        <v>1495</v>
      </c>
      <c r="E3739" s="33" t="s">
        <v>1496</v>
      </c>
      <c r="F3739" s="33" t="s">
        <v>1497</v>
      </c>
      <c r="G3739" s="33" t="s">
        <v>8885</v>
      </c>
      <c r="H3739" s="33" t="s">
        <v>8886</v>
      </c>
      <c r="I3739" s="33" t="s">
        <v>8887</v>
      </c>
      <c r="J3739" s="33">
        <v>203397</v>
      </c>
      <c r="K3739" s="33" t="s">
        <v>9110</v>
      </c>
      <c r="L3739" s="33" t="s">
        <v>9111</v>
      </c>
      <c r="M3739" s="33" t="s">
        <v>9112</v>
      </c>
      <c r="N3739" s="44">
        <v>42322402</v>
      </c>
      <c r="O3739" s="33" t="s">
        <v>9115</v>
      </c>
      <c r="P3739" s="33" t="s">
        <v>9116</v>
      </c>
      <c r="Q3739" s="34" t="s">
        <v>1494</v>
      </c>
      <c r="R3739" s="34" t="s">
        <v>1494</v>
      </c>
    </row>
    <row r="3740" spans="1:18" ht="15" customHeight="1" x14ac:dyDescent="0.25">
      <c r="A3740" t="str">
        <f>IFERROR(RANK(B3740,$B:$B,1)+COUNTIF($B$1:B3739,B3740),"")</f>
        <v/>
      </c>
      <c r="B3740" t="str">
        <f>IFERROR(SEARCH(#REF!,Table4[[#This Row],[Commodity Title]],1),"")</f>
        <v/>
      </c>
      <c r="C3740" s="35">
        <v>42322403</v>
      </c>
      <c r="D3740" s="33" t="s">
        <v>1495</v>
      </c>
      <c r="E3740" s="33" t="s">
        <v>1496</v>
      </c>
      <c r="F3740" s="33" t="s">
        <v>1497</v>
      </c>
      <c r="G3740" s="33" t="s">
        <v>8885</v>
      </c>
      <c r="H3740" s="33" t="s">
        <v>8886</v>
      </c>
      <c r="I3740" s="33" t="s">
        <v>8887</v>
      </c>
      <c r="J3740" s="33">
        <v>203398</v>
      </c>
      <c r="K3740" s="33" t="s">
        <v>9110</v>
      </c>
      <c r="L3740" s="33" t="s">
        <v>9111</v>
      </c>
      <c r="M3740" s="33" t="s">
        <v>9112</v>
      </c>
      <c r="N3740" s="44">
        <v>42322403</v>
      </c>
      <c r="O3740" s="33" t="s">
        <v>9117</v>
      </c>
      <c r="P3740" s="33" t="s">
        <v>9118</v>
      </c>
      <c r="Q3740" s="34" t="s">
        <v>1494</v>
      </c>
      <c r="R3740" s="34" t="s">
        <v>1494</v>
      </c>
    </row>
    <row r="3741" spans="1:18" ht="15" customHeight="1" x14ac:dyDescent="0.25">
      <c r="A3741" t="str">
        <f>IFERROR(RANK(B3741,$B:$B,1)+COUNTIF($B$1:B3740,B3741),"")</f>
        <v/>
      </c>
      <c r="B3741" t="str">
        <f>IFERROR(SEARCH(#REF!,Table4[[#This Row],[Commodity Title]],1),"")</f>
        <v/>
      </c>
      <c r="C3741" s="33" t="s">
        <v>1494</v>
      </c>
      <c r="D3741" s="33" t="s">
        <v>1495</v>
      </c>
      <c r="E3741" s="33" t="s">
        <v>1496</v>
      </c>
      <c r="F3741" s="33" t="s">
        <v>1497</v>
      </c>
      <c r="G3741" s="33" t="s">
        <v>8885</v>
      </c>
      <c r="H3741" s="33" t="s">
        <v>8886</v>
      </c>
      <c r="I3741" s="33" t="s">
        <v>8887</v>
      </c>
      <c r="J3741" s="33">
        <v>203399</v>
      </c>
      <c r="K3741" s="33" t="s">
        <v>9119</v>
      </c>
      <c r="L3741" s="33" t="s">
        <v>9120</v>
      </c>
      <c r="M3741" s="33" t="s">
        <v>9121</v>
      </c>
      <c r="N3741" s="44" t="s">
        <v>1494</v>
      </c>
      <c r="O3741" s="33" t="s">
        <v>1494</v>
      </c>
      <c r="P3741" s="33" t="s">
        <v>1494</v>
      </c>
      <c r="Q3741" s="34" t="s">
        <v>1494</v>
      </c>
      <c r="R3741" s="34" t="s">
        <v>1494</v>
      </c>
    </row>
    <row r="3742" spans="1:18" ht="15" customHeight="1" x14ac:dyDescent="0.25">
      <c r="A3742" t="str">
        <f>IFERROR(RANK(B3742,$B:$B,1)+COUNTIF($B$1:B3741,B3742),"")</f>
        <v/>
      </c>
      <c r="B3742" t="str">
        <f>IFERROR(SEARCH(#REF!,Table4[[#This Row],[Commodity Title]],1),"")</f>
        <v/>
      </c>
      <c r="C3742" s="35">
        <v>42322501</v>
      </c>
      <c r="D3742" s="33" t="s">
        <v>1495</v>
      </c>
      <c r="E3742" s="33" t="s">
        <v>1496</v>
      </c>
      <c r="F3742" s="33" t="s">
        <v>1497</v>
      </c>
      <c r="G3742" s="33" t="s">
        <v>8885</v>
      </c>
      <c r="H3742" s="33" t="s">
        <v>8886</v>
      </c>
      <c r="I3742" s="33" t="s">
        <v>8887</v>
      </c>
      <c r="J3742" s="33">
        <v>203400</v>
      </c>
      <c r="K3742" s="33" t="s">
        <v>9119</v>
      </c>
      <c r="L3742" s="33" t="s">
        <v>9120</v>
      </c>
      <c r="M3742" s="33" t="s">
        <v>9121</v>
      </c>
      <c r="N3742" s="44">
        <v>42322501</v>
      </c>
      <c r="O3742" s="33" t="s">
        <v>9122</v>
      </c>
      <c r="P3742" s="33" t="s">
        <v>9123</v>
      </c>
      <c r="Q3742" s="34" t="s">
        <v>1494</v>
      </c>
      <c r="R3742" s="34" t="s">
        <v>1494</v>
      </c>
    </row>
    <row r="3743" spans="1:18" ht="15" customHeight="1" x14ac:dyDescent="0.25">
      <c r="A3743" t="str">
        <f>IFERROR(RANK(B3743,$B:$B,1)+COUNTIF($B$1:B3742,B3743),"")</f>
        <v/>
      </c>
      <c r="B3743" t="str">
        <f>IFERROR(SEARCH(#REF!,Table4[[#This Row],[Commodity Title]],1),"")</f>
        <v/>
      </c>
      <c r="C3743" s="35">
        <v>42322502</v>
      </c>
      <c r="D3743" s="33" t="s">
        <v>1495</v>
      </c>
      <c r="E3743" s="33" t="s">
        <v>1496</v>
      </c>
      <c r="F3743" s="33" t="s">
        <v>1497</v>
      </c>
      <c r="G3743" s="33" t="s">
        <v>8885</v>
      </c>
      <c r="H3743" s="33" t="s">
        <v>8886</v>
      </c>
      <c r="I3743" s="33" t="s">
        <v>8887</v>
      </c>
      <c r="J3743" s="33">
        <v>203401</v>
      </c>
      <c r="K3743" s="33" t="s">
        <v>9119</v>
      </c>
      <c r="L3743" s="33" t="s">
        <v>9120</v>
      </c>
      <c r="M3743" s="33" t="s">
        <v>9121</v>
      </c>
      <c r="N3743" s="44">
        <v>42322502</v>
      </c>
      <c r="O3743" s="33" t="s">
        <v>9124</v>
      </c>
      <c r="P3743" s="33" t="s">
        <v>9125</v>
      </c>
      <c r="Q3743" s="34" t="s">
        <v>1494</v>
      </c>
      <c r="R3743" s="34" t="s">
        <v>1494</v>
      </c>
    </row>
    <row r="3744" spans="1:18" ht="15" customHeight="1" x14ac:dyDescent="0.25">
      <c r="A3744" t="str">
        <f>IFERROR(RANK(B3744,$B:$B,1)+COUNTIF($B$1:B3743,B3744),"")</f>
        <v/>
      </c>
      <c r="B3744" t="str">
        <f>IFERROR(SEARCH(#REF!,Table4[[#This Row],[Commodity Title]],1),"")</f>
        <v/>
      </c>
      <c r="C3744" s="35">
        <v>42322503</v>
      </c>
      <c r="D3744" s="33" t="s">
        <v>1495</v>
      </c>
      <c r="E3744" s="33" t="s">
        <v>1496</v>
      </c>
      <c r="F3744" s="33" t="s">
        <v>1497</v>
      </c>
      <c r="G3744" s="33" t="s">
        <v>8885</v>
      </c>
      <c r="H3744" s="33" t="s">
        <v>8886</v>
      </c>
      <c r="I3744" s="33" t="s">
        <v>8887</v>
      </c>
      <c r="J3744" s="33">
        <v>203402</v>
      </c>
      <c r="K3744" s="33" t="s">
        <v>9119</v>
      </c>
      <c r="L3744" s="33" t="s">
        <v>9120</v>
      </c>
      <c r="M3744" s="33" t="s">
        <v>9121</v>
      </c>
      <c r="N3744" s="44">
        <v>42322503</v>
      </c>
      <c r="O3744" s="33" t="s">
        <v>9126</v>
      </c>
      <c r="P3744" s="33" t="s">
        <v>9127</v>
      </c>
      <c r="Q3744" s="34" t="s">
        <v>1494</v>
      </c>
      <c r="R3744" s="34" t="s">
        <v>1494</v>
      </c>
    </row>
    <row r="3745" spans="1:18" ht="15" customHeight="1" x14ac:dyDescent="0.25">
      <c r="A3745" t="str">
        <f>IFERROR(RANK(B3745,$B:$B,1)+COUNTIF($B$1:B3744,B3745),"")</f>
        <v/>
      </c>
      <c r="B3745" t="str">
        <f>IFERROR(SEARCH(#REF!,Table4[[#This Row],[Commodity Title]],1),"")</f>
        <v/>
      </c>
      <c r="C3745" s="40">
        <v>42322504</v>
      </c>
      <c r="D3745" s="41" t="s">
        <v>1495</v>
      </c>
      <c r="E3745" s="41" t="s">
        <v>1496</v>
      </c>
      <c r="F3745" s="41" t="s">
        <v>1497</v>
      </c>
      <c r="G3745" s="41" t="s">
        <v>8885</v>
      </c>
      <c r="H3745" s="41" t="s">
        <v>8886</v>
      </c>
      <c r="I3745" s="41" t="s">
        <v>8887</v>
      </c>
      <c r="J3745" s="41">
        <v>203403</v>
      </c>
      <c r="K3745" s="41" t="s">
        <v>9119</v>
      </c>
      <c r="L3745" s="41" t="s">
        <v>9120</v>
      </c>
      <c r="M3745" s="41" t="s">
        <v>9121</v>
      </c>
      <c r="N3745" s="45">
        <v>42322504</v>
      </c>
      <c r="O3745" s="41" t="s">
        <v>9128</v>
      </c>
      <c r="P3745" s="41" t="s">
        <v>9129</v>
      </c>
      <c r="Q3745" s="42" t="s">
        <v>1494</v>
      </c>
      <c r="R3745" s="42" t="s">
        <v>1494</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F08A1E9E2E3D274A95E1546B6B18E35A" ma:contentTypeVersion="7" ma:contentTypeDescription="Create a new document." ma:contentTypeScope="" ma:versionID="077a291e2b9ba02956e9b555f9e5767e">
  <xsd:schema xmlns:xsd="http://www.w3.org/2001/XMLSchema" xmlns:xs="http://www.w3.org/2001/XMLSchema" xmlns:p="http://schemas.microsoft.com/office/2006/metadata/properties" xmlns:ns1="http://schemas.microsoft.com/sharepoint/v3" xmlns:ns2="bd0abcfc-7ff6-4b3d-ac30-04f62a1c2a7b" xmlns:ns3="7ba44c81-db5b-4231-99a1-5cebcee71135" targetNamespace="http://schemas.microsoft.com/office/2006/metadata/properties" ma:root="true" ma:fieldsID="32affeee940eaed1375f5eec8190a3f1" ns1:_="" ns2:_="" ns3:_="">
    <xsd:import namespace="http://schemas.microsoft.com/sharepoint/v3"/>
    <xsd:import namespace="bd0abcfc-7ff6-4b3d-ac30-04f62a1c2a7b"/>
    <xsd:import namespace="7ba44c81-db5b-4231-99a1-5cebcee71135"/>
    <xsd:element name="properties">
      <xsd:complexType>
        <xsd:sequence>
          <xsd:element name="documentManagement">
            <xsd:complexType>
              <xsd:all>
                <xsd:element ref="ns2:SharedWithUsers" minOccurs="0"/>
                <xsd:element ref="ns2:SharedWithDetails" minOccurs="0"/>
                <xsd:element ref="ns1:_ip_UnifiedCompliancePolicyProperties" minOccurs="0"/>
                <xsd:element ref="ns1:_ip_UnifiedCompliancePolicyUIAction" minOccurs="0"/>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0" nillable="true" ma:displayName="Unified Compliance Policy Properties" ma:description="" ma:hidden="true" ma:internalName="_ip_UnifiedCompliancePolicyProperties">
      <xsd:simpleType>
        <xsd:restriction base="dms:Note"/>
      </xsd:simpleType>
    </xsd:element>
    <xsd:element name="_ip_UnifiedCompliancePolicyUIAction" ma:index="11" nillable="true" ma:displayName="Unified Compliance Policy UI Action" ma:descrip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bd0abcfc-7ff6-4b3d-ac30-04f62a1c2a7b"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7ba44c81-db5b-4231-99a1-5cebcee71135" elementFormDefault="qualified">
    <xsd:import namespace="http://schemas.microsoft.com/office/2006/documentManagement/types"/>
    <xsd:import namespace="http://schemas.microsoft.com/office/infopath/2007/PartnerControls"/>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1B72DE6-FD56-4155-BC4C-2BDE0035DA33}">
  <ds:schemaRefs>
    <ds:schemaRef ds:uri="http://schemas.microsoft.com/sharepoint/v3/contenttype/forms"/>
  </ds:schemaRefs>
</ds:datastoreItem>
</file>

<file path=customXml/itemProps2.xml><?xml version="1.0" encoding="utf-8"?>
<ds:datastoreItem xmlns:ds="http://schemas.openxmlformats.org/officeDocument/2006/customXml" ds:itemID="{1FDFA2B3-8ED6-467D-B3D9-73398AEA124D}">
  <ds:schemaRefs>
    <ds:schemaRef ds:uri="http://schemas.microsoft.com/office/2006/documentManagement/types"/>
    <ds:schemaRef ds:uri="http://purl.org/dc/elements/1.1/"/>
    <ds:schemaRef ds:uri="http://schemas.microsoft.com/office/2006/metadata/properties"/>
    <ds:schemaRef ds:uri="http://schemas.microsoft.com/sharepoint/v3"/>
    <ds:schemaRef ds:uri="http://purl.org/dc/terms/"/>
    <ds:schemaRef ds:uri="http://schemas.microsoft.com/office/infopath/2007/PartnerControls"/>
    <ds:schemaRef ds:uri="bd0abcfc-7ff6-4b3d-ac30-04f62a1c2a7b"/>
    <ds:schemaRef ds:uri="http://www.w3.org/XML/1998/namespace"/>
    <ds:schemaRef ds:uri="http://purl.org/dc/dcmitype/"/>
    <ds:schemaRef ds:uri="http://schemas.openxmlformats.org/package/2006/metadata/core-properties"/>
    <ds:schemaRef ds:uri="7ba44c81-db5b-4231-99a1-5cebcee71135"/>
  </ds:schemaRefs>
</ds:datastoreItem>
</file>

<file path=customXml/itemProps3.xml><?xml version="1.0" encoding="utf-8"?>
<ds:datastoreItem xmlns:ds="http://schemas.openxmlformats.org/officeDocument/2006/customXml" ds:itemID="{C2948046-1979-4848-B372-9CB342D4E33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bd0abcfc-7ff6-4b3d-ac30-04f62a1c2a7b"/>
    <ds:schemaRef ds:uri="7ba44c81-db5b-4231-99a1-5cebcee7113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DescriptionGMDN</vt:lpstr>
      <vt:lpstr>FULL UNSPSC</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Wong, Aaron [HCSUS]</dc:creator>
  <cp:lastModifiedBy>Chen, Yi Lin [HCSUS]</cp:lastModifiedBy>
  <dcterms:created xsi:type="dcterms:W3CDTF">2017-07-12T19:45:21Z</dcterms:created>
  <dcterms:modified xsi:type="dcterms:W3CDTF">2018-01-23T15:58:04Z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0x010100F08A1E9E2E3D274A95E1546B6B18E35A</vt:lpwstr>
  </property>
</Properties>
</file>